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STUDENT COMPLETE\CHAPTER  1 DATA\Data\"/>
    </mc:Choice>
  </mc:AlternateContent>
  <bookViews>
    <workbookView xWindow="0" yWindow="75" windowWidth="19140" windowHeight="8445"/>
  </bookViews>
  <sheets>
    <sheet name="Template" sheetId="1" r:id="rId1"/>
    <sheet name="Data" sheetId="2" r:id="rId2"/>
    <sheet name="Chart" sheetId="3" r:id="rId3"/>
    <sheet name="Circle Template" sheetId="4" r:id="rId4"/>
    <sheet name="Sector Template" sheetId="5" r:id="rId5"/>
  </sheets>
  <calcPr calcId="152511"/>
</workbook>
</file>

<file path=xl/calcChain.xml><?xml version="1.0" encoding="utf-8"?>
<calcChain xmlns="http://schemas.openxmlformats.org/spreadsheetml/2006/main">
  <c r="V11" i="4" l="1"/>
  <c r="V9" i="4"/>
  <c r="V10" i="4"/>
  <c r="V12" i="4"/>
  <c r="V13" i="4"/>
  <c r="V14" i="4"/>
  <c r="V3" i="4"/>
  <c r="V4" i="4"/>
  <c r="V5" i="4"/>
  <c r="V6" i="4"/>
  <c r="V7" i="4"/>
  <c r="V8" i="4"/>
  <c r="U10" i="4"/>
  <c r="U11" i="4"/>
  <c r="U12" i="4"/>
  <c r="U13" i="4"/>
  <c r="U14" i="4"/>
  <c r="T14" i="4"/>
  <c r="T13" i="4"/>
  <c r="T12" i="4"/>
  <c r="T11" i="4"/>
  <c r="T10" i="4"/>
  <c r="U9" i="4"/>
  <c r="T9" i="4"/>
  <c r="U8" i="4"/>
  <c r="T8" i="4"/>
  <c r="U7" i="4"/>
  <c r="T7" i="4"/>
  <c r="U6" i="4"/>
  <c r="T6" i="4"/>
  <c r="U5" i="4"/>
  <c r="T5" i="4"/>
  <c r="U4" i="4"/>
  <c r="T4" i="4"/>
  <c r="U3" i="4"/>
  <c r="T3" i="4"/>
  <c r="I7" i="5"/>
  <c r="R51" i="4"/>
  <c r="Q51" i="4"/>
  <c r="E3" i="4"/>
  <c r="F3" i="4"/>
  <c r="G3" i="4"/>
  <c r="H3" i="4"/>
  <c r="I3" i="4"/>
  <c r="J3" i="4"/>
  <c r="K3" i="4"/>
  <c r="L3" i="4"/>
  <c r="M3" i="4"/>
  <c r="N3" i="4"/>
  <c r="O3" i="4"/>
  <c r="E4" i="4"/>
  <c r="F4" i="4"/>
  <c r="G4" i="4"/>
  <c r="H4" i="4"/>
  <c r="I4" i="4"/>
  <c r="J4" i="4"/>
  <c r="K4" i="4"/>
  <c r="L4" i="4"/>
  <c r="M4" i="4"/>
  <c r="N4" i="4"/>
  <c r="O4" i="4"/>
  <c r="E5" i="4"/>
  <c r="F5" i="4"/>
  <c r="G5" i="4"/>
  <c r="H5" i="4"/>
  <c r="I5" i="4"/>
  <c r="J5" i="4"/>
  <c r="K5" i="4"/>
  <c r="L5" i="4"/>
  <c r="M5" i="4"/>
  <c r="N5" i="4"/>
  <c r="O5" i="4"/>
  <c r="E6" i="4"/>
  <c r="F6" i="4"/>
  <c r="G6" i="4"/>
  <c r="H6" i="4"/>
  <c r="I6" i="4"/>
  <c r="J6" i="4"/>
  <c r="K6" i="4"/>
  <c r="L6" i="4"/>
  <c r="M6" i="4"/>
  <c r="N6" i="4"/>
  <c r="O6" i="4"/>
  <c r="E7" i="4"/>
  <c r="F7" i="4"/>
  <c r="G7" i="4"/>
  <c r="H7" i="4"/>
  <c r="I7" i="4"/>
  <c r="J7" i="4"/>
  <c r="K7" i="4"/>
  <c r="L7" i="4"/>
  <c r="M7" i="4"/>
  <c r="N7" i="4"/>
  <c r="O7" i="4"/>
  <c r="E8" i="4"/>
  <c r="F8" i="4"/>
  <c r="G8" i="4"/>
  <c r="H8" i="4"/>
  <c r="I8" i="4"/>
  <c r="J8" i="4"/>
  <c r="K8" i="4"/>
  <c r="L8" i="4"/>
  <c r="M8" i="4"/>
  <c r="N8" i="4"/>
  <c r="O8" i="4"/>
  <c r="E9" i="4"/>
  <c r="F9" i="4"/>
  <c r="G9" i="4"/>
  <c r="H9" i="4"/>
  <c r="I9" i="4"/>
  <c r="J9" i="4"/>
  <c r="K9" i="4"/>
  <c r="L9" i="4"/>
  <c r="M9" i="4"/>
  <c r="N9" i="4"/>
  <c r="O9" i="4"/>
  <c r="E10" i="4"/>
  <c r="F10" i="4"/>
  <c r="G10" i="4"/>
  <c r="H10" i="4"/>
  <c r="I10" i="4"/>
  <c r="J10" i="4"/>
  <c r="K10" i="4"/>
  <c r="L10" i="4"/>
  <c r="M10" i="4"/>
  <c r="N10" i="4"/>
  <c r="O10" i="4"/>
  <c r="E11" i="4"/>
  <c r="F11" i="4"/>
  <c r="G11" i="4"/>
  <c r="H11" i="4"/>
  <c r="I11" i="4"/>
  <c r="J11" i="4"/>
  <c r="K11" i="4"/>
  <c r="L11" i="4"/>
  <c r="M11" i="4"/>
  <c r="N11" i="4"/>
  <c r="O11" i="4"/>
  <c r="E12" i="4"/>
  <c r="F12" i="4"/>
  <c r="G12" i="4"/>
  <c r="H12" i="4"/>
  <c r="I12" i="4"/>
  <c r="J12" i="4"/>
  <c r="K12" i="4"/>
  <c r="L12" i="4"/>
  <c r="M12" i="4"/>
  <c r="N12" i="4"/>
  <c r="O12" i="4"/>
  <c r="E13" i="4"/>
  <c r="F13" i="4"/>
  <c r="G13" i="4"/>
  <c r="H13" i="4"/>
  <c r="I13" i="4"/>
  <c r="J13" i="4"/>
  <c r="K13" i="4"/>
  <c r="L13" i="4"/>
  <c r="M13" i="4"/>
  <c r="N13" i="4"/>
  <c r="O13" i="4"/>
  <c r="E14" i="4"/>
  <c r="F14" i="4"/>
  <c r="G14" i="4"/>
  <c r="H14" i="4"/>
  <c r="I14" i="4"/>
  <c r="J14" i="4"/>
  <c r="K14" i="4"/>
  <c r="L14" i="4"/>
  <c r="M14" i="4"/>
  <c r="N14" i="4"/>
  <c r="O14" i="4"/>
  <c r="E15" i="4"/>
  <c r="F15" i="4"/>
  <c r="G15" i="4"/>
  <c r="H15" i="4"/>
  <c r="I15" i="4"/>
  <c r="J15" i="4"/>
  <c r="K15" i="4"/>
  <c r="L15" i="4"/>
  <c r="M15" i="4"/>
  <c r="N15" i="4"/>
  <c r="O15" i="4"/>
  <c r="E16" i="4"/>
  <c r="F16" i="4"/>
  <c r="G16" i="4"/>
  <c r="H16" i="4"/>
  <c r="I16" i="4"/>
  <c r="J16" i="4"/>
  <c r="K16" i="4"/>
  <c r="L16" i="4"/>
  <c r="M16" i="4"/>
  <c r="N16" i="4"/>
  <c r="O16" i="4"/>
  <c r="E17" i="4"/>
  <c r="F17" i="4"/>
  <c r="G17" i="4"/>
  <c r="H17" i="4"/>
  <c r="I17" i="4"/>
  <c r="J17" i="4"/>
  <c r="K17" i="4"/>
  <c r="L17" i="4"/>
  <c r="M17" i="4"/>
  <c r="N17" i="4"/>
  <c r="O17" i="4"/>
  <c r="E18" i="4"/>
  <c r="F18" i="4"/>
  <c r="G18" i="4"/>
  <c r="H18" i="4"/>
  <c r="I18" i="4"/>
  <c r="J18" i="4"/>
  <c r="K18" i="4"/>
  <c r="L18" i="4"/>
  <c r="M18" i="4"/>
  <c r="N18" i="4"/>
  <c r="O18" i="4"/>
  <c r="E19" i="4"/>
  <c r="F19" i="4"/>
  <c r="G19" i="4"/>
  <c r="H19" i="4"/>
  <c r="I19" i="4"/>
  <c r="J19" i="4"/>
  <c r="K19" i="4"/>
  <c r="L19" i="4"/>
  <c r="M19" i="4"/>
  <c r="N19" i="4"/>
  <c r="O19" i="4"/>
  <c r="E20" i="4"/>
  <c r="F20" i="4"/>
  <c r="G20" i="4"/>
  <c r="H20" i="4"/>
  <c r="I20" i="4"/>
  <c r="J20" i="4"/>
  <c r="K20" i="4"/>
  <c r="L20" i="4"/>
  <c r="M20" i="4"/>
  <c r="N20" i="4"/>
  <c r="O20" i="4"/>
  <c r="E21" i="4"/>
  <c r="F21" i="4"/>
  <c r="G21" i="4"/>
  <c r="H21" i="4"/>
  <c r="I21" i="4"/>
  <c r="J21" i="4"/>
  <c r="K21" i="4"/>
  <c r="L21" i="4"/>
  <c r="M21" i="4"/>
  <c r="N21" i="4"/>
  <c r="O21" i="4"/>
  <c r="E22" i="4"/>
  <c r="F22" i="4"/>
  <c r="G22" i="4"/>
  <c r="H22" i="4"/>
  <c r="I22" i="4"/>
  <c r="J22" i="4"/>
  <c r="K22" i="4"/>
  <c r="L22" i="4"/>
  <c r="M22" i="4"/>
  <c r="N22" i="4"/>
  <c r="O22" i="4"/>
  <c r="E23" i="4"/>
  <c r="F23" i="4"/>
  <c r="G23" i="4"/>
  <c r="H23" i="4"/>
  <c r="I23" i="4"/>
  <c r="J23" i="4"/>
  <c r="K23" i="4"/>
  <c r="L23" i="4"/>
  <c r="M23" i="4"/>
  <c r="N23" i="4"/>
  <c r="O23" i="4"/>
  <c r="E24" i="4"/>
  <c r="F24" i="4"/>
  <c r="G24" i="4"/>
  <c r="H24" i="4"/>
  <c r="I24" i="4"/>
  <c r="J24" i="4"/>
  <c r="K24" i="4"/>
  <c r="L24" i="4"/>
  <c r="M24" i="4"/>
  <c r="N24" i="4"/>
  <c r="O24" i="4"/>
  <c r="E25" i="4"/>
  <c r="F25" i="4"/>
  <c r="G25" i="4"/>
  <c r="H25" i="4"/>
  <c r="I25" i="4"/>
  <c r="J25" i="4"/>
  <c r="K25" i="4"/>
  <c r="L25" i="4"/>
  <c r="M25" i="4"/>
  <c r="N25" i="4"/>
  <c r="O25" i="4"/>
  <c r="E26" i="4"/>
  <c r="F26" i="4"/>
  <c r="G26" i="4"/>
  <c r="H26" i="4"/>
  <c r="I26" i="4"/>
  <c r="J26" i="4"/>
  <c r="K26" i="4"/>
  <c r="L26" i="4"/>
  <c r="M26" i="4"/>
  <c r="N26" i="4"/>
  <c r="O26" i="4"/>
  <c r="E27" i="4"/>
  <c r="F27" i="4"/>
  <c r="G27" i="4"/>
  <c r="H27" i="4"/>
  <c r="I27" i="4"/>
  <c r="J27" i="4"/>
  <c r="K27" i="4"/>
  <c r="L27" i="4"/>
  <c r="M27" i="4"/>
  <c r="N27" i="4"/>
  <c r="O27" i="4"/>
  <c r="E28" i="4"/>
  <c r="F28" i="4"/>
  <c r="G28" i="4"/>
  <c r="H28" i="4"/>
  <c r="I28" i="4"/>
  <c r="J28" i="4"/>
  <c r="K28" i="4"/>
  <c r="L28" i="4"/>
  <c r="M28" i="4"/>
  <c r="N28" i="4"/>
  <c r="O28" i="4"/>
  <c r="E29" i="4"/>
  <c r="F29" i="4"/>
  <c r="G29" i="4"/>
  <c r="H29" i="4"/>
  <c r="I29" i="4"/>
  <c r="J29" i="4"/>
  <c r="K29" i="4"/>
  <c r="L29" i="4"/>
  <c r="M29" i="4"/>
  <c r="N29" i="4"/>
  <c r="O29" i="4"/>
  <c r="E30" i="4"/>
  <c r="F30" i="4"/>
  <c r="G30" i="4"/>
  <c r="H30" i="4"/>
  <c r="I30" i="4"/>
  <c r="J30" i="4"/>
  <c r="K30" i="4"/>
  <c r="L30" i="4"/>
  <c r="M30" i="4"/>
  <c r="N30" i="4"/>
  <c r="O30" i="4"/>
  <c r="E31" i="4"/>
  <c r="F31" i="4"/>
  <c r="G31" i="4"/>
  <c r="H31" i="4"/>
  <c r="I31" i="4"/>
  <c r="J31" i="4"/>
  <c r="K31" i="4"/>
  <c r="L31" i="4"/>
  <c r="M31" i="4"/>
  <c r="N31" i="4"/>
  <c r="O31" i="4"/>
  <c r="E32" i="4"/>
  <c r="F32" i="4"/>
  <c r="G32" i="4"/>
  <c r="H32" i="4"/>
  <c r="I32" i="4"/>
  <c r="J32" i="4"/>
  <c r="K32" i="4"/>
  <c r="L32" i="4"/>
  <c r="M32" i="4"/>
  <c r="N32" i="4"/>
  <c r="O32" i="4"/>
  <c r="E33" i="4"/>
  <c r="F33" i="4"/>
  <c r="G33" i="4"/>
  <c r="H33" i="4"/>
  <c r="I33" i="4"/>
  <c r="J33" i="4"/>
  <c r="K33" i="4"/>
  <c r="L33" i="4"/>
  <c r="M33" i="4"/>
  <c r="N33" i="4"/>
  <c r="O33" i="4"/>
  <c r="E34" i="4"/>
  <c r="F34" i="4"/>
  <c r="G34" i="4"/>
  <c r="H34" i="4"/>
  <c r="I34" i="4"/>
  <c r="J34" i="4"/>
  <c r="K34" i="4"/>
  <c r="L34" i="4"/>
  <c r="M34" i="4"/>
  <c r="N34" i="4"/>
  <c r="O34" i="4"/>
  <c r="E35" i="4"/>
  <c r="F35" i="4"/>
  <c r="G35" i="4"/>
  <c r="H35" i="4"/>
  <c r="I35" i="4"/>
  <c r="J35" i="4"/>
  <c r="K35" i="4"/>
  <c r="L35" i="4"/>
  <c r="M35" i="4"/>
  <c r="N35" i="4"/>
  <c r="O35" i="4"/>
  <c r="E36" i="4"/>
  <c r="F36" i="4"/>
  <c r="G36" i="4"/>
  <c r="H36" i="4"/>
  <c r="I36" i="4"/>
  <c r="J36" i="4"/>
  <c r="K36" i="4"/>
  <c r="L36" i="4"/>
  <c r="M36" i="4"/>
  <c r="N36" i="4"/>
  <c r="O36" i="4"/>
  <c r="E37" i="4"/>
  <c r="F37" i="4"/>
  <c r="G37" i="4"/>
  <c r="H37" i="4"/>
  <c r="I37" i="4"/>
  <c r="J37" i="4"/>
  <c r="K37" i="4"/>
  <c r="L37" i="4"/>
  <c r="M37" i="4"/>
  <c r="N37" i="4"/>
  <c r="O37" i="4"/>
  <c r="E38" i="4"/>
  <c r="F38" i="4"/>
  <c r="G38" i="4"/>
  <c r="H38" i="4"/>
  <c r="I38" i="4"/>
  <c r="J38" i="4"/>
  <c r="K38" i="4"/>
  <c r="L38" i="4"/>
  <c r="M38" i="4"/>
  <c r="N38" i="4"/>
  <c r="O38" i="4"/>
  <c r="E39" i="4"/>
  <c r="F39" i="4"/>
  <c r="G39" i="4"/>
  <c r="H39" i="4"/>
  <c r="I39" i="4"/>
  <c r="J39" i="4"/>
  <c r="K39" i="4"/>
  <c r="L39" i="4"/>
  <c r="M39" i="4"/>
  <c r="N39" i="4"/>
  <c r="O39"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3" i="4"/>
  <c r="F4" i="2" l="1"/>
  <c r="F5" i="2"/>
  <c r="F6" i="2"/>
  <c r="F7" i="2"/>
  <c r="F8" i="2"/>
  <c r="F9" i="2"/>
  <c r="F10" i="2"/>
  <c r="F11" i="2"/>
  <c r="F12" i="2"/>
  <c r="F13" i="2"/>
  <c r="F14" i="2"/>
  <c r="F3" i="2"/>
  <c r="L6" i="2"/>
  <c r="M6" i="2" s="1"/>
  <c r="N6" i="2" s="1"/>
  <c r="P6" i="2"/>
  <c r="Q6" i="2" s="1"/>
  <c r="R6" i="2" s="1"/>
  <c r="T6" i="2"/>
  <c r="U6" i="2" s="1"/>
  <c r="V6" i="2" s="1"/>
  <c r="X6" i="2"/>
  <c r="Y6" i="2" s="1"/>
  <c r="Z6" i="2" s="1"/>
  <c r="AB6" i="2"/>
  <c r="AC6" i="2" s="1"/>
  <c r="AD6" i="2" s="1"/>
  <c r="AF6" i="2"/>
  <c r="AG6" i="2" s="1"/>
  <c r="AH6" i="2" s="1"/>
  <c r="AJ6" i="2"/>
  <c r="AK6" i="2" s="1"/>
  <c r="AL6" i="2" s="1"/>
  <c r="AN6" i="2"/>
  <c r="AO6" i="2" s="1"/>
  <c r="AP6" i="2" s="1"/>
  <c r="AR6" i="2"/>
  <c r="AS6" i="2" s="1"/>
  <c r="AT6" i="2" s="1"/>
  <c r="AV6" i="2"/>
  <c r="AW6" i="2" s="1"/>
  <c r="AX6" i="2" s="1"/>
  <c r="AZ6" i="2"/>
  <c r="BA6" i="2" s="1"/>
  <c r="BB6" i="2" s="1"/>
  <c r="L7" i="2"/>
  <c r="M7" i="2" s="1"/>
  <c r="N7" i="2" s="1"/>
  <c r="P7" i="2"/>
  <c r="Q7" i="2" s="1"/>
  <c r="R7" i="2" s="1"/>
  <c r="T7" i="2"/>
  <c r="U7" i="2" s="1"/>
  <c r="V7" i="2" s="1"/>
  <c r="X7" i="2"/>
  <c r="Y7" i="2" s="1"/>
  <c r="Z7" i="2" s="1"/>
  <c r="AB7" i="2"/>
  <c r="AC7" i="2" s="1"/>
  <c r="AD7" i="2" s="1"/>
  <c r="AF7" i="2"/>
  <c r="AG7" i="2" s="1"/>
  <c r="AH7" i="2" s="1"/>
  <c r="AJ7" i="2"/>
  <c r="AK7" i="2" s="1"/>
  <c r="AL7" i="2" s="1"/>
  <c r="AN7" i="2"/>
  <c r="AO7" i="2" s="1"/>
  <c r="AP7" i="2" s="1"/>
  <c r="AR7" i="2"/>
  <c r="AS7" i="2" s="1"/>
  <c r="AT7" i="2" s="1"/>
  <c r="AV7" i="2"/>
  <c r="AW7" i="2" s="1"/>
  <c r="AX7" i="2" s="1"/>
  <c r="AZ7" i="2"/>
  <c r="BA7" i="2" s="1"/>
  <c r="BB7" i="2" s="1"/>
  <c r="L8" i="2"/>
  <c r="M8" i="2" s="1"/>
  <c r="N8" i="2" s="1"/>
  <c r="P8" i="2"/>
  <c r="Q8" i="2" s="1"/>
  <c r="R8" i="2" s="1"/>
  <c r="T8" i="2"/>
  <c r="U8" i="2" s="1"/>
  <c r="V8" i="2" s="1"/>
  <c r="X8" i="2"/>
  <c r="Y8" i="2" s="1"/>
  <c r="Z8" i="2" s="1"/>
  <c r="AB8" i="2"/>
  <c r="AC8" i="2" s="1"/>
  <c r="AD8" i="2" s="1"/>
  <c r="AF8" i="2"/>
  <c r="AG8" i="2" s="1"/>
  <c r="AH8" i="2" s="1"/>
  <c r="AJ8" i="2"/>
  <c r="AK8" i="2" s="1"/>
  <c r="AL8" i="2" s="1"/>
  <c r="AN8" i="2"/>
  <c r="AO8" i="2" s="1"/>
  <c r="AP8" i="2" s="1"/>
  <c r="AR8" i="2"/>
  <c r="AS8" i="2" s="1"/>
  <c r="AT8" i="2" s="1"/>
  <c r="AV8" i="2"/>
  <c r="AW8" i="2" s="1"/>
  <c r="AX8" i="2" s="1"/>
  <c r="AZ8" i="2"/>
  <c r="BA8" i="2" s="1"/>
  <c r="BB8" i="2" s="1"/>
  <c r="L9" i="2"/>
  <c r="M9" i="2" s="1"/>
  <c r="N9" i="2" s="1"/>
  <c r="P9" i="2"/>
  <c r="Q9" i="2" s="1"/>
  <c r="R9" i="2" s="1"/>
  <c r="T9" i="2"/>
  <c r="U9" i="2" s="1"/>
  <c r="V9" i="2" s="1"/>
  <c r="X9" i="2"/>
  <c r="AB9" i="2"/>
  <c r="AF9" i="2"/>
  <c r="AJ9" i="2"/>
  <c r="AN9" i="2"/>
  <c r="AR9" i="2"/>
  <c r="AV9" i="2"/>
  <c r="AZ9" i="2"/>
  <c r="L10" i="2"/>
  <c r="P10" i="2"/>
  <c r="T10" i="2"/>
  <c r="X10" i="2"/>
  <c r="AB10" i="2"/>
  <c r="AF10" i="2"/>
  <c r="AJ10" i="2"/>
  <c r="AN10" i="2"/>
  <c r="AR10" i="2"/>
  <c r="AV10" i="2"/>
  <c r="AZ10" i="2"/>
  <c r="L11" i="2"/>
  <c r="P11" i="2"/>
  <c r="T11" i="2"/>
  <c r="X11" i="2"/>
  <c r="AB11" i="2"/>
  <c r="AF11" i="2"/>
  <c r="AJ11" i="2"/>
  <c r="AN11" i="2"/>
  <c r="AR11" i="2"/>
  <c r="AV11" i="2"/>
  <c r="AZ11" i="2"/>
  <c r="L12" i="2"/>
  <c r="P12" i="2"/>
  <c r="T12" i="2"/>
  <c r="X12" i="2"/>
  <c r="AB12" i="2"/>
  <c r="AF12" i="2"/>
  <c r="AJ12" i="2"/>
  <c r="AN12" i="2"/>
  <c r="AR12" i="2"/>
  <c r="AV12" i="2"/>
  <c r="AZ12" i="2"/>
  <c r="L13" i="2"/>
  <c r="P13" i="2"/>
  <c r="T13" i="2"/>
  <c r="X13" i="2"/>
  <c r="AB13" i="2"/>
  <c r="AF13" i="2"/>
  <c r="AJ13" i="2"/>
  <c r="AN13" i="2"/>
  <c r="AR13" i="2"/>
  <c r="AV13" i="2"/>
  <c r="AZ13" i="2"/>
  <c r="L14" i="2"/>
  <c r="P14" i="2"/>
  <c r="T14" i="2"/>
  <c r="X14" i="2"/>
  <c r="AB14" i="2"/>
  <c r="AF14" i="2"/>
  <c r="AJ14" i="2"/>
  <c r="AN14" i="2"/>
  <c r="AR14" i="2"/>
  <c r="AV14" i="2"/>
  <c r="AZ14" i="2"/>
  <c r="L15" i="2"/>
  <c r="P15" i="2"/>
  <c r="T15" i="2"/>
  <c r="X15" i="2"/>
  <c r="AB15" i="2"/>
  <c r="AF15" i="2"/>
  <c r="AJ15" i="2"/>
  <c r="AN15" i="2"/>
  <c r="AR15" i="2"/>
  <c r="AV15" i="2"/>
  <c r="AZ15" i="2"/>
  <c r="L16" i="2"/>
  <c r="P16" i="2"/>
  <c r="T16" i="2"/>
  <c r="X16" i="2"/>
  <c r="AB16" i="2"/>
  <c r="AF16" i="2"/>
  <c r="AJ16" i="2"/>
  <c r="AN16" i="2"/>
  <c r="AR16" i="2"/>
  <c r="AV16" i="2"/>
  <c r="AZ16" i="2"/>
  <c r="L17" i="2"/>
  <c r="P17" i="2"/>
  <c r="T17" i="2"/>
  <c r="X17" i="2"/>
  <c r="AB17" i="2"/>
  <c r="AF17" i="2"/>
  <c r="AJ17" i="2"/>
  <c r="AN17" i="2"/>
  <c r="AR17" i="2"/>
  <c r="AV17" i="2"/>
  <c r="AZ17" i="2"/>
  <c r="L18" i="2"/>
  <c r="P18" i="2"/>
  <c r="T18" i="2"/>
  <c r="X18" i="2"/>
  <c r="AB18" i="2"/>
  <c r="AF18" i="2"/>
  <c r="AJ18" i="2"/>
  <c r="AN18" i="2"/>
  <c r="AR18" i="2"/>
  <c r="AV18" i="2"/>
  <c r="AZ18" i="2"/>
  <c r="L19" i="2"/>
  <c r="P19" i="2"/>
  <c r="T19" i="2"/>
  <c r="X19" i="2"/>
  <c r="AB19" i="2"/>
  <c r="AF19" i="2"/>
  <c r="AJ19" i="2"/>
  <c r="AN19" i="2"/>
  <c r="AR19" i="2"/>
  <c r="AV19" i="2"/>
  <c r="AZ19" i="2"/>
  <c r="L20" i="2"/>
  <c r="P20" i="2"/>
  <c r="T20" i="2"/>
  <c r="X20" i="2"/>
  <c r="AB20" i="2"/>
  <c r="AF20" i="2"/>
  <c r="AJ20" i="2"/>
  <c r="AN20" i="2"/>
  <c r="AR20" i="2"/>
  <c r="AV20" i="2"/>
  <c r="AZ20" i="2"/>
  <c r="L21" i="2"/>
  <c r="P21" i="2"/>
  <c r="T21" i="2"/>
  <c r="X21" i="2"/>
  <c r="AB21" i="2"/>
  <c r="AF21" i="2"/>
  <c r="AJ21" i="2"/>
  <c r="AN21" i="2"/>
  <c r="AR21" i="2"/>
  <c r="AV21" i="2"/>
  <c r="AZ21" i="2"/>
  <c r="L22" i="2"/>
  <c r="P22" i="2"/>
  <c r="T22" i="2"/>
  <c r="X22" i="2"/>
  <c r="AB22" i="2"/>
  <c r="AF22" i="2"/>
  <c r="AJ22" i="2"/>
  <c r="AN22" i="2"/>
  <c r="AR22" i="2"/>
  <c r="AV22" i="2"/>
  <c r="AZ22" i="2"/>
  <c r="L23" i="2"/>
  <c r="P23" i="2"/>
  <c r="T23" i="2"/>
  <c r="X23" i="2"/>
  <c r="AB23" i="2"/>
  <c r="AF23" i="2"/>
  <c r="AJ23" i="2"/>
  <c r="AN23" i="2"/>
  <c r="AR23" i="2"/>
  <c r="AV23" i="2"/>
  <c r="AZ23" i="2"/>
  <c r="L24" i="2"/>
  <c r="P24" i="2"/>
  <c r="T24" i="2"/>
  <c r="X24" i="2"/>
  <c r="AB24" i="2"/>
  <c r="AF24" i="2"/>
  <c r="AJ24" i="2"/>
  <c r="AN24" i="2"/>
  <c r="AR24" i="2"/>
  <c r="AV24" i="2"/>
  <c r="AZ24" i="2"/>
  <c r="L25" i="2"/>
  <c r="M25" i="2" s="1"/>
  <c r="P25" i="2"/>
  <c r="Q25" i="2" s="1"/>
  <c r="R25" i="2" s="1"/>
  <c r="S25" i="2" s="1"/>
  <c r="T25" i="2"/>
  <c r="U25" i="2" s="1"/>
  <c r="V25" i="2" s="1"/>
  <c r="W25" i="2" s="1"/>
  <c r="X25" i="2"/>
  <c r="Y25" i="2" s="1"/>
  <c r="Z25" i="2" s="1"/>
  <c r="AA25" i="2" s="1"/>
  <c r="AB25" i="2"/>
  <c r="AC25" i="2" s="1"/>
  <c r="AD25" i="2" s="1"/>
  <c r="AE25" i="2" s="1"/>
  <c r="AF25" i="2"/>
  <c r="AG25" i="2" s="1"/>
  <c r="AH25" i="2" s="1"/>
  <c r="AI25" i="2" s="1"/>
  <c r="AJ25" i="2"/>
  <c r="AK25" i="2" s="1"/>
  <c r="AL25" i="2" s="1"/>
  <c r="AM25" i="2" s="1"/>
  <c r="AN25" i="2"/>
  <c r="AO25" i="2" s="1"/>
  <c r="AP25" i="2" s="1"/>
  <c r="AQ25" i="2" s="1"/>
  <c r="AR25" i="2"/>
  <c r="AS25" i="2" s="1"/>
  <c r="AT25" i="2" s="1"/>
  <c r="AU25" i="2" s="1"/>
  <c r="AV25" i="2"/>
  <c r="AW25" i="2" s="1"/>
  <c r="AX25" i="2" s="1"/>
  <c r="AY25" i="2" s="1"/>
  <c r="AZ25" i="2"/>
  <c r="BA25" i="2" s="1"/>
  <c r="BB25" i="2" s="1"/>
  <c r="BC25" i="2" s="1"/>
  <c r="L26" i="2"/>
  <c r="M26" i="2" s="1"/>
  <c r="N26" i="2" s="1"/>
  <c r="O26" i="2" s="1"/>
  <c r="P26" i="2"/>
  <c r="Q26" i="2" s="1"/>
  <c r="R26" i="2" s="1"/>
  <c r="S26" i="2" s="1"/>
  <c r="T26" i="2"/>
  <c r="U26" i="2" s="1"/>
  <c r="V26" i="2" s="1"/>
  <c r="W26" i="2" s="1"/>
  <c r="X26" i="2"/>
  <c r="Y26" i="2" s="1"/>
  <c r="Z26" i="2" s="1"/>
  <c r="AA26" i="2" s="1"/>
  <c r="AB26" i="2"/>
  <c r="AC26" i="2" s="1"/>
  <c r="AD26" i="2" s="1"/>
  <c r="AE26" i="2" s="1"/>
  <c r="AF26" i="2"/>
  <c r="AG26" i="2" s="1"/>
  <c r="AH26" i="2" s="1"/>
  <c r="AI26" i="2" s="1"/>
  <c r="AJ26" i="2"/>
  <c r="AK26" i="2" s="1"/>
  <c r="AL26" i="2" s="1"/>
  <c r="AM26" i="2" s="1"/>
  <c r="AN26" i="2"/>
  <c r="AO26" i="2" s="1"/>
  <c r="AP26" i="2" s="1"/>
  <c r="AQ26" i="2" s="1"/>
  <c r="AR26" i="2"/>
  <c r="AS26" i="2" s="1"/>
  <c r="AT26" i="2" s="1"/>
  <c r="AU26" i="2" s="1"/>
  <c r="AV26" i="2"/>
  <c r="AW26" i="2" s="1"/>
  <c r="AX26" i="2" s="1"/>
  <c r="AY26" i="2" s="1"/>
  <c r="AZ26" i="2"/>
  <c r="BA26" i="2" s="1"/>
  <c r="BB26" i="2" s="1"/>
  <c r="BC26" i="2" s="1"/>
  <c r="L27" i="2"/>
  <c r="M27" i="2" s="1"/>
  <c r="N27" i="2" s="1"/>
  <c r="O27" i="2" s="1"/>
  <c r="P27" i="2"/>
  <c r="Q27" i="2" s="1"/>
  <c r="R27" i="2" s="1"/>
  <c r="S27" i="2" s="1"/>
  <c r="T27" i="2"/>
  <c r="U27" i="2" s="1"/>
  <c r="V27" i="2" s="1"/>
  <c r="W27" i="2" s="1"/>
  <c r="X27" i="2"/>
  <c r="Y27" i="2" s="1"/>
  <c r="Z27" i="2" s="1"/>
  <c r="AA27" i="2" s="1"/>
  <c r="AB27" i="2"/>
  <c r="AC27" i="2" s="1"/>
  <c r="AD27" i="2" s="1"/>
  <c r="AE27" i="2" s="1"/>
  <c r="AF27" i="2"/>
  <c r="AG27" i="2" s="1"/>
  <c r="AH27" i="2" s="1"/>
  <c r="AI27" i="2" s="1"/>
  <c r="AJ27" i="2"/>
  <c r="AK27" i="2" s="1"/>
  <c r="AL27" i="2" s="1"/>
  <c r="AM27" i="2" s="1"/>
  <c r="AN27" i="2"/>
  <c r="AO27" i="2" s="1"/>
  <c r="AP27" i="2" s="1"/>
  <c r="AQ27" i="2" s="1"/>
  <c r="AR27" i="2"/>
  <c r="AS27" i="2" s="1"/>
  <c r="AT27" i="2" s="1"/>
  <c r="AU27" i="2" s="1"/>
  <c r="AV27" i="2"/>
  <c r="AW27" i="2" s="1"/>
  <c r="AX27" i="2" s="1"/>
  <c r="AY27" i="2" s="1"/>
  <c r="AZ27" i="2"/>
  <c r="BA27" i="2" s="1"/>
  <c r="BB27" i="2" s="1"/>
  <c r="BC27" i="2" s="1"/>
  <c r="L28" i="2"/>
  <c r="M28" i="2" s="1"/>
  <c r="N28" i="2" s="1"/>
  <c r="O28" i="2" s="1"/>
  <c r="P28" i="2"/>
  <c r="Q28" i="2" s="1"/>
  <c r="R28" i="2" s="1"/>
  <c r="S28" i="2" s="1"/>
  <c r="T28" i="2"/>
  <c r="U28" i="2" s="1"/>
  <c r="V28" i="2" s="1"/>
  <c r="W28" i="2" s="1"/>
  <c r="X28" i="2"/>
  <c r="Y28" i="2" s="1"/>
  <c r="Z28" i="2" s="1"/>
  <c r="AA28" i="2" s="1"/>
  <c r="AB28" i="2"/>
  <c r="AC28" i="2" s="1"/>
  <c r="AD28" i="2" s="1"/>
  <c r="AE28" i="2" s="1"/>
  <c r="AF28" i="2"/>
  <c r="AG28" i="2" s="1"/>
  <c r="AH28" i="2" s="1"/>
  <c r="AI28" i="2" s="1"/>
  <c r="AJ28" i="2"/>
  <c r="AK28" i="2" s="1"/>
  <c r="AL28" i="2" s="1"/>
  <c r="AM28" i="2" s="1"/>
  <c r="AN28" i="2"/>
  <c r="AO28" i="2" s="1"/>
  <c r="AP28" i="2" s="1"/>
  <c r="AQ28" i="2" s="1"/>
  <c r="AR28" i="2"/>
  <c r="AS28" i="2" s="1"/>
  <c r="AT28" i="2" s="1"/>
  <c r="AU28" i="2" s="1"/>
  <c r="AV28" i="2"/>
  <c r="AW28" i="2" s="1"/>
  <c r="AX28" i="2" s="1"/>
  <c r="AY28" i="2" s="1"/>
  <c r="AZ28" i="2"/>
  <c r="BA28" i="2" s="1"/>
  <c r="BB28" i="2" s="1"/>
  <c r="BC28" i="2" s="1"/>
  <c r="L29" i="2"/>
  <c r="M29" i="2" s="1"/>
  <c r="N29" i="2" s="1"/>
  <c r="O29" i="2" s="1"/>
  <c r="P29" i="2"/>
  <c r="Q29" i="2" s="1"/>
  <c r="R29" i="2" s="1"/>
  <c r="S29" i="2" s="1"/>
  <c r="T29" i="2"/>
  <c r="U29" i="2" s="1"/>
  <c r="V29" i="2" s="1"/>
  <c r="W29" i="2" s="1"/>
  <c r="X29" i="2"/>
  <c r="Y29" i="2" s="1"/>
  <c r="Z29" i="2" s="1"/>
  <c r="AA29" i="2" s="1"/>
  <c r="AB29" i="2"/>
  <c r="AC29" i="2" s="1"/>
  <c r="AD29" i="2" s="1"/>
  <c r="AE29" i="2" s="1"/>
  <c r="AF29" i="2"/>
  <c r="AG29" i="2" s="1"/>
  <c r="AH29" i="2" s="1"/>
  <c r="AI29" i="2" s="1"/>
  <c r="AJ29" i="2"/>
  <c r="AK29" i="2" s="1"/>
  <c r="AL29" i="2" s="1"/>
  <c r="AM29" i="2" s="1"/>
  <c r="AN29" i="2"/>
  <c r="AO29" i="2" s="1"/>
  <c r="AP29" i="2" s="1"/>
  <c r="AQ29" i="2" s="1"/>
  <c r="AR29" i="2"/>
  <c r="AS29" i="2" s="1"/>
  <c r="AT29" i="2" s="1"/>
  <c r="AU29" i="2" s="1"/>
  <c r="AV29" i="2"/>
  <c r="AW29" i="2" s="1"/>
  <c r="AX29" i="2" s="1"/>
  <c r="AY29" i="2" s="1"/>
  <c r="AZ29" i="2"/>
  <c r="BA29" i="2" s="1"/>
  <c r="BB29" i="2" s="1"/>
  <c r="BC29" i="2" s="1"/>
  <c r="L30" i="2"/>
  <c r="M30" i="2" s="1"/>
  <c r="N30" i="2" s="1"/>
  <c r="O30" i="2" s="1"/>
  <c r="P30" i="2"/>
  <c r="Q30" i="2" s="1"/>
  <c r="R30" i="2" s="1"/>
  <c r="S30" i="2" s="1"/>
  <c r="T30" i="2"/>
  <c r="U30" i="2" s="1"/>
  <c r="V30" i="2" s="1"/>
  <c r="W30" i="2" s="1"/>
  <c r="X30" i="2"/>
  <c r="Y30" i="2" s="1"/>
  <c r="Z30" i="2" s="1"/>
  <c r="AA30" i="2" s="1"/>
  <c r="AB30" i="2"/>
  <c r="AC30" i="2" s="1"/>
  <c r="AD30" i="2" s="1"/>
  <c r="AE30" i="2" s="1"/>
  <c r="AF30" i="2"/>
  <c r="AG30" i="2" s="1"/>
  <c r="AH30" i="2" s="1"/>
  <c r="AI30" i="2" s="1"/>
  <c r="AJ30" i="2"/>
  <c r="AK30" i="2" s="1"/>
  <c r="AL30" i="2" s="1"/>
  <c r="AM30" i="2" s="1"/>
  <c r="AN30" i="2"/>
  <c r="AO30" i="2" s="1"/>
  <c r="AP30" i="2" s="1"/>
  <c r="AQ30" i="2" s="1"/>
  <c r="AR30" i="2"/>
  <c r="AS30" i="2" s="1"/>
  <c r="AT30" i="2" s="1"/>
  <c r="AU30" i="2" s="1"/>
  <c r="AV30" i="2"/>
  <c r="AW30" i="2" s="1"/>
  <c r="AX30" i="2" s="1"/>
  <c r="AY30" i="2" s="1"/>
  <c r="AZ30" i="2"/>
  <c r="BA30" i="2" s="1"/>
  <c r="BB30" i="2" s="1"/>
  <c r="BC30" i="2" s="1"/>
  <c r="L31" i="2"/>
  <c r="M31" i="2" s="1"/>
  <c r="N31" i="2" s="1"/>
  <c r="O31" i="2" s="1"/>
  <c r="P31" i="2"/>
  <c r="Q31" i="2" s="1"/>
  <c r="R31" i="2" s="1"/>
  <c r="S31" i="2" s="1"/>
  <c r="T31" i="2"/>
  <c r="U31" i="2" s="1"/>
  <c r="V31" i="2" s="1"/>
  <c r="W31" i="2" s="1"/>
  <c r="X31" i="2"/>
  <c r="Y31" i="2" s="1"/>
  <c r="Z31" i="2" s="1"/>
  <c r="AA31" i="2" s="1"/>
  <c r="AB31" i="2"/>
  <c r="AC31" i="2" s="1"/>
  <c r="AD31" i="2" s="1"/>
  <c r="AE31" i="2" s="1"/>
  <c r="AF31" i="2"/>
  <c r="AG31" i="2" s="1"/>
  <c r="AH31" i="2" s="1"/>
  <c r="AI31" i="2" s="1"/>
  <c r="AJ31" i="2"/>
  <c r="AK31" i="2" s="1"/>
  <c r="AL31" i="2" s="1"/>
  <c r="AM31" i="2" s="1"/>
  <c r="AN31" i="2"/>
  <c r="AO31" i="2" s="1"/>
  <c r="AP31" i="2" s="1"/>
  <c r="AQ31" i="2" s="1"/>
  <c r="AR31" i="2"/>
  <c r="AS31" i="2" s="1"/>
  <c r="AT31" i="2" s="1"/>
  <c r="AU31" i="2" s="1"/>
  <c r="AV31" i="2"/>
  <c r="AW31" i="2" s="1"/>
  <c r="AX31" i="2" s="1"/>
  <c r="AY31" i="2" s="1"/>
  <c r="AZ31" i="2"/>
  <c r="BA31" i="2" s="1"/>
  <c r="BB31" i="2" s="1"/>
  <c r="BC31" i="2" s="1"/>
  <c r="L32" i="2"/>
  <c r="M32" i="2" s="1"/>
  <c r="N32" i="2" s="1"/>
  <c r="O32" i="2" s="1"/>
  <c r="P32" i="2"/>
  <c r="Q32" i="2" s="1"/>
  <c r="R32" i="2" s="1"/>
  <c r="S32" i="2" s="1"/>
  <c r="T32" i="2"/>
  <c r="U32" i="2" s="1"/>
  <c r="V32" i="2" s="1"/>
  <c r="W32" i="2" s="1"/>
  <c r="X32" i="2"/>
  <c r="Y32" i="2" s="1"/>
  <c r="Z32" i="2" s="1"/>
  <c r="AA32" i="2" s="1"/>
  <c r="AB32" i="2"/>
  <c r="AC32" i="2" s="1"/>
  <c r="AD32" i="2" s="1"/>
  <c r="AE32" i="2" s="1"/>
  <c r="AF32" i="2"/>
  <c r="AG32" i="2" s="1"/>
  <c r="AH32" i="2" s="1"/>
  <c r="AI32" i="2" s="1"/>
  <c r="AJ32" i="2"/>
  <c r="AK32" i="2" s="1"/>
  <c r="AL32" i="2" s="1"/>
  <c r="AM32" i="2" s="1"/>
  <c r="AN32" i="2"/>
  <c r="AO32" i="2" s="1"/>
  <c r="AP32" i="2" s="1"/>
  <c r="AQ32" i="2" s="1"/>
  <c r="AR32" i="2"/>
  <c r="AS32" i="2" s="1"/>
  <c r="AT32" i="2" s="1"/>
  <c r="AU32" i="2" s="1"/>
  <c r="AV32" i="2"/>
  <c r="AW32" i="2" s="1"/>
  <c r="AX32" i="2" s="1"/>
  <c r="AY32" i="2" s="1"/>
  <c r="AZ32" i="2"/>
  <c r="BA32" i="2" s="1"/>
  <c r="BB32" i="2" s="1"/>
  <c r="BC32" i="2" s="1"/>
  <c r="L33" i="2"/>
  <c r="M33" i="2" s="1"/>
  <c r="N33" i="2" s="1"/>
  <c r="O33" i="2" s="1"/>
  <c r="P33" i="2"/>
  <c r="Q33" i="2" s="1"/>
  <c r="R33" i="2" s="1"/>
  <c r="S33" i="2" s="1"/>
  <c r="T33" i="2"/>
  <c r="U33" i="2" s="1"/>
  <c r="V33" i="2" s="1"/>
  <c r="W33" i="2" s="1"/>
  <c r="X33" i="2"/>
  <c r="Y33" i="2" s="1"/>
  <c r="Z33" i="2" s="1"/>
  <c r="AA33" i="2" s="1"/>
  <c r="AB33" i="2"/>
  <c r="AC33" i="2" s="1"/>
  <c r="AD33" i="2" s="1"/>
  <c r="AE33" i="2" s="1"/>
  <c r="AF33" i="2"/>
  <c r="AG33" i="2" s="1"/>
  <c r="AH33" i="2" s="1"/>
  <c r="AI33" i="2" s="1"/>
  <c r="AJ33" i="2"/>
  <c r="AK33" i="2" s="1"/>
  <c r="AL33" i="2" s="1"/>
  <c r="AM33" i="2" s="1"/>
  <c r="AN33" i="2"/>
  <c r="AO33" i="2" s="1"/>
  <c r="AP33" i="2" s="1"/>
  <c r="AQ33" i="2" s="1"/>
  <c r="AR33" i="2"/>
  <c r="AS33" i="2" s="1"/>
  <c r="AT33" i="2" s="1"/>
  <c r="AU33" i="2" s="1"/>
  <c r="AV33" i="2"/>
  <c r="AW33" i="2" s="1"/>
  <c r="AX33" i="2" s="1"/>
  <c r="AY33" i="2" s="1"/>
  <c r="AZ33" i="2"/>
  <c r="BA33" i="2" s="1"/>
  <c r="BB33" i="2" s="1"/>
  <c r="BC33" i="2" s="1"/>
  <c r="L34" i="2"/>
  <c r="M34" i="2" s="1"/>
  <c r="N34" i="2" s="1"/>
  <c r="O34" i="2" s="1"/>
  <c r="P34" i="2"/>
  <c r="Q34" i="2" s="1"/>
  <c r="R34" i="2" s="1"/>
  <c r="S34" i="2" s="1"/>
  <c r="T34" i="2"/>
  <c r="U34" i="2" s="1"/>
  <c r="V34" i="2" s="1"/>
  <c r="W34" i="2" s="1"/>
  <c r="X34" i="2"/>
  <c r="Y34" i="2" s="1"/>
  <c r="Z34" i="2" s="1"/>
  <c r="AA34" i="2" s="1"/>
  <c r="AB34" i="2"/>
  <c r="AC34" i="2" s="1"/>
  <c r="AD34" i="2" s="1"/>
  <c r="AE34" i="2" s="1"/>
  <c r="AF34" i="2"/>
  <c r="AG34" i="2" s="1"/>
  <c r="AH34" i="2" s="1"/>
  <c r="AI34" i="2" s="1"/>
  <c r="AJ34" i="2"/>
  <c r="AK34" i="2" s="1"/>
  <c r="AL34" i="2" s="1"/>
  <c r="AM34" i="2" s="1"/>
  <c r="AN34" i="2"/>
  <c r="AO34" i="2" s="1"/>
  <c r="AP34" i="2" s="1"/>
  <c r="AQ34" i="2" s="1"/>
  <c r="AR34" i="2"/>
  <c r="AS34" i="2" s="1"/>
  <c r="AT34" i="2" s="1"/>
  <c r="AU34" i="2" s="1"/>
  <c r="AV34" i="2"/>
  <c r="AW34" i="2" s="1"/>
  <c r="AX34" i="2" s="1"/>
  <c r="AY34" i="2" s="1"/>
  <c r="AZ34" i="2"/>
  <c r="BA34" i="2" s="1"/>
  <c r="BB34" i="2" s="1"/>
  <c r="BC34" i="2" s="1"/>
  <c r="L35" i="2"/>
  <c r="M35" i="2" s="1"/>
  <c r="N35" i="2" s="1"/>
  <c r="O35" i="2" s="1"/>
  <c r="P35" i="2"/>
  <c r="Q35" i="2" s="1"/>
  <c r="R35" i="2" s="1"/>
  <c r="S35" i="2" s="1"/>
  <c r="T35" i="2"/>
  <c r="U35" i="2" s="1"/>
  <c r="V35" i="2" s="1"/>
  <c r="W35" i="2" s="1"/>
  <c r="X35" i="2"/>
  <c r="Y35" i="2" s="1"/>
  <c r="Z35" i="2" s="1"/>
  <c r="AA35" i="2" s="1"/>
  <c r="AB35" i="2"/>
  <c r="AC35" i="2" s="1"/>
  <c r="AD35" i="2" s="1"/>
  <c r="AE35" i="2" s="1"/>
  <c r="AF35" i="2"/>
  <c r="AG35" i="2" s="1"/>
  <c r="AH35" i="2" s="1"/>
  <c r="AI35" i="2" s="1"/>
  <c r="AJ35" i="2"/>
  <c r="AK35" i="2" s="1"/>
  <c r="AL35" i="2" s="1"/>
  <c r="AM35" i="2" s="1"/>
  <c r="AN35" i="2"/>
  <c r="AO35" i="2" s="1"/>
  <c r="AP35" i="2" s="1"/>
  <c r="AQ35" i="2" s="1"/>
  <c r="AR35" i="2"/>
  <c r="AS35" i="2" s="1"/>
  <c r="AT35" i="2" s="1"/>
  <c r="AU35" i="2" s="1"/>
  <c r="AV35" i="2"/>
  <c r="AW35" i="2" s="1"/>
  <c r="AX35" i="2" s="1"/>
  <c r="AY35" i="2" s="1"/>
  <c r="AZ35" i="2"/>
  <c r="BA35" i="2" s="1"/>
  <c r="BB35" i="2" s="1"/>
  <c r="BC35" i="2" s="1"/>
  <c r="L36" i="2"/>
  <c r="M36" i="2" s="1"/>
  <c r="N36" i="2" s="1"/>
  <c r="O36" i="2" s="1"/>
  <c r="P36" i="2"/>
  <c r="Q36" i="2" s="1"/>
  <c r="R36" i="2" s="1"/>
  <c r="S36" i="2" s="1"/>
  <c r="T36" i="2"/>
  <c r="U36" i="2" s="1"/>
  <c r="V36" i="2" s="1"/>
  <c r="W36" i="2" s="1"/>
  <c r="X36" i="2"/>
  <c r="Y36" i="2" s="1"/>
  <c r="Z36" i="2" s="1"/>
  <c r="AA36" i="2" s="1"/>
  <c r="AB36" i="2"/>
  <c r="AC36" i="2" s="1"/>
  <c r="AD36" i="2" s="1"/>
  <c r="AE36" i="2" s="1"/>
  <c r="AF36" i="2"/>
  <c r="AG36" i="2" s="1"/>
  <c r="AH36" i="2" s="1"/>
  <c r="AI36" i="2" s="1"/>
  <c r="AJ36" i="2"/>
  <c r="AK36" i="2" s="1"/>
  <c r="AL36" i="2" s="1"/>
  <c r="AM36" i="2" s="1"/>
  <c r="AN36" i="2"/>
  <c r="AO36" i="2" s="1"/>
  <c r="AP36" i="2" s="1"/>
  <c r="AQ36" i="2" s="1"/>
  <c r="AR36" i="2"/>
  <c r="AS36" i="2" s="1"/>
  <c r="AT36" i="2" s="1"/>
  <c r="AU36" i="2" s="1"/>
  <c r="AV36" i="2"/>
  <c r="AW36" i="2" s="1"/>
  <c r="AX36" i="2" s="1"/>
  <c r="AY36" i="2" s="1"/>
  <c r="AZ36" i="2"/>
  <c r="BA36" i="2" s="1"/>
  <c r="BB36" i="2" s="1"/>
  <c r="BC36" i="2" s="1"/>
  <c r="L37" i="2"/>
  <c r="M37" i="2" s="1"/>
  <c r="N37" i="2" s="1"/>
  <c r="O37" i="2" s="1"/>
  <c r="P37" i="2"/>
  <c r="Q37" i="2" s="1"/>
  <c r="R37" i="2" s="1"/>
  <c r="S37" i="2" s="1"/>
  <c r="T37" i="2"/>
  <c r="U37" i="2" s="1"/>
  <c r="V37" i="2" s="1"/>
  <c r="W37" i="2" s="1"/>
  <c r="X37" i="2"/>
  <c r="Y37" i="2" s="1"/>
  <c r="Z37" i="2" s="1"/>
  <c r="AA37" i="2" s="1"/>
  <c r="AB37" i="2"/>
  <c r="AC37" i="2" s="1"/>
  <c r="AD37" i="2" s="1"/>
  <c r="AE37" i="2" s="1"/>
  <c r="AF37" i="2"/>
  <c r="AG37" i="2" s="1"/>
  <c r="AH37" i="2" s="1"/>
  <c r="AI37" i="2" s="1"/>
  <c r="AJ37" i="2"/>
  <c r="AK37" i="2" s="1"/>
  <c r="AL37" i="2" s="1"/>
  <c r="AM37" i="2" s="1"/>
  <c r="AN37" i="2"/>
  <c r="AO37" i="2" s="1"/>
  <c r="AP37" i="2" s="1"/>
  <c r="AQ37" i="2" s="1"/>
  <c r="AR37" i="2"/>
  <c r="AS37" i="2" s="1"/>
  <c r="AT37" i="2" s="1"/>
  <c r="AU37" i="2" s="1"/>
  <c r="AV37" i="2"/>
  <c r="AW37" i="2" s="1"/>
  <c r="AX37" i="2" s="1"/>
  <c r="AY37" i="2" s="1"/>
  <c r="AZ37" i="2"/>
  <c r="BA37" i="2" s="1"/>
  <c r="BB37" i="2" s="1"/>
  <c r="BC37" i="2" s="1"/>
  <c r="L38" i="2"/>
  <c r="M38" i="2" s="1"/>
  <c r="N38" i="2" s="1"/>
  <c r="O38" i="2" s="1"/>
  <c r="P38" i="2"/>
  <c r="Q38" i="2" s="1"/>
  <c r="R38" i="2" s="1"/>
  <c r="S38" i="2" s="1"/>
  <c r="T38" i="2"/>
  <c r="U38" i="2" s="1"/>
  <c r="V38" i="2" s="1"/>
  <c r="W38" i="2" s="1"/>
  <c r="X38" i="2"/>
  <c r="Y38" i="2" s="1"/>
  <c r="Z38" i="2" s="1"/>
  <c r="AA38" i="2" s="1"/>
  <c r="AB38" i="2"/>
  <c r="AC38" i="2" s="1"/>
  <c r="AD38" i="2" s="1"/>
  <c r="AE38" i="2" s="1"/>
  <c r="AF38" i="2"/>
  <c r="AG38" i="2" s="1"/>
  <c r="AH38" i="2" s="1"/>
  <c r="AI38" i="2" s="1"/>
  <c r="AJ38" i="2"/>
  <c r="AK38" i="2" s="1"/>
  <c r="AL38" i="2" s="1"/>
  <c r="AM38" i="2" s="1"/>
  <c r="AN38" i="2"/>
  <c r="AO38" i="2" s="1"/>
  <c r="AP38" i="2" s="1"/>
  <c r="AQ38" i="2" s="1"/>
  <c r="AR38" i="2"/>
  <c r="AS38" i="2" s="1"/>
  <c r="AT38" i="2" s="1"/>
  <c r="AU38" i="2" s="1"/>
  <c r="AV38" i="2"/>
  <c r="AW38" i="2" s="1"/>
  <c r="AX38" i="2" s="1"/>
  <c r="AY38" i="2" s="1"/>
  <c r="AZ38" i="2"/>
  <c r="BA38" i="2" s="1"/>
  <c r="BB38" i="2" s="1"/>
  <c r="BC38" i="2" s="1"/>
  <c r="L39" i="2"/>
  <c r="M39" i="2" s="1"/>
  <c r="N39" i="2" s="1"/>
  <c r="O39" i="2" s="1"/>
  <c r="P39" i="2"/>
  <c r="Q39" i="2" s="1"/>
  <c r="R39" i="2" s="1"/>
  <c r="S39" i="2" s="1"/>
  <c r="T39" i="2"/>
  <c r="U39" i="2" s="1"/>
  <c r="V39" i="2" s="1"/>
  <c r="W39" i="2" s="1"/>
  <c r="X39" i="2"/>
  <c r="Y39" i="2" s="1"/>
  <c r="Z39" i="2" s="1"/>
  <c r="AA39" i="2" s="1"/>
  <c r="AB39" i="2"/>
  <c r="AC39" i="2" s="1"/>
  <c r="AD39" i="2" s="1"/>
  <c r="AE39" i="2" s="1"/>
  <c r="AF39" i="2"/>
  <c r="AG39" i="2" s="1"/>
  <c r="AH39" i="2" s="1"/>
  <c r="AI39" i="2" s="1"/>
  <c r="AJ39" i="2"/>
  <c r="AK39" i="2" s="1"/>
  <c r="AL39" i="2" s="1"/>
  <c r="AM39" i="2" s="1"/>
  <c r="AN39" i="2"/>
  <c r="AO39" i="2" s="1"/>
  <c r="AP39" i="2" s="1"/>
  <c r="AQ39" i="2" s="1"/>
  <c r="AR39" i="2"/>
  <c r="AS39" i="2" s="1"/>
  <c r="AT39" i="2" s="1"/>
  <c r="AU39" i="2" s="1"/>
  <c r="AV39" i="2"/>
  <c r="AW39" i="2" s="1"/>
  <c r="AX39" i="2" s="1"/>
  <c r="AY39" i="2" s="1"/>
  <c r="AZ39" i="2"/>
  <c r="BA39" i="2" s="1"/>
  <c r="BB39" i="2" s="1"/>
  <c r="BC39" i="2" s="1"/>
  <c r="L40" i="2"/>
  <c r="M40" i="2" s="1"/>
  <c r="N40" i="2" s="1"/>
  <c r="O40" i="2" s="1"/>
  <c r="P40" i="2"/>
  <c r="Q40" i="2" s="1"/>
  <c r="R40" i="2" s="1"/>
  <c r="S40" i="2" s="1"/>
  <c r="T40" i="2"/>
  <c r="U40" i="2" s="1"/>
  <c r="V40" i="2" s="1"/>
  <c r="W40" i="2" s="1"/>
  <c r="X40" i="2"/>
  <c r="Y40" i="2" s="1"/>
  <c r="Z40" i="2" s="1"/>
  <c r="AA40" i="2" s="1"/>
  <c r="AB40" i="2"/>
  <c r="AC40" i="2" s="1"/>
  <c r="AD40" i="2" s="1"/>
  <c r="AE40" i="2" s="1"/>
  <c r="AF40" i="2"/>
  <c r="AG40" i="2" s="1"/>
  <c r="AH40" i="2" s="1"/>
  <c r="AI40" i="2" s="1"/>
  <c r="AJ40" i="2"/>
  <c r="AK40" i="2" s="1"/>
  <c r="AL40" i="2" s="1"/>
  <c r="AM40" i="2" s="1"/>
  <c r="AN40" i="2"/>
  <c r="AO40" i="2" s="1"/>
  <c r="AP40" i="2" s="1"/>
  <c r="AQ40" i="2" s="1"/>
  <c r="AR40" i="2"/>
  <c r="AS40" i="2" s="1"/>
  <c r="AT40" i="2" s="1"/>
  <c r="AU40" i="2" s="1"/>
  <c r="AV40" i="2"/>
  <c r="AW40" i="2" s="1"/>
  <c r="AX40" i="2" s="1"/>
  <c r="AY40" i="2" s="1"/>
  <c r="AZ40" i="2"/>
  <c r="BA40" i="2" s="1"/>
  <c r="BB40" i="2" s="1"/>
  <c r="BC40" i="2" s="1"/>
  <c r="L41" i="2"/>
  <c r="M41" i="2" s="1"/>
  <c r="N41" i="2" s="1"/>
  <c r="O41" i="2" s="1"/>
  <c r="P41" i="2"/>
  <c r="Q41" i="2" s="1"/>
  <c r="R41" i="2" s="1"/>
  <c r="S41" i="2" s="1"/>
  <c r="T41" i="2"/>
  <c r="U41" i="2" s="1"/>
  <c r="V41" i="2" s="1"/>
  <c r="W41" i="2" s="1"/>
  <c r="X41" i="2"/>
  <c r="Y41" i="2" s="1"/>
  <c r="Z41" i="2" s="1"/>
  <c r="AA41" i="2" s="1"/>
  <c r="AB41" i="2"/>
  <c r="AC41" i="2" s="1"/>
  <c r="AD41" i="2" s="1"/>
  <c r="AE41" i="2" s="1"/>
  <c r="AF41" i="2"/>
  <c r="AG41" i="2" s="1"/>
  <c r="AH41" i="2" s="1"/>
  <c r="AI41" i="2" s="1"/>
  <c r="AJ41" i="2"/>
  <c r="AK41" i="2" s="1"/>
  <c r="AL41" i="2" s="1"/>
  <c r="AM41" i="2" s="1"/>
  <c r="AN41" i="2"/>
  <c r="AO41" i="2" s="1"/>
  <c r="AP41" i="2" s="1"/>
  <c r="AQ41" i="2" s="1"/>
  <c r="AR41" i="2"/>
  <c r="AS41" i="2" s="1"/>
  <c r="AT41" i="2" s="1"/>
  <c r="AU41" i="2" s="1"/>
  <c r="AV41" i="2"/>
  <c r="AW41" i="2" s="1"/>
  <c r="AX41" i="2" s="1"/>
  <c r="AY41" i="2" s="1"/>
  <c r="AZ41" i="2"/>
  <c r="BA41" i="2" s="1"/>
  <c r="BB41" i="2" s="1"/>
  <c r="BC41" i="2" s="1"/>
  <c r="L42" i="2"/>
  <c r="M42" i="2" s="1"/>
  <c r="N42" i="2" s="1"/>
  <c r="O42" i="2" s="1"/>
  <c r="P42" i="2"/>
  <c r="Q42" i="2" s="1"/>
  <c r="R42" i="2" s="1"/>
  <c r="S42" i="2" s="1"/>
  <c r="T42" i="2"/>
  <c r="U42" i="2" s="1"/>
  <c r="V42" i="2" s="1"/>
  <c r="W42" i="2" s="1"/>
  <c r="X42" i="2"/>
  <c r="Y42" i="2" s="1"/>
  <c r="Z42" i="2" s="1"/>
  <c r="AA42" i="2" s="1"/>
  <c r="AB42" i="2"/>
  <c r="AC42" i="2" s="1"/>
  <c r="AD42" i="2" s="1"/>
  <c r="AE42" i="2" s="1"/>
  <c r="AF42" i="2"/>
  <c r="AG42" i="2" s="1"/>
  <c r="AH42" i="2" s="1"/>
  <c r="AI42" i="2" s="1"/>
  <c r="AJ42" i="2"/>
  <c r="AK42" i="2" s="1"/>
  <c r="AL42" i="2" s="1"/>
  <c r="AM42" i="2" s="1"/>
  <c r="AN42" i="2"/>
  <c r="AO42" i="2" s="1"/>
  <c r="AP42" i="2" s="1"/>
  <c r="AQ42" i="2" s="1"/>
  <c r="AR42" i="2"/>
  <c r="AS42" i="2" s="1"/>
  <c r="AT42" i="2" s="1"/>
  <c r="AU42" i="2" s="1"/>
  <c r="AV42" i="2"/>
  <c r="AW42" i="2" s="1"/>
  <c r="AX42" i="2" s="1"/>
  <c r="AY42" i="2" s="1"/>
  <c r="AZ42" i="2"/>
  <c r="BA42" i="2" s="1"/>
  <c r="BB42" i="2" s="1"/>
  <c r="BC42" i="2" s="1"/>
  <c r="L43" i="2"/>
  <c r="M43" i="2" s="1"/>
  <c r="N43" i="2" s="1"/>
  <c r="O43" i="2" s="1"/>
  <c r="P43" i="2"/>
  <c r="Q43" i="2" s="1"/>
  <c r="R43" i="2" s="1"/>
  <c r="S43" i="2" s="1"/>
  <c r="T43" i="2"/>
  <c r="U43" i="2" s="1"/>
  <c r="V43" i="2" s="1"/>
  <c r="W43" i="2" s="1"/>
  <c r="X43" i="2"/>
  <c r="Y43" i="2" s="1"/>
  <c r="Z43" i="2" s="1"/>
  <c r="AA43" i="2" s="1"/>
  <c r="AB43" i="2"/>
  <c r="AC43" i="2" s="1"/>
  <c r="AD43" i="2" s="1"/>
  <c r="AE43" i="2" s="1"/>
  <c r="AF43" i="2"/>
  <c r="AG43" i="2" s="1"/>
  <c r="AH43" i="2" s="1"/>
  <c r="AI43" i="2" s="1"/>
  <c r="AJ43" i="2"/>
  <c r="AK43" i="2" s="1"/>
  <c r="AL43" i="2" s="1"/>
  <c r="AM43" i="2" s="1"/>
  <c r="AN43" i="2"/>
  <c r="AO43" i="2" s="1"/>
  <c r="AP43" i="2" s="1"/>
  <c r="AQ43" i="2" s="1"/>
  <c r="AR43" i="2"/>
  <c r="AS43" i="2" s="1"/>
  <c r="AT43" i="2" s="1"/>
  <c r="AU43" i="2" s="1"/>
  <c r="AV43" i="2"/>
  <c r="AW43" i="2" s="1"/>
  <c r="AX43" i="2" s="1"/>
  <c r="AY43" i="2" s="1"/>
  <c r="AZ43" i="2"/>
  <c r="BA43" i="2" s="1"/>
  <c r="BB43" i="2" s="1"/>
  <c r="BC43" i="2" s="1"/>
  <c r="L44" i="2"/>
  <c r="M44" i="2" s="1"/>
  <c r="N44" i="2" s="1"/>
  <c r="O44" i="2" s="1"/>
  <c r="P44" i="2"/>
  <c r="Q44" i="2" s="1"/>
  <c r="R44" i="2" s="1"/>
  <c r="S44" i="2" s="1"/>
  <c r="T44" i="2"/>
  <c r="U44" i="2" s="1"/>
  <c r="V44" i="2" s="1"/>
  <c r="W44" i="2" s="1"/>
  <c r="X44" i="2"/>
  <c r="Y44" i="2" s="1"/>
  <c r="Z44" i="2" s="1"/>
  <c r="AA44" i="2" s="1"/>
  <c r="AB44" i="2"/>
  <c r="AC44" i="2" s="1"/>
  <c r="AD44" i="2" s="1"/>
  <c r="AE44" i="2" s="1"/>
  <c r="AF44" i="2"/>
  <c r="AG44" i="2" s="1"/>
  <c r="AH44" i="2" s="1"/>
  <c r="AI44" i="2" s="1"/>
  <c r="AJ44" i="2"/>
  <c r="AK44" i="2" s="1"/>
  <c r="AL44" i="2" s="1"/>
  <c r="AM44" i="2" s="1"/>
  <c r="AN44" i="2"/>
  <c r="AO44" i="2" s="1"/>
  <c r="AP44" i="2" s="1"/>
  <c r="AQ44" i="2" s="1"/>
  <c r="AR44" i="2"/>
  <c r="AS44" i="2" s="1"/>
  <c r="AT44" i="2" s="1"/>
  <c r="AU44" i="2" s="1"/>
  <c r="AV44" i="2"/>
  <c r="AW44" i="2" s="1"/>
  <c r="AX44" i="2" s="1"/>
  <c r="AY44" i="2" s="1"/>
  <c r="AZ44" i="2"/>
  <c r="BA44" i="2" s="1"/>
  <c r="BB44" i="2" s="1"/>
  <c r="BC44" i="2" s="1"/>
  <c r="L45" i="2"/>
  <c r="M45" i="2" s="1"/>
  <c r="N45" i="2" s="1"/>
  <c r="O45" i="2" s="1"/>
  <c r="P45" i="2"/>
  <c r="Q45" i="2" s="1"/>
  <c r="R45" i="2" s="1"/>
  <c r="S45" i="2" s="1"/>
  <c r="T45" i="2"/>
  <c r="U45" i="2" s="1"/>
  <c r="V45" i="2" s="1"/>
  <c r="W45" i="2" s="1"/>
  <c r="X45" i="2"/>
  <c r="Y45" i="2" s="1"/>
  <c r="Z45" i="2" s="1"/>
  <c r="AA45" i="2" s="1"/>
  <c r="AB45" i="2"/>
  <c r="AC45" i="2" s="1"/>
  <c r="AD45" i="2" s="1"/>
  <c r="AE45" i="2" s="1"/>
  <c r="AF45" i="2"/>
  <c r="AG45" i="2" s="1"/>
  <c r="AH45" i="2" s="1"/>
  <c r="AI45" i="2" s="1"/>
  <c r="AJ45" i="2"/>
  <c r="AK45" i="2" s="1"/>
  <c r="AL45" i="2" s="1"/>
  <c r="AM45" i="2" s="1"/>
  <c r="AN45" i="2"/>
  <c r="AO45" i="2" s="1"/>
  <c r="AP45" i="2" s="1"/>
  <c r="AQ45" i="2" s="1"/>
  <c r="AR45" i="2"/>
  <c r="AS45" i="2" s="1"/>
  <c r="AT45" i="2" s="1"/>
  <c r="AU45" i="2" s="1"/>
  <c r="AV45" i="2"/>
  <c r="AW45" i="2" s="1"/>
  <c r="AX45" i="2" s="1"/>
  <c r="AY45" i="2" s="1"/>
  <c r="AZ45" i="2"/>
  <c r="BA45" i="2" s="1"/>
  <c r="BB45" i="2" s="1"/>
  <c r="BC45" i="2" s="1"/>
  <c r="L46" i="2"/>
  <c r="M46" i="2" s="1"/>
  <c r="N46" i="2" s="1"/>
  <c r="O46" i="2" s="1"/>
  <c r="P46" i="2"/>
  <c r="Q46" i="2" s="1"/>
  <c r="R46" i="2" s="1"/>
  <c r="S46" i="2" s="1"/>
  <c r="T46" i="2"/>
  <c r="U46" i="2" s="1"/>
  <c r="V46" i="2" s="1"/>
  <c r="W46" i="2" s="1"/>
  <c r="X46" i="2"/>
  <c r="Y46" i="2" s="1"/>
  <c r="Z46" i="2" s="1"/>
  <c r="AA46" i="2" s="1"/>
  <c r="AB46" i="2"/>
  <c r="AC46" i="2" s="1"/>
  <c r="AD46" i="2" s="1"/>
  <c r="AE46" i="2" s="1"/>
  <c r="AF46" i="2"/>
  <c r="AG46" i="2" s="1"/>
  <c r="AH46" i="2" s="1"/>
  <c r="AI46" i="2" s="1"/>
  <c r="AJ46" i="2"/>
  <c r="AK46" i="2" s="1"/>
  <c r="AL46" i="2" s="1"/>
  <c r="AM46" i="2" s="1"/>
  <c r="AN46" i="2"/>
  <c r="AO46" i="2" s="1"/>
  <c r="AP46" i="2" s="1"/>
  <c r="AQ46" i="2" s="1"/>
  <c r="AR46" i="2"/>
  <c r="AS46" i="2" s="1"/>
  <c r="AT46" i="2" s="1"/>
  <c r="AU46" i="2" s="1"/>
  <c r="AV46" i="2"/>
  <c r="AW46" i="2" s="1"/>
  <c r="AX46" i="2" s="1"/>
  <c r="AY46" i="2" s="1"/>
  <c r="AZ46" i="2"/>
  <c r="BA46" i="2" s="1"/>
  <c r="BB46" i="2" s="1"/>
  <c r="BC46" i="2" s="1"/>
  <c r="L47" i="2"/>
  <c r="M47" i="2" s="1"/>
  <c r="N47" i="2" s="1"/>
  <c r="O47" i="2" s="1"/>
  <c r="P47" i="2"/>
  <c r="Q47" i="2" s="1"/>
  <c r="R47" i="2" s="1"/>
  <c r="S47" i="2" s="1"/>
  <c r="T47" i="2"/>
  <c r="U47" i="2" s="1"/>
  <c r="V47" i="2" s="1"/>
  <c r="W47" i="2" s="1"/>
  <c r="X47" i="2"/>
  <c r="Y47" i="2" s="1"/>
  <c r="Z47" i="2" s="1"/>
  <c r="AA47" i="2" s="1"/>
  <c r="AB47" i="2"/>
  <c r="AC47" i="2" s="1"/>
  <c r="AD47" i="2" s="1"/>
  <c r="AE47" i="2" s="1"/>
  <c r="AF47" i="2"/>
  <c r="AG47" i="2" s="1"/>
  <c r="AH47" i="2" s="1"/>
  <c r="AI47" i="2" s="1"/>
  <c r="AJ47" i="2"/>
  <c r="AK47" i="2" s="1"/>
  <c r="AL47" i="2" s="1"/>
  <c r="AM47" i="2" s="1"/>
  <c r="AN47" i="2"/>
  <c r="AO47" i="2" s="1"/>
  <c r="AP47" i="2" s="1"/>
  <c r="AQ47" i="2" s="1"/>
  <c r="AR47" i="2"/>
  <c r="AS47" i="2" s="1"/>
  <c r="AT47" i="2" s="1"/>
  <c r="AU47" i="2" s="1"/>
  <c r="AV47" i="2"/>
  <c r="AW47" i="2" s="1"/>
  <c r="AX47" i="2" s="1"/>
  <c r="AY47" i="2" s="1"/>
  <c r="AZ47" i="2"/>
  <c r="BA47" i="2" s="1"/>
  <c r="BB47" i="2" s="1"/>
  <c r="BC47" i="2" s="1"/>
  <c r="L48" i="2"/>
  <c r="M48" i="2" s="1"/>
  <c r="N48" i="2" s="1"/>
  <c r="O48" i="2" s="1"/>
  <c r="P48" i="2"/>
  <c r="Q48" i="2" s="1"/>
  <c r="R48" i="2" s="1"/>
  <c r="S48" i="2" s="1"/>
  <c r="T48" i="2"/>
  <c r="U48" i="2" s="1"/>
  <c r="V48" i="2" s="1"/>
  <c r="W48" i="2" s="1"/>
  <c r="X48" i="2"/>
  <c r="Y48" i="2" s="1"/>
  <c r="Z48" i="2" s="1"/>
  <c r="AA48" i="2" s="1"/>
  <c r="AB48" i="2"/>
  <c r="AC48" i="2" s="1"/>
  <c r="AD48" i="2" s="1"/>
  <c r="AE48" i="2" s="1"/>
  <c r="AF48" i="2"/>
  <c r="AG48" i="2" s="1"/>
  <c r="AH48" i="2" s="1"/>
  <c r="AI48" i="2" s="1"/>
  <c r="AJ48" i="2"/>
  <c r="AK48" i="2" s="1"/>
  <c r="AL48" i="2" s="1"/>
  <c r="AM48" i="2" s="1"/>
  <c r="AN48" i="2"/>
  <c r="AO48" i="2" s="1"/>
  <c r="AP48" i="2" s="1"/>
  <c r="AQ48" i="2" s="1"/>
  <c r="AR48" i="2"/>
  <c r="AS48" i="2" s="1"/>
  <c r="AT48" i="2" s="1"/>
  <c r="AU48" i="2" s="1"/>
  <c r="AV48" i="2"/>
  <c r="AW48" i="2" s="1"/>
  <c r="AX48" i="2" s="1"/>
  <c r="AY48" i="2" s="1"/>
  <c r="AZ48" i="2"/>
  <c r="BA48" i="2" s="1"/>
  <c r="BB48" i="2" s="1"/>
  <c r="BC48" i="2" s="1"/>
  <c r="L49" i="2"/>
  <c r="M49" i="2" s="1"/>
  <c r="N49" i="2" s="1"/>
  <c r="O49" i="2" s="1"/>
  <c r="P49" i="2"/>
  <c r="Q49" i="2" s="1"/>
  <c r="R49" i="2" s="1"/>
  <c r="S49" i="2" s="1"/>
  <c r="T49" i="2"/>
  <c r="U49" i="2" s="1"/>
  <c r="V49" i="2" s="1"/>
  <c r="W49" i="2" s="1"/>
  <c r="X49" i="2"/>
  <c r="Y49" i="2" s="1"/>
  <c r="Z49" i="2" s="1"/>
  <c r="AA49" i="2" s="1"/>
  <c r="AB49" i="2"/>
  <c r="AC49" i="2" s="1"/>
  <c r="AD49" i="2" s="1"/>
  <c r="AE49" i="2" s="1"/>
  <c r="AF49" i="2"/>
  <c r="AG49" i="2" s="1"/>
  <c r="AH49" i="2" s="1"/>
  <c r="AI49" i="2" s="1"/>
  <c r="AJ49" i="2"/>
  <c r="AK49" i="2" s="1"/>
  <c r="AL49" i="2" s="1"/>
  <c r="AM49" i="2" s="1"/>
  <c r="AN49" i="2"/>
  <c r="AO49" i="2" s="1"/>
  <c r="AP49" i="2" s="1"/>
  <c r="AQ49" i="2" s="1"/>
  <c r="AR49" i="2"/>
  <c r="AS49" i="2" s="1"/>
  <c r="AT49" i="2" s="1"/>
  <c r="AU49" i="2" s="1"/>
  <c r="AV49" i="2"/>
  <c r="AW49" i="2" s="1"/>
  <c r="AX49" i="2" s="1"/>
  <c r="AY49" i="2" s="1"/>
  <c r="AZ49" i="2"/>
  <c r="BA49" i="2" s="1"/>
  <c r="BB49" i="2" s="1"/>
  <c r="BC49" i="2" s="1"/>
  <c r="L50" i="2"/>
  <c r="M50" i="2" s="1"/>
  <c r="N50" i="2" s="1"/>
  <c r="O50" i="2" s="1"/>
  <c r="P50" i="2"/>
  <c r="Q50" i="2" s="1"/>
  <c r="R50" i="2" s="1"/>
  <c r="S50" i="2" s="1"/>
  <c r="T50" i="2"/>
  <c r="U50" i="2" s="1"/>
  <c r="V50" i="2" s="1"/>
  <c r="W50" i="2" s="1"/>
  <c r="X50" i="2"/>
  <c r="Y50" i="2" s="1"/>
  <c r="Z50" i="2" s="1"/>
  <c r="AA50" i="2" s="1"/>
  <c r="AB50" i="2"/>
  <c r="AC50" i="2" s="1"/>
  <c r="AD50" i="2" s="1"/>
  <c r="AE50" i="2" s="1"/>
  <c r="AF50" i="2"/>
  <c r="AG50" i="2" s="1"/>
  <c r="AH50" i="2" s="1"/>
  <c r="AI50" i="2" s="1"/>
  <c r="AJ50" i="2"/>
  <c r="AK50" i="2" s="1"/>
  <c r="AL50" i="2" s="1"/>
  <c r="AM50" i="2" s="1"/>
  <c r="AN50" i="2"/>
  <c r="AO50" i="2" s="1"/>
  <c r="AP50" i="2" s="1"/>
  <c r="AQ50" i="2" s="1"/>
  <c r="AR50" i="2"/>
  <c r="AS50" i="2" s="1"/>
  <c r="AT50" i="2" s="1"/>
  <c r="AU50" i="2" s="1"/>
  <c r="AV50" i="2"/>
  <c r="AW50" i="2" s="1"/>
  <c r="AX50" i="2" s="1"/>
  <c r="AY50" i="2" s="1"/>
  <c r="AZ50" i="2"/>
  <c r="BA50" i="2" s="1"/>
  <c r="BB50" i="2" s="1"/>
  <c r="BC50" i="2" s="1"/>
  <c r="L51" i="2"/>
  <c r="M51" i="2" s="1"/>
  <c r="N51" i="2" s="1"/>
  <c r="O51" i="2" s="1"/>
  <c r="P51" i="2"/>
  <c r="Q51" i="2" s="1"/>
  <c r="R51" i="2" s="1"/>
  <c r="S51" i="2" s="1"/>
  <c r="T51" i="2"/>
  <c r="U51" i="2" s="1"/>
  <c r="V51" i="2" s="1"/>
  <c r="W51" i="2" s="1"/>
  <c r="X51" i="2"/>
  <c r="Y51" i="2" s="1"/>
  <c r="Z51" i="2" s="1"/>
  <c r="AA51" i="2" s="1"/>
  <c r="AB51" i="2"/>
  <c r="AC51" i="2" s="1"/>
  <c r="AD51" i="2" s="1"/>
  <c r="AE51" i="2" s="1"/>
  <c r="AF51" i="2"/>
  <c r="AG51" i="2" s="1"/>
  <c r="AH51" i="2" s="1"/>
  <c r="AI51" i="2" s="1"/>
  <c r="AJ51" i="2"/>
  <c r="AK51" i="2" s="1"/>
  <c r="AL51" i="2" s="1"/>
  <c r="AM51" i="2" s="1"/>
  <c r="AN51" i="2"/>
  <c r="AO51" i="2" s="1"/>
  <c r="AP51" i="2" s="1"/>
  <c r="AQ51" i="2" s="1"/>
  <c r="AR51" i="2"/>
  <c r="AS51" i="2" s="1"/>
  <c r="AT51" i="2" s="1"/>
  <c r="AU51" i="2" s="1"/>
  <c r="AV51" i="2"/>
  <c r="AW51" i="2" s="1"/>
  <c r="AX51" i="2" s="1"/>
  <c r="AY51" i="2" s="1"/>
  <c r="AZ51" i="2"/>
  <c r="BA51" i="2" s="1"/>
  <c r="BB51" i="2" s="1"/>
  <c r="BC51" i="2" s="1"/>
  <c r="L52" i="2"/>
  <c r="M52" i="2" s="1"/>
  <c r="N52" i="2" s="1"/>
  <c r="O52" i="2" s="1"/>
  <c r="P52" i="2"/>
  <c r="Q52" i="2" s="1"/>
  <c r="R52" i="2" s="1"/>
  <c r="S52" i="2" s="1"/>
  <c r="T52" i="2"/>
  <c r="U52" i="2" s="1"/>
  <c r="V52" i="2" s="1"/>
  <c r="W52" i="2" s="1"/>
  <c r="X52" i="2"/>
  <c r="Y52" i="2" s="1"/>
  <c r="Z52" i="2" s="1"/>
  <c r="AA52" i="2" s="1"/>
  <c r="AB52" i="2"/>
  <c r="AC52" i="2" s="1"/>
  <c r="AD52" i="2" s="1"/>
  <c r="AE52" i="2" s="1"/>
  <c r="AF52" i="2"/>
  <c r="AG52" i="2" s="1"/>
  <c r="AH52" i="2" s="1"/>
  <c r="AI52" i="2" s="1"/>
  <c r="AJ52" i="2"/>
  <c r="AK52" i="2" s="1"/>
  <c r="AL52" i="2" s="1"/>
  <c r="AM52" i="2" s="1"/>
  <c r="AN52" i="2"/>
  <c r="AO52" i="2" s="1"/>
  <c r="AP52" i="2" s="1"/>
  <c r="AQ52" i="2" s="1"/>
  <c r="AR52" i="2"/>
  <c r="AS52" i="2" s="1"/>
  <c r="AT52" i="2" s="1"/>
  <c r="AU52" i="2" s="1"/>
  <c r="AV52" i="2"/>
  <c r="AW52" i="2" s="1"/>
  <c r="AX52" i="2" s="1"/>
  <c r="AY52" i="2" s="1"/>
  <c r="AZ52" i="2"/>
  <c r="BA52" i="2" s="1"/>
  <c r="BB52" i="2" s="1"/>
  <c r="BC52" i="2" s="1"/>
  <c r="L53" i="2"/>
  <c r="M53" i="2" s="1"/>
  <c r="N53" i="2" s="1"/>
  <c r="O53" i="2" s="1"/>
  <c r="P53" i="2"/>
  <c r="Q53" i="2" s="1"/>
  <c r="R53" i="2" s="1"/>
  <c r="S53" i="2" s="1"/>
  <c r="T53" i="2"/>
  <c r="U53" i="2" s="1"/>
  <c r="V53" i="2" s="1"/>
  <c r="W53" i="2" s="1"/>
  <c r="X53" i="2"/>
  <c r="Y53" i="2" s="1"/>
  <c r="Z53" i="2" s="1"/>
  <c r="AA53" i="2" s="1"/>
  <c r="AB53" i="2"/>
  <c r="AC53" i="2" s="1"/>
  <c r="AD53" i="2" s="1"/>
  <c r="AE53" i="2" s="1"/>
  <c r="AF53" i="2"/>
  <c r="AG53" i="2" s="1"/>
  <c r="AH53" i="2" s="1"/>
  <c r="AI53" i="2" s="1"/>
  <c r="AJ53" i="2"/>
  <c r="AK53" i="2" s="1"/>
  <c r="AL53" i="2" s="1"/>
  <c r="AM53" i="2" s="1"/>
  <c r="AN53" i="2"/>
  <c r="AO53" i="2" s="1"/>
  <c r="AP53" i="2" s="1"/>
  <c r="AQ53" i="2" s="1"/>
  <c r="AR53" i="2"/>
  <c r="AS53" i="2" s="1"/>
  <c r="AT53" i="2" s="1"/>
  <c r="AU53" i="2" s="1"/>
  <c r="AV53" i="2"/>
  <c r="AW53" i="2" s="1"/>
  <c r="AX53" i="2" s="1"/>
  <c r="AY53" i="2" s="1"/>
  <c r="AZ53" i="2"/>
  <c r="BA53" i="2" s="1"/>
  <c r="BB53" i="2" s="1"/>
  <c r="BC53" i="2" s="1"/>
  <c r="L54" i="2"/>
  <c r="M54" i="2" s="1"/>
  <c r="N54" i="2" s="1"/>
  <c r="O54" i="2" s="1"/>
  <c r="P54" i="2"/>
  <c r="Q54" i="2" s="1"/>
  <c r="R54" i="2" s="1"/>
  <c r="S54" i="2" s="1"/>
  <c r="T54" i="2"/>
  <c r="U54" i="2" s="1"/>
  <c r="V54" i="2" s="1"/>
  <c r="W54" i="2" s="1"/>
  <c r="X54" i="2"/>
  <c r="Y54" i="2" s="1"/>
  <c r="Z54" i="2" s="1"/>
  <c r="AA54" i="2" s="1"/>
  <c r="AB54" i="2"/>
  <c r="AC54" i="2" s="1"/>
  <c r="AD54" i="2" s="1"/>
  <c r="AE54" i="2" s="1"/>
  <c r="AF54" i="2"/>
  <c r="AG54" i="2" s="1"/>
  <c r="AH54" i="2" s="1"/>
  <c r="AI54" i="2" s="1"/>
  <c r="AJ54" i="2"/>
  <c r="AK54" i="2" s="1"/>
  <c r="AL54" i="2" s="1"/>
  <c r="AM54" i="2" s="1"/>
  <c r="AN54" i="2"/>
  <c r="AO54" i="2" s="1"/>
  <c r="AP54" i="2" s="1"/>
  <c r="AQ54" i="2" s="1"/>
  <c r="AR54" i="2"/>
  <c r="AS54" i="2" s="1"/>
  <c r="AT54" i="2" s="1"/>
  <c r="AU54" i="2" s="1"/>
  <c r="AV54" i="2"/>
  <c r="AW54" i="2" s="1"/>
  <c r="AX54" i="2" s="1"/>
  <c r="AY54" i="2" s="1"/>
  <c r="AZ54" i="2"/>
  <c r="BA54" i="2" s="1"/>
  <c r="BB54" i="2" s="1"/>
  <c r="BC54" i="2" s="1"/>
  <c r="L55" i="2"/>
  <c r="M55" i="2" s="1"/>
  <c r="N55" i="2" s="1"/>
  <c r="O55" i="2" s="1"/>
  <c r="P55" i="2"/>
  <c r="Q55" i="2" s="1"/>
  <c r="R55" i="2" s="1"/>
  <c r="S55" i="2" s="1"/>
  <c r="T55" i="2"/>
  <c r="U55" i="2" s="1"/>
  <c r="V55" i="2" s="1"/>
  <c r="W55" i="2" s="1"/>
  <c r="X55" i="2"/>
  <c r="Y55" i="2" s="1"/>
  <c r="Z55" i="2" s="1"/>
  <c r="AA55" i="2" s="1"/>
  <c r="AB55" i="2"/>
  <c r="AC55" i="2" s="1"/>
  <c r="AD55" i="2" s="1"/>
  <c r="AE55" i="2" s="1"/>
  <c r="AF55" i="2"/>
  <c r="AG55" i="2" s="1"/>
  <c r="AH55" i="2" s="1"/>
  <c r="AI55" i="2" s="1"/>
  <c r="AJ55" i="2"/>
  <c r="AK55" i="2" s="1"/>
  <c r="AL55" i="2" s="1"/>
  <c r="AM55" i="2" s="1"/>
  <c r="AN55" i="2"/>
  <c r="AO55" i="2" s="1"/>
  <c r="AP55" i="2" s="1"/>
  <c r="AQ55" i="2" s="1"/>
  <c r="AR55" i="2"/>
  <c r="AS55" i="2" s="1"/>
  <c r="AT55" i="2" s="1"/>
  <c r="AU55" i="2" s="1"/>
  <c r="AV55" i="2"/>
  <c r="AW55" i="2" s="1"/>
  <c r="AX55" i="2" s="1"/>
  <c r="AY55" i="2" s="1"/>
  <c r="AZ55" i="2"/>
  <c r="BA55" i="2" s="1"/>
  <c r="BB55" i="2" s="1"/>
  <c r="BC55" i="2" s="1"/>
  <c r="L56" i="2"/>
  <c r="M56" i="2" s="1"/>
  <c r="N56" i="2" s="1"/>
  <c r="O56" i="2" s="1"/>
  <c r="P56" i="2"/>
  <c r="Q56" i="2" s="1"/>
  <c r="R56" i="2" s="1"/>
  <c r="S56" i="2" s="1"/>
  <c r="T56" i="2"/>
  <c r="U56" i="2" s="1"/>
  <c r="V56" i="2" s="1"/>
  <c r="W56" i="2" s="1"/>
  <c r="X56" i="2"/>
  <c r="Y56" i="2" s="1"/>
  <c r="Z56" i="2" s="1"/>
  <c r="AA56" i="2" s="1"/>
  <c r="AB56" i="2"/>
  <c r="AC56" i="2" s="1"/>
  <c r="AD56" i="2" s="1"/>
  <c r="AE56" i="2" s="1"/>
  <c r="AF56" i="2"/>
  <c r="AG56" i="2" s="1"/>
  <c r="AH56" i="2" s="1"/>
  <c r="AI56" i="2" s="1"/>
  <c r="AJ56" i="2"/>
  <c r="AK56" i="2" s="1"/>
  <c r="AL56" i="2" s="1"/>
  <c r="AN56" i="2"/>
  <c r="AO56" i="2" s="1"/>
  <c r="AP56" i="2" s="1"/>
  <c r="AR56" i="2"/>
  <c r="AS56" i="2" s="1"/>
  <c r="AT56" i="2" s="1"/>
  <c r="AV56" i="2"/>
  <c r="AW56" i="2" s="1"/>
  <c r="AZ56" i="2"/>
  <c r="BA56" i="2" s="1"/>
  <c r="BB56" i="2" s="1"/>
  <c r="L57" i="2"/>
  <c r="M57" i="2" s="1"/>
  <c r="N57" i="2" s="1"/>
  <c r="P57" i="2"/>
  <c r="Q57" i="2" s="1"/>
  <c r="R57" i="2" s="1"/>
  <c r="T57" i="2"/>
  <c r="U57" i="2" s="1"/>
  <c r="X57" i="2"/>
  <c r="Y57" i="2" s="1"/>
  <c r="Z57" i="2" s="1"/>
  <c r="AB57" i="2"/>
  <c r="AC57" i="2" s="1"/>
  <c r="AD57" i="2" s="1"/>
  <c r="AF57" i="2"/>
  <c r="AG57" i="2" s="1"/>
  <c r="AH57" i="2" s="1"/>
  <c r="AJ57" i="2"/>
  <c r="AK57" i="2" s="1"/>
  <c r="AN57" i="2"/>
  <c r="AO57" i="2" s="1"/>
  <c r="AP57" i="2" s="1"/>
  <c r="AR57" i="2"/>
  <c r="AS57" i="2" s="1"/>
  <c r="AT57" i="2" s="1"/>
  <c r="AV57" i="2"/>
  <c r="AW57" i="2" s="1"/>
  <c r="AX57" i="2" s="1"/>
  <c r="AZ57" i="2"/>
  <c r="BA57" i="2" s="1"/>
  <c r="BB57" i="2" s="1"/>
  <c r="L58" i="2"/>
  <c r="M58" i="2" s="1"/>
  <c r="N58" i="2" s="1"/>
  <c r="P58" i="2"/>
  <c r="Q58" i="2" s="1"/>
  <c r="T58" i="2"/>
  <c r="U58" i="2" s="1"/>
  <c r="V58" i="2" s="1"/>
  <c r="X58" i="2"/>
  <c r="Y58" i="2" s="1"/>
  <c r="Z58" i="2" s="1"/>
  <c r="AB58" i="2"/>
  <c r="AC58" i="2" s="1"/>
  <c r="AD58" i="2" s="1"/>
  <c r="AF58" i="2"/>
  <c r="AG58" i="2" s="1"/>
  <c r="AJ58" i="2"/>
  <c r="AK58" i="2" s="1"/>
  <c r="AL58" i="2" s="1"/>
  <c r="AN58" i="2"/>
  <c r="AO58" i="2" s="1"/>
  <c r="AP58" i="2" s="1"/>
  <c r="AR58" i="2"/>
  <c r="AS58" i="2" s="1"/>
  <c r="AT58" i="2" s="1"/>
  <c r="AV58" i="2"/>
  <c r="AW58" i="2" s="1"/>
  <c r="AZ58" i="2"/>
  <c r="BA58" i="2" s="1"/>
  <c r="BB58" i="2" s="1"/>
  <c r="L59" i="2"/>
  <c r="M59" i="2" s="1"/>
  <c r="N59" i="2" s="1"/>
  <c r="P59" i="2"/>
  <c r="Q59" i="2" s="1"/>
  <c r="R59" i="2" s="1"/>
  <c r="T59" i="2"/>
  <c r="U59" i="2" s="1"/>
  <c r="X59" i="2"/>
  <c r="Y59" i="2" s="1"/>
  <c r="Z59" i="2" s="1"/>
  <c r="AB59" i="2"/>
  <c r="AC59" i="2" s="1"/>
  <c r="AD59" i="2" s="1"/>
  <c r="AF59" i="2"/>
  <c r="AG59" i="2" s="1"/>
  <c r="AH59" i="2" s="1"/>
  <c r="AJ59" i="2"/>
  <c r="AK59" i="2" s="1"/>
  <c r="AN59" i="2"/>
  <c r="AO59" i="2" s="1"/>
  <c r="AP59" i="2" s="1"/>
  <c r="AR59" i="2"/>
  <c r="AS59" i="2" s="1"/>
  <c r="AT59" i="2" s="1"/>
  <c r="AV59" i="2"/>
  <c r="AW59" i="2" s="1"/>
  <c r="AX59" i="2" s="1"/>
  <c r="AZ59" i="2"/>
  <c r="BA59" i="2" s="1"/>
  <c r="L60" i="2"/>
  <c r="M60" i="2" s="1"/>
  <c r="N60" i="2" s="1"/>
  <c r="P60" i="2"/>
  <c r="Q60" i="2" s="1"/>
  <c r="R60" i="2" s="1"/>
  <c r="T60" i="2"/>
  <c r="U60" i="2" s="1"/>
  <c r="V60" i="2" s="1"/>
  <c r="X60" i="2"/>
  <c r="Y60" i="2" s="1"/>
  <c r="AB60" i="2"/>
  <c r="AC60" i="2" s="1"/>
  <c r="AD60" i="2" s="1"/>
  <c r="AF60" i="2"/>
  <c r="AG60" i="2" s="1"/>
  <c r="AH60" i="2" s="1"/>
  <c r="AJ60" i="2"/>
  <c r="AK60" i="2" s="1"/>
  <c r="AL60" i="2" s="1"/>
  <c r="AN60" i="2"/>
  <c r="AO60" i="2" s="1"/>
  <c r="AR60" i="2"/>
  <c r="AS60" i="2" s="1"/>
  <c r="AT60" i="2" s="1"/>
  <c r="AV60" i="2"/>
  <c r="AW60" i="2" s="1"/>
  <c r="AX60" i="2" s="1"/>
  <c r="AZ60" i="2"/>
  <c r="BA60" i="2" s="1"/>
  <c r="BB60" i="2" s="1"/>
  <c r="L61" i="2"/>
  <c r="M61" i="2" s="1"/>
  <c r="P61" i="2"/>
  <c r="Q61" i="2" s="1"/>
  <c r="R61" i="2" s="1"/>
  <c r="T61" i="2"/>
  <c r="U61" i="2" s="1"/>
  <c r="V61" i="2" s="1"/>
  <c r="X61" i="2"/>
  <c r="Y61" i="2" s="1"/>
  <c r="Z61" i="2" s="1"/>
  <c r="AB61" i="2"/>
  <c r="AC61" i="2" s="1"/>
  <c r="AF61" i="2"/>
  <c r="AG61" i="2" s="1"/>
  <c r="AH61" i="2" s="1"/>
  <c r="AJ61" i="2"/>
  <c r="AK61" i="2" s="1"/>
  <c r="AL61" i="2" s="1"/>
  <c r="AN61" i="2"/>
  <c r="AO61" i="2" s="1"/>
  <c r="AP61" i="2" s="1"/>
  <c r="AR61" i="2"/>
  <c r="AS61" i="2" s="1"/>
  <c r="AV61" i="2"/>
  <c r="AW61" i="2" s="1"/>
  <c r="AX61" i="2" s="1"/>
  <c r="AZ61" i="2"/>
  <c r="BA61" i="2" s="1"/>
  <c r="BB61" i="2" s="1"/>
  <c r="L62" i="2"/>
  <c r="M62" i="2" s="1"/>
  <c r="N62" i="2" s="1"/>
  <c r="P62" i="2"/>
  <c r="Q62" i="2" s="1"/>
  <c r="T62" i="2"/>
  <c r="U62" i="2" s="1"/>
  <c r="V62" i="2" s="1"/>
  <c r="X62" i="2"/>
  <c r="Y62" i="2" s="1"/>
  <c r="Z62" i="2" s="1"/>
  <c r="AB62" i="2"/>
  <c r="AC62" i="2" s="1"/>
  <c r="AF62" i="2"/>
  <c r="AG62" i="2" s="1"/>
  <c r="AH62" i="2" s="1"/>
  <c r="AI62" i="2" s="1"/>
  <c r="AJ62" i="2"/>
  <c r="AK62" i="2" s="1"/>
  <c r="AL62" i="2" s="1"/>
  <c r="AM62" i="2" s="1"/>
  <c r="AN62" i="2"/>
  <c r="AO62" i="2" s="1"/>
  <c r="AP62" i="2" s="1"/>
  <c r="AQ62" i="2" s="1"/>
  <c r="AR62" i="2"/>
  <c r="AS62" i="2" s="1"/>
  <c r="AT62" i="2" s="1"/>
  <c r="AU62" i="2" s="1"/>
  <c r="AV62" i="2"/>
  <c r="AW62" i="2" s="1"/>
  <c r="AX62" i="2" s="1"/>
  <c r="AY62" i="2" s="1"/>
  <c r="AZ62" i="2"/>
  <c r="BA62" i="2" s="1"/>
  <c r="BB62" i="2" s="1"/>
  <c r="BC62" i="2" s="1"/>
  <c r="L63" i="2"/>
  <c r="M63" i="2" s="1"/>
  <c r="N63" i="2" s="1"/>
  <c r="O63" i="2" s="1"/>
  <c r="P63" i="2"/>
  <c r="Q63" i="2" s="1"/>
  <c r="R63" i="2" s="1"/>
  <c r="T63" i="2"/>
  <c r="U63" i="2" s="1"/>
  <c r="V63" i="2" s="1"/>
  <c r="X63" i="2"/>
  <c r="Y63" i="2" s="1"/>
  <c r="Z63" i="2" s="1"/>
  <c r="AB63" i="2"/>
  <c r="AC63" i="2" s="1"/>
  <c r="AF63" i="2"/>
  <c r="AG63" i="2" s="1"/>
  <c r="AH63" i="2" s="1"/>
  <c r="AJ63" i="2"/>
  <c r="AK63" i="2" s="1"/>
  <c r="AL63" i="2" s="1"/>
  <c r="AN63" i="2"/>
  <c r="AO63" i="2" s="1"/>
  <c r="AP63" i="2" s="1"/>
  <c r="AR63" i="2"/>
  <c r="AS63" i="2" s="1"/>
  <c r="AV63" i="2"/>
  <c r="AW63" i="2" s="1"/>
  <c r="AX63" i="2" s="1"/>
  <c r="AZ63" i="2"/>
  <c r="BA63" i="2" s="1"/>
  <c r="BB63" i="2" s="1"/>
  <c r="L64" i="2"/>
  <c r="M64" i="2" s="1"/>
  <c r="N64" i="2" s="1"/>
  <c r="P64" i="2"/>
  <c r="Q64" i="2" s="1"/>
  <c r="T64" i="2"/>
  <c r="U64" i="2" s="1"/>
  <c r="V64" i="2" s="1"/>
  <c r="X64" i="2"/>
  <c r="Y64" i="2" s="1"/>
  <c r="Z64" i="2" s="1"/>
  <c r="AB64" i="2"/>
  <c r="AC64" i="2" s="1"/>
  <c r="AD64" i="2" s="1"/>
  <c r="AF64" i="2"/>
  <c r="AG64" i="2" s="1"/>
  <c r="AJ64" i="2"/>
  <c r="AK64" i="2" s="1"/>
  <c r="AL64" i="2" s="1"/>
  <c r="AN64" i="2"/>
  <c r="AO64" i="2" s="1"/>
  <c r="AP64" i="2" s="1"/>
  <c r="AR64" i="2"/>
  <c r="AS64" i="2" s="1"/>
  <c r="AT64" i="2" s="1"/>
  <c r="AV64" i="2"/>
  <c r="AW64" i="2" s="1"/>
  <c r="AZ64" i="2"/>
  <c r="BA64" i="2" s="1"/>
  <c r="BB64" i="2" s="1"/>
  <c r="L65" i="2"/>
  <c r="M65" i="2" s="1"/>
  <c r="N65" i="2" s="1"/>
  <c r="P65" i="2"/>
  <c r="Q65" i="2" s="1"/>
  <c r="R65" i="2" s="1"/>
  <c r="T65" i="2"/>
  <c r="U65" i="2" s="1"/>
  <c r="X65" i="2"/>
  <c r="Y65" i="2" s="1"/>
  <c r="Z65" i="2" s="1"/>
  <c r="AB65" i="2"/>
  <c r="AC65" i="2" s="1"/>
  <c r="AD65" i="2" s="1"/>
  <c r="AF65" i="2"/>
  <c r="AG65" i="2" s="1"/>
  <c r="AH65" i="2" s="1"/>
  <c r="AJ65" i="2"/>
  <c r="AK65" i="2" s="1"/>
  <c r="AN65" i="2"/>
  <c r="AO65" i="2" s="1"/>
  <c r="AP65" i="2" s="1"/>
  <c r="AR65" i="2"/>
  <c r="AS65" i="2" s="1"/>
  <c r="AT65" i="2" s="1"/>
  <c r="AV65" i="2"/>
  <c r="AW65" i="2" s="1"/>
  <c r="AX65" i="2" s="1"/>
  <c r="AZ65" i="2"/>
  <c r="BA65" i="2" s="1"/>
  <c r="L66" i="2"/>
  <c r="M66" i="2" s="1"/>
  <c r="N66" i="2" s="1"/>
  <c r="P66" i="2"/>
  <c r="Q66" i="2" s="1"/>
  <c r="R66" i="2" s="1"/>
  <c r="T66" i="2"/>
  <c r="U66" i="2" s="1"/>
  <c r="V66" i="2" s="1"/>
  <c r="X66" i="2"/>
  <c r="Y66" i="2" s="1"/>
  <c r="AB66" i="2"/>
  <c r="AC66" i="2" s="1"/>
  <c r="AD66" i="2" s="1"/>
  <c r="AF66" i="2"/>
  <c r="AG66" i="2" s="1"/>
  <c r="AH66" i="2" s="1"/>
  <c r="AJ66" i="2"/>
  <c r="AK66" i="2" s="1"/>
  <c r="AL66" i="2" s="1"/>
  <c r="AN66" i="2"/>
  <c r="AO66" i="2" s="1"/>
  <c r="AR66" i="2"/>
  <c r="AS66" i="2" s="1"/>
  <c r="AT66" i="2" s="1"/>
  <c r="AV66" i="2"/>
  <c r="AW66" i="2" s="1"/>
  <c r="AX66" i="2" s="1"/>
  <c r="AZ66" i="2"/>
  <c r="BA66" i="2" s="1"/>
  <c r="BB66" i="2" s="1"/>
  <c r="L67" i="2"/>
  <c r="M67" i="2" s="1"/>
  <c r="P67" i="2"/>
  <c r="Q67" i="2" s="1"/>
  <c r="R67" i="2" s="1"/>
  <c r="T67" i="2"/>
  <c r="U67" i="2" s="1"/>
  <c r="V67" i="2" s="1"/>
  <c r="X67" i="2"/>
  <c r="Y67" i="2" s="1"/>
  <c r="Z67" i="2" s="1"/>
  <c r="AB67" i="2"/>
  <c r="AC67" i="2" s="1"/>
  <c r="AF67" i="2"/>
  <c r="AG67" i="2" s="1"/>
  <c r="AH67" i="2" s="1"/>
  <c r="AJ67" i="2"/>
  <c r="AK67" i="2" s="1"/>
  <c r="AL67" i="2" s="1"/>
  <c r="AN67" i="2"/>
  <c r="AO67" i="2" s="1"/>
  <c r="AP67" i="2" s="1"/>
  <c r="AR67" i="2"/>
  <c r="AS67" i="2" s="1"/>
  <c r="AV67" i="2"/>
  <c r="AW67" i="2" s="1"/>
  <c r="AX67" i="2" s="1"/>
  <c r="AZ67" i="2"/>
  <c r="BA67" i="2" s="1"/>
  <c r="BB67" i="2" s="1"/>
  <c r="L68" i="2"/>
  <c r="M68" i="2" s="1"/>
  <c r="N68" i="2" s="1"/>
  <c r="P68" i="2"/>
  <c r="Q68" i="2" s="1"/>
  <c r="T68" i="2"/>
  <c r="U68" i="2" s="1"/>
  <c r="V68" i="2" s="1"/>
  <c r="X68" i="2"/>
  <c r="Y68" i="2" s="1"/>
  <c r="Z68" i="2" s="1"/>
  <c r="AB68" i="2"/>
  <c r="AC68" i="2" s="1"/>
  <c r="AD68" i="2" s="1"/>
  <c r="AF68" i="2"/>
  <c r="AG68" i="2" s="1"/>
  <c r="AJ68" i="2"/>
  <c r="AK68" i="2" s="1"/>
  <c r="AL68" i="2" s="1"/>
  <c r="AN68" i="2"/>
  <c r="AO68" i="2" s="1"/>
  <c r="AP68" i="2" s="1"/>
  <c r="AR68" i="2"/>
  <c r="AS68" i="2" s="1"/>
  <c r="AT68" i="2" s="1"/>
  <c r="AV68" i="2"/>
  <c r="AW68" i="2" s="1"/>
  <c r="AZ68" i="2"/>
  <c r="BA68" i="2" s="1"/>
  <c r="BB68" i="2" s="1"/>
  <c r="L69" i="2"/>
  <c r="M69" i="2" s="1"/>
  <c r="N69" i="2" s="1"/>
  <c r="P69" i="2"/>
  <c r="Q69" i="2" s="1"/>
  <c r="R69" i="2" s="1"/>
  <c r="T69" i="2"/>
  <c r="U69" i="2" s="1"/>
  <c r="X69" i="2"/>
  <c r="Y69" i="2" s="1"/>
  <c r="Z69" i="2" s="1"/>
  <c r="AB69" i="2"/>
  <c r="AC69" i="2" s="1"/>
  <c r="AD69" i="2" s="1"/>
  <c r="AF69" i="2"/>
  <c r="AG69" i="2" s="1"/>
  <c r="AH69" i="2" s="1"/>
  <c r="AJ69" i="2"/>
  <c r="AK69" i="2" s="1"/>
  <c r="AN69" i="2"/>
  <c r="AO69" i="2" s="1"/>
  <c r="AP69" i="2" s="1"/>
  <c r="AR69" i="2"/>
  <c r="AS69" i="2" s="1"/>
  <c r="AT69" i="2" s="1"/>
  <c r="AV69" i="2"/>
  <c r="AW69" i="2" s="1"/>
  <c r="AX69" i="2" s="1"/>
  <c r="AZ69" i="2"/>
  <c r="BA69" i="2" s="1"/>
  <c r="L70" i="2"/>
  <c r="M70" i="2" s="1"/>
  <c r="N70" i="2" s="1"/>
  <c r="P70" i="2"/>
  <c r="Q70" i="2" s="1"/>
  <c r="R70" i="2" s="1"/>
  <c r="T70" i="2"/>
  <c r="U70" i="2" s="1"/>
  <c r="V70" i="2" s="1"/>
  <c r="X70" i="2"/>
  <c r="Y70" i="2" s="1"/>
  <c r="AB70" i="2"/>
  <c r="AC70" i="2" s="1"/>
  <c r="AD70" i="2" s="1"/>
  <c r="AF70" i="2"/>
  <c r="AG70" i="2" s="1"/>
  <c r="AH70" i="2" s="1"/>
  <c r="AJ70" i="2"/>
  <c r="AK70" i="2" s="1"/>
  <c r="AL70" i="2" s="1"/>
  <c r="AN70" i="2"/>
  <c r="AO70" i="2" s="1"/>
  <c r="AR70" i="2"/>
  <c r="AS70" i="2" s="1"/>
  <c r="AT70" i="2" s="1"/>
  <c r="AV70" i="2"/>
  <c r="AW70" i="2" s="1"/>
  <c r="AX70" i="2" s="1"/>
  <c r="AZ70" i="2"/>
  <c r="BA70" i="2" s="1"/>
  <c r="BB70" i="2" s="1"/>
  <c r="L71" i="2"/>
  <c r="M71" i="2" s="1"/>
  <c r="P71" i="2"/>
  <c r="Q71" i="2" s="1"/>
  <c r="R71" i="2" s="1"/>
  <c r="T71" i="2"/>
  <c r="U71" i="2" s="1"/>
  <c r="V71" i="2" s="1"/>
  <c r="X71" i="2"/>
  <c r="Y71" i="2" s="1"/>
  <c r="Z71" i="2" s="1"/>
  <c r="AB71" i="2"/>
  <c r="AC71" i="2" s="1"/>
  <c r="AF71" i="2"/>
  <c r="AG71" i="2" s="1"/>
  <c r="AH71" i="2" s="1"/>
  <c r="AJ71" i="2"/>
  <c r="AK71" i="2" s="1"/>
  <c r="AL71" i="2" s="1"/>
  <c r="AN71" i="2"/>
  <c r="AO71" i="2" s="1"/>
  <c r="AP71" i="2" s="1"/>
  <c r="AR71" i="2"/>
  <c r="AS71" i="2" s="1"/>
  <c r="AV71" i="2"/>
  <c r="AW71" i="2" s="1"/>
  <c r="AX71" i="2" s="1"/>
  <c r="AZ71" i="2"/>
  <c r="BA71" i="2" s="1"/>
  <c r="BB71" i="2" s="1"/>
  <c r="L72" i="2"/>
  <c r="M72" i="2" s="1"/>
  <c r="N72" i="2" s="1"/>
  <c r="P72" i="2"/>
  <c r="Q72" i="2" s="1"/>
  <c r="T72" i="2"/>
  <c r="U72" i="2" s="1"/>
  <c r="V72" i="2" s="1"/>
  <c r="X72" i="2"/>
  <c r="Y72" i="2" s="1"/>
  <c r="Z72" i="2" s="1"/>
  <c r="AB72" i="2"/>
  <c r="AC72" i="2" s="1"/>
  <c r="AD72" i="2" s="1"/>
  <c r="AF72" i="2"/>
  <c r="AG72" i="2" s="1"/>
  <c r="AJ72" i="2"/>
  <c r="AK72" i="2" s="1"/>
  <c r="AL72" i="2" s="1"/>
  <c r="AN72" i="2"/>
  <c r="AO72" i="2" s="1"/>
  <c r="AP72" i="2" s="1"/>
  <c r="AR72" i="2"/>
  <c r="AS72" i="2" s="1"/>
  <c r="AT72" i="2" s="1"/>
  <c r="AV72" i="2"/>
  <c r="AW72" i="2" s="1"/>
  <c r="AZ72" i="2"/>
  <c r="BA72" i="2" s="1"/>
  <c r="BB72" i="2" s="1"/>
  <c r="L73" i="2"/>
  <c r="M73" i="2" s="1"/>
  <c r="N73" i="2" s="1"/>
  <c r="P73" i="2"/>
  <c r="Q73" i="2" s="1"/>
  <c r="R73" i="2" s="1"/>
  <c r="T73" i="2"/>
  <c r="U73" i="2" s="1"/>
  <c r="X73" i="2"/>
  <c r="Y73" i="2" s="1"/>
  <c r="Z73" i="2" s="1"/>
  <c r="AB73" i="2"/>
  <c r="AC73" i="2" s="1"/>
  <c r="AD73" i="2" s="1"/>
  <c r="AF73" i="2"/>
  <c r="AG73" i="2" s="1"/>
  <c r="AH73" i="2" s="1"/>
  <c r="AJ73" i="2"/>
  <c r="AK73" i="2" s="1"/>
  <c r="AN73" i="2"/>
  <c r="AO73" i="2" s="1"/>
  <c r="AP73" i="2" s="1"/>
  <c r="AR73" i="2"/>
  <c r="AS73" i="2" s="1"/>
  <c r="AT73" i="2" s="1"/>
  <c r="AV73" i="2"/>
  <c r="AW73" i="2" s="1"/>
  <c r="AX73" i="2" s="1"/>
  <c r="AZ73" i="2"/>
  <c r="BA73" i="2" s="1"/>
  <c r="L74" i="2"/>
  <c r="M74" i="2" s="1"/>
  <c r="N74" i="2" s="1"/>
  <c r="P74" i="2"/>
  <c r="Q74" i="2" s="1"/>
  <c r="R74" i="2" s="1"/>
  <c r="T74" i="2"/>
  <c r="U74" i="2" s="1"/>
  <c r="V74" i="2" s="1"/>
  <c r="X74" i="2"/>
  <c r="Y74" i="2" s="1"/>
  <c r="AB74" i="2"/>
  <c r="AC74" i="2" s="1"/>
  <c r="AD74" i="2" s="1"/>
  <c r="AF74" i="2"/>
  <c r="AG74" i="2" s="1"/>
  <c r="AH74" i="2" s="1"/>
  <c r="AJ74" i="2"/>
  <c r="AK74" i="2" s="1"/>
  <c r="AL74" i="2" s="1"/>
  <c r="AN74" i="2"/>
  <c r="AO74" i="2" s="1"/>
  <c r="AR74" i="2"/>
  <c r="AS74" i="2" s="1"/>
  <c r="AT74" i="2" s="1"/>
  <c r="AV74" i="2"/>
  <c r="AW74" i="2" s="1"/>
  <c r="AX74" i="2" s="1"/>
  <c r="AZ74" i="2"/>
  <c r="BA74" i="2" s="1"/>
  <c r="BB74" i="2" s="1"/>
  <c r="L75" i="2"/>
  <c r="M75" i="2" s="1"/>
  <c r="P75" i="2"/>
  <c r="Q75" i="2" s="1"/>
  <c r="R75" i="2" s="1"/>
  <c r="T75" i="2"/>
  <c r="U75" i="2" s="1"/>
  <c r="V75" i="2" s="1"/>
  <c r="X75" i="2"/>
  <c r="Y75" i="2" s="1"/>
  <c r="Z75" i="2" s="1"/>
  <c r="AB75" i="2"/>
  <c r="AC75" i="2" s="1"/>
  <c r="AF75" i="2"/>
  <c r="AG75" i="2" s="1"/>
  <c r="AH75" i="2" s="1"/>
  <c r="AJ75" i="2"/>
  <c r="AK75" i="2" s="1"/>
  <c r="AL75" i="2" s="1"/>
  <c r="AN75" i="2"/>
  <c r="AO75" i="2" s="1"/>
  <c r="AP75" i="2" s="1"/>
  <c r="AR75" i="2"/>
  <c r="AS75" i="2" s="1"/>
  <c r="AV75" i="2"/>
  <c r="AW75" i="2" s="1"/>
  <c r="AX75" i="2" s="1"/>
  <c r="AZ75" i="2"/>
  <c r="BA75" i="2" s="1"/>
  <c r="BB75" i="2" s="1"/>
  <c r="L76" i="2"/>
  <c r="M76" i="2" s="1"/>
  <c r="N76" i="2" s="1"/>
  <c r="P76" i="2"/>
  <c r="Q76" i="2" s="1"/>
  <c r="T76" i="2"/>
  <c r="U76" i="2" s="1"/>
  <c r="V76" i="2" s="1"/>
  <c r="X76" i="2"/>
  <c r="Y76" i="2" s="1"/>
  <c r="Z76" i="2" s="1"/>
  <c r="AB76" i="2"/>
  <c r="AC76" i="2" s="1"/>
  <c r="AD76" i="2" s="1"/>
  <c r="AF76" i="2"/>
  <c r="AG76" i="2" s="1"/>
  <c r="AJ76" i="2"/>
  <c r="AK76" i="2" s="1"/>
  <c r="AL76" i="2" s="1"/>
  <c r="AN76" i="2"/>
  <c r="AO76" i="2" s="1"/>
  <c r="AP76" i="2" s="1"/>
  <c r="AR76" i="2"/>
  <c r="AS76" i="2" s="1"/>
  <c r="AT76" i="2" s="1"/>
  <c r="AV76" i="2"/>
  <c r="AW76" i="2" s="1"/>
  <c r="AZ76" i="2"/>
  <c r="BA76" i="2" s="1"/>
  <c r="BB76" i="2" s="1"/>
  <c r="L77" i="2"/>
  <c r="M77" i="2" s="1"/>
  <c r="N77" i="2" s="1"/>
  <c r="P77" i="2"/>
  <c r="Q77" i="2" s="1"/>
  <c r="R77" i="2" s="1"/>
  <c r="T77" i="2"/>
  <c r="U77" i="2" s="1"/>
  <c r="X77" i="2"/>
  <c r="Y77" i="2" s="1"/>
  <c r="Z77" i="2" s="1"/>
  <c r="AB77" i="2"/>
  <c r="AC77" i="2" s="1"/>
  <c r="AD77" i="2" s="1"/>
  <c r="AF77" i="2"/>
  <c r="AG77" i="2" s="1"/>
  <c r="AH77" i="2" s="1"/>
  <c r="AJ77" i="2"/>
  <c r="AK77" i="2" s="1"/>
  <c r="AN77" i="2"/>
  <c r="AO77" i="2" s="1"/>
  <c r="AP77" i="2" s="1"/>
  <c r="AR77" i="2"/>
  <c r="AS77" i="2" s="1"/>
  <c r="AT77" i="2" s="1"/>
  <c r="AV77" i="2"/>
  <c r="AW77" i="2" s="1"/>
  <c r="AX77" i="2" s="1"/>
  <c r="AZ77" i="2"/>
  <c r="BA77" i="2" s="1"/>
  <c r="L78" i="2"/>
  <c r="M78" i="2" s="1"/>
  <c r="N78" i="2" s="1"/>
  <c r="P78" i="2"/>
  <c r="Q78" i="2" s="1"/>
  <c r="R78" i="2" s="1"/>
  <c r="T78" i="2"/>
  <c r="U78" i="2" s="1"/>
  <c r="V78" i="2" s="1"/>
  <c r="X78" i="2"/>
  <c r="Y78" i="2" s="1"/>
  <c r="AB78" i="2"/>
  <c r="AC78" i="2" s="1"/>
  <c r="AD78" i="2" s="1"/>
  <c r="AF78" i="2"/>
  <c r="AG78" i="2" s="1"/>
  <c r="AH78" i="2" s="1"/>
  <c r="AJ78" i="2"/>
  <c r="AK78" i="2" s="1"/>
  <c r="AL78" i="2" s="1"/>
  <c r="AN78" i="2"/>
  <c r="AO78" i="2" s="1"/>
  <c r="AR78" i="2"/>
  <c r="AS78" i="2" s="1"/>
  <c r="AT78" i="2" s="1"/>
  <c r="AV78" i="2"/>
  <c r="AW78" i="2" s="1"/>
  <c r="AX78" i="2" s="1"/>
  <c r="AZ78" i="2"/>
  <c r="BA78" i="2" s="1"/>
  <c r="BB78" i="2" s="1"/>
  <c r="L79" i="2"/>
  <c r="M79" i="2" s="1"/>
  <c r="P79" i="2"/>
  <c r="Q79" i="2" s="1"/>
  <c r="R79" i="2" s="1"/>
  <c r="T79" i="2"/>
  <c r="U79" i="2" s="1"/>
  <c r="V79" i="2" s="1"/>
  <c r="X79" i="2"/>
  <c r="Y79" i="2" s="1"/>
  <c r="Z79" i="2" s="1"/>
  <c r="AB79" i="2"/>
  <c r="AC79" i="2" s="1"/>
  <c r="AF79" i="2"/>
  <c r="AG79" i="2" s="1"/>
  <c r="AH79" i="2" s="1"/>
  <c r="AJ79" i="2"/>
  <c r="AK79" i="2" s="1"/>
  <c r="AL79" i="2" s="1"/>
  <c r="AN79" i="2"/>
  <c r="AO79" i="2" s="1"/>
  <c r="AP79" i="2" s="1"/>
  <c r="AR79" i="2"/>
  <c r="AS79" i="2" s="1"/>
  <c r="AV79" i="2"/>
  <c r="AW79" i="2" s="1"/>
  <c r="AX79" i="2" s="1"/>
  <c r="AZ79" i="2"/>
  <c r="BA79" i="2" s="1"/>
  <c r="BB79" i="2" s="1"/>
  <c r="L80" i="2"/>
  <c r="M80" i="2" s="1"/>
  <c r="N80" i="2" s="1"/>
  <c r="P80" i="2"/>
  <c r="Q80" i="2" s="1"/>
  <c r="T80" i="2"/>
  <c r="U80" i="2" s="1"/>
  <c r="V80" i="2" s="1"/>
  <c r="X80" i="2"/>
  <c r="Y80" i="2" s="1"/>
  <c r="Z80" i="2" s="1"/>
  <c r="AB80" i="2"/>
  <c r="AC80" i="2" s="1"/>
  <c r="AD80" i="2" s="1"/>
  <c r="AF80" i="2"/>
  <c r="AG80" i="2" s="1"/>
  <c r="AJ80" i="2"/>
  <c r="AK80" i="2" s="1"/>
  <c r="AL80" i="2" s="1"/>
  <c r="AN80" i="2"/>
  <c r="AO80" i="2" s="1"/>
  <c r="AP80" i="2" s="1"/>
  <c r="AR80" i="2"/>
  <c r="AS80" i="2" s="1"/>
  <c r="AT80" i="2" s="1"/>
  <c r="AV80" i="2"/>
  <c r="AW80" i="2" s="1"/>
  <c r="AZ80" i="2"/>
  <c r="BA80" i="2" s="1"/>
  <c r="BB80" i="2" s="1"/>
  <c r="L81" i="2"/>
  <c r="M81" i="2" s="1"/>
  <c r="N81" i="2" s="1"/>
  <c r="P81" i="2"/>
  <c r="Q81" i="2" s="1"/>
  <c r="R81" i="2" s="1"/>
  <c r="T81" i="2"/>
  <c r="U81" i="2" s="1"/>
  <c r="X81" i="2"/>
  <c r="Y81" i="2" s="1"/>
  <c r="Z81" i="2" s="1"/>
  <c r="AB81" i="2"/>
  <c r="AC81" i="2" s="1"/>
  <c r="AD81" i="2" s="1"/>
  <c r="AF81" i="2"/>
  <c r="AG81" i="2" s="1"/>
  <c r="AH81" i="2" s="1"/>
  <c r="AJ81" i="2"/>
  <c r="AK81" i="2" s="1"/>
  <c r="AN81" i="2"/>
  <c r="AO81" i="2" s="1"/>
  <c r="AP81" i="2" s="1"/>
  <c r="AR81" i="2"/>
  <c r="AS81" i="2" s="1"/>
  <c r="AT81" i="2" s="1"/>
  <c r="AV81" i="2"/>
  <c r="AW81" i="2" s="1"/>
  <c r="AX81" i="2" s="1"/>
  <c r="AZ81" i="2"/>
  <c r="BA81" i="2" s="1"/>
  <c r="L82" i="2"/>
  <c r="M82" i="2" s="1"/>
  <c r="N82" i="2" s="1"/>
  <c r="P82" i="2"/>
  <c r="Q82" i="2" s="1"/>
  <c r="R82" i="2" s="1"/>
  <c r="T82" i="2"/>
  <c r="U82" i="2" s="1"/>
  <c r="V82" i="2" s="1"/>
  <c r="X82" i="2"/>
  <c r="Y82" i="2" s="1"/>
  <c r="AB82" i="2"/>
  <c r="AC82" i="2" s="1"/>
  <c r="AD82" i="2" s="1"/>
  <c r="AF82" i="2"/>
  <c r="AG82" i="2" s="1"/>
  <c r="AH82" i="2" s="1"/>
  <c r="AJ82" i="2"/>
  <c r="AK82" i="2" s="1"/>
  <c r="AL82" i="2" s="1"/>
  <c r="AN82" i="2"/>
  <c r="AO82" i="2" s="1"/>
  <c r="AR82" i="2"/>
  <c r="AS82" i="2" s="1"/>
  <c r="AT82" i="2" s="1"/>
  <c r="AV82" i="2"/>
  <c r="AW82" i="2" s="1"/>
  <c r="AX82" i="2" s="1"/>
  <c r="AZ82" i="2"/>
  <c r="BA82" i="2" s="1"/>
  <c r="BB82" i="2" s="1"/>
  <c r="L83" i="2"/>
  <c r="M83" i="2" s="1"/>
  <c r="P83" i="2"/>
  <c r="Q83" i="2" s="1"/>
  <c r="R83" i="2" s="1"/>
  <c r="T83" i="2"/>
  <c r="U83" i="2" s="1"/>
  <c r="V83" i="2" s="1"/>
  <c r="X83" i="2"/>
  <c r="Y83" i="2" s="1"/>
  <c r="Z83" i="2" s="1"/>
  <c r="AB83" i="2"/>
  <c r="AC83" i="2" s="1"/>
  <c r="AF83" i="2"/>
  <c r="AG83" i="2" s="1"/>
  <c r="AH83" i="2" s="1"/>
  <c r="AJ83" i="2"/>
  <c r="AK83" i="2" s="1"/>
  <c r="AL83" i="2" s="1"/>
  <c r="AN83" i="2"/>
  <c r="AO83" i="2" s="1"/>
  <c r="AP83" i="2" s="1"/>
  <c r="AR83" i="2"/>
  <c r="AS83" i="2" s="1"/>
  <c r="AV83" i="2"/>
  <c r="AW83" i="2" s="1"/>
  <c r="AX83" i="2" s="1"/>
  <c r="AZ83" i="2"/>
  <c r="BA83" i="2" s="1"/>
  <c r="BB83" i="2" s="1"/>
  <c r="L84" i="2"/>
  <c r="M84" i="2" s="1"/>
  <c r="N84" i="2" s="1"/>
  <c r="P84" i="2"/>
  <c r="Q84" i="2" s="1"/>
  <c r="T84" i="2"/>
  <c r="U84" i="2" s="1"/>
  <c r="V84" i="2" s="1"/>
  <c r="X84" i="2"/>
  <c r="Y84" i="2" s="1"/>
  <c r="Z84" i="2" s="1"/>
  <c r="AB84" i="2"/>
  <c r="AC84" i="2" s="1"/>
  <c r="AD84" i="2" s="1"/>
  <c r="AF84" i="2"/>
  <c r="AG84" i="2" s="1"/>
  <c r="AJ84" i="2"/>
  <c r="AK84" i="2" s="1"/>
  <c r="AL84" i="2" s="1"/>
  <c r="AN84" i="2"/>
  <c r="AO84" i="2" s="1"/>
  <c r="AP84" i="2" s="1"/>
  <c r="AR84" i="2"/>
  <c r="AS84" i="2" s="1"/>
  <c r="AT84" i="2" s="1"/>
  <c r="AV84" i="2"/>
  <c r="AW84" i="2" s="1"/>
  <c r="AZ84" i="2"/>
  <c r="BA84" i="2" s="1"/>
  <c r="BB84" i="2" s="1"/>
  <c r="L85" i="2"/>
  <c r="M85" i="2" s="1"/>
  <c r="N85" i="2" s="1"/>
  <c r="P85" i="2"/>
  <c r="Q85" i="2" s="1"/>
  <c r="R85" i="2" s="1"/>
  <c r="T85" i="2"/>
  <c r="U85" i="2" s="1"/>
  <c r="X85" i="2"/>
  <c r="Y85" i="2" s="1"/>
  <c r="Z85" i="2" s="1"/>
  <c r="AB85" i="2"/>
  <c r="AC85" i="2" s="1"/>
  <c r="AD85" i="2" s="1"/>
  <c r="AF85" i="2"/>
  <c r="AG85" i="2" s="1"/>
  <c r="AH85" i="2" s="1"/>
  <c r="AJ85" i="2"/>
  <c r="AK85" i="2" s="1"/>
  <c r="AN85" i="2"/>
  <c r="AO85" i="2" s="1"/>
  <c r="AP85" i="2" s="1"/>
  <c r="AR85" i="2"/>
  <c r="AS85" i="2" s="1"/>
  <c r="AT85" i="2" s="1"/>
  <c r="AV85" i="2"/>
  <c r="AW85" i="2" s="1"/>
  <c r="AX85" i="2" s="1"/>
  <c r="AZ85" i="2"/>
  <c r="BA85" i="2" s="1"/>
  <c r="L86" i="2"/>
  <c r="M86" i="2" s="1"/>
  <c r="N86" i="2" s="1"/>
  <c r="P86" i="2"/>
  <c r="Q86" i="2" s="1"/>
  <c r="R86" i="2" s="1"/>
  <c r="T86" i="2"/>
  <c r="U86" i="2" s="1"/>
  <c r="V86" i="2" s="1"/>
  <c r="X86" i="2"/>
  <c r="Y86" i="2" s="1"/>
  <c r="AB86" i="2"/>
  <c r="AC86" i="2" s="1"/>
  <c r="AD86" i="2" s="1"/>
  <c r="AF86" i="2"/>
  <c r="AG86" i="2" s="1"/>
  <c r="AH86" i="2" s="1"/>
  <c r="AJ86" i="2"/>
  <c r="AK86" i="2" s="1"/>
  <c r="AL86" i="2" s="1"/>
  <c r="AN86" i="2"/>
  <c r="AO86" i="2" s="1"/>
  <c r="AR86" i="2"/>
  <c r="AS86" i="2" s="1"/>
  <c r="AT86" i="2" s="1"/>
  <c r="AV86" i="2"/>
  <c r="AW86" i="2" s="1"/>
  <c r="AX86" i="2" s="1"/>
  <c r="AZ86" i="2"/>
  <c r="BA86" i="2" s="1"/>
  <c r="BB86" i="2" s="1"/>
  <c r="L87" i="2"/>
  <c r="M87" i="2" s="1"/>
  <c r="P87" i="2"/>
  <c r="Q87" i="2" s="1"/>
  <c r="R87" i="2" s="1"/>
  <c r="T87" i="2"/>
  <c r="U87" i="2" s="1"/>
  <c r="V87" i="2" s="1"/>
  <c r="X87" i="2"/>
  <c r="Y87" i="2" s="1"/>
  <c r="Z87" i="2" s="1"/>
  <c r="AB87" i="2"/>
  <c r="AC87" i="2" s="1"/>
  <c r="AF87" i="2"/>
  <c r="AG87" i="2" s="1"/>
  <c r="AH87" i="2" s="1"/>
  <c r="AJ87" i="2"/>
  <c r="AK87" i="2" s="1"/>
  <c r="AL87" i="2" s="1"/>
  <c r="AN87" i="2"/>
  <c r="AO87" i="2" s="1"/>
  <c r="AP87" i="2" s="1"/>
  <c r="AR87" i="2"/>
  <c r="AS87" i="2" s="1"/>
  <c r="AV87" i="2"/>
  <c r="AW87" i="2" s="1"/>
  <c r="AX87" i="2" s="1"/>
  <c r="AZ87" i="2"/>
  <c r="BA87" i="2" s="1"/>
  <c r="BB87" i="2" s="1"/>
  <c r="L88" i="2"/>
  <c r="M88" i="2" s="1"/>
  <c r="N88" i="2" s="1"/>
  <c r="P88" i="2"/>
  <c r="T88" i="2"/>
  <c r="U88" i="2" s="1"/>
  <c r="V88" i="2" s="1"/>
  <c r="X88" i="2"/>
  <c r="Y88" i="2" s="1"/>
  <c r="Z88" i="2" s="1"/>
  <c r="AB88" i="2"/>
  <c r="AC88" i="2" s="1"/>
  <c r="AD88" i="2" s="1"/>
  <c r="AF88" i="2"/>
  <c r="AG88" i="2" s="1"/>
  <c r="AJ88" i="2"/>
  <c r="AK88" i="2" s="1"/>
  <c r="AL88" i="2" s="1"/>
  <c r="AN88" i="2"/>
  <c r="AO88" i="2" s="1"/>
  <c r="AP88" i="2" s="1"/>
  <c r="AR88" i="2"/>
  <c r="AS88" i="2" s="1"/>
  <c r="AT88" i="2" s="1"/>
  <c r="AV88" i="2"/>
  <c r="AW88" i="2" s="1"/>
  <c r="AX88" i="2" s="1"/>
  <c r="AZ88" i="2"/>
  <c r="BA88" i="2" s="1"/>
  <c r="BB88" i="2" s="1"/>
  <c r="L89" i="2"/>
  <c r="M89" i="2" s="1"/>
  <c r="N89" i="2" s="1"/>
  <c r="P89" i="2"/>
  <c r="Q89" i="2" s="1"/>
  <c r="R89" i="2" s="1"/>
  <c r="T89" i="2"/>
  <c r="U89" i="2" s="1"/>
  <c r="V89" i="2" s="1"/>
  <c r="X89" i="2"/>
  <c r="Y89" i="2" s="1"/>
  <c r="Z89" i="2" s="1"/>
  <c r="AB89" i="2"/>
  <c r="AC89" i="2" s="1"/>
  <c r="AD89" i="2" s="1"/>
  <c r="AF89" i="2"/>
  <c r="AG89" i="2" s="1"/>
  <c r="AH89" i="2" s="1"/>
  <c r="AJ89" i="2"/>
  <c r="AK89" i="2" s="1"/>
  <c r="AL89" i="2" s="1"/>
  <c r="AN89" i="2"/>
  <c r="AO89" i="2" s="1"/>
  <c r="AP89" i="2" s="1"/>
  <c r="AR89" i="2"/>
  <c r="AS89" i="2" s="1"/>
  <c r="AT89" i="2" s="1"/>
  <c r="AV89" i="2"/>
  <c r="AW89" i="2" s="1"/>
  <c r="AX89" i="2" s="1"/>
  <c r="AZ89" i="2"/>
  <c r="BA89" i="2" s="1"/>
  <c r="BB89" i="2" s="1"/>
  <c r="L90" i="2"/>
  <c r="M90" i="2" s="1"/>
  <c r="N90" i="2" s="1"/>
  <c r="P90" i="2"/>
  <c r="Q90" i="2" s="1"/>
  <c r="R90" i="2" s="1"/>
  <c r="T90" i="2"/>
  <c r="U90" i="2" s="1"/>
  <c r="V90" i="2" s="1"/>
  <c r="X90" i="2"/>
  <c r="Y90" i="2" s="1"/>
  <c r="Z90" i="2" s="1"/>
  <c r="AB90" i="2"/>
  <c r="AC90" i="2" s="1"/>
  <c r="AD90" i="2" s="1"/>
  <c r="AF90" i="2"/>
  <c r="AG90" i="2" s="1"/>
  <c r="AH90" i="2" s="1"/>
  <c r="AJ90" i="2"/>
  <c r="AK90" i="2" s="1"/>
  <c r="AL90" i="2" s="1"/>
  <c r="AN90" i="2"/>
  <c r="AO90" i="2" s="1"/>
  <c r="AP90" i="2" s="1"/>
  <c r="AR90" i="2"/>
  <c r="AS90" i="2" s="1"/>
  <c r="AT90" i="2" s="1"/>
  <c r="AV90" i="2"/>
  <c r="AW90" i="2" s="1"/>
  <c r="AX90" i="2" s="1"/>
  <c r="AZ90" i="2"/>
  <c r="BA90" i="2" s="1"/>
  <c r="BB90" i="2" s="1"/>
  <c r="L91" i="2"/>
  <c r="M91" i="2" s="1"/>
  <c r="P91" i="2"/>
  <c r="Q91" i="2" s="1"/>
  <c r="R91" i="2" s="1"/>
  <c r="T91" i="2"/>
  <c r="U91" i="2" s="1"/>
  <c r="V91" i="2" s="1"/>
  <c r="X91" i="2"/>
  <c r="Y91" i="2" s="1"/>
  <c r="Z91" i="2" s="1"/>
  <c r="AB91" i="2"/>
  <c r="AC91" i="2" s="1"/>
  <c r="AF91" i="2"/>
  <c r="AG91" i="2" s="1"/>
  <c r="AH91" i="2" s="1"/>
  <c r="AJ91" i="2"/>
  <c r="AK91" i="2" s="1"/>
  <c r="AL91" i="2" s="1"/>
  <c r="AN91" i="2"/>
  <c r="AO91" i="2" s="1"/>
  <c r="AP91" i="2" s="1"/>
  <c r="AR91" i="2"/>
  <c r="AV91" i="2"/>
  <c r="AW91" i="2" s="1"/>
  <c r="AX91" i="2" s="1"/>
  <c r="AZ91" i="2"/>
  <c r="BA91" i="2" s="1"/>
  <c r="BB91" i="2" s="1"/>
  <c r="L92" i="2"/>
  <c r="M92" i="2" s="1"/>
  <c r="N92" i="2" s="1"/>
  <c r="P92" i="2"/>
  <c r="Q92" i="2" s="1"/>
  <c r="T92" i="2"/>
  <c r="U92" i="2" s="1"/>
  <c r="V92" i="2" s="1"/>
  <c r="X92" i="2"/>
  <c r="Y92" i="2" s="1"/>
  <c r="Z92" i="2" s="1"/>
  <c r="AB92" i="2"/>
  <c r="AC92" i="2" s="1"/>
  <c r="AD92" i="2" s="1"/>
  <c r="AF92" i="2"/>
  <c r="AG92" i="2" s="1"/>
  <c r="AH92" i="2" s="1"/>
  <c r="AJ92" i="2"/>
  <c r="AK92" i="2" s="1"/>
  <c r="AL92" i="2" s="1"/>
  <c r="AN92" i="2"/>
  <c r="AO92" i="2" s="1"/>
  <c r="AP92" i="2" s="1"/>
  <c r="AR92" i="2"/>
  <c r="AS92" i="2" s="1"/>
  <c r="AT92" i="2" s="1"/>
  <c r="AV92" i="2"/>
  <c r="AW92" i="2" s="1"/>
  <c r="AX92" i="2" s="1"/>
  <c r="AZ92" i="2"/>
  <c r="BA92" i="2" s="1"/>
  <c r="BB92" i="2" s="1"/>
  <c r="L93" i="2"/>
  <c r="M93" i="2" s="1"/>
  <c r="N93" i="2" s="1"/>
  <c r="P93" i="2"/>
  <c r="Q93" i="2" s="1"/>
  <c r="R93" i="2" s="1"/>
  <c r="T93" i="2"/>
  <c r="U93" i="2" s="1"/>
  <c r="V93" i="2" s="1"/>
  <c r="X93" i="2"/>
  <c r="Y93" i="2" s="1"/>
  <c r="Z93" i="2" s="1"/>
  <c r="AB93" i="2"/>
  <c r="AC93" i="2" s="1"/>
  <c r="AD93" i="2" s="1"/>
  <c r="AF93" i="2"/>
  <c r="AG93" i="2" s="1"/>
  <c r="AH93" i="2" s="1"/>
  <c r="AJ93" i="2"/>
  <c r="AK93" i="2" s="1"/>
  <c r="AL93" i="2" s="1"/>
  <c r="AN93" i="2"/>
  <c r="AO93" i="2" s="1"/>
  <c r="AP93" i="2" s="1"/>
  <c r="AR93" i="2"/>
  <c r="AS93" i="2" s="1"/>
  <c r="AT93" i="2" s="1"/>
  <c r="AV93" i="2"/>
  <c r="AW93" i="2" s="1"/>
  <c r="AX93" i="2" s="1"/>
  <c r="AZ93" i="2"/>
  <c r="BA93" i="2" s="1"/>
  <c r="BB93" i="2" s="1"/>
  <c r="L94" i="2"/>
  <c r="M94" i="2" s="1"/>
  <c r="N94" i="2" s="1"/>
  <c r="P94" i="2"/>
  <c r="Q94" i="2" s="1"/>
  <c r="R94" i="2" s="1"/>
  <c r="T94" i="2"/>
  <c r="U94" i="2" s="1"/>
  <c r="V94" i="2" s="1"/>
  <c r="X94" i="2"/>
  <c r="AB94" i="2"/>
  <c r="AC94" i="2" s="1"/>
  <c r="AD94" i="2" s="1"/>
  <c r="AF94" i="2"/>
  <c r="AG94" i="2" s="1"/>
  <c r="AH94" i="2" s="1"/>
  <c r="AJ94" i="2"/>
  <c r="AK94" i="2" s="1"/>
  <c r="AL94" i="2" s="1"/>
  <c r="AN94" i="2"/>
  <c r="AR94" i="2"/>
  <c r="AS94" i="2" s="1"/>
  <c r="AT94" i="2" s="1"/>
  <c r="AV94" i="2"/>
  <c r="AW94" i="2" s="1"/>
  <c r="AX94" i="2" s="1"/>
  <c r="AZ94" i="2"/>
  <c r="BA94" i="2" s="1"/>
  <c r="BB94" i="2" s="1"/>
  <c r="L95" i="2"/>
  <c r="P95" i="2"/>
  <c r="Q95" i="2" s="1"/>
  <c r="R95" i="2" s="1"/>
  <c r="T95" i="2"/>
  <c r="U95" i="2" s="1"/>
  <c r="V95" i="2" s="1"/>
  <c r="X95" i="2"/>
  <c r="Y95" i="2" s="1"/>
  <c r="Z95" i="2" s="1"/>
  <c r="AB95" i="2"/>
  <c r="AC95" i="2" s="1"/>
  <c r="AD95" i="2" s="1"/>
  <c r="AF95" i="2"/>
  <c r="AG95" i="2" s="1"/>
  <c r="AH95" i="2" s="1"/>
  <c r="AJ95" i="2"/>
  <c r="AK95" i="2" s="1"/>
  <c r="AL95" i="2" s="1"/>
  <c r="AN95" i="2"/>
  <c r="AO95" i="2" s="1"/>
  <c r="AP95" i="2" s="1"/>
  <c r="AR95" i="2"/>
  <c r="AS95" i="2" s="1"/>
  <c r="AV95" i="2"/>
  <c r="AW95" i="2" s="1"/>
  <c r="AX95" i="2" s="1"/>
  <c r="AZ95" i="2"/>
  <c r="BA95" i="2" s="1"/>
  <c r="BB95" i="2" s="1"/>
  <c r="L96" i="2"/>
  <c r="M96" i="2" s="1"/>
  <c r="N96" i="2" s="1"/>
  <c r="P96" i="2"/>
  <c r="Q96" i="2" s="1"/>
  <c r="R96" i="2" s="1"/>
  <c r="T96" i="2"/>
  <c r="U96" i="2" s="1"/>
  <c r="V96" i="2" s="1"/>
  <c r="X96" i="2"/>
  <c r="Y96" i="2" s="1"/>
  <c r="Z96" i="2" s="1"/>
  <c r="AB96" i="2"/>
  <c r="AC96" i="2" s="1"/>
  <c r="AD96" i="2" s="1"/>
  <c r="AF96" i="2"/>
  <c r="AG96" i="2" s="1"/>
  <c r="AH96" i="2" s="1"/>
  <c r="AJ96" i="2"/>
  <c r="AK96" i="2" s="1"/>
  <c r="AL96" i="2" s="1"/>
  <c r="AN96" i="2"/>
  <c r="AO96" i="2" s="1"/>
  <c r="AP96" i="2" s="1"/>
  <c r="AR96" i="2"/>
  <c r="AS96" i="2" s="1"/>
  <c r="AT96" i="2" s="1"/>
  <c r="AV96" i="2"/>
  <c r="AW96" i="2" s="1"/>
  <c r="AZ96" i="2"/>
  <c r="BA96" i="2" s="1"/>
  <c r="BB96" i="2" s="1"/>
  <c r="L97" i="2"/>
  <c r="M97" i="2" s="1"/>
  <c r="N97" i="2" s="1"/>
  <c r="P97" i="2"/>
  <c r="Q97" i="2" s="1"/>
  <c r="R97" i="2" s="1"/>
  <c r="T97" i="2"/>
  <c r="X97" i="2"/>
  <c r="Y97" i="2" s="1"/>
  <c r="Z97" i="2" s="1"/>
  <c r="AB97" i="2"/>
  <c r="AC97" i="2" s="1"/>
  <c r="AD97" i="2" s="1"/>
  <c r="AF97" i="2"/>
  <c r="AG97" i="2" s="1"/>
  <c r="AH97" i="2" s="1"/>
  <c r="AJ97" i="2"/>
  <c r="AN97" i="2"/>
  <c r="AO97" i="2" s="1"/>
  <c r="AP97" i="2" s="1"/>
  <c r="AR97" i="2"/>
  <c r="AS97" i="2" s="1"/>
  <c r="AT97" i="2" s="1"/>
  <c r="AV97" i="2"/>
  <c r="AW97" i="2" s="1"/>
  <c r="AX97" i="2" s="1"/>
  <c r="AZ97" i="2"/>
  <c r="L98" i="2"/>
  <c r="M98" i="2" s="1"/>
  <c r="N98" i="2" s="1"/>
  <c r="P98" i="2"/>
  <c r="Q98" i="2" s="1"/>
  <c r="R98" i="2" s="1"/>
  <c r="T98" i="2"/>
  <c r="U98" i="2" s="1"/>
  <c r="V98" i="2" s="1"/>
  <c r="X98" i="2"/>
  <c r="AB98" i="2"/>
  <c r="AC98" i="2" s="1"/>
  <c r="AD98" i="2" s="1"/>
  <c r="AF98" i="2"/>
  <c r="AG98" i="2" s="1"/>
  <c r="AH98" i="2" s="1"/>
  <c r="AJ98" i="2"/>
  <c r="AK98" i="2" s="1"/>
  <c r="AL98" i="2" s="1"/>
  <c r="AN98" i="2"/>
  <c r="AR98" i="2"/>
  <c r="AS98" i="2" s="1"/>
  <c r="AT98" i="2" s="1"/>
  <c r="AV98" i="2"/>
  <c r="AW98" i="2" s="1"/>
  <c r="AX98" i="2" s="1"/>
  <c r="AZ98" i="2"/>
  <c r="BA98" i="2" s="1"/>
  <c r="BB98" i="2" s="1"/>
  <c r="L99" i="2"/>
  <c r="M99" i="2" s="1"/>
  <c r="P99" i="2"/>
  <c r="Q99" i="2" s="1"/>
  <c r="R99" i="2" s="1"/>
  <c r="T99" i="2"/>
  <c r="U99" i="2" s="1"/>
  <c r="V99" i="2" s="1"/>
  <c r="X99" i="2"/>
  <c r="Y99" i="2" s="1"/>
  <c r="Z99" i="2" s="1"/>
  <c r="AB99" i="2"/>
  <c r="AF99" i="2"/>
  <c r="AG99" i="2" s="1"/>
  <c r="AH99" i="2" s="1"/>
  <c r="AJ99" i="2"/>
  <c r="AK99" i="2" s="1"/>
  <c r="AL99" i="2" s="1"/>
  <c r="AN99" i="2"/>
  <c r="AO99" i="2" s="1"/>
  <c r="AP99" i="2" s="1"/>
  <c r="AR99" i="2"/>
  <c r="AS99" i="2" s="1"/>
  <c r="AV99" i="2"/>
  <c r="AW99" i="2" s="1"/>
  <c r="AX99" i="2" s="1"/>
  <c r="AZ99" i="2"/>
  <c r="BA99" i="2" s="1"/>
  <c r="BB99" i="2" s="1"/>
  <c r="L100" i="2"/>
  <c r="M100" i="2" s="1"/>
  <c r="N100" i="2" s="1"/>
  <c r="P100" i="2"/>
  <c r="Q100" i="2" s="1"/>
  <c r="R100" i="2" s="1"/>
  <c r="T100" i="2"/>
  <c r="U100" i="2" s="1"/>
  <c r="V100" i="2" s="1"/>
  <c r="X100" i="2"/>
  <c r="Y100" i="2" s="1"/>
  <c r="Z100" i="2" s="1"/>
  <c r="AB100" i="2"/>
  <c r="AC100" i="2" s="1"/>
  <c r="AD100" i="2" s="1"/>
  <c r="AF100" i="2"/>
  <c r="AG100" i="2" s="1"/>
  <c r="AH100" i="2" s="1"/>
  <c r="AJ100" i="2"/>
  <c r="AK100" i="2" s="1"/>
  <c r="AL100" i="2" s="1"/>
  <c r="AN100" i="2"/>
  <c r="AO100" i="2" s="1"/>
  <c r="AP100" i="2" s="1"/>
  <c r="AR100" i="2"/>
  <c r="AS100" i="2" s="1"/>
  <c r="AT100" i="2" s="1"/>
  <c r="AV100" i="2"/>
  <c r="AW100" i="2" s="1"/>
  <c r="AZ100" i="2"/>
  <c r="BA100" i="2" s="1"/>
  <c r="BB100" i="2" s="1"/>
  <c r="L101" i="2"/>
  <c r="M101" i="2" s="1"/>
  <c r="N101" i="2" s="1"/>
  <c r="P101" i="2"/>
  <c r="Q101" i="2" s="1"/>
  <c r="R101" i="2" s="1"/>
  <c r="T101" i="2"/>
  <c r="X101" i="2"/>
  <c r="Y101" i="2" s="1"/>
  <c r="Z101" i="2" s="1"/>
  <c r="AB101" i="2"/>
  <c r="AC101" i="2" s="1"/>
  <c r="AD101" i="2" s="1"/>
  <c r="AF101" i="2"/>
  <c r="AG101" i="2" s="1"/>
  <c r="AH101" i="2" s="1"/>
  <c r="AJ101" i="2"/>
  <c r="AN101" i="2"/>
  <c r="AO101" i="2" s="1"/>
  <c r="AP101" i="2" s="1"/>
  <c r="AR101" i="2"/>
  <c r="AS101" i="2" s="1"/>
  <c r="AT101" i="2" s="1"/>
  <c r="AV101" i="2"/>
  <c r="AW101" i="2" s="1"/>
  <c r="AX101" i="2" s="1"/>
  <c r="AZ101" i="2"/>
  <c r="L102" i="2"/>
  <c r="M102" i="2" s="1"/>
  <c r="N102" i="2" s="1"/>
  <c r="P102" i="2"/>
  <c r="Q102" i="2" s="1"/>
  <c r="R102" i="2" s="1"/>
  <c r="T102" i="2"/>
  <c r="U102" i="2" s="1"/>
  <c r="V102" i="2" s="1"/>
  <c r="X102" i="2"/>
  <c r="AB102" i="2"/>
  <c r="AC102" i="2" s="1"/>
  <c r="AD102" i="2" s="1"/>
  <c r="AF102" i="2"/>
  <c r="AG102" i="2" s="1"/>
  <c r="AH102" i="2" s="1"/>
  <c r="AJ102" i="2"/>
  <c r="AK102" i="2" s="1"/>
  <c r="AL102" i="2" s="1"/>
  <c r="AN102" i="2"/>
  <c r="AR102" i="2"/>
  <c r="AS102" i="2" s="1"/>
  <c r="AT102" i="2" s="1"/>
  <c r="AV102" i="2"/>
  <c r="AW102" i="2" s="1"/>
  <c r="AX102" i="2" s="1"/>
  <c r="AZ102" i="2"/>
  <c r="BA102" i="2" s="1"/>
  <c r="BB102" i="2" s="1"/>
  <c r="L103" i="2"/>
  <c r="M103" i="2" s="1"/>
  <c r="P103" i="2"/>
  <c r="Q103" i="2" s="1"/>
  <c r="R103" i="2" s="1"/>
  <c r="T103" i="2"/>
  <c r="U103" i="2" s="1"/>
  <c r="V103" i="2" s="1"/>
  <c r="X103" i="2"/>
  <c r="Y103" i="2" s="1"/>
  <c r="Z103" i="2" s="1"/>
  <c r="AB103" i="2"/>
  <c r="AC103" i="2" s="1"/>
  <c r="AD103" i="2" s="1"/>
  <c r="AF103" i="2"/>
  <c r="AG103" i="2" s="1"/>
  <c r="AH103" i="2" s="1"/>
  <c r="AJ103" i="2"/>
  <c r="AK103" i="2" s="1"/>
  <c r="AL103" i="2" s="1"/>
  <c r="AN103" i="2"/>
  <c r="AO103" i="2" s="1"/>
  <c r="AP103" i="2" s="1"/>
  <c r="AR103" i="2"/>
  <c r="AV103" i="2"/>
  <c r="AW103" i="2" s="1"/>
  <c r="AX103" i="2" s="1"/>
  <c r="AZ103" i="2"/>
  <c r="BA103" i="2" s="1"/>
  <c r="BB103" i="2" s="1"/>
  <c r="L104" i="2"/>
  <c r="M104" i="2" s="1"/>
  <c r="N104" i="2" s="1"/>
  <c r="P104" i="2"/>
  <c r="Q104" i="2" s="1"/>
  <c r="R104" i="2" s="1"/>
  <c r="T104" i="2"/>
  <c r="U104" i="2" s="1"/>
  <c r="V104" i="2" s="1"/>
  <c r="X104" i="2"/>
  <c r="Y104" i="2" s="1"/>
  <c r="Z104" i="2" s="1"/>
  <c r="AB104" i="2"/>
  <c r="AC104" i="2" s="1"/>
  <c r="AD104" i="2" s="1"/>
  <c r="AF104" i="2"/>
  <c r="AJ104" i="2"/>
  <c r="AK104" i="2" s="1"/>
  <c r="AL104" i="2" s="1"/>
  <c r="AN104" i="2"/>
  <c r="AO104" i="2" s="1"/>
  <c r="AP104" i="2" s="1"/>
  <c r="AR104" i="2"/>
  <c r="AS104" i="2" s="1"/>
  <c r="AT104" i="2" s="1"/>
  <c r="AV104" i="2"/>
  <c r="AW104" i="2" s="1"/>
  <c r="AX104" i="2" s="1"/>
  <c r="AZ104" i="2"/>
  <c r="BA104" i="2" s="1"/>
  <c r="BB104" i="2" s="1"/>
  <c r="AZ5" i="2"/>
  <c r="AV5" i="2"/>
  <c r="AR5" i="2"/>
  <c r="AN5" i="2"/>
  <c r="AJ5" i="2"/>
  <c r="AF5" i="2"/>
  <c r="AB5" i="2"/>
  <c r="X5" i="2"/>
  <c r="T5" i="2"/>
  <c r="P5" i="2"/>
  <c r="L5" i="2"/>
  <c r="H5" i="2"/>
  <c r="I5" i="2" s="1"/>
  <c r="H6" i="2"/>
  <c r="H7" i="2"/>
  <c r="H8" i="2"/>
  <c r="I8" i="2" s="1"/>
  <c r="H9" i="2"/>
  <c r="H10" i="2"/>
  <c r="H11" i="2"/>
  <c r="H12" i="2"/>
  <c r="I12" i="2" s="1"/>
  <c r="H13" i="2"/>
  <c r="H14" i="2"/>
  <c r="H15" i="2"/>
  <c r="H16" i="2"/>
  <c r="I16" i="2" s="1"/>
  <c r="H17" i="2"/>
  <c r="H18" i="2"/>
  <c r="H19" i="2"/>
  <c r="H20" i="2"/>
  <c r="I20" i="2" s="1"/>
  <c r="H21" i="2"/>
  <c r="H22" i="2"/>
  <c r="H23" i="2"/>
  <c r="H24" i="2"/>
  <c r="I24" i="2" s="1"/>
  <c r="H25" i="2"/>
  <c r="H26" i="2"/>
  <c r="H27" i="2"/>
  <c r="H28" i="2"/>
  <c r="I28" i="2" s="1"/>
  <c r="H29" i="2"/>
  <c r="H30" i="2"/>
  <c r="H31" i="2"/>
  <c r="H32" i="2"/>
  <c r="I32" i="2" s="1"/>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AY78" i="2" l="1"/>
  <c r="W67" i="2"/>
  <c r="AQ84" i="2"/>
  <c r="O73" i="2"/>
  <c r="AI60" i="2"/>
  <c r="AU81" i="2"/>
  <c r="BC75" i="2"/>
  <c r="S70" i="2"/>
  <c r="AA64" i="2"/>
  <c r="S86" i="2"/>
  <c r="W83" i="2"/>
  <c r="AA80" i="2"/>
  <c r="AE77" i="2"/>
  <c r="AI74" i="2"/>
  <c r="AM71" i="2"/>
  <c r="AQ68" i="2"/>
  <c r="AU65" i="2"/>
  <c r="BC61" i="2"/>
  <c r="O59" i="2"/>
  <c r="AY86" i="2"/>
  <c r="AE85" i="2"/>
  <c r="BC83" i="2"/>
  <c r="AI82" i="2"/>
  <c r="O81" i="2"/>
  <c r="AM79" i="2"/>
  <c r="S78" i="2"/>
  <c r="AQ76" i="2"/>
  <c r="W75" i="2"/>
  <c r="AU73" i="2"/>
  <c r="AA72" i="2"/>
  <c r="AY70" i="2"/>
  <c r="AE69" i="2"/>
  <c r="BC67" i="2"/>
  <c r="AI66" i="2"/>
  <c r="O65" i="2"/>
  <c r="AM63" i="2"/>
  <c r="W61" i="2"/>
  <c r="AU59" i="2"/>
  <c r="AA58" i="2"/>
  <c r="N103" i="2"/>
  <c r="O103" i="2" s="1"/>
  <c r="AX100" i="2"/>
  <c r="AY100" i="2" s="1"/>
  <c r="AT99" i="2"/>
  <c r="AU99" i="2" s="1"/>
  <c r="N99" i="2"/>
  <c r="O99" i="2" s="1"/>
  <c r="AX96" i="2"/>
  <c r="AY96" i="2" s="1"/>
  <c r="AT95" i="2"/>
  <c r="AU95" i="2" s="1"/>
  <c r="R92" i="2"/>
  <c r="S92" i="2" s="1"/>
  <c r="AD91" i="2"/>
  <c r="AE91" i="2" s="1"/>
  <c r="N91" i="2"/>
  <c r="O91" i="2" s="1"/>
  <c r="AH88" i="2"/>
  <c r="AI88" i="2" s="1"/>
  <c r="AT87" i="2"/>
  <c r="AU87" i="2" s="1"/>
  <c r="AD87" i="2"/>
  <c r="AE87" i="2" s="1"/>
  <c r="N87" i="2"/>
  <c r="O87" i="2" s="1"/>
  <c r="AX84" i="2"/>
  <c r="AY84" i="2" s="1"/>
  <c r="AD83" i="2"/>
  <c r="AE83" i="2" s="1"/>
  <c r="AP82" i="2"/>
  <c r="AQ82" i="2" s="1"/>
  <c r="V81" i="2"/>
  <c r="W81" i="2" s="1"/>
  <c r="N79" i="2"/>
  <c r="O79" i="2" s="1"/>
  <c r="AL77" i="2"/>
  <c r="AM77" i="2" s="1"/>
  <c r="AD75" i="2"/>
  <c r="AE75" i="2" s="1"/>
  <c r="AP74" i="2"/>
  <c r="AQ74" i="2" s="1"/>
  <c r="BB73" i="2"/>
  <c r="BC73" i="2" s="1"/>
  <c r="V73" i="2"/>
  <c r="W73" i="2" s="1"/>
  <c r="AH72" i="2"/>
  <c r="AI72" i="2" s="1"/>
  <c r="AT71" i="2"/>
  <c r="AU71" i="2" s="1"/>
  <c r="N71" i="2"/>
  <c r="O71" i="2" s="1"/>
  <c r="Z70" i="2"/>
  <c r="AA70" i="2" s="1"/>
  <c r="AL69" i="2"/>
  <c r="AM69" i="2" s="1"/>
  <c r="AX68" i="2"/>
  <c r="AY68" i="2" s="1"/>
  <c r="R68" i="2"/>
  <c r="S68" i="2" s="1"/>
  <c r="AD67" i="2"/>
  <c r="AE67" i="2" s="1"/>
  <c r="AP66" i="2"/>
  <c r="AQ66" i="2" s="1"/>
  <c r="BB65" i="2"/>
  <c r="BC65" i="2" s="1"/>
  <c r="V65" i="2"/>
  <c r="W65" i="2" s="1"/>
  <c r="AH64" i="2"/>
  <c r="AI64" i="2" s="1"/>
  <c r="AT63" i="2"/>
  <c r="AU63" i="2" s="1"/>
  <c r="R62" i="2"/>
  <c r="S62" i="2" s="1"/>
  <c r="AD61" i="2"/>
  <c r="AE61" i="2" s="1"/>
  <c r="AP60" i="2"/>
  <c r="AQ60" i="2" s="1"/>
  <c r="BB59" i="2"/>
  <c r="BC59" i="2" s="1"/>
  <c r="V59" i="2"/>
  <c r="W59" i="2" s="1"/>
  <c r="AH58" i="2"/>
  <c r="AI58" i="2" s="1"/>
  <c r="AL57" i="2"/>
  <c r="AM57" i="2" s="1"/>
  <c r="V57" i="2"/>
  <c r="W57" i="2" s="1"/>
  <c r="AX56" i="2"/>
  <c r="AY56" i="2" s="1"/>
  <c r="AP86" i="2"/>
  <c r="AQ86" i="2" s="1"/>
  <c r="BB85" i="2"/>
  <c r="BC85" i="2" s="1"/>
  <c r="V85" i="2"/>
  <c r="W85" i="2" s="1"/>
  <c r="AH84" i="2"/>
  <c r="AI84" i="2" s="1"/>
  <c r="AT83" i="2"/>
  <c r="AU83" i="2" s="1"/>
  <c r="N83" i="2"/>
  <c r="O83" i="2" s="1"/>
  <c r="Z82" i="2"/>
  <c r="AA82" i="2" s="1"/>
  <c r="AL81" i="2"/>
  <c r="AM81" i="2" s="1"/>
  <c r="AX80" i="2"/>
  <c r="AY80" i="2" s="1"/>
  <c r="R80" i="2"/>
  <c r="S80" i="2" s="1"/>
  <c r="AD79" i="2"/>
  <c r="AE79" i="2" s="1"/>
  <c r="AP78" i="2"/>
  <c r="AQ78" i="2" s="1"/>
  <c r="BB77" i="2"/>
  <c r="BC77" i="2" s="1"/>
  <c r="V77" i="2"/>
  <c r="W77" i="2" s="1"/>
  <c r="AH76" i="2"/>
  <c r="AI76" i="2" s="1"/>
  <c r="AT75" i="2"/>
  <c r="AU75" i="2" s="1"/>
  <c r="N75" i="2"/>
  <c r="O75" i="2" s="1"/>
  <c r="Z74" i="2"/>
  <c r="AA74" i="2" s="1"/>
  <c r="AL73" i="2"/>
  <c r="AM73" i="2" s="1"/>
  <c r="AX72" i="2"/>
  <c r="AY72" i="2" s="1"/>
  <c r="R72" i="2"/>
  <c r="S72" i="2" s="1"/>
  <c r="AD71" i="2"/>
  <c r="AE71" i="2" s="1"/>
  <c r="AP70" i="2"/>
  <c r="AQ70" i="2" s="1"/>
  <c r="BB69" i="2"/>
  <c r="BC69" i="2" s="1"/>
  <c r="V69" i="2"/>
  <c r="W69" i="2" s="1"/>
  <c r="AH68" i="2"/>
  <c r="AI68" i="2" s="1"/>
  <c r="AT67" i="2"/>
  <c r="AU67" i="2" s="1"/>
  <c r="N67" i="2"/>
  <c r="O67" i="2" s="1"/>
  <c r="Z66" i="2"/>
  <c r="AA66" i="2" s="1"/>
  <c r="AL65" i="2"/>
  <c r="AM65" i="2" s="1"/>
  <c r="AX64" i="2"/>
  <c r="AY64" i="2" s="1"/>
  <c r="R64" i="2"/>
  <c r="S64" i="2" s="1"/>
  <c r="AD63" i="2"/>
  <c r="AE63" i="2" s="1"/>
  <c r="AT61" i="2"/>
  <c r="AU61" i="2" s="1"/>
  <c r="N61" i="2"/>
  <c r="O61" i="2" s="1"/>
  <c r="Z60" i="2"/>
  <c r="AA60" i="2" s="1"/>
  <c r="AL59" i="2"/>
  <c r="AM59" i="2" s="1"/>
  <c r="AX58" i="2"/>
  <c r="AY58" i="2" s="1"/>
  <c r="R58" i="2"/>
  <c r="S58" i="2" s="1"/>
  <c r="AY104" i="2"/>
  <c r="S104" i="2"/>
  <c r="AE103" i="2"/>
  <c r="AI100" i="2"/>
  <c r="S100" i="2"/>
  <c r="AI96" i="2"/>
  <c r="S96" i="2"/>
  <c r="AE95" i="2"/>
  <c r="BC93" i="2"/>
  <c r="AM93" i="2"/>
  <c r="W93" i="2"/>
  <c r="AY92" i="2"/>
  <c r="AI92" i="2"/>
  <c r="AQ90" i="2"/>
  <c r="AA90" i="2"/>
  <c r="BC89" i="2"/>
  <c r="AM89" i="2"/>
  <c r="W89" i="2"/>
  <c r="AY88" i="2"/>
  <c r="AQ104" i="2"/>
  <c r="AG104" i="2"/>
  <c r="AH104" i="2" s="1"/>
  <c r="AA104" i="2"/>
  <c r="BC103" i="2"/>
  <c r="AS103" i="2"/>
  <c r="AT103" i="2" s="1"/>
  <c r="AM103" i="2"/>
  <c r="W103" i="2"/>
  <c r="AY102" i="2"/>
  <c r="AO102" i="2"/>
  <c r="AP102" i="2" s="1"/>
  <c r="AI102" i="2"/>
  <c r="Y102" i="2"/>
  <c r="Z102" i="2" s="1"/>
  <c r="S102" i="2"/>
  <c r="BA101" i="2"/>
  <c r="BB101" i="2" s="1"/>
  <c r="AU101" i="2"/>
  <c r="AK101" i="2"/>
  <c r="AL101" i="2" s="1"/>
  <c r="AE101" i="2"/>
  <c r="U101" i="2"/>
  <c r="V101" i="2" s="1"/>
  <c r="O101" i="2"/>
  <c r="AQ100" i="2"/>
  <c r="AA100" i="2"/>
  <c r="BC99" i="2"/>
  <c r="AM99" i="2"/>
  <c r="AC99" i="2"/>
  <c r="AD99" i="2" s="1"/>
  <c r="W99" i="2"/>
  <c r="AY98" i="2"/>
  <c r="AO98" i="2"/>
  <c r="AP98" i="2" s="1"/>
  <c r="AI98" i="2"/>
  <c r="Y98" i="2"/>
  <c r="Z98" i="2" s="1"/>
  <c r="S98" i="2"/>
  <c r="BA97" i="2"/>
  <c r="BB97" i="2" s="1"/>
  <c r="AU97" i="2"/>
  <c r="AK97" i="2"/>
  <c r="AL97" i="2" s="1"/>
  <c r="AE97" i="2"/>
  <c r="U97" i="2"/>
  <c r="V97" i="2" s="1"/>
  <c r="O97" i="2"/>
  <c r="AQ96" i="2"/>
  <c r="AA96" i="2"/>
  <c r="BC95" i="2"/>
  <c r="AM95" i="2"/>
  <c r="W95" i="2"/>
  <c r="M95" i="2"/>
  <c r="N95" i="2" s="1"/>
  <c r="AY94" i="2"/>
  <c r="AO94" i="2"/>
  <c r="AP94" i="2" s="1"/>
  <c r="AI94" i="2"/>
  <c r="Y94" i="2"/>
  <c r="Z94" i="2" s="1"/>
  <c r="S94" i="2"/>
  <c r="AU93" i="2"/>
  <c r="AE93" i="2"/>
  <c r="O93" i="2"/>
  <c r="AQ92" i="2"/>
  <c r="AA92" i="2"/>
  <c r="BC91" i="2"/>
  <c r="AS91" i="2"/>
  <c r="AT91" i="2" s="1"/>
  <c r="AM91" i="2"/>
  <c r="W91" i="2"/>
  <c r="AY90" i="2"/>
  <c r="AI90" i="2"/>
  <c r="S90" i="2"/>
  <c r="AU89" i="2"/>
  <c r="AE89" i="2"/>
  <c r="O89" i="2"/>
  <c r="AQ88" i="2"/>
  <c r="AA88" i="2"/>
  <c r="Q88" i="2"/>
  <c r="R88" i="2" s="1"/>
  <c r="BC87" i="2"/>
  <c r="AM87" i="2"/>
  <c r="W87" i="2"/>
  <c r="AI86" i="2"/>
  <c r="AU85" i="2"/>
  <c r="O85" i="2"/>
  <c r="AA84" i="2"/>
  <c r="AM83" i="2"/>
  <c r="AY82" i="2"/>
  <c r="S82" i="2"/>
  <c r="AE81" i="2"/>
  <c r="AQ80" i="2"/>
  <c r="BC79" i="2"/>
  <c r="W79" i="2"/>
  <c r="AI78" i="2"/>
  <c r="AU77" i="2"/>
  <c r="O77" i="2"/>
  <c r="AA76" i="2"/>
  <c r="AM75" i="2"/>
  <c r="AY74" i="2"/>
  <c r="S74" i="2"/>
  <c r="AE73" i="2"/>
  <c r="AQ72" i="2"/>
  <c r="BC71" i="2"/>
  <c r="W71" i="2"/>
  <c r="AI70" i="2"/>
  <c r="AU69" i="2"/>
  <c r="O69" i="2"/>
  <c r="AA68" i="2"/>
  <c r="AM67" i="2"/>
  <c r="AY66" i="2"/>
  <c r="S66" i="2"/>
  <c r="AE65" i="2"/>
  <c r="AQ64" i="2"/>
  <c r="BC63" i="2"/>
  <c r="W63" i="2"/>
  <c r="AM61" i="2"/>
  <c r="AY60" i="2"/>
  <c r="S60" i="2"/>
  <c r="AE59" i="2"/>
  <c r="AQ58" i="2"/>
  <c r="BC57" i="2"/>
  <c r="Z86" i="2"/>
  <c r="AA86" i="2" s="1"/>
  <c r="AL85" i="2"/>
  <c r="AM85" i="2" s="1"/>
  <c r="R84" i="2"/>
  <c r="S84" i="2" s="1"/>
  <c r="BB81" i="2"/>
  <c r="BC81" i="2" s="1"/>
  <c r="AH80" i="2"/>
  <c r="AI80" i="2" s="1"/>
  <c r="AT79" i="2"/>
  <c r="AU79" i="2" s="1"/>
  <c r="Z78" i="2"/>
  <c r="AA78" i="2" s="1"/>
  <c r="AX76" i="2"/>
  <c r="AY76" i="2" s="1"/>
  <c r="R76" i="2"/>
  <c r="S76" i="2" s="1"/>
  <c r="AU57" i="2"/>
  <c r="AE57" i="2"/>
  <c r="O57" i="2"/>
  <c r="AQ56" i="2"/>
  <c r="BC104" i="2"/>
  <c r="AU104" i="2"/>
  <c r="AM104" i="2"/>
  <c r="AE104" i="2"/>
  <c r="W104" i="2"/>
  <c r="O104" i="2"/>
  <c r="AY103" i="2"/>
  <c r="AQ103" i="2"/>
  <c r="AI103" i="2"/>
  <c r="AA103" i="2"/>
  <c r="S103" i="2"/>
  <c r="BC102" i="2"/>
  <c r="AU102" i="2"/>
  <c r="AM102" i="2"/>
  <c r="AE102" i="2"/>
  <c r="W102" i="2"/>
  <c r="O102" i="2"/>
  <c r="AY101" i="2"/>
  <c r="AQ101" i="2"/>
  <c r="AI101" i="2"/>
  <c r="AA101" i="2"/>
  <c r="S101" i="2"/>
  <c r="BC100" i="2"/>
  <c r="AU100" i="2"/>
  <c r="AM100" i="2"/>
  <c r="AE100" i="2"/>
  <c r="W100" i="2"/>
  <c r="O100" i="2"/>
  <c r="AY99" i="2"/>
  <c r="AQ99" i="2"/>
  <c r="AI99" i="2"/>
  <c r="AA99" i="2"/>
  <c r="S99" i="2"/>
  <c r="BC98" i="2"/>
  <c r="AU98" i="2"/>
  <c r="AM98" i="2"/>
  <c r="AE98" i="2"/>
  <c r="W98" i="2"/>
  <c r="O98" i="2"/>
  <c r="AY97" i="2"/>
  <c r="AQ97" i="2"/>
  <c r="AI97" i="2"/>
  <c r="AA97" i="2"/>
  <c r="S97" i="2"/>
  <c r="BC96" i="2"/>
  <c r="AU96" i="2"/>
  <c r="AM96" i="2"/>
  <c r="AE96" i="2"/>
  <c r="W96" i="2"/>
  <c r="O96" i="2"/>
  <c r="AY95" i="2"/>
  <c r="AQ95" i="2"/>
  <c r="AI95" i="2"/>
  <c r="AA95" i="2"/>
  <c r="S95" i="2"/>
  <c r="BC94" i="2"/>
  <c r="AU94" i="2"/>
  <c r="AM94" i="2"/>
  <c r="AE94" i="2"/>
  <c r="W94" i="2"/>
  <c r="O94" i="2"/>
  <c r="AY93" i="2"/>
  <c r="AQ93" i="2"/>
  <c r="AI93" i="2"/>
  <c r="AA93" i="2"/>
  <c r="S93" i="2"/>
  <c r="BC92" i="2"/>
  <c r="AU92" i="2"/>
  <c r="AM92" i="2"/>
  <c r="AE92" i="2"/>
  <c r="W92" i="2"/>
  <c r="O92" i="2"/>
  <c r="AY91" i="2"/>
  <c r="AQ91" i="2"/>
  <c r="AI91" i="2"/>
  <c r="AA91" i="2"/>
  <c r="S91" i="2"/>
  <c r="BC90" i="2"/>
  <c r="AU90" i="2"/>
  <c r="AM90" i="2"/>
  <c r="AE90" i="2"/>
  <c r="W90" i="2"/>
  <c r="O90" i="2"/>
  <c r="AY89" i="2"/>
  <c r="AQ89" i="2"/>
  <c r="AI89" i="2"/>
  <c r="AA89" i="2"/>
  <c r="S89" i="2"/>
  <c r="BC88" i="2"/>
  <c r="AU88" i="2"/>
  <c r="AM88" i="2"/>
  <c r="AE88" i="2"/>
  <c r="W88" i="2"/>
  <c r="O88" i="2"/>
  <c r="AY87" i="2"/>
  <c r="AQ87" i="2"/>
  <c r="AI87" i="2"/>
  <c r="AA87" i="2"/>
  <c r="S87" i="2"/>
  <c r="BC86" i="2"/>
  <c r="AU86" i="2"/>
  <c r="AM86" i="2"/>
  <c r="AE86" i="2"/>
  <c r="W86" i="2"/>
  <c r="O86" i="2"/>
  <c r="AY85" i="2"/>
  <c r="AQ85" i="2"/>
  <c r="AI85" i="2"/>
  <c r="AA85" i="2"/>
  <c r="S85" i="2"/>
  <c r="BC84" i="2"/>
  <c r="AU84" i="2"/>
  <c r="AM84" i="2"/>
  <c r="AE84" i="2"/>
  <c r="W84" i="2"/>
  <c r="O84" i="2"/>
  <c r="AY83" i="2"/>
  <c r="AQ83" i="2"/>
  <c r="AI83" i="2"/>
  <c r="AA83" i="2"/>
  <c r="S83" i="2"/>
  <c r="BC82" i="2"/>
  <c r="AU82" i="2"/>
  <c r="AM82" i="2"/>
  <c r="AE82" i="2"/>
  <c r="W82" i="2"/>
  <c r="O82" i="2"/>
  <c r="AY81" i="2"/>
  <c r="AQ81" i="2"/>
  <c r="AI81" i="2"/>
  <c r="AA81" i="2"/>
  <c r="S81" i="2"/>
  <c r="BC80" i="2"/>
  <c r="AU80" i="2"/>
  <c r="AM80" i="2"/>
  <c r="AE80" i="2"/>
  <c r="W80" i="2"/>
  <c r="O80" i="2"/>
  <c r="AY79" i="2"/>
  <c r="AQ79" i="2"/>
  <c r="AI79" i="2"/>
  <c r="AA79" i="2"/>
  <c r="S79" i="2"/>
  <c r="BC78" i="2"/>
  <c r="AU78" i="2"/>
  <c r="AM78" i="2"/>
  <c r="AE78" i="2"/>
  <c r="W78" i="2"/>
  <c r="O78" i="2"/>
  <c r="AY77" i="2"/>
  <c r="AQ77" i="2"/>
  <c r="AI77" i="2"/>
  <c r="AA77" i="2"/>
  <c r="S77" i="2"/>
  <c r="BC76" i="2"/>
  <c r="AU76" i="2"/>
  <c r="AM76" i="2"/>
  <c r="AE76" i="2"/>
  <c r="W76" i="2"/>
  <c r="O76" i="2"/>
  <c r="AY75" i="2"/>
  <c r="AQ75" i="2"/>
  <c r="AI75" i="2"/>
  <c r="AA75" i="2"/>
  <c r="S75" i="2"/>
  <c r="BC74" i="2"/>
  <c r="AU74" i="2"/>
  <c r="AM74" i="2"/>
  <c r="AE74" i="2"/>
  <c r="W74" i="2"/>
  <c r="O74" i="2"/>
  <c r="AY73" i="2"/>
  <c r="AQ73" i="2"/>
  <c r="AI73" i="2"/>
  <c r="AA73" i="2"/>
  <c r="S73" i="2"/>
  <c r="BC72" i="2"/>
  <c r="AU72" i="2"/>
  <c r="AM72" i="2"/>
  <c r="AE72" i="2"/>
  <c r="W72" i="2"/>
  <c r="O72" i="2"/>
  <c r="AY71" i="2"/>
  <c r="AQ71" i="2"/>
  <c r="AI71" i="2"/>
  <c r="AA71" i="2"/>
  <c r="S71" i="2"/>
  <c r="BC70" i="2"/>
  <c r="AU70" i="2"/>
  <c r="AM70" i="2"/>
  <c r="AE70" i="2"/>
  <c r="W70" i="2"/>
  <c r="O70" i="2"/>
  <c r="AY69" i="2"/>
  <c r="AQ69" i="2"/>
  <c r="AI69" i="2"/>
  <c r="AA69" i="2"/>
  <c r="S69" i="2"/>
  <c r="BC68" i="2"/>
  <c r="AU68" i="2"/>
  <c r="AM68" i="2"/>
  <c r="AE68" i="2"/>
  <c r="W68" i="2"/>
  <c r="O68" i="2"/>
  <c r="AY67" i="2"/>
  <c r="AQ67" i="2"/>
  <c r="AI67" i="2"/>
  <c r="AA67" i="2"/>
  <c r="S67" i="2"/>
  <c r="BC66" i="2"/>
  <c r="AU66" i="2"/>
  <c r="AM66" i="2"/>
  <c r="AE66" i="2"/>
  <c r="W66" i="2"/>
  <c r="O66" i="2"/>
  <c r="AY65" i="2"/>
  <c r="AQ65" i="2"/>
  <c r="AI65" i="2"/>
  <c r="AA65" i="2"/>
  <c r="S65" i="2"/>
  <c r="BC64" i="2"/>
  <c r="AU64" i="2"/>
  <c r="AM64" i="2"/>
  <c r="AE64" i="2"/>
  <c r="W64" i="2"/>
  <c r="O64" i="2"/>
  <c r="AY63" i="2"/>
  <c r="AQ63" i="2"/>
  <c r="AI63" i="2"/>
  <c r="AA63" i="2"/>
  <c r="S63" i="2"/>
  <c r="AA62" i="2"/>
  <c r="W62" i="2"/>
  <c r="AD62" i="2"/>
  <c r="AE62" i="2" s="1"/>
  <c r="O62" i="2"/>
  <c r="AY61" i="2"/>
  <c r="AQ61" i="2"/>
  <c r="AI61" i="2"/>
  <c r="AA61" i="2"/>
  <c r="S61" i="2"/>
  <c r="BC60" i="2"/>
  <c r="AU60" i="2"/>
  <c r="AM60" i="2"/>
  <c r="AE60" i="2"/>
  <c r="W60" i="2"/>
  <c r="O60" i="2"/>
  <c r="AY59" i="2"/>
  <c r="AQ59" i="2"/>
  <c r="AI59" i="2"/>
  <c r="AA59" i="2"/>
  <c r="S59" i="2"/>
  <c r="BC58" i="2"/>
  <c r="AU58" i="2"/>
  <c r="AM58" i="2"/>
  <c r="AE58" i="2"/>
  <c r="W58" i="2"/>
  <c r="O58" i="2"/>
  <c r="AY57" i="2"/>
  <c r="AQ57" i="2"/>
  <c r="AI57" i="2"/>
  <c r="AA57" i="2"/>
  <c r="S57" i="2"/>
  <c r="BC56" i="2"/>
  <c r="AU56" i="2"/>
  <c r="AM56" i="2"/>
  <c r="BA24" i="2"/>
  <c r="BB24" i="2" s="1"/>
  <c r="AW24" i="2"/>
  <c r="AX24" i="2" s="1"/>
  <c r="AS24" i="2"/>
  <c r="AO24" i="2"/>
  <c r="AP24" i="2" s="1"/>
  <c r="AK24" i="2"/>
  <c r="AL24" i="2" s="1"/>
  <c r="AG24" i="2"/>
  <c r="AH24" i="2" s="1"/>
  <c r="AC24" i="2"/>
  <c r="Y24" i="2"/>
  <c r="Z24" i="2" s="1"/>
  <c r="U24" i="2"/>
  <c r="V24" i="2" s="1"/>
  <c r="Q24" i="2"/>
  <c r="R24" i="2" s="1"/>
  <c r="M24" i="2"/>
  <c r="BA23" i="2"/>
  <c r="BB23" i="2" s="1"/>
  <c r="AW23" i="2"/>
  <c r="AX23" i="2" s="1"/>
  <c r="AS23" i="2"/>
  <c r="AT23" i="2" s="1"/>
  <c r="AO23" i="2"/>
  <c r="AK23" i="2"/>
  <c r="AL23" i="2" s="1"/>
  <c r="AG23" i="2"/>
  <c r="AH23" i="2" s="1"/>
  <c r="AC23" i="2"/>
  <c r="AD23" i="2" s="1"/>
  <c r="Y23" i="2"/>
  <c r="U23" i="2"/>
  <c r="V23" i="2" s="1"/>
  <c r="Q23" i="2"/>
  <c r="R23" i="2" s="1"/>
  <c r="M23" i="2"/>
  <c r="N23" i="2" s="1"/>
  <c r="BA22" i="2"/>
  <c r="AW22" i="2"/>
  <c r="AX22" i="2" s="1"/>
  <c r="AS22" i="2"/>
  <c r="AT22" i="2" s="1"/>
  <c r="AO22" i="2"/>
  <c r="AP22" i="2" s="1"/>
  <c r="AK22" i="2"/>
  <c r="AG22" i="2"/>
  <c r="AH22" i="2" s="1"/>
  <c r="AC22" i="2"/>
  <c r="AD22" i="2" s="1"/>
  <c r="Y22" i="2"/>
  <c r="Z22" i="2" s="1"/>
  <c r="U22" i="2"/>
  <c r="Q22" i="2"/>
  <c r="R22" i="2" s="1"/>
  <c r="M22" i="2"/>
  <c r="N22" i="2" s="1"/>
  <c r="BA21" i="2"/>
  <c r="BB21" i="2" s="1"/>
  <c r="AW21" i="2"/>
  <c r="AS21" i="2"/>
  <c r="AT21" i="2" s="1"/>
  <c r="AO21" i="2"/>
  <c r="AP21" i="2" s="1"/>
  <c r="AK21" i="2"/>
  <c r="AL21" i="2" s="1"/>
  <c r="AG21" i="2"/>
  <c r="AC21" i="2"/>
  <c r="AD21" i="2" s="1"/>
  <c r="Y21" i="2"/>
  <c r="U21" i="2"/>
  <c r="V21" i="2" s="1"/>
  <c r="Q21" i="2"/>
  <c r="M21" i="2"/>
  <c r="BA20" i="2"/>
  <c r="AW20" i="2"/>
  <c r="AX20" i="2" s="1"/>
  <c r="AS20" i="2"/>
  <c r="AO20" i="2"/>
  <c r="AP20" i="2" s="1"/>
  <c r="AK20" i="2"/>
  <c r="AG20" i="2"/>
  <c r="AH20" i="2" s="1"/>
  <c r="AC20" i="2"/>
  <c r="Y20" i="2"/>
  <c r="Z20" i="2" s="1"/>
  <c r="U20" i="2"/>
  <c r="Q20" i="2"/>
  <c r="R20" i="2" s="1"/>
  <c r="M20" i="2"/>
  <c r="BA19" i="2"/>
  <c r="BB19" i="2" s="1"/>
  <c r="AW19" i="2"/>
  <c r="AS19" i="2"/>
  <c r="AT19" i="2" s="1"/>
  <c r="AO19" i="2"/>
  <c r="AK19" i="2"/>
  <c r="AL19" i="2" s="1"/>
  <c r="AG19" i="2"/>
  <c r="AC19" i="2"/>
  <c r="AD19" i="2" s="1"/>
  <c r="Y19" i="2"/>
  <c r="U19" i="2"/>
  <c r="V19" i="2" s="1"/>
  <c r="Q19" i="2"/>
  <c r="M19" i="2"/>
  <c r="N19" i="2" s="1"/>
  <c r="BA18" i="2"/>
  <c r="AW18" i="2"/>
  <c r="AX18" i="2" s="1"/>
  <c r="AS18" i="2"/>
  <c r="AO18" i="2"/>
  <c r="AP18" i="2" s="1"/>
  <c r="AK18" i="2"/>
  <c r="AG18" i="2"/>
  <c r="AH18" i="2" s="1"/>
  <c r="AC18" i="2"/>
  <c r="Y18" i="2"/>
  <c r="Z18" i="2" s="1"/>
  <c r="U18" i="2"/>
  <c r="V18" i="2" s="1"/>
  <c r="Q18" i="2"/>
  <c r="R18" i="2" s="1"/>
  <c r="M18" i="2"/>
  <c r="N18" i="2" s="1"/>
  <c r="BA17" i="2"/>
  <c r="BB17" i="2" s="1"/>
  <c r="AW17" i="2"/>
  <c r="AX17" i="2" s="1"/>
  <c r="AS17" i="2"/>
  <c r="AT17" i="2" s="1"/>
  <c r="AO17" i="2"/>
  <c r="AP17" i="2" s="1"/>
  <c r="AG17" i="2"/>
  <c r="AH17" i="2" s="1"/>
  <c r="Y17" i="2"/>
  <c r="Q17" i="2"/>
  <c r="BA16" i="2"/>
  <c r="BB16" i="2" s="1"/>
  <c r="AS16" i="2"/>
  <c r="AK16" i="2"/>
  <c r="AL16" i="2" s="1"/>
  <c r="AC16" i="2"/>
  <c r="U16" i="2"/>
  <c r="V16" i="2" s="1"/>
  <c r="M16" i="2"/>
  <c r="AW15" i="2"/>
  <c r="AX15" i="2" s="1"/>
  <c r="AO15" i="2"/>
  <c r="AG15" i="2"/>
  <c r="AH15" i="2" s="1"/>
  <c r="Y15" i="2"/>
  <c r="Q15" i="2"/>
  <c r="R15" i="2" s="1"/>
  <c r="BA14" i="2"/>
  <c r="AS14" i="2"/>
  <c r="AT14" i="2" s="1"/>
  <c r="AK14" i="2"/>
  <c r="AC14" i="2"/>
  <c r="AD14" i="2" s="1"/>
  <c r="U14" i="2"/>
  <c r="M14" i="2"/>
  <c r="N14" i="2" s="1"/>
  <c r="AW13" i="2"/>
  <c r="AO13" i="2"/>
  <c r="AG13" i="2"/>
  <c r="AK17" i="2"/>
  <c r="AC17" i="2"/>
  <c r="U17" i="2"/>
  <c r="M17" i="2"/>
  <c r="N17" i="2" s="1"/>
  <c r="AW16" i="2"/>
  <c r="AO16" i="2"/>
  <c r="AG16" i="2"/>
  <c r="Y16" i="2"/>
  <c r="Z16" i="2" s="1"/>
  <c r="Q16" i="2"/>
  <c r="BA15" i="2"/>
  <c r="AS15" i="2"/>
  <c r="AK15" i="2"/>
  <c r="AC15" i="2"/>
  <c r="U15" i="2"/>
  <c r="V15" i="2" s="1"/>
  <c r="M15" i="2"/>
  <c r="AW14" i="2"/>
  <c r="AX14" i="2" s="1"/>
  <c r="AO14" i="2"/>
  <c r="AG14" i="2"/>
  <c r="AH14" i="2" s="1"/>
  <c r="Y14" i="2"/>
  <c r="Q14" i="2"/>
  <c r="R14" i="2" s="1"/>
  <c r="BA13" i="2"/>
  <c r="AS13" i="2"/>
  <c r="AT13" i="2" s="1"/>
  <c r="AK13" i="2"/>
  <c r="AC13" i="2"/>
  <c r="N25" i="2"/>
  <c r="O25" i="2" s="1"/>
  <c r="AT24" i="2"/>
  <c r="AD24" i="2"/>
  <c r="N24" i="2"/>
  <c r="AP23" i="2"/>
  <c r="Z23" i="2"/>
  <c r="BB22" i="2"/>
  <c r="AL22" i="2"/>
  <c r="V22" i="2"/>
  <c r="AX21" i="2"/>
  <c r="AH21" i="2"/>
  <c r="N21" i="2"/>
  <c r="Y13" i="2"/>
  <c r="Z13" i="2" s="1"/>
  <c r="U13" i="2"/>
  <c r="Q13" i="2"/>
  <c r="M13" i="2"/>
  <c r="N13" i="2" s="1"/>
  <c r="BA12" i="2"/>
  <c r="BB12" i="2" s="1"/>
  <c r="AW12" i="2"/>
  <c r="AS12" i="2"/>
  <c r="AO12" i="2"/>
  <c r="AP12" i="2" s="1"/>
  <c r="AK12" i="2"/>
  <c r="AL12" i="2" s="1"/>
  <c r="AG12" i="2"/>
  <c r="AC12" i="2"/>
  <c r="Y12" i="2"/>
  <c r="Z12" i="2" s="1"/>
  <c r="U12" i="2"/>
  <c r="V12" i="2" s="1"/>
  <c r="Q12" i="2"/>
  <c r="M12" i="2"/>
  <c r="BA11" i="2"/>
  <c r="BB11" i="2" s="1"/>
  <c r="AW11" i="2"/>
  <c r="AX11" i="2" s="1"/>
  <c r="AS11" i="2"/>
  <c r="AO11" i="2"/>
  <c r="AK11" i="2"/>
  <c r="AL11" i="2" s="1"/>
  <c r="AG11" i="2"/>
  <c r="AH11" i="2" s="1"/>
  <c r="AC11" i="2"/>
  <c r="Y11" i="2"/>
  <c r="U11" i="2"/>
  <c r="V11" i="2" s="1"/>
  <c r="Q11" i="2"/>
  <c r="R11" i="2" s="1"/>
  <c r="M11" i="2"/>
  <c r="BA10" i="2"/>
  <c r="AW10" i="2"/>
  <c r="AX10" i="2" s="1"/>
  <c r="AS10" i="2"/>
  <c r="AT10" i="2" s="1"/>
  <c r="AO10" i="2"/>
  <c r="AK10" i="2"/>
  <c r="AG10" i="2"/>
  <c r="AH10" i="2" s="1"/>
  <c r="AC10" i="2"/>
  <c r="AD10" i="2" s="1"/>
  <c r="Y10" i="2"/>
  <c r="U10" i="2"/>
  <c r="Q10" i="2"/>
  <c r="R10" i="2" s="1"/>
  <c r="M10" i="2"/>
  <c r="N10" i="2" s="1"/>
  <c r="BA9" i="2"/>
  <c r="AW9" i="2"/>
  <c r="AS9" i="2"/>
  <c r="AT9" i="2" s="1"/>
  <c r="AO9" i="2"/>
  <c r="AP9" i="2" s="1"/>
  <c r="AK9" i="2"/>
  <c r="AG9" i="2"/>
  <c r="AC9" i="2"/>
  <c r="AD9" i="2" s="1"/>
  <c r="Y9" i="2"/>
  <c r="Z9" i="2" s="1"/>
  <c r="W9" i="2"/>
  <c r="S9" i="2"/>
  <c r="O9" i="2"/>
  <c r="BC8" i="2"/>
  <c r="AY8" i="2"/>
  <c r="AU8" i="2"/>
  <c r="AQ8" i="2"/>
  <c r="AM8" i="2"/>
  <c r="AI8" i="2"/>
  <c r="AE8" i="2"/>
  <c r="AA8" i="2"/>
  <c r="W8" i="2"/>
  <c r="S8" i="2"/>
  <c r="O8" i="2"/>
  <c r="BC7" i="2"/>
  <c r="AY7" i="2"/>
  <c r="AU7" i="2"/>
  <c r="AQ7" i="2"/>
  <c r="AM7" i="2"/>
  <c r="AI7" i="2"/>
  <c r="AE7" i="2"/>
  <c r="AA7" i="2"/>
  <c r="W7" i="2"/>
  <c r="S7" i="2"/>
  <c r="O7" i="2"/>
  <c r="BC6" i="2"/>
  <c r="AY6" i="2"/>
  <c r="AU6" i="2"/>
  <c r="AQ6" i="2"/>
  <c r="AM6" i="2"/>
  <c r="AI6" i="2"/>
  <c r="AE6" i="2"/>
  <c r="AA6" i="2"/>
  <c r="W6" i="2"/>
  <c r="S6" i="2"/>
  <c r="O6" i="2"/>
  <c r="M5" i="2"/>
  <c r="N5" i="2" s="1"/>
  <c r="Q5" i="2"/>
  <c r="U5" i="2"/>
  <c r="Y5" i="2"/>
  <c r="AC5" i="2"/>
  <c r="AD5" i="2" s="1"/>
  <c r="AG5" i="2"/>
  <c r="AK5" i="2"/>
  <c r="AO5" i="2"/>
  <c r="AS5" i="2"/>
  <c r="AT5" i="2" s="1"/>
  <c r="AW5" i="2"/>
  <c r="BA5" i="2"/>
  <c r="I103" i="2"/>
  <c r="J103" i="2" s="1"/>
  <c r="I101" i="2"/>
  <c r="J101" i="2" s="1"/>
  <c r="I99" i="2"/>
  <c r="J99" i="2" s="1"/>
  <c r="I97" i="2"/>
  <c r="J97" i="2" s="1"/>
  <c r="I95" i="2"/>
  <c r="J95" i="2" s="1"/>
  <c r="I93" i="2"/>
  <c r="J93" i="2" s="1"/>
  <c r="I91" i="2"/>
  <c r="J91" i="2" s="1"/>
  <c r="I89" i="2"/>
  <c r="J89" i="2" s="1"/>
  <c r="I87" i="2"/>
  <c r="J87" i="2" s="1"/>
  <c r="I85" i="2"/>
  <c r="J85" i="2" s="1"/>
  <c r="I83" i="2"/>
  <c r="J83" i="2" s="1"/>
  <c r="I81" i="2"/>
  <c r="J81" i="2" s="1"/>
  <c r="I79" i="2"/>
  <c r="J79" i="2" s="1"/>
  <c r="I77" i="2"/>
  <c r="J77" i="2" s="1"/>
  <c r="I75" i="2"/>
  <c r="J75" i="2" s="1"/>
  <c r="I73" i="2"/>
  <c r="J73" i="2" s="1"/>
  <c r="I71" i="2"/>
  <c r="J71" i="2" s="1"/>
  <c r="I69" i="2"/>
  <c r="J69" i="2" s="1"/>
  <c r="I67" i="2"/>
  <c r="J67" i="2" s="1"/>
  <c r="I65" i="2"/>
  <c r="J65" i="2" s="1"/>
  <c r="I63" i="2"/>
  <c r="J63" i="2" s="1"/>
  <c r="I61" i="2"/>
  <c r="J61" i="2" s="1"/>
  <c r="I59" i="2"/>
  <c r="J59" i="2" s="1"/>
  <c r="I57" i="2"/>
  <c r="J57" i="2" s="1"/>
  <c r="I55" i="2"/>
  <c r="J55" i="2" s="1"/>
  <c r="I53" i="2"/>
  <c r="J53" i="2" s="1"/>
  <c r="I51" i="2"/>
  <c r="J51" i="2" s="1"/>
  <c r="I49" i="2"/>
  <c r="J49" i="2" s="1"/>
  <c r="I47" i="2"/>
  <c r="J47" i="2" s="1"/>
  <c r="I45" i="2"/>
  <c r="J45" i="2" s="1"/>
  <c r="I43" i="2"/>
  <c r="J43" i="2" s="1"/>
  <c r="I41" i="2"/>
  <c r="J41" i="2" s="1"/>
  <c r="I39" i="2"/>
  <c r="J39" i="2" s="1"/>
  <c r="I37" i="2"/>
  <c r="J37" i="2" s="1"/>
  <c r="I35" i="2"/>
  <c r="J35" i="2" s="1"/>
  <c r="I33" i="2"/>
  <c r="J33" i="2" s="1"/>
  <c r="I31" i="2"/>
  <c r="J31" i="2" s="1"/>
  <c r="I29" i="2"/>
  <c r="J29" i="2" s="1"/>
  <c r="I27" i="2"/>
  <c r="J27" i="2" s="1"/>
  <c r="I25" i="2"/>
  <c r="J25" i="2" s="1"/>
  <c r="I23" i="2"/>
  <c r="J23" i="2" s="1"/>
  <c r="I21" i="2"/>
  <c r="J21" i="2" s="1"/>
  <c r="I19" i="2"/>
  <c r="J19" i="2" s="1"/>
  <c r="I17" i="2"/>
  <c r="J17" i="2" s="1"/>
  <c r="I15" i="2"/>
  <c r="J15" i="2" s="1"/>
  <c r="I13" i="2"/>
  <c r="J13" i="2" s="1"/>
  <c r="I11" i="2"/>
  <c r="J11" i="2" s="1"/>
  <c r="I9" i="2"/>
  <c r="J9" i="2" s="1"/>
  <c r="I7" i="2"/>
  <c r="J7" i="2" s="1"/>
  <c r="J32" i="2"/>
  <c r="K32" i="2" s="1"/>
  <c r="J28" i="2"/>
  <c r="K28" i="2" s="1"/>
  <c r="J24" i="2"/>
  <c r="K24" i="2" s="1"/>
  <c r="J20" i="2"/>
  <c r="K20" i="2" s="1"/>
  <c r="J16" i="2"/>
  <c r="K16" i="2" s="1"/>
  <c r="J12" i="2"/>
  <c r="K12" i="2" s="1"/>
  <c r="J8" i="2"/>
  <c r="K8" i="2" s="1"/>
  <c r="J5" i="2"/>
  <c r="K5" i="2" s="1"/>
  <c r="I104" i="2"/>
  <c r="J104" i="2" s="1"/>
  <c r="I102" i="2"/>
  <c r="J102" i="2" s="1"/>
  <c r="I100" i="2"/>
  <c r="J100" i="2" s="1"/>
  <c r="I98" i="2"/>
  <c r="J98" i="2" s="1"/>
  <c r="I96" i="2"/>
  <c r="J96" i="2" s="1"/>
  <c r="I94" i="2"/>
  <c r="J94" i="2" s="1"/>
  <c r="I92" i="2"/>
  <c r="J92" i="2" s="1"/>
  <c r="I90" i="2"/>
  <c r="J90" i="2" s="1"/>
  <c r="I88" i="2"/>
  <c r="J88" i="2" s="1"/>
  <c r="I86" i="2"/>
  <c r="J86" i="2" s="1"/>
  <c r="I84" i="2"/>
  <c r="J84" i="2" s="1"/>
  <c r="I82" i="2"/>
  <c r="J82" i="2" s="1"/>
  <c r="I80" i="2"/>
  <c r="J80" i="2" s="1"/>
  <c r="I78" i="2"/>
  <c r="J78" i="2" s="1"/>
  <c r="I76" i="2"/>
  <c r="J76" i="2" s="1"/>
  <c r="I74" i="2"/>
  <c r="J74" i="2" s="1"/>
  <c r="I72" i="2"/>
  <c r="J72" i="2" s="1"/>
  <c r="I70" i="2"/>
  <c r="J70" i="2" s="1"/>
  <c r="I68" i="2"/>
  <c r="J68" i="2" s="1"/>
  <c r="I66" i="2"/>
  <c r="J66" i="2" s="1"/>
  <c r="I64" i="2"/>
  <c r="J64" i="2" s="1"/>
  <c r="I62" i="2"/>
  <c r="J62" i="2" s="1"/>
  <c r="I60" i="2"/>
  <c r="J60" i="2" s="1"/>
  <c r="I58" i="2"/>
  <c r="J58" i="2" s="1"/>
  <c r="I56" i="2"/>
  <c r="J56" i="2" s="1"/>
  <c r="I54" i="2"/>
  <c r="J54" i="2" s="1"/>
  <c r="I52" i="2"/>
  <c r="J52" i="2" s="1"/>
  <c r="I50" i="2"/>
  <c r="J50" i="2" s="1"/>
  <c r="I48" i="2"/>
  <c r="J48" i="2" s="1"/>
  <c r="I46" i="2"/>
  <c r="J46" i="2" s="1"/>
  <c r="I44" i="2"/>
  <c r="J44" i="2" s="1"/>
  <c r="I42" i="2"/>
  <c r="J42" i="2" s="1"/>
  <c r="I40" i="2"/>
  <c r="J40" i="2" s="1"/>
  <c r="I38" i="2"/>
  <c r="J38" i="2" s="1"/>
  <c r="I36" i="2"/>
  <c r="J36" i="2" s="1"/>
  <c r="I34" i="2"/>
  <c r="J34" i="2" s="1"/>
  <c r="I30" i="2"/>
  <c r="J30" i="2" s="1"/>
  <c r="I26" i="2"/>
  <c r="J26" i="2" s="1"/>
  <c r="I22" i="2"/>
  <c r="J22" i="2" s="1"/>
  <c r="I18" i="2"/>
  <c r="J18" i="2" s="1"/>
  <c r="I14" i="2"/>
  <c r="J14" i="2" s="1"/>
  <c r="I10" i="2"/>
  <c r="J10" i="2" s="1"/>
  <c r="I6" i="2"/>
  <c r="J6" i="2" s="1"/>
  <c r="F3" i="1"/>
  <c r="G3" i="1" s="1"/>
  <c r="H3" i="1"/>
  <c r="I3" i="1" s="1"/>
  <c r="F4" i="1"/>
  <c r="G4" i="1" s="1"/>
  <c r="H4" i="1"/>
  <c r="I4" i="1" s="1"/>
  <c r="J3" i="1"/>
  <c r="K3" i="1" s="1"/>
  <c r="F5" i="1"/>
  <c r="G5" i="1" s="1"/>
  <c r="H5" i="1"/>
  <c r="I5" i="1" s="1"/>
  <c r="L3" i="1"/>
  <c r="M3" i="1" s="1"/>
  <c r="F6" i="1"/>
  <c r="G6" i="1" s="1"/>
  <c r="H6" i="1"/>
  <c r="I6" i="1" s="1"/>
  <c r="J6" i="1"/>
  <c r="K6" i="1" s="1"/>
  <c r="L6" i="1"/>
  <c r="M6" i="1" s="1"/>
  <c r="N3" i="1"/>
  <c r="O3" i="1" s="1"/>
  <c r="F7" i="1"/>
  <c r="G7" i="1" s="1"/>
  <c r="H7" i="1"/>
  <c r="I7" i="1" s="1"/>
  <c r="J7" i="1"/>
  <c r="K7" i="1" s="1"/>
  <c r="L7" i="1"/>
  <c r="M7" i="1" s="1"/>
  <c r="N7" i="1"/>
  <c r="O7" i="1" s="1"/>
  <c r="P3" i="1"/>
  <c r="Q3" i="1" s="1"/>
  <c r="F8" i="1"/>
  <c r="G8" i="1" s="1"/>
  <c r="H8" i="1"/>
  <c r="I8" i="1" s="1"/>
  <c r="J8" i="1"/>
  <c r="K8" i="1" s="1"/>
  <c r="L8" i="1"/>
  <c r="M8" i="1" s="1"/>
  <c r="N8" i="1"/>
  <c r="O8" i="1" s="1"/>
  <c r="P8" i="1"/>
  <c r="Q8" i="1" s="1"/>
  <c r="F9" i="1"/>
  <c r="G9" i="1" s="1"/>
  <c r="H9" i="1"/>
  <c r="I9" i="1" s="1"/>
  <c r="J9" i="1"/>
  <c r="K9" i="1" s="1"/>
  <c r="L9" i="1"/>
  <c r="M9" i="1" s="1"/>
  <c r="N9" i="1"/>
  <c r="O9" i="1" s="1"/>
  <c r="P9" i="1"/>
  <c r="Q9" i="1" s="1"/>
  <c r="F10" i="1"/>
  <c r="G10" i="1" s="1"/>
  <c r="H10" i="1"/>
  <c r="I10" i="1" s="1"/>
  <c r="J10" i="1"/>
  <c r="K10" i="1" s="1"/>
  <c r="L10" i="1"/>
  <c r="M10" i="1" s="1"/>
  <c r="N10" i="1"/>
  <c r="O10" i="1" s="1"/>
  <c r="P10" i="1"/>
  <c r="Q10" i="1" s="1"/>
  <c r="F11" i="1"/>
  <c r="G11" i="1" s="1"/>
  <c r="H11" i="1"/>
  <c r="I11" i="1" s="1"/>
  <c r="J11" i="1"/>
  <c r="K11" i="1" s="1"/>
  <c r="L11" i="1"/>
  <c r="M11" i="1" s="1"/>
  <c r="N11" i="1"/>
  <c r="O11" i="1" s="1"/>
  <c r="P11" i="1"/>
  <c r="Q11" i="1" s="1"/>
  <c r="F12" i="1"/>
  <c r="G12" i="1" s="1"/>
  <c r="H12" i="1"/>
  <c r="I12" i="1" s="1"/>
  <c r="J12" i="1"/>
  <c r="K12" i="1" s="1"/>
  <c r="L12" i="1"/>
  <c r="M12" i="1" s="1"/>
  <c r="N12" i="1"/>
  <c r="O12" i="1" s="1"/>
  <c r="P12" i="1"/>
  <c r="Q12" i="1" s="1"/>
  <c r="AP16" i="2" l="1"/>
  <c r="AQ16" i="2" s="1"/>
  <c r="BB15" i="2"/>
  <c r="BC15" i="2" s="1"/>
  <c r="AD17" i="2"/>
  <c r="AE17" i="2" s="1"/>
  <c r="Z17" i="2"/>
  <c r="AA17" i="2" s="1"/>
  <c r="AD13" i="2"/>
  <c r="AE13" i="2" s="1"/>
  <c r="AU13" i="2"/>
  <c r="AI14" i="2"/>
  <c r="W15" i="2"/>
  <c r="AL15" i="2"/>
  <c r="AM15" i="2" s="1"/>
  <c r="AA16" i="2"/>
  <c r="O17" i="2"/>
  <c r="AP13" i="2"/>
  <c r="AQ13" i="2" s="1"/>
  <c r="O14" i="2"/>
  <c r="AU14" i="2"/>
  <c r="AI15" i="2"/>
  <c r="W16" i="2"/>
  <c r="BC16" i="2"/>
  <c r="S14" i="2"/>
  <c r="AY14" i="2"/>
  <c r="AE14" i="2"/>
  <c r="S15" i="2"/>
  <c r="AY15" i="2"/>
  <c r="AM16" i="2"/>
  <c r="AI21" i="2"/>
  <c r="AQ21" i="2"/>
  <c r="AY21" i="2"/>
  <c r="O22" i="2"/>
  <c r="W22" i="2"/>
  <c r="AE22" i="2"/>
  <c r="AM22" i="2"/>
  <c r="AU22" i="2"/>
  <c r="BC22" i="2"/>
  <c r="S23" i="2"/>
  <c r="AA23" i="2"/>
  <c r="AI23" i="2"/>
  <c r="AQ23" i="2"/>
  <c r="AY23" i="2"/>
  <c r="O24" i="2"/>
  <c r="W24" i="2"/>
  <c r="AE24" i="2"/>
  <c r="AM24" i="2"/>
  <c r="AU24" i="2"/>
  <c r="BC24" i="2"/>
  <c r="K18" i="2"/>
  <c r="K34" i="2"/>
  <c r="K42" i="2"/>
  <c r="K52" i="2"/>
  <c r="K60" i="2"/>
  <c r="K70" i="2"/>
  <c r="K78" i="2"/>
  <c r="K86" i="2"/>
  <c r="K96" i="2"/>
  <c r="K102" i="2"/>
  <c r="AU91" i="2"/>
  <c r="AQ94" i="2"/>
  <c r="W97" i="2"/>
  <c r="BC97" i="2"/>
  <c r="AQ98" i="2"/>
  <c r="W101" i="2"/>
  <c r="BC101" i="2"/>
  <c r="AQ102" i="2"/>
  <c r="AI104" i="2"/>
  <c r="K9" i="2"/>
  <c r="K13" i="2"/>
  <c r="K17" i="2"/>
  <c r="K21" i="2"/>
  <c r="K25" i="2"/>
  <c r="K29" i="2"/>
  <c r="K33" i="2"/>
  <c r="K37" i="2"/>
  <c r="K41" i="2"/>
  <c r="K45" i="2"/>
  <c r="K49" i="2"/>
  <c r="K53" i="2"/>
  <c r="K57" i="2"/>
  <c r="K61" i="2"/>
  <c r="K65" i="2"/>
  <c r="K69" i="2"/>
  <c r="K73" i="2"/>
  <c r="K77" i="2"/>
  <c r="K81" i="2"/>
  <c r="K85" i="2"/>
  <c r="K89" i="2"/>
  <c r="K93" i="2"/>
  <c r="K97" i="2"/>
  <c r="K101" i="2"/>
  <c r="K10" i="2"/>
  <c r="K22" i="2"/>
  <c r="K36" i="2"/>
  <c r="K44" i="2"/>
  <c r="K50" i="2"/>
  <c r="K58" i="2"/>
  <c r="K64" i="2"/>
  <c r="K72" i="2"/>
  <c r="K80" i="2"/>
  <c r="K88" i="2"/>
  <c r="K94" i="2"/>
  <c r="K104" i="2"/>
  <c r="AT15" i="2"/>
  <c r="AU15" i="2" s="1"/>
  <c r="AT16" i="2"/>
  <c r="AU16" i="2" s="1"/>
  <c r="AI17" i="2"/>
  <c r="AI18" i="2"/>
  <c r="AQ18" i="2"/>
  <c r="AY18" i="2"/>
  <c r="O19" i="2"/>
  <c r="W19" i="2"/>
  <c r="AE19" i="2"/>
  <c r="AM19" i="2"/>
  <c r="AU19" i="2"/>
  <c r="BC19" i="2"/>
  <c r="S20" i="2"/>
  <c r="AA20" i="2"/>
  <c r="AI20" i="2"/>
  <c r="AQ20" i="2"/>
  <c r="AY20" i="2"/>
  <c r="O21" i="2"/>
  <c r="W21" i="2"/>
  <c r="AE21" i="2"/>
  <c r="AM21" i="2"/>
  <c r="AU21" i="2"/>
  <c r="BC21" i="2"/>
  <c r="S22" i="2"/>
  <c r="AA22" i="2"/>
  <c r="AI22" i="2"/>
  <c r="AQ22" i="2"/>
  <c r="AY22" i="2"/>
  <c r="O23" i="2"/>
  <c r="W23" i="2"/>
  <c r="AE23" i="2"/>
  <c r="AM23" i="2"/>
  <c r="AU23" i="2"/>
  <c r="BC23" i="2"/>
  <c r="S24" i="2"/>
  <c r="AA24" i="2"/>
  <c r="AI24" i="2"/>
  <c r="AQ24" i="2"/>
  <c r="AY24" i="2"/>
  <c r="K6" i="2"/>
  <c r="K26" i="2"/>
  <c r="K38" i="2"/>
  <c r="K48" i="2"/>
  <c r="K56" i="2"/>
  <c r="K66" i="2"/>
  <c r="K74" i="2"/>
  <c r="K82" i="2"/>
  <c r="K92" i="2"/>
  <c r="K98" i="2"/>
  <c r="S88" i="2"/>
  <c r="AA94" i="2"/>
  <c r="O95" i="2"/>
  <c r="AM97" i="2"/>
  <c r="AA98" i="2"/>
  <c r="AE99" i="2"/>
  <c r="AM101" i="2"/>
  <c r="AA102" i="2"/>
  <c r="AU103" i="2"/>
  <c r="K7" i="2"/>
  <c r="K11" i="2"/>
  <c r="K15" i="2"/>
  <c r="K19" i="2"/>
  <c r="K23" i="2"/>
  <c r="K27" i="2"/>
  <c r="K31" i="2"/>
  <c r="K35" i="2"/>
  <c r="K39" i="2"/>
  <c r="K43" i="2"/>
  <c r="K47" i="2"/>
  <c r="K51" i="2"/>
  <c r="K55" i="2"/>
  <c r="K59" i="2"/>
  <c r="K63" i="2"/>
  <c r="K67" i="2"/>
  <c r="K71" i="2"/>
  <c r="K75" i="2"/>
  <c r="K79" i="2"/>
  <c r="K83" i="2"/>
  <c r="K87" i="2"/>
  <c r="K91" i="2"/>
  <c r="K95" i="2"/>
  <c r="K99" i="2"/>
  <c r="K103" i="2"/>
  <c r="K14" i="2"/>
  <c r="K30" i="2"/>
  <c r="K40" i="2"/>
  <c r="K46" i="2"/>
  <c r="K54" i="2"/>
  <c r="K62" i="2"/>
  <c r="K68" i="2"/>
  <c r="K76" i="2"/>
  <c r="K84" i="2"/>
  <c r="K90" i="2"/>
  <c r="K100" i="2"/>
  <c r="BB9" i="2"/>
  <c r="BC9" i="2" s="1"/>
  <c r="Z10" i="2"/>
  <c r="AA10" i="2" s="1"/>
  <c r="N11" i="2"/>
  <c r="O11" i="2" s="1"/>
  <c r="AT11" i="2"/>
  <c r="AU11" i="2" s="1"/>
  <c r="R12" i="2"/>
  <c r="S12" i="2" s="1"/>
  <c r="AH12" i="2"/>
  <c r="AI12" i="2" s="1"/>
  <c r="AX12" i="2"/>
  <c r="AY12" i="2" s="1"/>
  <c r="V13" i="2"/>
  <c r="W13" i="2" s="1"/>
  <c r="AL13" i="2"/>
  <c r="AM13" i="2" s="1"/>
  <c r="AP14" i="2"/>
  <c r="AQ14" i="2" s="1"/>
  <c r="N15" i="2"/>
  <c r="O15" i="2" s="1"/>
  <c r="AH16" i="2"/>
  <c r="AI16" i="2" s="1"/>
  <c r="AL17" i="2"/>
  <c r="AM17" i="2" s="1"/>
  <c r="AH9" i="2"/>
  <c r="AI9" i="2" s="1"/>
  <c r="V10" i="2"/>
  <c r="W10" i="2" s="1"/>
  <c r="BB10" i="2"/>
  <c r="BC10" i="2" s="1"/>
  <c r="N12" i="2"/>
  <c r="O12" i="2" s="1"/>
  <c r="AX13" i="2"/>
  <c r="AY13" i="2" s="1"/>
  <c r="BB14" i="2"/>
  <c r="BC14" i="2" s="1"/>
  <c r="Z15" i="2"/>
  <c r="AA15" i="2" s="1"/>
  <c r="AD16" i="2"/>
  <c r="AE16" i="2" s="1"/>
  <c r="R17" i="2"/>
  <c r="S17" i="2" s="1"/>
  <c r="AL9" i="2"/>
  <c r="AM9" i="2" s="1"/>
  <c r="AP10" i="2"/>
  <c r="AQ10" i="2" s="1"/>
  <c r="AD11" i="2"/>
  <c r="AE11" i="2" s="1"/>
  <c r="BB13" i="2"/>
  <c r="BC13" i="2" s="1"/>
  <c r="Z14" i="2"/>
  <c r="AA14" i="2" s="1"/>
  <c r="AD15" i="2"/>
  <c r="AE15" i="2" s="1"/>
  <c r="R16" i="2"/>
  <c r="S16" i="2" s="1"/>
  <c r="AX16" i="2"/>
  <c r="AY16" i="2" s="1"/>
  <c r="V17" i="2"/>
  <c r="W17" i="2" s="1"/>
  <c r="AX9" i="2"/>
  <c r="AY9" i="2" s="1"/>
  <c r="AL10" i="2"/>
  <c r="AM10" i="2" s="1"/>
  <c r="Z11" i="2"/>
  <c r="AA11" i="2" s="1"/>
  <c r="AP11" i="2"/>
  <c r="AQ11" i="2" s="1"/>
  <c r="AD12" i="2"/>
  <c r="AE12" i="2" s="1"/>
  <c r="AT12" i="2"/>
  <c r="AU12" i="2" s="1"/>
  <c r="R13" i="2"/>
  <c r="S13" i="2" s="1"/>
  <c r="AH13" i="2"/>
  <c r="AI13" i="2" s="1"/>
  <c r="V14" i="2"/>
  <c r="W14" i="2" s="1"/>
  <c r="AL14" i="2"/>
  <c r="AM14" i="2" s="1"/>
  <c r="AP15" i="2"/>
  <c r="AQ15" i="2" s="1"/>
  <c r="N16" i="2"/>
  <c r="O16" i="2" s="1"/>
  <c r="AA9" i="2"/>
  <c r="AE9" i="2"/>
  <c r="AQ9" i="2"/>
  <c r="AU9" i="2"/>
  <c r="O10" i="2"/>
  <c r="S10" i="2"/>
  <c r="AE10" i="2"/>
  <c r="AI10" i="2"/>
  <c r="AU10" i="2"/>
  <c r="AY10" i="2"/>
  <c r="S11" i="2"/>
  <c r="W11" i="2"/>
  <c r="AI11" i="2"/>
  <c r="AM11" i="2"/>
  <c r="AY11" i="2"/>
  <c r="BC11" i="2"/>
  <c r="W12" i="2"/>
  <c r="AA12" i="2"/>
  <c r="AM12" i="2"/>
  <c r="AQ12" i="2"/>
  <c r="BC12" i="2"/>
  <c r="O13" i="2"/>
  <c r="AA13" i="2"/>
  <c r="AD18" i="2"/>
  <c r="AE18" i="2" s="1"/>
  <c r="AL18" i="2"/>
  <c r="AM18" i="2" s="1"/>
  <c r="AT18" i="2"/>
  <c r="AU18" i="2" s="1"/>
  <c r="BB18" i="2"/>
  <c r="BC18" i="2" s="1"/>
  <c r="R19" i="2"/>
  <c r="S19" i="2" s="1"/>
  <c r="Z19" i="2"/>
  <c r="AA19" i="2" s="1"/>
  <c r="AH19" i="2"/>
  <c r="AI19" i="2" s="1"/>
  <c r="AP19" i="2"/>
  <c r="AQ19" i="2" s="1"/>
  <c r="AX19" i="2"/>
  <c r="AY19" i="2" s="1"/>
  <c r="N20" i="2"/>
  <c r="O20" i="2" s="1"/>
  <c r="V20" i="2"/>
  <c r="W20" i="2" s="1"/>
  <c r="AD20" i="2"/>
  <c r="AE20" i="2" s="1"/>
  <c r="AL20" i="2"/>
  <c r="AM20" i="2" s="1"/>
  <c r="AT20" i="2"/>
  <c r="AU20" i="2" s="1"/>
  <c r="BB20" i="2"/>
  <c r="BC20" i="2" s="1"/>
  <c r="R21" i="2"/>
  <c r="S21" i="2" s="1"/>
  <c r="Z21" i="2"/>
  <c r="AA21" i="2" s="1"/>
  <c r="AQ17" i="2"/>
  <c r="AU17" i="2"/>
  <c r="AY17" i="2"/>
  <c r="BC17" i="2"/>
  <c r="O18" i="2"/>
  <c r="S18" i="2"/>
  <c r="W18" i="2"/>
  <c r="AA18" i="2"/>
  <c r="AX5" i="2"/>
  <c r="AY5" i="2" s="1"/>
  <c r="AP5" i="2"/>
  <c r="AQ5" i="2" s="1"/>
  <c r="AH5" i="2"/>
  <c r="AI5" i="2" s="1"/>
  <c r="Z5" i="2"/>
  <c r="AA5" i="2" s="1"/>
  <c r="R5" i="2"/>
  <c r="S5" i="2" s="1"/>
  <c r="AU5" i="2"/>
  <c r="AE5" i="2"/>
  <c r="O5" i="2"/>
  <c r="BB5" i="2"/>
  <c r="BC5" i="2" s="1"/>
  <c r="AL5" i="2"/>
  <c r="AM5" i="2" s="1"/>
  <c r="V5" i="2"/>
  <c r="P6" i="1"/>
  <c r="Q6" i="1" s="1"/>
  <c r="N6" i="1"/>
  <c r="O6" i="1" s="1"/>
  <c r="P4" i="1"/>
  <c r="Q4" i="1" s="1"/>
  <c r="N4" i="1"/>
  <c r="O4" i="1" s="1"/>
  <c r="L4" i="1"/>
  <c r="M4" i="1" s="1"/>
  <c r="J4" i="1"/>
  <c r="K4" i="1" s="1"/>
  <c r="P7" i="1"/>
  <c r="Q7" i="1" s="1"/>
  <c r="P5" i="1"/>
  <c r="Q5" i="1" s="1"/>
  <c r="N5" i="1"/>
  <c r="O5" i="1" s="1"/>
  <c r="L5" i="1"/>
  <c r="M5" i="1" s="1"/>
  <c r="J5" i="1"/>
  <c r="K5" i="1" s="1"/>
  <c r="W5" i="2" l="1"/>
</calcChain>
</file>

<file path=xl/comments1.xml><?xml version="1.0" encoding="utf-8"?>
<comments xmlns="http://schemas.openxmlformats.org/spreadsheetml/2006/main">
  <authors>
    <author>S. Datta</author>
  </authors>
  <commentList>
    <comment ref="C2" authorId="0" shapeId="0">
      <text>
        <r>
          <rPr>
            <b/>
            <sz val="9"/>
            <color indexed="81"/>
            <rFont val="Tahoma"/>
            <charset val="1"/>
          </rPr>
          <t>S. Datta:</t>
        </r>
        <r>
          <rPr>
            <sz val="9"/>
            <color indexed="81"/>
            <rFont val="Tahoma"/>
            <charset val="1"/>
          </rPr>
          <t xml:space="preserve">
Deaths from Wounds.
</t>
        </r>
      </text>
    </comment>
    <comment ref="D2" authorId="0" shapeId="0">
      <text>
        <r>
          <rPr>
            <b/>
            <sz val="9"/>
            <color indexed="81"/>
            <rFont val="Tahoma"/>
            <charset val="1"/>
          </rPr>
          <t>S. Datta:</t>
        </r>
        <r>
          <rPr>
            <sz val="9"/>
            <color indexed="81"/>
            <rFont val="Tahoma"/>
            <charset val="1"/>
          </rPr>
          <t xml:space="preserve">
Deaths from all Other causes.
</t>
        </r>
      </text>
    </comment>
    <comment ref="E2" authorId="0" shapeId="0">
      <text>
        <r>
          <rPr>
            <b/>
            <sz val="9"/>
            <color indexed="81"/>
            <rFont val="Tahoma"/>
            <charset val="1"/>
          </rPr>
          <t>S. Datta:</t>
        </r>
        <r>
          <rPr>
            <sz val="9"/>
            <color indexed="81"/>
            <rFont val="Tahoma"/>
            <charset val="1"/>
          </rPr>
          <t xml:space="preserve">
Preventible or Mitigable Zymotic Diseases.
</t>
        </r>
      </text>
    </comment>
  </commentList>
</comments>
</file>

<file path=xl/sharedStrings.xml><?xml version="1.0" encoding="utf-8"?>
<sst xmlns="http://schemas.openxmlformats.org/spreadsheetml/2006/main" count="150" uniqueCount="90">
  <si>
    <t>Limca</t>
  </si>
  <si>
    <t>Sprite</t>
  </si>
  <si>
    <t>7 Up</t>
  </si>
  <si>
    <t>Fanta</t>
  </si>
  <si>
    <t>Pepsi</t>
  </si>
  <si>
    <t>Coke</t>
  </si>
  <si>
    <t>Scale</t>
  </si>
  <si>
    <t>Value</t>
  </si>
  <si>
    <t>Item</t>
  </si>
  <si>
    <t>Sl No</t>
  </si>
  <si>
    <t>May</t>
  </si>
  <si>
    <t>June</t>
  </si>
  <si>
    <t>July</t>
  </si>
  <si>
    <t>August</t>
  </si>
  <si>
    <t>September</t>
  </si>
  <si>
    <t>October</t>
  </si>
  <si>
    <t>November</t>
  </si>
  <si>
    <t>December</t>
  </si>
  <si>
    <t>APRIL 1854</t>
  </si>
  <si>
    <t>MAY</t>
  </si>
  <si>
    <t>JUNE</t>
  </si>
  <si>
    <t>JULY</t>
  </si>
  <si>
    <t>AUGUST</t>
  </si>
  <si>
    <t>SEPTEMBER</t>
  </si>
  <si>
    <t>OCTOBER</t>
  </si>
  <si>
    <t>NOVEMBER</t>
  </si>
  <si>
    <t>DECEMBER</t>
  </si>
  <si>
    <t>JANUARY 1855</t>
  </si>
  <si>
    <t>FEBRUARY</t>
  </si>
  <si>
    <t>MARCH 1855</t>
  </si>
  <si>
    <t>Blue</t>
  </si>
  <si>
    <t>Red</t>
  </si>
  <si>
    <t>Black</t>
  </si>
  <si>
    <t>Months</t>
  </si>
  <si>
    <t>Dummy</t>
  </si>
  <si>
    <t>X</t>
  </si>
  <si>
    <t>Y</t>
  </si>
  <si>
    <t>January 1855</t>
  </si>
  <si>
    <t>February</t>
  </si>
  <si>
    <t>March 1855</t>
  </si>
  <si>
    <t>Filler</t>
  </si>
  <si>
    <t>`</t>
  </si>
  <si>
    <t>April 1854</t>
  </si>
  <si>
    <t>Degrees</t>
  </si>
  <si>
    <t>X-values</t>
  </si>
  <si>
    <t>Y-values 1</t>
  </si>
  <si>
    <t>Y-values 2</t>
  </si>
  <si>
    <t>Y-values 3</t>
  </si>
  <si>
    <t>Y-values 4</t>
  </si>
  <si>
    <t>Y-values 5</t>
  </si>
  <si>
    <t>Y-values 6</t>
  </si>
  <si>
    <t>Y-values 7</t>
  </si>
  <si>
    <t>Y-values 8</t>
  </si>
  <si>
    <t>Y-values 9</t>
  </si>
  <si>
    <t>Y-values 10</t>
  </si>
  <si>
    <t>Y-values 11</t>
  </si>
  <si>
    <t>Y-values 12</t>
  </si>
  <si>
    <t>Center X</t>
  </si>
  <si>
    <t>Center Y</t>
  </si>
  <si>
    <t>Radius</t>
  </si>
  <si>
    <t>Line 1</t>
  </si>
  <si>
    <t>Line 2</t>
  </si>
  <si>
    <t>Line 3</t>
  </si>
  <si>
    <t>Line 4</t>
  </si>
  <si>
    <t>Line 5</t>
  </si>
  <si>
    <t>Line 6</t>
  </si>
  <si>
    <t>Line 7</t>
  </si>
  <si>
    <t>Line 8</t>
  </si>
  <si>
    <t>Line 9</t>
  </si>
  <si>
    <t>Line 10</t>
  </si>
  <si>
    <t>Line 11</t>
  </si>
  <si>
    <t>Line 12</t>
  </si>
  <si>
    <t>X-value</t>
  </si>
  <si>
    <t>Y-Value</t>
  </si>
  <si>
    <t>Pie-Chart</t>
  </si>
  <si>
    <r>
      <rPr>
        <sz val="14"/>
        <color theme="1"/>
        <rFont val="Algerian"/>
        <family val="5"/>
      </rPr>
      <t>Diagram</t>
    </r>
    <r>
      <rPr>
        <sz val="10"/>
        <color theme="1"/>
        <rFont val="Algerian"/>
        <family val="5"/>
      </rPr>
      <t xml:space="preserve"> of the </t>
    </r>
    <r>
      <rPr>
        <sz val="14"/>
        <color theme="1"/>
        <rFont val="Algerian"/>
        <family val="5"/>
      </rPr>
      <t>causes</t>
    </r>
    <r>
      <rPr>
        <sz val="10"/>
        <color theme="1"/>
        <rFont val="Algerian"/>
        <family val="5"/>
      </rPr>
      <t xml:space="preserve"> of </t>
    </r>
    <r>
      <rPr>
        <sz val="14"/>
        <color theme="1"/>
        <rFont val="Algerian"/>
        <family val="5"/>
      </rPr>
      <t>Mortality</t>
    </r>
  </si>
  <si>
    <r>
      <t xml:space="preserve">IN THE </t>
    </r>
    <r>
      <rPr>
        <b/>
        <sz val="12"/>
        <color theme="1"/>
        <rFont val="Arial"/>
        <family val="2"/>
      </rPr>
      <t>ARMY</t>
    </r>
    <r>
      <rPr>
        <b/>
        <sz val="10"/>
        <color theme="1"/>
        <rFont val="Arial"/>
        <family val="2"/>
      </rPr>
      <t xml:space="preserve"> IN THE </t>
    </r>
    <r>
      <rPr>
        <b/>
        <sz val="12"/>
        <color theme="1"/>
        <rFont val="Arial"/>
        <family val="2"/>
      </rPr>
      <t>EAST</t>
    </r>
    <r>
      <rPr>
        <b/>
        <sz val="10"/>
        <color theme="1"/>
        <rFont val="Arial"/>
        <family val="2"/>
      </rPr>
      <t>.</t>
    </r>
  </si>
  <si>
    <t>X-Lines</t>
  </si>
  <si>
    <t>Y-Lines</t>
  </si>
  <si>
    <t>April</t>
  </si>
  <si>
    <t>January</t>
  </si>
  <si>
    <t>March</t>
  </si>
  <si>
    <t>X-Value</t>
  </si>
  <si>
    <t>BULGARIA</t>
  </si>
  <si>
    <t>CRIMEA</t>
  </si>
  <si>
    <t>Used a combination of</t>
  </si>
  <si>
    <t>Donut</t>
  </si>
  <si>
    <t>Pie</t>
  </si>
  <si>
    <t>XY</t>
  </si>
  <si>
    <t>Charts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</si>
</sst>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color theme="1"/>
      <name val="Cambria"/>
      <family val="2"/>
    </font>
    <font>
      <i/>
      <sz val="11"/>
      <color theme="1"/>
      <name val="Cambria"/>
      <family val="1"/>
      <scheme val="major"/>
    </font>
    <font>
      <sz val="9"/>
      <color indexed="81"/>
      <name val="Tahoma"/>
      <charset val="1"/>
    </font>
    <font>
      <b/>
      <sz val="9"/>
      <color indexed="81"/>
      <name val="Tahoma"/>
      <charset val="1"/>
    </font>
    <font>
      <sz val="10"/>
      <color rgb="FF0070C0"/>
      <name val="Cambria"/>
      <family val="2"/>
    </font>
    <font>
      <b/>
      <sz val="10"/>
      <color rgb="FF0070C0"/>
      <name val="Cambria"/>
      <family val="1"/>
    </font>
    <font>
      <sz val="10"/>
      <color rgb="FFC00000"/>
      <name val="Cambria"/>
      <family val="2"/>
    </font>
    <font>
      <b/>
      <sz val="10"/>
      <color rgb="FFC00000"/>
      <name val="Cambria"/>
      <family val="1"/>
    </font>
    <font>
      <b/>
      <sz val="10"/>
      <color theme="1"/>
      <name val="Cambria"/>
      <family val="1"/>
    </font>
    <font>
      <i/>
      <sz val="10"/>
      <color theme="1"/>
      <name val="Cambria"/>
      <family val="1"/>
    </font>
    <font>
      <sz val="10"/>
      <color theme="1"/>
      <name val="Algerian"/>
      <family val="5"/>
    </font>
    <font>
      <sz val="14"/>
      <color theme="1"/>
      <name val="Algerian"/>
      <family val="5"/>
    </font>
    <font>
      <b/>
      <sz val="10"/>
      <color theme="1"/>
      <name val="Arial"/>
      <family val="2"/>
    </font>
    <font>
      <b/>
      <sz val="12"/>
      <color theme="1"/>
      <name val="Arial"/>
      <family val="2"/>
    </font>
  </fonts>
  <fills count="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s>
  <cellStyleXfs count="1">
    <xf numFmtId="0" fontId="0" fillId="0" borderId="0"/>
  </cellStyleXfs>
  <cellXfs count="48">
    <xf numFmtId="0" fontId="0" fillId="0" borderId="0" xfId="0"/>
    <xf numFmtId="0" fontId="1" fillId="0" borderId="1" xfId="0" applyFont="1" applyBorder="1" applyAlignment="1">
      <alignment horizontal="center"/>
    </xf>
    <xf numFmtId="0" fontId="1" fillId="0" borderId="2" xfId="0" applyFont="1" applyBorder="1" applyAlignment="1">
      <alignment horizontal="center"/>
    </xf>
    <xf numFmtId="0" fontId="1" fillId="0" borderId="0" xfId="0" applyFont="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2" borderId="0" xfId="0" applyFont="1" applyFill="1" applyAlignment="1">
      <alignment horizontal="center"/>
    </xf>
    <xf numFmtId="0" fontId="5" fillId="0" borderId="0" xfId="0" applyFont="1" applyAlignment="1">
      <alignment horizontal="center"/>
    </xf>
    <xf numFmtId="0" fontId="7" fillId="0" borderId="0" xfId="0" applyFont="1" applyAlignment="1">
      <alignment horizontal="center"/>
    </xf>
    <xf numFmtId="0" fontId="8" fillId="0" borderId="0" xfId="0" applyFont="1" applyAlignment="1">
      <alignment horizontal="center"/>
    </xf>
    <xf numFmtId="0" fontId="0" fillId="0" borderId="1" xfId="0" applyBorder="1" applyAlignment="1">
      <alignment horizontal="center"/>
    </xf>
    <xf numFmtId="0" fontId="9" fillId="2" borderId="0" xfId="0" applyFont="1" applyFill="1"/>
    <xf numFmtId="0" fontId="0" fillId="0" borderId="1" xfId="0" applyBorder="1" applyAlignment="1">
      <alignment horizontal="center"/>
    </xf>
    <xf numFmtId="0" fontId="4" fillId="0" borderId="1" xfId="0" applyFont="1" applyBorder="1" applyAlignment="1">
      <alignment horizontal="center"/>
    </xf>
    <xf numFmtId="0" fontId="6" fillId="0" borderId="1" xfId="0" applyFont="1" applyBorder="1" applyAlignment="1">
      <alignment horizontal="center"/>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11" xfId="0" applyBorder="1" applyAlignment="1">
      <alignment horizontal="center"/>
    </xf>
    <xf numFmtId="0" fontId="0" fillId="0" borderId="1" xfId="0" applyBorder="1" applyAlignment="1">
      <alignment horizontal="center"/>
    </xf>
    <xf numFmtId="0" fontId="0"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xf>
    <xf numFmtId="0" fontId="0" fillId="0" borderId="14" xfId="0" applyBorder="1" applyAlignment="1">
      <alignment horizontal="center"/>
    </xf>
    <xf numFmtId="0" fontId="0" fillId="3" borderId="0" xfId="0" applyFill="1" applyAlignment="1">
      <alignment horizontal="center"/>
    </xf>
    <xf numFmtId="0" fontId="0" fillId="0" borderId="1" xfId="0" applyBorder="1" applyAlignment="1">
      <alignment horizontal="center"/>
    </xf>
    <xf numFmtId="0" fontId="10" fillId="0" borderId="0" xfId="0" applyFont="1"/>
    <xf numFmtId="0" fontId="12" fillId="0" borderId="0" xfId="0" applyFont="1"/>
    <xf numFmtId="0" fontId="0" fillId="0" borderId="10" xfId="0" applyBorder="1" applyAlignment="1">
      <alignment horizontal="center"/>
    </xf>
    <xf numFmtId="0" fontId="0" fillId="0" borderId="9" xfId="0" applyBorder="1" applyAlignment="1">
      <alignment horizontal="center"/>
    </xf>
    <xf numFmtId="0" fontId="0" fillId="0" borderId="7" xfId="0" applyBorder="1" applyAlignment="1">
      <alignment horizontal="center"/>
    </xf>
    <xf numFmtId="0" fontId="0" fillId="0" borderId="6" xfId="0" applyBorder="1" applyAlignment="1">
      <alignment horizontal="center"/>
    </xf>
    <xf numFmtId="0" fontId="0" fillId="0" borderId="5" xfId="0" applyBorder="1" applyAlignment="1">
      <alignment horizontal="center"/>
    </xf>
    <xf numFmtId="0" fontId="0" fillId="0" borderId="4" xfId="0" applyBorder="1" applyAlignment="1">
      <alignment horizontal="center"/>
    </xf>
    <xf numFmtId="0" fontId="0" fillId="0" borderId="0" xfId="0" applyFill="1" applyBorder="1" applyAlignment="1"/>
    <xf numFmtId="0" fontId="0" fillId="0" borderId="0" xfId="0" applyAlignment="1"/>
    <xf numFmtId="0" fontId="0" fillId="0" borderId="1" xfId="0" applyBorder="1"/>
    <xf numFmtId="0" fontId="0" fillId="0" borderId="1" xfId="0" applyBorder="1" applyAlignment="1">
      <alignment horizontal="center"/>
    </xf>
    <xf numFmtId="0" fontId="0" fillId="0" borderId="0" xfId="0" applyAlignment="1">
      <alignment horizontal="left" inden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doughnutChart>
        <c:varyColors val="1"/>
        <c:ser>
          <c:idx val="0"/>
          <c:order val="0"/>
          <c:dPt>
            <c:idx val="0"/>
            <c:bubble3D val="0"/>
            <c:spPr>
              <a:solidFill>
                <a:srgbClr val="00B0F0"/>
              </a:solidFill>
              <a:ln>
                <a:solidFill>
                  <a:srgbClr val="00B0F0"/>
                </a:solidFill>
              </a:ln>
            </c:spPr>
          </c:dPt>
          <c:dPt>
            <c:idx val="2"/>
            <c:bubble3D val="0"/>
            <c:spPr>
              <a:solidFill>
                <a:srgbClr val="FFFF00"/>
              </a:solidFill>
              <a:ln>
                <a:solidFill>
                  <a:srgbClr val="FFFF00"/>
                </a:solidFill>
              </a:ln>
            </c:spPr>
          </c:dPt>
          <c:dPt>
            <c:idx val="4"/>
            <c:bubble3D val="0"/>
            <c:spPr>
              <a:solidFill>
                <a:srgbClr val="7030A0"/>
              </a:solidFill>
              <a:ln>
                <a:solidFill>
                  <a:srgbClr val="7030A0"/>
                </a:solidFill>
              </a:ln>
            </c:spPr>
          </c:dPt>
          <c:dPt>
            <c:idx val="6"/>
            <c:bubble3D val="0"/>
            <c:spPr>
              <a:solidFill>
                <a:srgbClr val="C00000"/>
              </a:solidFill>
              <a:ln>
                <a:solidFill>
                  <a:srgbClr val="C00000"/>
                </a:solidFill>
              </a:ln>
            </c:spPr>
          </c:dPt>
          <c:dPt>
            <c:idx val="8"/>
            <c:bubble3D val="0"/>
            <c:spPr>
              <a:solidFill>
                <a:srgbClr val="FFC000"/>
              </a:solidFill>
              <a:ln>
                <a:solidFill>
                  <a:srgbClr val="FFC000"/>
                </a:solidFill>
              </a:ln>
            </c:spPr>
          </c:dPt>
          <c:dPt>
            <c:idx val="10"/>
            <c:bubble3D val="0"/>
            <c:spPr>
              <a:solidFill>
                <a:srgbClr val="92D050"/>
              </a:solidFill>
              <a:ln>
                <a:solidFill>
                  <a:srgbClr val="92D050"/>
                </a:solidFill>
              </a:ln>
            </c:spPr>
          </c:dPt>
          <c:val>
            <c:numRef>
              <c:f>Template!$F$3:$Q$3</c:f>
              <c:numCache>
                <c:formatCode>General</c:formatCode>
                <c:ptCount val="12"/>
                <c:pt idx="0">
                  <c:v>10</c:v>
                </c:pt>
                <c:pt idx="1">
                  <c:v>0</c:v>
                </c:pt>
                <c:pt idx="2">
                  <c:v>10</c:v>
                </c:pt>
                <c:pt idx="3">
                  <c:v>0</c:v>
                </c:pt>
                <c:pt idx="4">
                  <c:v>10</c:v>
                </c:pt>
                <c:pt idx="5">
                  <c:v>0</c:v>
                </c:pt>
                <c:pt idx="6">
                  <c:v>10</c:v>
                </c:pt>
                <c:pt idx="7">
                  <c:v>0</c:v>
                </c:pt>
                <c:pt idx="8">
                  <c:v>10</c:v>
                </c:pt>
                <c:pt idx="9">
                  <c:v>0</c:v>
                </c:pt>
                <c:pt idx="10">
                  <c:v>10</c:v>
                </c:pt>
                <c:pt idx="11">
                  <c:v>0</c:v>
                </c:pt>
              </c:numCache>
            </c:numRef>
          </c:val>
        </c:ser>
        <c:ser>
          <c:idx val="1"/>
          <c:order val="1"/>
          <c:dPt>
            <c:idx val="0"/>
            <c:bubble3D val="0"/>
            <c:spPr>
              <a:solidFill>
                <a:srgbClr val="00B0F0"/>
              </a:solidFill>
              <a:ln>
                <a:solidFill>
                  <a:srgbClr val="00B0F0"/>
                </a:solidFill>
              </a:ln>
            </c:spPr>
          </c:dPt>
          <c:dPt>
            <c:idx val="2"/>
            <c:bubble3D val="0"/>
            <c:spPr>
              <a:solidFill>
                <a:srgbClr val="FFFF00"/>
              </a:solidFill>
              <a:ln>
                <a:solidFill>
                  <a:srgbClr val="FFFF00"/>
                </a:solidFill>
              </a:ln>
            </c:spPr>
          </c:dPt>
          <c:dPt>
            <c:idx val="4"/>
            <c:bubble3D val="0"/>
            <c:spPr>
              <a:solidFill>
                <a:srgbClr val="7030A0"/>
              </a:solidFill>
              <a:ln>
                <a:solidFill>
                  <a:srgbClr val="7030A0"/>
                </a:solidFill>
              </a:ln>
            </c:spPr>
          </c:dPt>
          <c:dPt>
            <c:idx val="6"/>
            <c:bubble3D val="0"/>
            <c:spPr>
              <a:solidFill>
                <a:srgbClr val="C00000"/>
              </a:solidFill>
              <a:ln>
                <a:solidFill>
                  <a:srgbClr val="C00000"/>
                </a:solidFill>
              </a:ln>
            </c:spPr>
          </c:dPt>
          <c:dPt>
            <c:idx val="8"/>
            <c:bubble3D val="0"/>
            <c:spPr>
              <a:solidFill>
                <a:srgbClr val="FFC000"/>
              </a:solidFill>
              <a:ln>
                <a:solidFill>
                  <a:srgbClr val="FFC000"/>
                </a:solidFill>
              </a:ln>
            </c:spPr>
          </c:dPt>
          <c:dPt>
            <c:idx val="11"/>
            <c:bubble3D val="0"/>
            <c:spPr>
              <a:noFill/>
              <a:ln>
                <a:noFill/>
              </a:ln>
            </c:spPr>
          </c:dPt>
          <c:val>
            <c:numRef>
              <c:f>Template!$F$4:$Q$4</c:f>
              <c:numCache>
                <c:formatCode>General</c:formatCode>
                <c:ptCount val="12"/>
                <c:pt idx="0">
                  <c:v>10</c:v>
                </c:pt>
                <c:pt idx="1">
                  <c:v>0</c:v>
                </c:pt>
                <c:pt idx="2">
                  <c:v>10</c:v>
                </c:pt>
                <c:pt idx="3">
                  <c:v>0</c:v>
                </c:pt>
                <c:pt idx="4">
                  <c:v>10</c:v>
                </c:pt>
                <c:pt idx="5">
                  <c:v>0</c:v>
                </c:pt>
                <c:pt idx="6">
                  <c:v>10</c:v>
                </c:pt>
                <c:pt idx="7">
                  <c:v>0</c:v>
                </c:pt>
                <c:pt idx="8">
                  <c:v>10</c:v>
                </c:pt>
                <c:pt idx="9">
                  <c:v>0</c:v>
                </c:pt>
                <c:pt idx="10">
                  <c:v>0</c:v>
                </c:pt>
                <c:pt idx="11">
                  <c:v>10</c:v>
                </c:pt>
              </c:numCache>
            </c:numRef>
          </c:val>
        </c:ser>
        <c:ser>
          <c:idx val="2"/>
          <c:order val="2"/>
          <c:dPt>
            <c:idx val="0"/>
            <c:bubble3D val="0"/>
            <c:spPr>
              <a:solidFill>
                <a:srgbClr val="00B0F0"/>
              </a:solidFill>
              <a:ln>
                <a:solidFill>
                  <a:srgbClr val="00B0F0"/>
                </a:solidFill>
              </a:ln>
            </c:spPr>
          </c:dPt>
          <c:dPt>
            <c:idx val="3"/>
            <c:bubble3D val="0"/>
            <c:spPr>
              <a:noFill/>
              <a:ln>
                <a:noFill/>
              </a:ln>
            </c:spPr>
          </c:dPt>
          <c:dPt>
            <c:idx val="4"/>
            <c:bubble3D val="0"/>
            <c:spPr>
              <a:solidFill>
                <a:srgbClr val="7030A0"/>
              </a:solidFill>
              <a:ln>
                <a:solidFill>
                  <a:srgbClr val="7030A0"/>
                </a:solidFill>
              </a:ln>
            </c:spPr>
          </c:dPt>
          <c:dPt>
            <c:idx val="6"/>
            <c:bubble3D val="0"/>
            <c:spPr>
              <a:solidFill>
                <a:srgbClr val="C00000"/>
              </a:solidFill>
              <a:ln>
                <a:solidFill>
                  <a:srgbClr val="C00000"/>
                </a:solidFill>
              </a:ln>
            </c:spPr>
          </c:dPt>
          <c:dPt>
            <c:idx val="8"/>
            <c:bubble3D val="0"/>
            <c:spPr>
              <a:solidFill>
                <a:srgbClr val="FFC000"/>
              </a:solidFill>
              <a:ln>
                <a:solidFill>
                  <a:srgbClr val="FFC000"/>
                </a:solidFill>
              </a:ln>
            </c:spPr>
          </c:dPt>
          <c:dPt>
            <c:idx val="11"/>
            <c:bubble3D val="0"/>
            <c:spPr>
              <a:noFill/>
              <a:ln>
                <a:noFill/>
              </a:ln>
            </c:spPr>
          </c:dPt>
          <c:val>
            <c:numRef>
              <c:f>Template!$F$5:$Q$5</c:f>
              <c:numCache>
                <c:formatCode>General</c:formatCode>
                <c:ptCount val="12"/>
                <c:pt idx="0">
                  <c:v>10</c:v>
                </c:pt>
                <c:pt idx="1">
                  <c:v>0</c:v>
                </c:pt>
                <c:pt idx="2">
                  <c:v>0</c:v>
                </c:pt>
                <c:pt idx="3">
                  <c:v>10</c:v>
                </c:pt>
                <c:pt idx="4">
                  <c:v>10</c:v>
                </c:pt>
                <c:pt idx="5">
                  <c:v>0</c:v>
                </c:pt>
                <c:pt idx="6">
                  <c:v>10</c:v>
                </c:pt>
                <c:pt idx="7">
                  <c:v>0</c:v>
                </c:pt>
                <c:pt idx="8">
                  <c:v>10</c:v>
                </c:pt>
                <c:pt idx="9">
                  <c:v>0</c:v>
                </c:pt>
                <c:pt idx="10">
                  <c:v>0</c:v>
                </c:pt>
                <c:pt idx="11">
                  <c:v>10</c:v>
                </c:pt>
              </c:numCache>
            </c:numRef>
          </c:val>
        </c:ser>
        <c:ser>
          <c:idx val="3"/>
          <c:order val="3"/>
          <c:dPt>
            <c:idx val="0"/>
            <c:bubble3D val="0"/>
            <c:spPr>
              <a:solidFill>
                <a:srgbClr val="00B0F0"/>
              </a:solidFill>
              <a:ln>
                <a:solidFill>
                  <a:srgbClr val="00B0F0"/>
                </a:solidFill>
              </a:ln>
            </c:spPr>
          </c:dPt>
          <c:dPt>
            <c:idx val="3"/>
            <c:bubble3D val="0"/>
            <c:spPr>
              <a:noFill/>
              <a:ln>
                <a:noFill/>
              </a:ln>
            </c:spPr>
          </c:dPt>
          <c:dPt>
            <c:idx val="4"/>
            <c:bubble3D val="0"/>
            <c:spPr>
              <a:solidFill>
                <a:srgbClr val="7030A0"/>
              </a:solidFill>
              <a:ln>
                <a:solidFill>
                  <a:srgbClr val="7030A0"/>
                </a:solidFill>
              </a:ln>
            </c:spPr>
          </c:dPt>
          <c:dPt>
            <c:idx val="6"/>
            <c:bubble3D val="0"/>
            <c:spPr>
              <a:solidFill>
                <a:srgbClr val="C00000"/>
              </a:solidFill>
              <a:ln>
                <a:solidFill>
                  <a:srgbClr val="C00000"/>
                </a:solidFill>
              </a:ln>
            </c:spPr>
          </c:dPt>
          <c:dPt>
            <c:idx val="9"/>
            <c:bubble3D val="0"/>
            <c:spPr>
              <a:noFill/>
              <a:ln>
                <a:noFill/>
              </a:ln>
            </c:spPr>
          </c:dPt>
          <c:dPt>
            <c:idx val="11"/>
            <c:bubble3D val="0"/>
            <c:spPr>
              <a:noFill/>
              <a:ln>
                <a:noFill/>
              </a:ln>
            </c:spPr>
          </c:dPt>
          <c:val>
            <c:numRef>
              <c:f>Template!$F$6:$Q$6</c:f>
              <c:numCache>
                <c:formatCode>General</c:formatCode>
                <c:ptCount val="12"/>
                <c:pt idx="0">
                  <c:v>10</c:v>
                </c:pt>
                <c:pt idx="1">
                  <c:v>0</c:v>
                </c:pt>
                <c:pt idx="2">
                  <c:v>0</c:v>
                </c:pt>
                <c:pt idx="3">
                  <c:v>10</c:v>
                </c:pt>
                <c:pt idx="4">
                  <c:v>10</c:v>
                </c:pt>
                <c:pt idx="5">
                  <c:v>0</c:v>
                </c:pt>
                <c:pt idx="6">
                  <c:v>10</c:v>
                </c:pt>
                <c:pt idx="7">
                  <c:v>0</c:v>
                </c:pt>
                <c:pt idx="8">
                  <c:v>0</c:v>
                </c:pt>
                <c:pt idx="9">
                  <c:v>10</c:v>
                </c:pt>
                <c:pt idx="10">
                  <c:v>0</c:v>
                </c:pt>
                <c:pt idx="11">
                  <c:v>10</c:v>
                </c:pt>
              </c:numCache>
            </c:numRef>
          </c:val>
        </c:ser>
        <c:ser>
          <c:idx val="4"/>
          <c:order val="4"/>
          <c:dPt>
            <c:idx val="0"/>
            <c:bubble3D val="0"/>
            <c:spPr>
              <a:solidFill>
                <a:srgbClr val="00B0F0"/>
              </a:solidFill>
              <a:ln>
                <a:solidFill>
                  <a:srgbClr val="00B0F0"/>
                </a:solidFill>
              </a:ln>
            </c:spPr>
          </c:dPt>
          <c:dPt>
            <c:idx val="3"/>
            <c:bubble3D val="0"/>
            <c:spPr>
              <a:noFill/>
              <a:ln>
                <a:noFill/>
              </a:ln>
            </c:spPr>
          </c:dPt>
          <c:dPt>
            <c:idx val="4"/>
            <c:bubble3D val="0"/>
            <c:spPr>
              <a:solidFill>
                <a:srgbClr val="7030A0"/>
              </a:solidFill>
              <a:ln>
                <a:solidFill>
                  <a:srgbClr val="7030A0"/>
                </a:solidFill>
              </a:ln>
            </c:spPr>
          </c:dPt>
          <c:dPt>
            <c:idx val="6"/>
            <c:bubble3D val="0"/>
            <c:spPr>
              <a:solidFill>
                <a:srgbClr val="C00000"/>
              </a:solidFill>
              <a:ln>
                <a:solidFill>
                  <a:srgbClr val="C00000"/>
                </a:solidFill>
              </a:ln>
            </c:spPr>
          </c:dPt>
          <c:dPt>
            <c:idx val="9"/>
            <c:bubble3D val="0"/>
            <c:spPr>
              <a:noFill/>
              <a:ln>
                <a:noFill/>
              </a:ln>
            </c:spPr>
          </c:dPt>
          <c:dPt>
            <c:idx val="11"/>
            <c:bubble3D val="0"/>
            <c:spPr>
              <a:noFill/>
              <a:ln>
                <a:noFill/>
              </a:ln>
            </c:spPr>
          </c:dPt>
          <c:val>
            <c:numRef>
              <c:f>Template!$F$7:$Q$7</c:f>
              <c:numCache>
                <c:formatCode>General</c:formatCode>
                <c:ptCount val="12"/>
                <c:pt idx="0">
                  <c:v>10</c:v>
                </c:pt>
                <c:pt idx="1">
                  <c:v>0</c:v>
                </c:pt>
                <c:pt idx="2">
                  <c:v>0</c:v>
                </c:pt>
                <c:pt idx="3">
                  <c:v>10</c:v>
                </c:pt>
                <c:pt idx="4">
                  <c:v>10</c:v>
                </c:pt>
                <c:pt idx="5">
                  <c:v>0</c:v>
                </c:pt>
                <c:pt idx="6">
                  <c:v>10</c:v>
                </c:pt>
                <c:pt idx="7">
                  <c:v>0</c:v>
                </c:pt>
                <c:pt idx="8">
                  <c:v>0</c:v>
                </c:pt>
                <c:pt idx="9">
                  <c:v>10</c:v>
                </c:pt>
                <c:pt idx="10">
                  <c:v>0</c:v>
                </c:pt>
                <c:pt idx="11">
                  <c:v>10</c:v>
                </c:pt>
              </c:numCache>
            </c:numRef>
          </c:val>
        </c:ser>
        <c:ser>
          <c:idx val="5"/>
          <c:order val="5"/>
          <c:dPt>
            <c:idx val="0"/>
            <c:bubble3D val="0"/>
            <c:spPr>
              <a:solidFill>
                <a:srgbClr val="00B0F0"/>
              </a:solidFill>
              <a:ln>
                <a:solidFill>
                  <a:srgbClr val="00B0F0"/>
                </a:solidFill>
              </a:ln>
            </c:spPr>
          </c:dPt>
          <c:dPt>
            <c:idx val="3"/>
            <c:bubble3D val="0"/>
            <c:spPr>
              <a:noFill/>
              <a:ln>
                <a:noFill/>
              </a:ln>
            </c:spPr>
          </c:dPt>
          <c:dPt>
            <c:idx val="4"/>
            <c:bubble3D val="0"/>
            <c:spPr>
              <a:solidFill>
                <a:srgbClr val="7030A0"/>
              </a:solidFill>
              <a:ln>
                <a:solidFill>
                  <a:srgbClr val="7030A0"/>
                </a:solidFill>
              </a:ln>
            </c:spPr>
          </c:dPt>
          <c:dPt>
            <c:idx val="7"/>
            <c:bubble3D val="0"/>
            <c:spPr>
              <a:noFill/>
              <a:ln>
                <a:noFill/>
              </a:ln>
            </c:spPr>
          </c:dPt>
          <c:dPt>
            <c:idx val="9"/>
            <c:bubble3D val="0"/>
            <c:spPr>
              <a:noFill/>
              <a:ln>
                <a:noFill/>
              </a:ln>
            </c:spPr>
          </c:dPt>
          <c:dPt>
            <c:idx val="11"/>
            <c:bubble3D val="0"/>
            <c:spPr>
              <a:noFill/>
              <a:ln>
                <a:noFill/>
              </a:ln>
            </c:spPr>
          </c:dPt>
          <c:val>
            <c:numRef>
              <c:f>Template!$F$8:$Q$8</c:f>
              <c:numCache>
                <c:formatCode>General</c:formatCode>
                <c:ptCount val="12"/>
                <c:pt idx="0">
                  <c:v>10</c:v>
                </c:pt>
                <c:pt idx="1">
                  <c:v>0</c:v>
                </c:pt>
                <c:pt idx="2">
                  <c:v>0</c:v>
                </c:pt>
                <c:pt idx="3">
                  <c:v>10</c:v>
                </c:pt>
                <c:pt idx="4">
                  <c:v>10</c:v>
                </c:pt>
                <c:pt idx="5">
                  <c:v>0</c:v>
                </c:pt>
                <c:pt idx="6">
                  <c:v>0</c:v>
                </c:pt>
                <c:pt idx="7">
                  <c:v>10</c:v>
                </c:pt>
                <c:pt idx="8">
                  <c:v>0</c:v>
                </c:pt>
                <c:pt idx="9">
                  <c:v>10</c:v>
                </c:pt>
                <c:pt idx="10">
                  <c:v>0</c:v>
                </c:pt>
                <c:pt idx="11">
                  <c:v>10</c:v>
                </c:pt>
              </c:numCache>
            </c:numRef>
          </c:val>
        </c:ser>
        <c:ser>
          <c:idx val="6"/>
          <c:order val="6"/>
          <c:dPt>
            <c:idx val="0"/>
            <c:bubble3D val="0"/>
            <c:spPr>
              <a:solidFill>
                <a:srgbClr val="00B0F0"/>
              </a:solidFill>
              <a:ln>
                <a:solidFill>
                  <a:srgbClr val="00B0F0"/>
                </a:solidFill>
              </a:ln>
            </c:spPr>
          </c:dPt>
          <c:dPt>
            <c:idx val="3"/>
            <c:bubble3D val="0"/>
            <c:spPr>
              <a:noFill/>
              <a:ln>
                <a:noFill/>
              </a:ln>
            </c:spPr>
          </c:dPt>
          <c:dPt>
            <c:idx val="4"/>
            <c:bubble3D val="0"/>
            <c:spPr>
              <a:solidFill>
                <a:srgbClr val="7030A0"/>
              </a:solidFill>
              <a:ln>
                <a:solidFill>
                  <a:srgbClr val="7030A0"/>
                </a:solidFill>
              </a:ln>
            </c:spPr>
          </c:dPt>
          <c:dPt>
            <c:idx val="7"/>
            <c:bubble3D val="0"/>
            <c:spPr>
              <a:noFill/>
              <a:ln>
                <a:noFill/>
              </a:ln>
            </c:spPr>
          </c:dPt>
          <c:dPt>
            <c:idx val="9"/>
            <c:bubble3D val="0"/>
            <c:spPr>
              <a:noFill/>
              <a:ln>
                <a:noFill/>
              </a:ln>
            </c:spPr>
          </c:dPt>
          <c:dPt>
            <c:idx val="11"/>
            <c:bubble3D val="0"/>
            <c:spPr>
              <a:noFill/>
              <a:ln>
                <a:noFill/>
              </a:ln>
            </c:spPr>
          </c:dPt>
          <c:val>
            <c:numRef>
              <c:f>Template!$F$9:$Q$9</c:f>
              <c:numCache>
                <c:formatCode>General</c:formatCode>
                <c:ptCount val="12"/>
                <c:pt idx="0">
                  <c:v>10</c:v>
                </c:pt>
                <c:pt idx="1">
                  <c:v>0</c:v>
                </c:pt>
                <c:pt idx="2">
                  <c:v>0</c:v>
                </c:pt>
                <c:pt idx="3">
                  <c:v>10</c:v>
                </c:pt>
                <c:pt idx="4">
                  <c:v>10</c:v>
                </c:pt>
                <c:pt idx="5">
                  <c:v>0</c:v>
                </c:pt>
                <c:pt idx="6">
                  <c:v>0</c:v>
                </c:pt>
                <c:pt idx="7">
                  <c:v>10</c:v>
                </c:pt>
                <c:pt idx="8">
                  <c:v>0</c:v>
                </c:pt>
                <c:pt idx="9">
                  <c:v>10</c:v>
                </c:pt>
                <c:pt idx="10">
                  <c:v>0</c:v>
                </c:pt>
                <c:pt idx="11">
                  <c:v>10</c:v>
                </c:pt>
              </c:numCache>
            </c:numRef>
          </c:val>
        </c:ser>
        <c:ser>
          <c:idx val="7"/>
          <c:order val="7"/>
          <c:dPt>
            <c:idx val="1"/>
            <c:bubble3D val="0"/>
            <c:spPr>
              <a:noFill/>
              <a:ln>
                <a:noFill/>
              </a:ln>
            </c:spPr>
          </c:dPt>
          <c:dPt>
            <c:idx val="3"/>
            <c:bubble3D val="0"/>
            <c:spPr>
              <a:noFill/>
              <a:ln>
                <a:noFill/>
              </a:ln>
            </c:spPr>
          </c:dPt>
          <c:dPt>
            <c:idx val="5"/>
            <c:bubble3D val="0"/>
            <c:spPr>
              <a:noFill/>
              <a:ln>
                <a:noFill/>
              </a:ln>
            </c:spPr>
          </c:dPt>
          <c:dPt>
            <c:idx val="7"/>
            <c:bubble3D val="0"/>
            <c:spPr>
              <a:noFill/>
              <a:ln>
                <a:noFill/>
              </a:ln>
            </c:spPr>
          </c:dPt>
          <c:dPt>
            <c:idx val="9"/>
            <c:bubble3D val="0"/>
            <c:spPr>
              <a:noFill/>
              <a:ln>
                <a:noFill/>
              </a:ln>
            </c:spPr>
          </c:dPt>
          <c:dPt>
            <c:idx val="11"/>
            <c:bubble3D val="0"/>
            <c:spPr>
              <a:noFill/>
              <a:ln>
                <a:noFill/>
              </a:ln>
            </c:spPr>
          </c:dPt>
          <c:val>
            <c:numRef>
              <c:f>Template!$F$10:$Q$10</c:f>
              <c:numCache>
                <c:formatCode>General</c:formatCode>
                <c:ptCount val="12"/>
                <c:pt idx="0">
                  <c:v>0</c:v>
                </c:pt>
                <c:pt idx="1">
                  <c:v>10</c:v>
                </c:pt>
                <c:pt idx="2">
                  <c:v>0</c:v>
                </c:pt>
                <c:pt idx="3">
                  <c:v>10</c:v>
                </c:pt>
                <c:pt idx="4">
                  <c:v>0</c:v>
                </c:pt>
                <c:pt idx="5">
                  <c:v>10</c:v>
                </c:pt>
                <c:pt idx="6">
                  <c:v>0</c:v>
                </c:pt>
                <c:pt idx="7">
                  <c:v>10</c:v>
                </c:pt>
                <c:pt idx="8">
                  <c:v>0</c:v>
                </c:pt>
                <c:pt idx="9">
                  <c:v>10</c:v>
                </c:pt>
                <c:pt idx="10">
                  <c:v>0</c:v>
                </c:pt>
                <c:pt idx="11">
                  <c:v>10</c:v>
                </c:pt>
              </c:numCache>
            </c:numRef>
          </c:val>
        </c:ser>
        <c:ser>
          <c:idx val="8"/>
          <c:order val="8"/>
          <c:dPt>
            <c:idx val="1"/>
            <c:bubble3D val="0"/>
            <c:spPr>
              <a:noFill/>
              <a:ln>
                <a:noFill/>
              </a:ln>
            </c:spPr>
          </c:dPt>
          <c:dPt>
            <c:idx val="3"/>
            <c:bubble3D val="0"/>
            <c:spPr>
              <a:noFill/>
              <a:ln>
                <a:noFill/>
              </a:ln>
            </c:spPr>
          </c:dPt>
          <c:dPt>
            <c:idx val="5"/>
            <c:bubble3D val="0"/>
            <c:spPr>
              <a:noFill/>
              <a:ln>
                <a:noFill/>
              </a:ln>
            </c:spPr>
          </c:dPt>
          <c:dPt>
            <c:idx val="7"/>
            <c:bubble3D val="0"/>
            <c:spPr>
              <a:noFill/>
              <a:ln>
                <a:noFill/>
              </a:ln>
            </c:spPr>
          </c:dPt>
          <c:dPt>
            <c:idx val="9"/>
            <c:bubble3D val="0"/>
            <c:spPr>
              <a:noFill/>
              <a:ln>
                <a:noFill/>
              </a:ln>
            </c:spPr>
          </c:dPt>
          <c:dPt>
            <c:idx val="11"/>
            <c:bubble3D val="0"/>
            <c:spPr>
              <a:noFill/>
              <a:ln>
                <a:noFill/>
              </a:ln>
            </c:spPr>
          </c:dPt>
          <c:val>
            <c:numRef>
              <c:f>Template!$F$11:$Q$11</c:f>
              <c:numCache>
                <c:formatCode>General</c:formatCode>
                <c:ptCount val="12"/>
                <c:pt idx="0">
                  <c:v>0</c:v>
                </c:pt>
                <c:pt idx="1">
                  <c:v>10</c:v>
                </c:pt>
                <c:pt idx="2">
                  <c:v>0</c:v>
                </c:pt>
                <c:pt idx="3">
                  <c:v>10</c:v>
                </c:pt>
                <c:pt idx="4">
                  <c:v>0</c:v>
                </c:pt>
                <c:pt idx="5">
                  <c:v>10</c:v>
                </c:pt>
                <c:pt idx="6">
                  <c:v>0</c:v>
                </c:pt>
                <c:pt idx="7">
                  <c:v>10</c:v>
                </c:pt>
                <c:pt idx="8">
                  <c:v>0</c:v>
                </c:pt>
                <c:pt idx="9">
                  <c:v>10</c:v>
                </c:pt>
                <c:pt idx="10">
                  <c:v>0</c:v>
                </c:pt>
                <c:pt idx="11">
                  <c:v>10</c:v>
                </c:pt>
              </c:numCache>
            </c:numRef>
          </c:val>
        </c:ser>
        <c:ser>
          <c:idx val="9"/>
          <c:order val="9"/>
          <c:dPt>
            <c:idx val="1"/>
            <c:bubble3D val="0"/>
            <c:spPr>
              <a:noFill/>
              <a:ln>
                <a:noFill/>
              </a:ln>
            </c:spPr>
          </c:dPt>
          <c:dPt>
            <c:idx val="3"/>
            <c:bubble3D val="0"/>
            <c:spPr>
              <a:noFill/>
              <a:ln>
                <a:noFill/>
              </a:ln>
            </c:spPr>
          </c:dPt>
          <c:dPt>
            <c:idx val="5"/>
            <c:bubble3D val="0"/>
            <c:spPr>
              <a:noFill/>
              <a:ln>
                <a:noFill/>
              </a:ln>
            </c:spPr>
          </c:dPt>
          <c:dPt>
            <c:idx val="7"/>
            <c:bubble3D val="0"/>
            <c:spPr>
              <a:noFill/>
              <a:ln>
                <a:noFill/>
              </a:ln>
            </c:spPr>
          </c:dPt>
          <c:dPt>
            <c:idx val="9"/>
            <c:bubble3D val="0"/>
            <c:spPr>
              <a:noFill/>
              <a:ln>
                <a:noFill/>
              </a:ln>
            </c:spPr>
          </c:dPt>
          <c:dPt>
            <c:idx val="11"/>
            <c:bubble3D val="0"/>
            <c:spPr>
              <a:noFill/>
              <a:ln>
                <a:noFill/>
              </a:ln>
            </c:spPr>
          </c:dPt>
          <c:val>
            <c:numRef>
              <c:f>Template!$F$12:$Q$12</c:f>
              <c:numCache>
                <c:formatCode>General</c:formatCode>
                <c:ptCount val="12"/>
                <c:pt idx="0">
                  <c:v>0</c:v>
                </c:pt>
                <c:pt idx="1">
                  <c:v>10</c:v>
                </c:pt>
                <c:pt idx="2">
                  <c:v>0</c:v>
                </c:pt>
                <c:pt idx="3">
                  <c:v>10</c:v>
                </c:pt>
                <c:pt idx="4">
                  <c:v>0</c:v>
                </c:pt>
                <c:pt idx="5">
                  <c:v>10</c:v>
                </c:pt>
                <c:pt idx="6">
                  <c:v>0</c:v>
                </c:pt>
                <c:pt idx="7">
                  <c:v>10</c:v>
                </c:pt>
                <c:pt idx="8">
                  <c:v>0</c:v>
                </c:pt>
                <c:pt idx="9">
                  <c:v>10</c:v>
                </c:pt>
                <c:pt idx="10">
                  <c:v>0</c:v>
                </c:pt>
                <c:pt idx="11">
                  <c:v>10</c:v>
                </c:pt>
              </c:numCache>
            </c:numRef>
          </c:val>
        </c:ser>
        <c:dLbls>
          <c:showLegendKey val="0"/>
          <c:showVal val="0"/>
          <c:showCatName val="0"/>
          <c:showSerName val="0"/>
          <c:showPercent val="0"/>
          <c:showBubbleSize val="0"/>
          <c:showLeaderLines val="1"/>
        </c:dLbls>
        <c:firstSliceAng val="0"/>
        <c:holeSize val="10"/>
      </c:doughnutChart>
      <c:scatterChart>
        <c:scatterStyle val="lineMarker"/>
        <c:varyColors val="0"/>
        <c:ser>
          <c:idx val="10"/>
          <c:order val="10"/>
          <c:tx>
            <c:strRef>
              <c:f>Template!$E$16</c:f>
              <c:strCache>
                <c:ptCount val="1"/>
                <c:pt idx="0">
                  <c:v>Dummy</c:v>
                </c:pt>
              </c:strCache>
            </c:strRef>
          </c:tx>
          <c:spPr>
            <a:ln w="28575">
              <a:noFill/>
            </a:ln>
          </c:spPr>
          <c:marker>
            <c:spPr>
              <a:solidFill>
                <a:srgbClr val="002060"/>
              </a:solidFill>
              <a:ln>
                <a:noFill/>
              </a:ln>
            </c:spPr>
          </c:marker>
          <c:xVal>
            <c:numRef>
              <c:f>Template!$F$17</c:f>
              <c:numCache>
                <c:formatCode>General</c:formatCode>
                <c:ptCount val="1"/>
                <c:pt idx="0">
                  <c:v>5</c:v>
                </c:pt>
              </c:numCache>
            </c:numRef>
          </c:xVal>
          <c:yVal>
            <c:numRef>
              <c:f>Template!$F$18</c:f>
              <c:numCache>
                <c:formatCode>General</c:formatCode>
                <c:ptCount val="1"/>
                <c:pt idx="0">
                  <c:v>8</c:v>
                </c:pt>
              </c:numCache>
            </c:numRef>
          </c:yVal>
          <c:smooth val="0"/>
        </c:ser>
        <c:dLbls>
          <c:showLegendKey val="0"/>
          <c:showVal val="0"/>
          <c:showCatName val="0"/>
          <c:showSerName val="0"/>
          <c:showPercent val="0"/>
          <c:showBubbleSize val="0"/>
        </c:dLbls>
        <c:axId val="1997204992"/>
        <c:axId val="1997200096"/>
      </c:scatterChart>
      <c:valAx>
        <c:axId val="1997200096"/>
        <c:scaling>
          <c:orientation val="minMax"/>
          <c:max val="10"/>
          <c:min val="-10"/>
        </c:scaling>
        <c:delete val="0"/>
        <c:axPos val="l"/>
        <c:majorGridlines/>
        <c:numFmt formatCode="General" sourceLinked="1"/>
        <c:majorTickMark val="out"/>
        <c:minorTickMark val="none"/>
        <c:tickLblPos val="nextTo"/>
        <c:crossAx val="1997204992"/>
        <c:crosses val="autoZero"/>
        <c:crossBetween val="midCat"/>
      </c:valAx>
      <c:valAx>
        <c:axId val="1997204992"/>
        <c:scaling>
          <c:orientation val="minMax"/>
        </c:scaling>
        <c:delete val="0"/>
        <c:axPos val="b"/>
        <c:majorGridlines/>
        <c:numFmt formatCode="General" sourceLinked="1"/>
        <c:majorTickMark val="none"/>
        <c:minorTickMark val="none"/>
        <c:tickLblPos val="none"/>
        <c:crossAx val="1997200096"/>
        <c:crosses val="autoZero"/>
        <c:crossBetween val="midCat"/>
      </c:valAx>
    </c:plotArea>
    <c:plotVisOnly val="1"/>
    <c:dispBlanksAs val="gap"/>
    <c:showDLblsOverMax val="0"/>
  </c:chart>
  <c:spPr>
    <a:ln>
      <a:noFill/>
    </a:ln>
  </c:spPr>
  <c:printSettings>
    <c:headerFooter/>
    <c:pageMargins b="0.75000000000000222" l="0.70000000000000062" r="0.70000000000000062" t="0.750000000000002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atin typeface="Algerian" pitchFamily="82" charset="0"/>
              </a:rPr>
              <a:t>Diagram </a:t>
            </a:r>
            <a:r>
              <a:rPr lang="en-US" sz="1400">
                <a:latin typeface="Algerian" pitchFamily="82" charset="0"/>
              </a:rPr>
              <a:t>of the </a:t>
            </a:r>
            <a:r>
              <a:rPr lang="en-US">
                <a:latin typeface="Algerian" pitchFamily="82" charset="0"/>
              </a:rPr>
              <a:t>causes </a:t>
            </a:r>
            <a:r>
              <a:rPr lang="en-US" sz="1400">
                <a:latin typeface="Algerian" pitchFamily="82" charset="0"/>
              </a:rPr>
              <a:t>of</a:t>
            </a:r>
            <a:r>
              <a:rPr lang="en-US">
                <a:latin typeface="Algerian" pitchFamily="82" charset="0"/>
              </a:rPr>
              <a:t> Mortality</a:t>
            </a:r>
            <a:r>
              <a:rPr lang="en-US"/>
              <a:t>
</a:t>
            </a:r>
            <a:r>
              <a:rPr lang="en-US" sz="1200" u="dbl" spc="100" baseline="0">
                <a:latin typeface="Arial Narrow" pitchFamily="34" charset="0"/>
              </a:rPr>
              <a:t>IN THE </a:t>
            </a:r>
            <a:r>
              <a:rPr lang="en-US" sz="1400" u="dbl" spc="100" baseline="0">
                <a:latin typeface="Arial Narrow" pitchFamily="34" charset="0"/>
              </a:rPr>
              <a:t>ARMY </a:t>
            </a:r>
            <a:r>
              <a:rPr lang="en-US" sz="1200" u="dbl" spc="100" baseline="0">
                <a:latin typeface="Arial Narrow" pitchFamily="34" charset="0"/>
              </a:rPr>
              <a:t>IN THE</a:t>
            </a:r>
            <a:r>
              <a:rPr lang="en-US" sz="1400" u="dbl" spc="100" baseline="0">
                <a:latin typeface="Arial Narrow" pitchFamily="34" charset="0"/>
              </a:rPr>
              <a:t> EAST</a:t>
            </a:r>
            <a:r>
              <a:rPr lang="en-US" sz="1400" u="dbl"/>
              <a:t>.</a:t>
            </a:r>
          </a:p>
        </c:rich>
      </c:tx>
      <c:layout>
        <c:manualLayout>
          <c:xMode val="edge"/>
          <c:yMode val="edge"/>
          <c:x val="0.30118342531700332"/>
          <c:y val="3.5867232357597104E-2"/>
        </c:manualLayout>
      </c:layout>
      <c:overlay val="1"/>
    </c:title>
    <c:autoTitleDeleted val="0"/>
    <c:plotArea>
      <c:layout>
        <c:manualLayout>
          <c:layoutTarget val="inner"/>
          <c:xMode val="edge"/>
          <c:yMode val="edge"/>
          <c:x val="0.49521369849114732"/>
          <c:y val="0"/>
          <c:w val="0.55214597561054279"/>
          <c:h val="1"/>
        </c:manualLayout>
      </c:layout>
      <c:pieChart>
        <c:varyColors val="1"/>
        <c:ser>
          <c:idx val="113"/>
          <c:order val="113"/>
          <c:tx>
            <c:v>Pie</c:v>
          </c:tx>
          <c:spPr>
            <a:solidFill>
              <a:prstClr val="white"/>
            </a:solidFill>
          </c:spPr>
          <c:dPt>
            <c:idx val="0"/>
            <c:bubble3D val="0"/>
            <c:spPr>
              <a:gradFill flip="none" rotWithShape="1">
                <a:gsLst>
                  <a:gs pos="11000">
                    <a:prstClr val="black"/>
                  </a:gs>
                  <a:gs pos="19000">
                    <a:prstClr val="white"/>
                  </a:gs>
                </a:gsLst>
                <a:lin ang="18900000" scaled="1"/>
                <a:tileRect/>
              </a:gradFill>
            </c:spPr>
          </c:dPt>
          <c:dPt>
            <c:idx val="1"/>
            <c:bubble3D val="0"/>
            <c:spPr>
              <a:gradFill>
                <a:gsLst>
                  <a:gs pos="11000">
                    <a:prstClr val="black"/>
                  </a:gs>
                  <a:gs pos="19000">
                    <a:prstClr val="white"/>
                  </a:gs>
                </a:gsLst>
                <a:lin ang="18900000" scaled="1"/>
              </a:gradFill>
            </c:spPr>
          </c:dPt>
          <c:dPt>
            <c:idx val="2"/>
            <c:bubble3D val="0"/>
            <c:spPr>
              <a:gradFill flip="none" rotWithShape="1">
                <a:gsLst>
                  <a:gs pos="10000">
                    <a:srgbClr val="C0504D">
                      <a:lumMod val="75000"/>
                    </a:srgbClr>
                  </a:gs>
                  <a:gs pos="11000">
                    <a:prstClr val="white"/>
                  </a:gs>
                </a:gsLst>
                <a:lin ang="0" scaled="1"/>
                <a:tileRect/>
              </a:gradFill>
            </c:spPr>
          </c:dPt>
          <c:dPt>
            <c:idx val="3"/>
            <c:bubble3D val="0"/>
            <c:spPr>
              <a:gradFill flip="none" rotWithShape="1">
                <a:gsLst>
                  <a:gs pos="10000">
                    <a:schemeClr val="accent2">
                      <a:lumMod val="75000"/>
                    </a:schemeClr>
                  </a:gs>
                  <a:gs pos="11000">
                    <a:prstClr val="white"/>
                  </a:gs>
                </a:gsLst>
                <a:lin ang="2700000" scaled="1"/>
                <a:tileRect/>
              </a:gradFill>
            </c:spPr>
          </c:dPt>
          <c:dPt>
            <c:idx val="4"/>
            <c:bubble3D val="0"/>
            <c:spPr>
              <a:gradFill>
                <a:gsLst>
                  <a:gs pos="10000">
                    <a:srgbClr val="C0504D">
                      <a:lumMod val="75000"/>
                    </a:srgbClr>
                  </a:gs>
                  <a:gs pos="11000">
                    <a:prstClr val="white"/>
                  </a:gs>
                </a:gsLst>
                <a:lin ang="2700000" scaled="1"/>
              </a:gradFill>
            </c:spPr>
          </c:dPt>
          <c:dPt>
            <c:idx val="5"/>
            <c:bubble3D val="0"/>
            <c:spPr>
              <a:gradFill>
                <a:gsLst>
                  <a:gs pos="10000">
                    <a:srgbClr val="C0504D">
                      <a:lumMod val="75000"/>
                    </a:srgbClr>
                  </a:gs>
                  <a:gs pos="11000">
                    <a:prstClr val="white"/>
                  </a:gs>
                </a:gsLst>
                <a:lin ang="2700000" scaled="1"/>
              </a:gradFill>
            </c:spPr>
          </c:dPt>
          <c:dPt>
            <c:idx val="6"/>
            <c:bubble3D val="0"/>
            <c:spPr>
              <a:gradFill flip="none" rotWithShape="1">
                <a:gsLst>
                  <a:gs pos="10000">
                    <a:srgbClr val="C0504D">
                      <a:lumMod val="75000"/>
                    </a:srgbClr>
                  </a:gs>
                  <a:gs pos="11000">
                    <a:prstClr val="white"/>
                  </a:gs>
                </a:gsLst>
                <a:lin ang="8100000" scaled="1"/>
                <a:tileRect/>
              </a:gradFill>
            </c:spPr>
          </c:dPt>
          <c:dPt>
            <c:idx val="7"/>
            <c:bubble3D val="0"/>
            <c:spPr>
              <a:gradFill>
                <a:gsLst>
                  <a:gs pos="10000">
                    <a:srgbClr val="C0504D">
                      <a:lumMod val="75000"/>
                    </a:srgbClr>
                  </a:gs>
                  <a:gs pos="11000">
                    <a:prstClr val="white"/>
                  </a:gs>
                </a:gsLst>
                <a:lin ang="8100000" scaled="1"/>
              </a:gradFill>
            </c:spPr>
          </c:dPt>
          <c:dPt>
            <c:idx val="8"/>
            <c:bubble3D val="0"/>
            <c:spPr>
              <a:gradFill>
                <a:gsLst>
                  <a:gs pos="10000">
                    <a:srgbClr val="C0504D">
                      <a:lumMod val="75000"/>
                    </a:srgbClr>
                  </a:gs>
                  <a:gs pos="11000">
                    <a:prstClr val="white"/>
                  </a:gs>
                </a:gsLst>
                <a:lin ang="8100000" scaled="1"/>
              </a:gradFill>
            </c:spPr>
          </c:dPt>
          <c:dPt>
            <c:idx val="9"/>
            <c:bubble3D val="0"/>
            <c:spPr>
              <a:gradFill flip="none" rotWithShape="1">
                <a:gsLst>
                  <a:gs pos="10000">
                    <a:prstClr val="black"/>
                  </a:gs>
                  <a:gs pos="11000">
                    <a:prstClr val="white"/>
                  </a:gs>
                </a:gsLst>
                <a:lin ang="10800000" scaled="1"/>
                <a:tileRect/>
              </a:gradFill>
            </c:spPr>
          </c:dPt>
          <c:dPt>
            <c:idx val="10"/>
            <c:bubble3D val="0"/>
            <c:spPr>
              <a:gradFill>
                <a:gsLst>
                  <a:gs pos="9000">
                    <a:prstClr val="black"/>
                  </a:gs>
                  <a:gs pos="10000">
                    <a:prstClr val="white"/>
                  </a:gs>
                </a:gsLst>
                <a:path path="circle">
                  <a:fillToRect l="100000" t="100000"/>
                </a:path>
              </a:gradFill>
            </c:spPr>
          </c:dPt>
          <c:dPt>
            <c:idx val="11"/>
            <c:bubble3D val="0"/>
            <c:spPr>
              <a:gradFill>
                <a:gsLst>
                  <a:gs pos="9000">
                    <a:prstClr val="black"/>
                  </a:gs>
                  <a:gs pos="10000">
                    <a:prstClr val="white"/>
                  </a:gs>
                </a:gsLst>
                <a:path path="circle">
                  <a:fillToRect l="100000" t="100000"/>
                </a:path>
              </a:gradFill>
            </c:spPr>
          </c:dPt>
          <c:val>
            <c:numRef>
              <c:f>'Sector Template'!$F$3:$F$14</c:f>
              <c:numCache>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er>
        <c:dLbls>
          <c:showLegendKey val="0"/>
          <c:showVal val="0"/>
          <c:showCatName val="0"/>
          <c:showSerName val="0"/>
          <c:showPercent val="0"/>
          <c:showBubbleSize val="0"/>
          <c:showLeaderLines val="1"/>
        </c:dLbls>
        <c:firstSliceAng val="0"/>
      </c:pieChart>
      <c:doughnutChart>
        <c:varyColors val="1"/>
        <c:ser>
          <c:idx val="0"/>
          <c:order val="0"/>
          <c:dPt>
            <c:idx val="1"/>
            <c:bubble3D val="0"/>
            <c:spPr>
              <a:solidFill>
                <a:schemeClr val="tx1"/>
              </a:solidFill>
              <a:ln>
                <a:solidFill>
                  <a:schemeClr val="tx1"/>
                </a:solidFill>
              </a:ln>
            </c:spPr>
          </c:dPt>
          <c:dPt>
            <c:idx val="5"/>
            <c:bubble3D val="0"/>
            <c:spPr>
              <a:solidFill>
                <a:sysClr val="windowText" lastClr="000000"/>
              </a:solidFill>
              <a:ln>
                <a:solidFill>
                  <a:sysClr val="windowText" lastClr="000000"/>
                </a:solidFill>
              </a:ln>
            </c:spPr>
          </c:dPt>
          <c:dPt>
            <c:idx val="9"/>
            <c:bubble3D val="0"/>
            <c:spPr>
              <a:solidFill>
                <a:schemeClr val="tx1"/>
              </a:solidFill>
              <a:ln>
                <a:solidFill>
                  <a:schemeClr val="tx1"/>
                </a:solidFill>
              </a:ln>
            </c:spPr>
          </c:dPt>
          <c:dPt>
            <c:idx val="13"/>
            <c:bubble3D val="0"/>
            <c:spPr>
              <a:solidFill>
                <a:sysClr val="windowText" lastClr="000000"/>
              </a:solidFill>
              <a:ln>
                <a:solidFill>
                  <a:sysClr val="windowText" lastClr="000000"/>
                </a:solidFill>
              </a:ln>
            </c:spPr>
          </c:dPt>
          <c:dPt>
            <c:idx val="17"/>
            <c:bubble3D val="0"/>
            <c:spPr>
              <a:solidFill>
                <a:sysClr val="windowText" lastClr="000000"/>
              </a:solidFill>
              <a:ln>
                <a:solidFill>
                  <a:sysClr val="windowText" lastClr="00000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0"/>
            <c:bubble3D val="0"/>
            <c:spPr>
              <a:solidFill>
                <a:srgbClr val="C0504D">
                  <a:lumMod val="75000"/>
                </a:srgbClr>
              </a:solidFill>
              <a:ln>
                <a:solidFill>
                  <a:srgbClr val="C0504D">
                    <a:lumMod val="75000"/>
                  </a:srgbClr>
                </a:solidFill>
              </a:ln>
            </c:spPr>
          </c:dPt>
          <c:dPt>
            <c:idx val="44"/>
            <c:bubble3D val="0"/>
            <c:spPr>
              <a:solidFill>
                <a:srgbClr val="C0504D">
                  <a:lumMod val="75000"/>
                </a:srgbClr>
              </a:solidFill>
              <a:ln>
                <a:solidFill>
                  <a:srgbClr val="C0504D">
                    <a:lumMod val="75000"/>
                  </a:srgbClr>
                </a:solidFill>
              </a:ln>
            </c:spPr>
          </c:dPt>
          <c:val>
            <c:numRef>
              <c:f>Data!$H$5:$BC$5</c:f>
              <c:numCache>
                <c:formatCode>General</c:formatCode>
                <c:ptCount val="48"/>
                <c:pt idx="0">
                  <c:v>0</c:v>
                </c:pt>
                <c:pt idx="1">
                  <c:v>10</c:v>
                </c:pt>
                <c:pt idx="2">
                  <c:v>0</c:v>
                </c:pt>
                <c:pt idx="3">
                  <c:v>0</c:v>
                </c:pt>
                <c:pt idx="4">
                  <c:v>0</c:v>
                </c:pt>
                <c:pt idx="5">
                  <c:v>10</c:v>
                </c:pt>
                <c:pt idx="6">
                  <c:v>0</c:v>
                </c:pt>
                <c:pt idx="7">
                  <c:v>0</c:v>
                </c:pt>
                <c:pt idx="8">
                  <c:v>0</c:v>
                </c:pt>
                <c:pt idx="9">
                  <c:v>10</c:v>
                </c:pt>
                <c:pt idx="10">
                  <c:v>0</c:v>
                </c:pt>
                <c:pt idx="11">
                  <c:v>0</c:v>
                </c:pt>
                <c:pt idx="12">
                  <c:v>0</c:v>
                </c:pt>
                <c:pt idx="13">
                  <c:v>10</c:v>
                </c:pt>
                <c:pt idx="14">
                  <c:v>0</c:v>
                </c:pt>
                <c:pt idx="15">
                  <c:v>0</c:v>
                </c:pt>
                <c:pt idx="16">
                  <c:v>0</c:v>
                </c:pt>
                <c:pt idx="17">
                  <c:v>10</c:v>
                </c:pt>
                <c:pt idx="18">
                  <c:v>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10</c:v>
                </c:pt>
                <c:pt idx="41">
                  <c:v>0</c:v>
                </c:pt>
                <c:pt idx="42">
                  <c:v>0</c:v>
                </c:pt>
                <c:pt idx="43">
                  <c:v>0</c:v>
                </c:pt>
                <c:pt idx="44">
                  <c:v>10</c:v>
                </c:pt>
                <c:pt idx="45">
                  <c:v>0</c:v>
                </c:pt>
                <c:pt idx="46">
                  <c:v>0</c:v>
                </c:pt>
                <c:pt idx="47">
                  <c:v>0</c:v>
                </c:pt>
              </c:numCache>
            </c:numRef>
          </c:val>
        </c:ser>
        <c:ser>
          <c:idx val="1"/>
          <c:order val="1"/>
          <c:dPt>
            <c:idx val="1"/>
            <c:bubble3D val="0"/>
            <c:spPr>
              <a:solidFill>
                <a:sysClr val="windowText" lastClr="000000"/>
              </a:solidFill>
              <a:ln>
                <a:solidFill>
                  <a:sysClr val="windowText" lastClr="000000"/>
                </a:solidFill>
              </a:ln>
            </c:spPr>
          </c:dPt>
          <c:dPt>
            <c:idx val="5"/>
            <c:bubble3D val="0"/>
            <c:spPr>
              <a:solidFill>
                <a:sysClr val="windowText" lastClr="000000"/>
              </a:solidFill>
              <a:ln>
                <a:solidFill>
                  <a:sysClr val="windowText" lastClr="000000"/>
                </a:solidFill>
              </a:ln>
            </c:spPr>
          </c:dPt>
          <c:dPt>
            <c:idx val="9"/>
            <c:bubble3D val="0"/>
            <c:spPr>
              <a:solidFill>
                <a:sysClr val="windowText" lastClr="000000"/>
              </a:solidFill>
              <a:ln>
                <a:solidFill>
                  <a:sysClr val="windowText" lastClr="000000"/>
                </a:solidFill>
              </a:ln>
            </c:spPr>
          </c:dPt>
          <c:dPt>
            <c:idx val="13"/>
            <c:bubble3D val="0"/>
            <c:spPr>
              <a:solidFill>
                <a:sysClr val="windowText" lastClr="000000"/>
              </a:solidFill>
              <a:ln>
                <a:solidFill>
                  <a:sysClr val="windowText" lastClr="000000"/>
                </a:solidFill>
              </a:ln>
            </c:spPr>
          </c:dPt>
          <c:dPt>
            <c:idx val="17"/>
            <c:bubble3D val="0"/>
            <c:spPr>
              <a:solidFill>
                <a:sysClr val="windowText" lastClr="000000"/>
              </a:solidFill>
              <a:ln>
                <a:solidFill>
                  <a:sysClr val="windowText" lastClr="000000"/>
                </a:solidFill>
              </a:ln>
            </c:spPr>
          </c:dPt>
          <c:dPt>
            <c:idx val="20"/>
            <c:bubble3D val="0"/>
            <c:spPr>
              <a:solidFill>
                <a:schemeClr val="accent2">
                  <a:lumMod val="75000"/>
                </a:schemeClr>
              </a:solidFill>
              <a:ln>
                <a:solidFill>
                  <a:schemeClr val="accent2">
                    <a:lumMod val="75000"/>
                  </a:scheme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0"/>
            <c:bubble3D val="0"/>
            <c:spPr>
              <a:solidFill>
                <a:srgbClr val="C0504D">
                  <a:lumMod val="75000"/>
                </a:srgbClr>
              </a:solidFill>
              <a:ln>
                <a:solidFill>
                  <a:srgbClr val="C0504D">
                    <a:lumMod val="75000"/>
                  </a:srgbClr>
                </a:solidFill>
              </a:ln>
            </c:spPr>
          </c:dPt>
          <c:dPt>
            <c:idx val="44"/>
            <c:bubble3D val="0"/>
            <c:spPr>
              <a:solidFill>
                <a:srgbClr val="C0504D">
                  <a:lumMod val="75000"/>
                </a:srgbClr>
              </a:solidFill>
              <a:ln>
                <a:solidFill>
                  <a:srgbClr val="C0504D">
                    <a:lumMod val="75000"/>
                  </a:srgbClr>
                </a:solidFill>
              </a:ln>
            </c:spPr>
          </c:dPt>
          <c:val>
            <c:numRef>
              <c:f>Data!$H$6:$BC$6</c:f>
              <c:numCache>
                <c:formatCode>General</c:formatCode>
                <c:ptCount val="48"/>
                <c:pt idx="0">
                  <c:v>0</c:v>
                </c:pt>
                <c:pt idx="1">
                  <c:v>10</c:v>
                </c:pt>
                <c:pt idx="2">
                  <c:v>0</c:v>
                </c:pt>
                <c:pt idx="3">
                  <c:v>0</c:v>
                </c:pt>
                <c:pt idx="4">
                  <c:v>0</c:v>
                </c:pt>
                <c:pt idx="5">
                  <c:v>10</c:v>
                </c:pt>
                <c:pt idx="6">
                  <c:v>0</c:v>
                </c:pt>
                <c:pt idx="7">
                  <c:v>0</c:v>
                </c:pt>
                <c:pt idx="8">
                  <c:v>0</c:v>
                </c:pt>
                <c:pt idx="9">
                  <c:v>10</c:v>
                </c:pt>
                <c:pt idx="10">
                  <c:v>0</c:v>
                </c:pt>
                <c:pt idx="11">
                  <c:v>0</c:v>
                </c:pt>
                <c:pt idx="12">
                  <c:v>0</c:v>
                </c:pt>
                <c:pt idx="13">
                  <c:v>10</c:v>
                </c:pt>
                <c:pt idx="14">
                  <c:v>0</c:v>
                </c:pt>
                <c:pt idx="15">
                  <c:v>0</c:v>
                </c:pt>
                <c:pt idx="16">
                  <c:v>0</c:v>
                </c:pt>
                <c:pt idx="17">
                  <c:v>10</c:v>
                </c:pt>
                <c:pt idx="18">
                  <c:v>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10</c:v>
                </c:pt>
                <c:pt idx="41">
                  <c:v>0</c:v>
                </c:pt>
                <c:pt idx="42">
                  <c:v>0</c:v>
                </c:pt>
                <c:pt idx="43">
                  <c:v>0</c:v>
                </c:pt>
                <c:pt idx="44">
                  <c:v>10</c:v>
                </c:pt>
                <c:pt idx="45">
                  <c:v>0</c:v>
                </c:pt>
                <c:pt idx="46">
                  <c:v>0</c:v>
                </c:pt>
                <c:pt idx="47">
                  <c:v>0</c:v>
                </c:pt>
              </c:numCache>
            </c:numRef>
          </c:val>
        </c:ser>
        <c:ser>
          <c:idx val="2"/>
          <c:order val="2"/>
          <c:dPt>
            <c:idx val="1"/>
            <c:bubble3D val="0"/>
            <c:spPr>
              <a:solidFill>
                <a:sysClr val="windowText" lastClr="000000"/>
              </a:solidFill>
              <a:ln>
                <a:solidFill>
                  <a:sysClr val="windowText" lastClr="000000"/>
                </a:solidFill>
              </a:ln>
            </c:spPr>
          </c:dPt>
          <c:dPt>
            <c:idx val="5"/>
            <c:bubble3D val="0"/>
            <c:spPr>
              <a:solidFill>
                <a:sysClr val="windowText" lastClr="000000"/>
              </a:solidFill>
              <a:ln>
                <a:solidFill>
                  <a:sysClr val="windowText" lastClr="000000"/>
                </a:solidFill>
              </a:ln>
            </c:spPr>
          </c:dPt>
          <c:dPt>
            <c:idx val="10"/>
            <c:bubble3D val="0"/>
            <c:spPr>
              <a:solidFill>
                <a:srgbClr val="0070C0"/>
              </a:solidFill>
              <a:ln>
                <a:solidFill>
                  <a:srgbClr val="0070C0"/>
                </a:solidFill>
              </a:ln>
            </c:spPr>
          </c:dPt>
          <c:dPt>
            <c:idx val="13"/>
            <c:bubble3D val="0"/>
            <c:spPr>
              <a:solidFill>
                <a:sysClr val="windowText" lastClr="000000"/>
              </a:solidFill>
              <a:ln>
                <a:solidFill>
                  <a:sysClr val="windowText" lastClr="000000"/>
                </a:solidFill>
              </a:ln>
            </c:spPr>
          </c:dPt>
          <c:dPt>
            <c:idx val="17"/>
            <c:bubble3D val="0"/>
            <c:spPr>
              <a:solidFill>
                <a:sysClr val="windowText" lastClr="000000"/>
              </a:solidFill>
              <a:ln>
                <a:solidFill>
                  <a:sysClr val="windowText" lastClr="00000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0"/>
            <c:bubble3D val="0"/>
            <c:spPr>
              <a:solidFill>
                <a:srgbClr val="C0504D">
                  <a:lumMod val="75000"/>
                </a:srgbClr>
              </a:solidFill>
              <a:ln>
                <a:solidFill>
                  <a:srgbClr val="C0504D">
                    <a:lumMod val="75000"/>
                  </a:srgbClr>
                </a:solidFill>
              </a:ln>
            </c:spPr>
          </c:dPt>
          <c:dPt>
            <c:idx val="44"/>
            <c:bubble3D val="0"/>
            <c:spPr>
              <a:solidFill>
                <a:srgbClr val="C0504D">
                  <a:lumMod val="75000"/>
                </a:srgbClr>
              </a:solidFill>
              <a:ln>
                <a:solidFill>
                  <a:srgbClr val="C0504D">
                    <a:lumMod val="75000"/>
                  </a:srgbClr>
                </a:solidFill>
              </a:ln>
            </c:spPr>
          </c:dPt>
          <c:val>
            <c:numRef>
              <c:f>Data!$H$7:$BC$7</c:f>
              <c:numCache>
                <c:formatCode>General</c:formatCode>
                <c:ptCount val="48"/>
                <c:pt idx="0">
                  <c:v>0</c:v>
                </c:pt>
                <c:pt idx="1">
                  <c:v>10</c:v>
                </c:pt>
                <c:pt idx="2">
                  <c:v>0</c:v>
                </c:pt>
                <c:pt idx="3">
                  <c:v>0</c:v>
                </c:pt>
                <c:pt idx="4">
                  <c:v>0</c:v>
                </c:pt>
                <c:pt idx="5">
                  <c:v>10</c:v>
                </c:pt>
                <c:pt idx="6">
                  <c:v>0</c:v>
                </c:pt>
                <c:pt idx="7">
                  <c:v>0</c:v>
                </c:pt>
                <c:pt idx="8">
                  <c:v>0</c:v>
                </c:pt>
                <c:pt idx="9">
                  <c:v>0</c:v>
                </c:pt>
                <c:pt idx="10">
                  <c:v>10</c:v>
                </c:pt>
                <c:pt idx="11">
                  <c:v>0</c:v>
                </c:pt>
                <c:pt idx="12">
                  <c:v>0</c:v>
                </c:pt>
                <c:pt idx="13">
                  <c:v>10</c:v>
                </c:pt>
                <c:pt idx="14">
                  <c:v>0</c:v>
                </c:pt>
                <c:pt idx="15">
                  <c:v>0</c:v>
                </c:pt>
                <c:pt idx="16">
                  <c:v>0</c:v>
                </c:pt>
                <c:pt idx="17">
                  <c:v>10</c:v>
                </c:pt>
                <c:pt idx="18">
                  <c:v>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10</c:v>
                </c:pt>
                <c:pt idx="41">
                  <c:v>0</c:v>
                </c:pt>
                <c:pt idx="42">
                  <c:v>0</c:v>
                </c:pt>
                <c:pt idx="43">
                  <c:v>0</c:v>
                </c:pt>
                <c:pt idx="44">
                  <c:v>10</c:v>
                </c:pt>
                <c:pt idx="45">
                  <c:v>0</c:v>
                </c:pt>
                <c:pt idx="46">
                  <c:v>0</c:v>
                </c:pt>
                <c:pt idx="47">
                  <c:v>0</c:v>
                </c:pt>
              </c:numCache>
            </c:numRef>
          </c:val>
        </c:ser>
        <c:ser>
          <c:idx val="3"/>
          <c:order val="3"/>
          <c:dPt>
            <c:idx val="1"/>
            <c:bubble3D val="0"/>
            <c:spPr>
              <a:solidFill>
                <a:sysClr val="windowText" lastClr="000000"/>
              </a:solidFill>
              <a:ln>
                <a:solidFill>
                  <a:sysClr val="windowText" lastClr="000000"/>
                </a:solidFill>
              </a:ln>
            </c:spPr>
          </c:dPt>
          <c:dPt>
            <c:idx val="5"/>
            <c:bubble3D val="0"/>
            <c:spPr>
              <a:solidFill>
                <a:sysClr val="windowText" lastClr="000000"/>
              </a:solidFill>
              <a:ln>
                <a:solidFill>
                  <a:sysClr val="windowText" lastClr="000000"/>
                </a:solidFill>
              </a:ln>
            </c:spPr>
          </c:dPt>
          <c:dPt>
            <c:idx val="10"/>
            <c:bubble3D val="0"/>
            <c:spPr>
              <a:solidFill>
                <a:srgbClr val="0070C0"/>
              </a:solidFill>
              <a:ln>
                <a:solidFill>
                  <a:srgbClr val="0070C0"/>
                </a:solidFill>
              </a:ln>
            </c:spPr>
          </c:dPt>
          <c:dPt>
            <c:idx val="13"/>
            <c:bubble3D val="0"/>
            <c:spPr>
              <a:solidFill>
                <a:sysClr val="windowText" lastClr="000000"/>
              </a:solidFill>
              <a:ln>
                <a:solidFill>
                  <a:sysClr val="windowText" lastClr="000000"/>
                </a:solidFill>
              </a:ln>
            </c:spPr>
          </c:dPt>
          <c:dPt>
            <c:idx val="17"/>
            <c:bubble3D val="0"/>
            <c:spPr>
              <a:solidFill>
                <a:sysClr val="windowText" lastClr="000000"/>
              </a:solidFill>
              <a:ln>
                <a:solidFill>
                  <a:sysClr val="windowText" lastClr="00000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0"/>
            <c:bubble3D val="0"/>
            <c:spPr>
              <a:solidFill>
                <a:srgbClr val="C0504D">
                  <a:lumMod val="75000"/>
                </a:srgbClr>
              </a:solidFill>
              <a:ln>
                <a:solidFill>
                  <a:srgbClr val="C0504D">
                    <a:lumMod val="75000"/>
                  </a:srgbClr>
                </a:solidFill>
              </a:ln>
            </c:spPr>
          </c:dPt>
          <c:dPt>
            <c:idx val="44"/>
            <c:bubble3D val="0"/>
            <c:spPr>
              <a:solidFill>
                <a:srgbClr val="C0504D">
                  <a:lumMod val="75000"/>
                </a:srgbClr>
              </a:solidFill>
              <a:ln>
                <a:solidFill>
                  <a:srgbClr val="C0504D">
                    <a:lumMod val="75000"/>
                  </a:srgbClr>
                </a:solidFill>
              </a:ln>
            </c:spPr>
          </c:dPt>
          <c:val>
            <c:numRef>
              <c:f>Data!$H$8:$BC$8</c:f>
              <c:numCache>
                <c:formatCode>General</c:formatCode>
                <c:ptCount val="48"/>
                <c:pt idx="0">
                  <c:v>0</c:v>
                </c:pt>
                <c:pt idx="1">
                  <c:v>10</c:v>
                </c:pt>
                <c:pt idx="2">
                  <c:v>0</c:v>
                </c:pt>
                <c:pt idx="3">
                  <c:v>0</c:v>
                </c:pt>
                <c:pt idx="4">
                  <c:v>0</c:v>
                </c:pt>
                <c:pt idx="5">
                  <c:v>10</c:v>
                </c:pt>
                <c:pt idx="6">
                  <c:v>0</c:v>
                </c:pt>
                <c:pt idx="7">
                  <c:v>0</c:v>
                </c:pt>
                <c:pt idx="8">
                  <c:v>0</c:v>
                </c:pt>
                <c:pt idx="9">
                  <c:v>0</c:v>
                </c:pt>
                <c:pt idx="10">
                  <c:v>10</c:v>
                </c:pt>
                <c:pt idx="11">
                  <c:v>0</c:v>
                </c:pt>
                <c:pt idx="12">
                  <c:v>0</c:v>
                </c:pt>
                <c:pt idx="13">
                  <c:v>10</c:v>
                </c:pt>
                <c:pt idx="14">
                  <c:v>0</c:v>
                </c:pt>
                <c:pt idx="15">
                  <c:v>0</c:v>
                </c:pt>
                <c:pt idx="16">
                  <c:v>0</c:v>
                </c:pt>
                <c:pt idx="17">
                  <c:v>10</c:v>
                </c:pt>
                <c:pt idx="18">
                  <c:v>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10</c:v>
                </c:pt>
                <c:pt idx="41">
                  <c:v>0</c:v>
                </c:pt>
                <c:pt idx="42">
                  <c:v>0</c:v>
                </c:pt>
                <c:pt idx="43">
                  <c:v>0</c:v>
                </c:pt>
                <c:pt idx="44">
                  <c:v>10</c:v>
                </c:pt>
                <c:pt idx="45">
                  <c:v>0</c:v>
                </c:pt>
                <c:pt idx="46">
                  <c:v>0</c:v>
                </c:pt>
                <c:pt idx="47">
                  <c:v>0</c:v>
                </c:pt>
              </c:numCache>
            </c:numRef>
          </c:val>
        </c:ser>
        <c:ser>
          <c:idx val="4"/>
          <c:order val="4"/>
          <c:dPt>
            <c:idx val="1"/>
            <c:bubble3D val="0"/>
            <c:spPr>
              <a:solidFill>
                <a:sysClr val="windowText" lastClr="000000"/>
              </a:solidFill>
              <a:ln>
                <a:solidFill>
                  <a:sysClr val="windowText" lastClr="000000"/>
                </a:solidFill>
              </a:ln>
            </c:spPr>
          </c:dPt>
          <c:dPt>
            <c:idx val="5"/>
            <c:bubble3D val="0"/>
            <c:spPr>
              <a:solidFill>
                <a:sysClr val="windowText" lastClr="000000"/>
              </a:solidFill>
              <a:ln>
                <a:solidFill>
                  <a:sysClr val="windowText" lastClr="000000"/>
                </a:solidFill>
              </a:ln>
            </c:spPr>
          </c:dPt>
          <c:dPt>
            <c:idx val="10"/>
            <c:bubble3D val="0"/>
            <c:spPr>
              <a:solidFill>
                <a:srgbClr val="0070C0"/>
              </a:solidFill>
              <a:ln>
                <a:solidFill>
                  <a:srgbClr val="0070C0"/>
                </a:solidFill>
              </a:ln>
            </c:spPr>
          </c:dPt>
          <c:dPt>
            <c:idx val="13"/>
            <c:bubble3D val="0"/>
            <c:spPr>
              <a:solidFill>
                <a:sysClr val="windowText" lastClr="000000"/>
              </a:solidFill>
              <a:ln>
                <a:solidFill>
                  <a:sysClr val="windowText" lastClr="000000"/>
                </a:solidFill>
              </a:ln>
            </c:spPr>
          </c:dPt>
          <c:dPt>
            <c:idx val="17"/>
            <c:bubble3D val="0"/>
            <c:spPr>
              <a:solidFill>
                <a:sysClr val="windowText" lastClr="000000"/>
              </a:solidFill>
              <a:ln>
                <a:solidFill>
                  <a:sysClr val="windowText" lastClr="00000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0"/>
            <c:bubble3D val="0"/>
            <c:spPr>
              <a:solidFill>
                <a:srgbClr val="C0504D">
                  <a:lumMod val="75000"/>
                </a:srgbClr>
              </a:solidFill>
              <a:ln>
                <a:solidFill>
                  <a:srgbClr val="C0504D">
                    <a:lumMod val="75000"/>
                  </a:srgbClr>
                </a:solidFill>
              </a:ln>
            </c:spPr>
          </c:dPt>
          <c:dPt>
            <c:idx val="44"/>
            <c:bubble3D val="0"/>
            <c:spPr>
              <a:solidFill>
                <a:srgbClr val="C0504D">
                  <a:lumMod val="75000"/>
                </a:srgbClr>
              </a:solidFill>
              <a:ln>
                <a:solidFill>
                  <a:srgbClr val="C0504D">
                    <a:lumMod val="75000"/>
                  </a:srgbClr>
                </a:solidFill>
              </a:ln>
            </c:spPr>
          </c:dPt>
          <c:val>
            <c:numRef>
              <c:f>Data!$H$9:$BC$9</c:f>
              <c:numCache>
                <c:formatCode>General</c:formatCode>
                <c:ptCount val="48"/>
                <c:pt idx="0">
                  <c:v>0</c:v>
                </c:pt>
                <c:pt idx="1">
                  <c:v>10</c:v>
                </c:pt>
                <c:pt idx="2">
                  <c:v>0</c:v>
                </c:pt>
                <c:pt idx="3">
                  <c:v>0</c:v>
                </c:pt>
                <c:pt idx="4">
                  <c:v>0</c:v>
                </c:pt>
                <c:pt idx="5">
                  <c:v>10</c:v>
                </c:pt>
                <c:pt idx="6">
                  <c:v>0</c:v>
                </c:pt>
                <c:pt idx="7">
                  <c:v>0</c:v>
                </c:pt>
                <c:pt idx="8">
                  <c:v>0</c:v>
                </c:pt>
                <c:pt idx="9">
                  <c:v>0</c:v>
                </c:pt>
                <c:pt idx="10">
                  <c:v>10</c:v>
                </c:pt>
                <c:pt idx="11">
                  <c:v>0</c:v>
                </c:pt>
                <c:pt idx="12">
                  <c:v>0</c:v>
                </c:pt>
                <c:pt idx="13">
                  <c:v>10</c:v>
                </c:pt>
                <c:pt idx="14">
                  <c:v>0</c:v>
                </c:pt>
                <c:pt idx="15">
                  <c:v>0</c:v>
                </c:pt>
                <c:pt idx="16">
                  <c:v>0</c:v>
                </c:pt>
                <c:pt idx="17">
                  <c:v>10</c:v>
                </c:pt>
                <c:pt idx="18">
                  <c:v>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10</c:v>
                </c:pt>
                <c:pt idx="41">
                  <c:v>0</c:v>
                </c:pt>
                <c:pt idx="42">
                  <c:v>0</c:v>
                </c:pt>
                <c:pt idx="43">
                  <c:v>0</c:v>
                </c:pt>
                <c:pt idx="44">
                  <c:v>10</c:v>
                </c:pt>
                <c:pt idx="45">
                  <c:v>0</c:v>
                </c:pt>
                <c:pt idx="46">
                  <c:v>0</c:v>
                </c:pt>
                <c:pt idx="47">
                  <c:v>0</c:v>
                </c:pt>
              </c:numCache>
            </c:numRef>
          </c:val>
        </c:ser>
        <c:ser>
          <c:idx val="5"/>
          <c:order val="5"/>
          <c:dPt>
            <c:idx val="1"/>
            <c:bubble3D val="0"/>
            <c:spPr>
              <a:solidFill>
                <a:sysClr val="windowText" lastClr="000000"/>
              </a:solidFill>
              <a:ln>
                <a:solidFill>
                  <a:sysClr val="windowText" lastClr="000000"/>
                </a:solidFill>
              </a:ln>
            </c:spPr>
          </c:dPt>
          <c:dPt>
            <c:idx val="6"/>
            <c:bubble3D val="0"/>
            <c:spPr>
              <a:solidFill>
                <a:srgbClr val="0070C0"/>
              </a:solidFill>
              <a:ln>
                <a:solidFill>
                  <a:srgbClr val="0070C0"/>
                </a:solidFill>
              </a:ln>
            </c:spPr>
          </c:dPt>
          <c:dPt>
            <c:idx val="11"/>
            <c:bubble3D val="0"/>
            <c:spPr>
              <a:noFill/>
              <a:ln>
                <a:noFill/>
              </a:ln>
            </c:spPr>
          </c:dPt>
          <c:dPt>
            <c:idx val="13"/>
            <c:bubble3D val="0"/>
            <c:spPr>
              <a:solidFill>
                <a:sysClr val="windowText" lastClr="000000"/>
              </a:solidFill>
              <a:ln>
                <a:solidFill>
                  <a:sysClr val="windowText" lastClr="000000"/>
                </a:solidFill>
              </a:ln>
            </c:spPr>
          </c:dPt>
          <c:dPt>
            <c:idx val="17"/>
            <c:bubble3D val="0"/>
            <c:spPr>
              <a:solidFill>
                <a:sysClr val="windowText" lastClr="000000"/>
              </a:solidFill>
              <a:ln>
                <a:solidFill>
                  <a:sysClr val="windowText" lastClr="00000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0"/>
            <c:bubble3D val="0"/>
            <c:spPr>
              <a:solidFill>
                <a:srgbClr val="C0504D">
                  <a:lumMod val="75000"/>
                </a:srgbClr>
              </a:solidFill>
              <a:ln>
                <a:solidFill>
                  <a:srgbClr val="C0504D">
                    <a:lumMod val="75000"/>
                  </a:srgbClr>
                </a:solidFill>
              </a:ln>
            </c:spPr>
          </c:dPt>
          <c:dPt>
            <c:idx val="44"/>
            <c:bubble3D val="0"/>
            <c:spPr>
              <a:solidFill>
                <a:srgbClr val="C0504D">
                  <a:lumMod val="75000"/>
                </a:srgbClr>
              </a:solidFill>
              <a:ln>
                <a:solidFill>
                  <a:srgbClr val="C0504D">
                    <a:lumMod val="75000"/>
                  </a:srgbClr>
                </a:solidFill>
              </a:ln>
            </c:spPr>
          </c:dPt>
          <c:val>
            <c:numRef>
              <c:f>Data!$H$10:$BC$10</c:f>
              <c:numCache>
                <c:formatCode>General</c:formatCode>
                <c:ptCount val="48"/>
                <c:pt idx="0">
                  <c:v>0</c:v>
                </c:pt>
                <c:pt idx="1">
                  <c:v>10</c:v>
                </c:pt>
                <c:pt idx="2">
                  <c:v>0</c:v>
                </c:pt>
                <c:pt idx="3">
                  <c:v>0</c:v>
                </c:pt>
                <c:pt idx="4">
                  <c:v>0</c:v>
                </c:pt>
                <c:pt idx="5">
                  <c:v>0</c:v>
                </c:pt>
                <c:pt idx="6">
                  <c:v>10</c:v>
                </c:pt>
                <c:pt idx="7">
                  <c:v>0</c:v>
                </c:pt>
                <c:pt idx="8">
                  <c:v>0</c:v>
                </c:pt>
                <c:pt idx="9">
                  <c:v>0</c:v>
                </c:pt>
                <c:pt idx="10">
                  <c:v>0</c:v>
                </c:pt>
                <c:pt idx="11">
                  <c:v>10</c:v>
                </c:pt>
                <c:pt idx="12">
                  <c:v>0</c:v>
                </c:pt>
                <c:pt idx="13">
                  <c:v>10</c:v>
                </c:pt>
                <c:pt idx="14">
                  <c:v>0</c:v>
                </c:pt>
                <c:pt idx="15">
                  <c:v>0</c:v>
                </c:pt>
                <c:pt idx="16">
                  <c:v>0</c:v>
                </c:pt>
                <c:pt idx="17">
                  <c:v>10</c:v>
                </c:pt>
                <c:pt idx="18">
                  <c:v>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10</c:v>
                </c:pt>
                <c:pt idx="41">
                  <c:v>0</c:v>
                </c:pt>
                <c:pt idx="42">
                  <c:v>0</c:v>
                </c:pt>
                <c:pt idx="43">
                  <c:v>0</c:v>
                </c:pt>
                <c:pt idx="44">
                  <c:v>10</c:v>
                </c:pt>
                <c:pt idx="45">
                  <c:v>0</c:v>
                </c:pt>
                <c:pt idx="46">
                  <c:v>0</c:v>
                </c:pt>
                <c:pt idx="47">
                  <c:v>0</c:v>
                </c:pt>
              </c:numCache>
            </c:numRef>
          </c:val>
        </c:ser>
        <c:ser>
          <c:idx val="6"/>
          <c:order val="6"/>
          <c:dPt>
            <c:idx val="3"/>
            <c:bubble3D val="0"/>
            <c:spPr>
              <a:noFill/>
              <a:ln>
                <a:noFill/>
              </a:ln>
            </c:spPr>
          </c:dPt>
          <c:dPt>
            <c:idx val="6"/>
            <c:bubble3D val="0"/>
            <c:spPr>
              <a:solidFill>
                <a:srgbClr val="0070C0"/>
              </a:solidFill>
              <a:ln>
                <a:solidFill>
                  <a:srgbClr val="0070C0"/>
                </a:solidFill>
              </a:ln>
            </c:spPr>
          </c:dPt>
          <c:dPt>
            <c:idx val="11"/>
            <c:bubble3D val="0"/>
            <c:spPr>
              <a:noFill/>
              <a:ln>
                <a:noFill/>
              </a:ln>
            </c:spPr>
          </c:dPt>
          <c:dPt>
            <c:idx val="13"/>
            <c:bubble3D val="0"/>
            <c:spPr>
              <a:solidFill>
                <a:sysClr val="windowText" lastClr="000000"/>
              </a:solidFill>
              <a:ln>
                <a:solidFill>
                  <a:sysClr val="windowText" lastClr="000000"/>
                </a:solidFill>
              </a:ln>
            </c:spPr>
          </c:dPt>
          <c:dPt>
            <c:idx val="17"/>
            <c:bubble3D val="0"/>
            <c:spPr>
              <a:solidFill>
                <a:sysClr val="windowText" lastClr="000000"/>
              </a:solidFill>
              <a:ln>
                <a:solidFill>
                  <a:sysClr val="windowText" lastClr="00000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0"/>
            <c:bubble3D val="0"/>
            <c:spPr>
              <a:solidFill>
                <a:srgbClr val="C0504D">
                  <a:lumMod val="75000"/>
                </a:srgbClr>
              </a:solidFill>
              <a:ln>
                <a:solidFill>
                  <a:srgbClr val="C0504D">
                    <a:lumMod val="75000"/>
                  </a:srgbClr>
                </a:solidFill>
              </a:ln>
            </c:spPr>
          </c:dPt>
          <c:dPt>
            <c:idx val="44"/>
            <c:bubble3D val="0"/>
            <c:spPr>
              <a:solidFill>
                <a:srgbClr val="C0504D">
                  <a:lumMod val="75000"/>
                </a:srgbClr>
              </a:solidFill>
              <a:ln>
                <a:solidFill>
                  <a:srgbClr val="C0504D">
                    <a:lumMod val="75000"/>
                  </a:srgbClr>
                </a:solidFill>
              </a:ln>
            </c:spPr>
          </c:dPt>
          <c:val>
            <c:numRef>
              <c:f>Data!$H$11:$BC$11</c:f>
              <c:numCache>
                <c:formatCode>General</c:formatCode>
                <c:ptCount val="48"/>
                <c:pt idx="0">
                  <c:v>0</c:v>
                </c:pt>
                <c:pt idx="1">
                  <c:v>0</c:v>
                </c:pt>
                <c:pt idx="2">
                  <c:v>0</c:v>
                </c:pt>
                <c:pt idx="3">
                  <c:v>10</c:v>
                </c:pt>
                <c:pt idx="4">
                  <c:v>0</c:v>
                </c:pt>
                <c:pt idx="5">
                  <c:v>0</c:v>
                </c:pt>
                <c:pt idx="6">
                  <c:v>10</c:v>
                </c:pt>
                <c:pt idx="7">
                  <c:v>0</c:v>
                </c:pt>
                <c:pt idx="8">
                  <c:v>0</c:v>
                </c:pt>
                <c:pt idx="9">
                  <c:v>0</c:v>
                </c:pt>
                <c:pt idx="10">
                  <c:v>0</c:v>
                </c:pt>
                <c:pt idx="11">
                  <c:v>10</c:v>
                </c:pt>
                <c:pt idx="12">
                  <c:v>0</c:v>
                </c:pt>
                <c:pt idx="13">
                  <c:v>10</c:v>
                </c:pt>
                <c:pt idx="14">
                  <c:v>0</c:v>
                </c:pt>
                <c:pt idx="15">
                  <c:v>0</c:v>
                </c:pt>
                <c:pt idx="16">
                  <c:v>0</c:v>
                </c:pt>
                <c:pt idx="17">
                  <c:v>10</c:v>
                </c:pt>
                <c:pt idx="18">
                  <c:v>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10</c:v>
                </c:pt>
                <c:pt idx="41">
                  <c:v>0</c:v>
                </c:pt>
                <c:pt idx="42">
                  <c:v>0</c:v>
                </c:pt>
                <c:pt idx="43">
                  <c:v>0</c:v>
                </c:pt>
                <c:pt idx="44">
                  <c:v>10</c:v>
                </c:pt>
                <c:pt idx="45">
                  <c:v>0</c:v>
                </c:pt>
                <c:pt idx="46">
                  <c:v>0</c:v>
                </c:pt>
                <c:pt idx="47">
                  <c:v>0</c:v>
                </c:pt>
              </c:numCache>
            </c:numRef>
          </c:val>
        </c:ser>
        <c:ser>
          <c:idx val="7"/>
          <c:order val="7"/>
          <c:dPt>
            <c:idx val="3"/>
            <c:bubble3D val="0"/>
            <c:spPr>
              <a:noFill/>
              <a:ln>
                <a:noFill/>
              </a:ln>
            </c:spPr>
          </c:dPt>
          <c:dPt>
            <c:idx val="6"/>
            <c:bubble3D val="0"/>
            <c:spPr>
              <a:solidFill>
                <a:srgbClr val="0070C0"/>
              </a:solidFill>
              <a:ln>
                <a:solidFill>
                  <a:srgbClr val="0070C0"/>
                </a:solidFill>
              </a:ln>
            </c:spPr>
          </c:dPt>
          <c:dPt>
            <c:idx val="11"/>
            <c:bubble3D val="0"/>
            <c:spPr>
              <a:noFill/>
              <a:ln>
                <a:noFill/>
              </a:ln>
            </c:spPr>
          </c:dPt>
          <c:dPt>
            <c:idx val="13"/>
            <c:bubble3D val="0"/>
            <c:spPr>
              <a:solidFill>
                <a:sysClr val="windowText" lastClr="000000"/>
              </a:solidFill>
              <a:ln>
                <a:solidFill>
                  <a:sysClr val="windowText" lastClr="000000"/>
                </a:solidFill>
              </a:ln>
            </c:spPr>
          </c:dPt>
          <c:dPt>
            <c:idx val="17"/>
            <c:bubble3D val="0"/>
            <c:spPr>
              <a:solidFill>
                <a:sysClr val="windowText" lastClr="000000"/>
              </a:solidFill>
              <a:ln>
                <a:solidFill>
                  <a:sysClr val="windowText" lastClr="00000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0"/>
            <c:bubble3D val="0"/>
            <c:spPr>
              <a:solidFill>
                <a:srgbClr val="C0504D">
                  <a:lumMod val="75000"/>
                </a:srgbClr>
              </a:solidFill>
              <a:ln>
                <a:solidFill>
                  <a:srgbClr val="C0504D">
                    <a:lumMod val="75000"/>
                  </a:srgbClr>
                </a:solidFill>
              </a:ln>
            </c:spPr>
          </c:dPt>
          <c:dPt>
            <c:idx val="44"/>
            <c:bubble3D val="0"/>
            <c:spPr>
              <a:solidFill>
                <a:srgbClr val="C0504D">
                  <a:lumMod val="75000"/>
                </a:srgbClr>
              </a:solidFill>
              <a:ln>
                <a:solidFill>
                  <a:srgbClr val="C0504D">
                    <a:lumMod val="75000"/>
                  </a:srgbClr>
                </a:solidFill>
              </a:ln>
            </c:spPr>
          </c:dPt>
          <c:val>
            <c:numRef>
              <c:f>Data!$H$12:$BC$12</c:f>
              <c:numCache>
                <c:formatCode>General</c:formatCode>
                <c:ptCount val="48"/>
                <c:pt idx="0">
                  <c:v>0</c:v>
                </c:pt>
                <c:pt idx="1">
                  <c:v>0</c:v>
                </c:pt>
                <c:pt idx="2">
                  <c:v>0</c:v>
                </c:pt>
                <c:pt idx="3">
                  <c:v>10</c:v>
                </c:pt>
                <c:pt idx="4">
                  <c:v>0</c:v>
                </c:pt>
                <c:pt idx="5">
                  <c:v>0</c:v>
                </c:pt>
                <c:pt idx="6">
                  <c:v>10</c:v>
                </c:pt>
                <c:pt idx="7">
                  <c:v>0</c:v>
                </c:pt>
                <c:pt idx="8">
                  <c:v>0</c:v>
                </c:pt>
                <c:pt idx="9">
                  <c:v>0</c:v>
                </c:pt>
                <c:pt idx="10">
                  <c:v>0</c:v>
                </c:pt>
                <c:pt idx="11">
                  <c:v>10</c:v>
                </c:pt>
                <c:pt idx="12">
                  <c:v>0</c:v>
                </c:pt>
                <c:pt idx="13">
                  <c:v>10</c:v>
                </c:pt>
                <c:pt idx="14">
                  <c:v>0</c:v>
                </c:pt>
                <c:pt idx="15">
                  <c:v>0</c:v>
                </c:pt>
                <c:pt idx="16">
                  <c:v>0</c:v>
                </c:pt>
                <c:pt idx="17">
                  <c:v>10</c:v>
                </c:pt>
                <c:pt idx="18">
                  <c:v>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10</c:v>
                </c:pt>
                <c:pt idx="41">
                  <c:v>0</c:v>
                </c:pt>
                <c:pt idx="42">
                  <c:v>0</c:v>
                </c:pt>
                <c:pt idx="43">
                  <c:v>0</c:v>
                </c:pt>
                <c:pt idx="44">
                  <c:v>10</c:v>
                </c:pt>
                <c:pt idx="45">
                  <c:v>0</c:v>
                </c:pt>
                <c:pt idx="46">
                  <c:v>0</c:v>
                </c:pt>
                <c:pt idx="47">
                  <c:v>0</c:v>
                </c:pt>
              </c:numCache>
            </c:numRef>
          </c:val>
        </c:ser>
        <c:ser>
          <c:idx val="8"/>
          <c:order val="8"/>
          <c:dPt>
            <c:idx val="3"/>
            <c:bubble3D val="0"/>
            <c:spPr>
              <a:noFill/>
              <a:ln>
                <a:noFill/>
              </a:ln>
            </c:spPr>
          </c:dPt>
          <c:dPt>
            <c:idx val="7"/>
            <c:bubble3D val="0"/>
            <c:spPr>
              <a:noFill/>
              <a:ln>
                <a:noFill/>
              </a:ln>
            </c:spPr>
          </c:dPt>
          <c:dPt>
            <c:idx val="11"/>
            <c:bubble3D val="0"/>
            <c:spPr>
              <a:noFill/>
              <a:ln>
                <a:noFill/>
              </a:ln>
            </c:spPr>
          </c:dPt>
          <c:dPt>
            <c:idx val="13"/>
            <c:bubble3D val="0"/>
            <c:spPr>
              <a:solidFill>
                <a:sysClr val="windowText" lastClr="000000"/>
              </a:solidFill>
              <a:ln>
                <a:solidFill>
                  <a:sysClr val="windowText" lastClr="000000"/>
                </a:solidFill>
              </a:ln>
            </c:spPr>
          </c:dPt>
          <c:dPt>
            <c:idx val="17"/>
            <c:bubble3D val="0"/>
            <c:spPr>
              <a:solidFill>
                <a:sysClr val="windowText" lastClr="000000"/>
              </a:solidFill>
              <a:ln>
                <a:solidFill>
                  <a:sysClr val="windowText" lastClr="00000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0"/>
            <c:bubble3D val="0"/>
            <c:spPr>
              <a:solidFill>
                <a:srgbClr val="C0504D">
                  <a:lumMod val="75000"/>
                </a:srgbClr>
              </a:solidFill>
              <a:ln>
                <a:solidFill>
                  <a:srgbClr val="C0504D">
                    <a:lumMod val="75000"/>
                  </a:srgbClr>
                </a:solidFill>
              </a:ln>
            </c:spPr>
          </c:dPt>
          <c:dPt>
            <c:idx val="45"/>
            <c:bubble3D val="0"/>
            <c:spPr>
              <a:solidFill>
                <a:sysClr val="windowText" lastClr="000000"/>
              </a:solidFill>
              <a:ln>
                <a:solidFill>
                  <a:sysClr val="windowText" lastClr="000000"/>
                </a:solidFill>
              </a:ln>
            </c:spPr>
          </c:dPt>
          <c:val>
            <c:numRef>
              <c:f>Data!$H$13:$BC$13</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10</c:v>
                </c:pt>
                <c:pt idx="14">
                  <c:v>0</c:v>
                </c:pt>
                <c:pt idx="15">
                  <c:v>0</c:v>
                </c:pt>
                <c:pt idx="16">
                  <c:v>0</c:v>
                </c:pt>
                <c:pt idx="17">
                  <c:v>10</c:v>
                </c:pt>
                <c:pt idx="18">
                  <c:v>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10</c:v>
                </c:pt>
                <c:pt idx="41">
                  <c:v>0</c:v>
                </c:pt>
                <c:pt idx="42">
                  <c:v>0</c:v>
                </c:pt>
                <c:pt idx="43">
                  <c:v>0</c:v>
                </c:pt>
                <c:pt idx="44">
                  <c:v>0</c:v>
                </c:pt>
                <c:pt idx="45">
                  <c:v>10</c:v>
                </c:pt>
                <c:pt idx="46">
                  <c:v>0</c:v>
                </c:pt>
                <c:pt idx="47">
                  <c:v>0</c:v>
                </c:pt>
              </c:numCache>
            </c:numRef>
          </c:val>
        </c:ser>
        <c:ser>
          <c:idx val="9"/>
          <c:order val="9"/>
          <c:dPt>
            <c:idx val="3"/>
            <c:bubble3D val="0"/>
            <c:spPr>
              <a:noFill/>
              <a:ln>
                <a:noFill/>
              </a:ln>
            </c:spPr>
          </c:dPt>
          <c:dPt>
            <c:idx val="7"/>
            <c:bubble3D val="0"/>
            <c:spPr>
              <a:noFill/>
              <a:ln>
                <a:noFill/>
              </a:ln>
            </c:spPr>
          </c:dPt>
          <c:dPt>
            <c:idx val="11"/>
            <c:bubble3D val="0"/>
            <c:spPr>
              <a:noFill/>
              <a:ln>
                <a:noFill/>
              </a:ln>
            </c:spPr>
          </c:dPt>
          <c:dPt>
            <c:idx val="13"/>
            <c:bubble3D val="0"/>
            <c:spPr>
              <a:solidFill>
                <a:sysClr val="windowText" lastClr="000000"/>
              </a:solidFill>
              <a:ln>
                <a:solidFill>
                  <a:sysClr val="windowText" lastClr="000000"/>
                </a:solidFill>
              </a:ln>
            </c:spPr>
          </c:dPt>
          <c:dPt>
            <c:idx val="17"/>
            <c:bubble3D val="0"/>
            <c:spPr>
              <a:solidFill>
                <a:sysClr val="windowText" lastClr="000000"/>
              </a:solidFill>
              <a:ln>
                <a:solidFill>
                  <a:sysClr val="windowText" lastClr="00000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0"/>
            <c:bubble3D val="0"/>
            <c:spPr>
              <a:solidFill>
                <a:srgbClr val="C0504D">
                  <a:lumMod val="75000"/>
                </a:srgbClr>
              </a:solidFill>
              <a:ln>
                <a:solidFill>
                  <a:srgbClr val="C0504D">
                    <a:lumMod val="75000"/>
                  </a:srgbClr>
                </a:solidFill>
              </a:ln>
            </c:spPr>
          </c:dPt>
          <c:dPt>
            <c:idx val="45"/>
            <c:bubble3D val="0"/>
            <c:spPr>
              <a:solidFill>
                <a:sysClr val="windowText" lastClr="000000"/>
              </a:solidFill>
              <a:ln>
                <a:solidFill>
                  <a:sysClr val="windowText" lastClr="000000"/>
                </a:solidFill>
              </a:ln>
            </c:spPr>
          </c:dPt>
          <c:val>
            <c:numRef>
              <c:f>Data!$H$14:$BC$14</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10</c:v>
                </c:pt>
                <c:pt idx="14">
                  <c:v>0</c:v>
                </c:pt>
                <c:pt idx="15">
                  <c:v>0</c:v>
                </c:pt>
                <c:pt idx="16">
                  <c:v>0</c:v>
                </c:pt>
                <c:pt idx="17">
                  <c:v>10</c:v>
                </c:pt>
                <c:pt idx="18">
                  <c:v>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10</c:v>
                </c:pt>
                <c:pt idx="41">
                  <c:v>0</c:v>
                </c:pt>
                <c:pt idx="42">
                  <c:v>0</c:v>
                </c:pt>
                <c:pt idx="43">
                  <c:v>0</c:v>
                </c:pt>
                <c:pt idx="44">
                  <c:v>0</c:v>
                </c:pt>
                <c:pt idx="45">
                  <c:v>10</c:v>
                </c:pt>
                <c:pt idx="46">
                  <c:v>0</c:v>
                </c:pt>
                <c:pt idx="47">
                  <c:v>0</c:v>
                </c:pt>
              </c:numCache>
            </c:numRef>
          </c:val>
        </c:ser>
        <c:ser>
          <c:idx val="10"/>
          <c:order val="10"/>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1"/>
            <c:bubble3D val="0"/>
            <c:spPr>
              <a:solidFill>
                <a:sysClr val="windowText" lastClr="000000"/>
              </a:solidFill>
              <a:ln>
                <a:solidFill>
                  <a:sysClr val="windowText" lastClr="000000"/>
                </a:solidFill>
              </a:ln>
            </c:spPr>
          </c:dPt>
          <c:dPt>
            <c:idx val="45"/>
            <c:bubble3D val="0"/>
            <c:spPr>
              <a:solidFill>
                <a:sysClr val="windowText" lastClr="000000"/>
              </a:solidFill>
              <a:ln>
                <a:solidFill>
                  <a:sysClr val="windowText" lastClr="000000"/>
                </a:solidFill>
              </a:ln>
            </c:spPr>
          </c:dPt>
          <c:val>
            <c:numRef>
              <c:f>Data!$H$15:$BC$15</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0</c:v>
                </c:pt>
                <c:pt idx="41">
                  <c:v>10</c:v>
                </c:pt>
                <c:pt idx="42">
                  <c:v>0</c:v>
                </c:pt>
                <c:pt idx="43">
                  <c:v>0</c:v>
                </c:pt>
                <c:pt idx="44">
                  <c:v>0</c:v>
                </c:pt>
                <c:pt idx="45">
                  <c:v>10</c:v>
                </c:pt>
                <c:pt idx="46">
                  <c:v>0</c:v>
                </c:pt>
                <c:pt idx="47">
                  <c:v>0</c:v>
                </c:pt>
              </c:numCache>
            </c:numRef>
          </c:val>
        </c:ser>
        <c:ser>
          <c:idx val="11"/>
          <c:order val="11"/>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1"/>
            <c:bubble3D val="0"/>
            <c:spPr>
              <a:solidFill>
                <a:sysClr val="windowText" lastClr="000000"/>
              </a:solidFill>
              <a:ln>
                <a:solidFill>
                  <a:sysClr val="windowText" lastClr="000000"/>
                </a:solidFill>
              </a:ln>
            </c:spPr>
          </c:dPt>
          <c:dPt>
            <c:idx val="45"/>
            <c:bubble3D val="0"/>
            <c:spPr>
              <a:solidFill>
                <a:sysClr val="windowText" lastClr="000000"/>
              </a:solidFill>
              <a:ln>
                <a:solidFill>
                  <a:sysClr val="windowText" lastClr="000000"/>
                </a:solidFill>
              </a:ln>
            </c:spPr>
          </c:dPt>
          <c:val>
            <c:numRef>
              <c:f>Data!$H$16:$BC$16</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0</c:v>
                </c:pt>
                <c:pt idx="41">
                  <c:v>10</c:v>
                </c:pt>
                <c:pt idx="42">
                  <c:v>0</c:v>
                </c:pt>
                <c:pt idx="43">
                  <c:v>0</c:v>
                </c:pt>
                <c:pt idx="44">
                  <c:v>0</c:v>
                </c:pt>
                <c:pt idx="45">
                  <c:v>10</c:v>
                </c:pt>
                <c:pt idx="46">
                  <c:v>0</c:v>
                </c:pt>
                <c:pt idx="47">
                  <c:v>0</c:v>
                </c:pt>
              </c:numCache>
            </c:numRef>
          </c:val>
        </c:ser>
        <c:ser>
          <c:idx val="12"/>
          <c:order val="12"/>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0"/>
            <c:bubble3D val="0"/>
            <c:spPr>
              <a:solidFill>
                <a:srgbClr val="C0504D">
                  <a:lumMod val="75000"/>
                </a:srgbClr>
              </a:solidFill>
              <a:ln>
                <a:solidFill>
                  <a:srgbClr val="C0504D">
                    <a:lumMod val="75000"/>
                  </a:srgbClr>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1"/>
            <c:bubble3D val="0"/>
            <c:spPr>
              <a:solidFill>
                <a:sysClr val="windowText" lastClr="000000"/>
              </a:solidFill>
              <a:ln>
                <a:solidFill>
                  <a:sysClr val="windowText" lastClr="000000"/>
                </a:solidFill>
              </a:ln>
            </c:spPr>
          </c:dPt>
          <c:dPt>
            <c:idx val="45"/>
            <c:bubble3D val="0"/>
            <c:spPr>
              <a:solidFill>
                <a:sysClr val="windowText" lastClr="000000"/>
              </a:solidFill>
              <a:ln>
                <a:solidFill>
                  <a:sysClr val="windowText" lastClr="000000"/>
                </a:solidFill>
              </a:ln>
            </c:spPr>
          </c:dPt>
          <c:val>
            <c:numRef>
              <c:f>Data!$H$17:$BC$17</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10</c:v>
                </c:pt>
                <c:pt idx="21">
                  <c:v>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0</c:v>
                </c:pt>
                <c:pt idx="41">
                  <c:v>10</c:v>
                </c:pt>
                <c:pt idx="42">
                  <c:v>0</c:v>
                </c:pt>
                <c:pt idx="43">
                  <c:v>0</c:v>
                </c:pt>
                <c:pt idx="44">
                  <c:v>0</c:v>
                </c:pt>
                <c:pt idx="45">
                  <c:v>10</c:v>
                </c:pt>
                <c:pt idx="46">
                  <c:v>0</c:v>
                </c:pt>
                <c:pt idx="47">
                  <c:v>0</c:v>
                </c:pt>
              </c:numCache>
            </c:numRef>
          </c:val>
        </c:ser>
        <c:ser>
          <c:idx val="13"/>
          <c:order val="13"/>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1"/>
            <c:bubble3D val="0"/>
            <c:spPr>
              <a:solidFill>
                <a:sysClr val="windowText" lastClr="000000"/>
              </a:solidFill>
              <a:ln>
                <a:solidFill>
                  <a:sysClr val="windowText" lastClr="000000"/>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1"/>
            <c:bubble3D val="0"/>
            <c:spPr>
              <a:solidFill>
                <a:sysClr val="windowText" lastClr="000000"/>
              </a:solidFill>
              <a:ln>
                <a:solidFill>
                  <a:sysClr val="windowText" lastClr="000000"/>
                </a:solidFill>
              </a:ln>
            </c:spPr>
          </c:dPt>
          <c:dPt>
            <c:idx val="45"/>
            <c:bubble3D val="0"/>
            <c:spPr>
              <a:solidFill>
                <a:sysClr val="windowText" lastClr="000000"/>
              </a:solidFill>
              <a:ln>
                <a:solidFill>
                  <a:sysClr val="windowText" lastClr="000000"/>
                </a:solidFill>
              </a:ln>
            </c:spPr>
          </c:dPt>
          <c:val>
            <c:numRef>
              <c:f>Data!$H$18:$BC$18</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10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0</c:v>
                </c:pt>
                <c:pt idx="41">
                  <c:v>10</c:v>
                </c:pt>
                <c:pt idx="42">
                  <c:v>0</c:v>
                </c:pt>
                <c:pt idx="43">
                  <c:v>0</c:v>
                </c:pt>
                <c:pt idx="44">
                  <c:v>0</c:v>
                </c:pt>
                <c:pt idx="45">
                  <c:v>10</c:v>
                </c:pt>
                <c:pt idx="46">
                  <c:v>0</c:v>
                </c:pt>
                <c:pt idx="47">
                  <c:v>0</c:v>
                </c:pt>
              </c:numCache>
            </c:numRef>
          </c:val>
        </c:ser>
        <c:ser>
          <c:idx val="14"/>
          <c:order val="14"/>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1"/>
            <c:bubble3D val="0"/>
            <c:spPr>
              <a:solidFill>
                <a:sysClr val="windowText" lastClr="000000"/>
              </a:solidFill>
              <a:ln>
                <a:solidFill>
                  <a:sysClr val="windowText" lastClr="000000"/>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6"/>
            <c:bubble3D val="0"/>
            <c:spPr>
              <a:solidFill>
                <a:srgbClr val="C0504D">
                  <a:lumMod val="75000"/>
                </a:srgbClr>
              </a:solidFill>
              <a:ln>
                <a:solidFill>
                  <a:srgbClr val="C0504D">
                    <a:lumMod val="75000"/>
                  </a:srgbClr>
                </a:solidFill>
              </a:ln>
            </c:spPr>
          </c:dPt>
          <c:dPt>
            <c:idx val="41"/>
            <c:bubble3D val="0"/>
            <c:spPr>
              <a:solidFill>
                <a:sysClr val="windowText" lastClr="000000"/>
              </a:solidFill>
              <a:ln>
                <a:solidFill>
                  <a:sysClr val="windowText" lastClr="000000"/>
                </a:solidFill>
              </a:ln>
            </c:spPr>
          </c:dPt>
          <c:dPt>
            <c:idx val="45"/>
            <c:bubble3D val="0"/>
            <c:spPr>
              <a:solidFill>
                <a:sysClr val="windowText" lastClr="000000"/>
              </a:solidFill>
              <a:ln>
                <a:solidFill>
                  <a:sysClr val="windowText" lastClr="000000"/>
                </a:solidFill>
              </a:ln>
            </c:spPr>
          </c:dPt>
          <c:val>
            <c:numRef>
              <c:f>Data!$H$19:$BC$19</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10</c:v>
                </c:pt>
                <c:pt idx="22">
                  <c:v>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10</c:v>
                </c:pt>
                <c:pt idx="37">
                  <c:v>0</c:v>
                </c:pt>
                <c:pt idx="38">
                  <c:v>0</c:v>
                </c:pt>
                <c:pt idx="39">
                  <c:v>0</c:v>
                </c:pt>
                <c:pt idx="40">
                  <c:v>0</c:v>
                </c:pt>
                <c:pt idx="41">
                  <c:v>10</c:v>
                </c:pt>
                <c:pt idx="42">
                  <c:v>0</c:v>
                </c:pt>
                <c:pt idx="43">
                  <c:v>0</c:v>
                </c:pt>
                <c:pt idx="44">
                  <c:v>0</c:v>
                </c:pt>
                <c:pt idx="45">
                  <c:v>10</c:v>
                </c:pt>
                <c:pt idx="46">
                  <c:v>0</c:v>
                </c:pt>
                <c:pt idx="47">
                  <c:v>0</c:v>
                </c:pt>
              </c:numCache>
            </c:numRef>
          </c:val>
        </c:ser>
        <c:ser>
          <c:idx val="15"/>
          <c:order val="15"/>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5"/>
            <c:bubble3D val="0"/>
            <c:spPr>
              <a:solidFill>
                <a:sysClr val="windowText" lastClr="000000"/>
              </a:solidFill>
              <a:ln>
                <a:solidFill>
                  <a:sysClr val="windowText" lastClr="000000"/>
                </a:solidFill>
              </a:ln>
            </c:spPr>
          </c:dPt>
          <c:val>
            <c:numRef>
              <c:f>Data!$H$20:$BC$20</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0</c:v>
                </c:pt>
                <c:pt idx="37">
                  <c:v>10</c:v>
                </c:pt>
                <c:pt idx="38">
                  <c:v>0</c:v>
                </c:pt>
                <c:pt idx="39">
                  <c:v>0</c:v>
                </c:pt>
                <c:pt idx="40">
                  <c:v>0</c:v>
                </c:pt>
                <c:pt idx="41">
                  <c:v>10</c:v>
                </c:pt>
                <c:pt idx="42">
                  <c:v>0</c:v>
                </c:pt>
                <c:pt idx="43">
                  <c:v>0</c:v>
                </c:pt>
                <c:pt idx="44">
                  <c:v>0</c:v>
                </c:pt>
                <c:pt idx="45">
                  <c:v>10</c:v>
                </c:pt>
                <c:pt idx="46">
                  <c:v>0</c:v>
                </c:pt>
                <c:pt idx="47">
                  <c:v>0</c:v>
                </c:pt>
              </c:numCache>
            </c:numRef>
          </c:val>
        </c:ser>
        <c:ser>
          <c:idx val="16"/>
          <c:order val="16"/>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4"/>
            <c:bubble3D val="0"/>
            <c:spPr>
              <a:solidFill>
                <a:srgbClr val="C0504D">
                  <a:lumMod val="75000"/>
                </a:srgbClr>
              </a:solidFill>
              <a:ln>
                <a:solidFill>
                  <a:srgbClr val="C0504D">
                    <a:lumMod val="75000"/>
                  </a:srgbClr>
                </a:solidFill>
              </a:ln>
            </c:spPr>
          </c:dPt>
          <c:dPt>
            <c:idx val="28"/>
            <c:bubble3D val="0"/>
            <c:spPr>
              <a:solidFill>
                <a:srgbClr val="C0504D">
                  <a:lumMod val="75000"/>
                </a:srgbClr>
              </a:solidFill>
              <a:ln>
                <a:solidFill>
                  <a:srgbClr val="C0504D">
                    <a:lumMod val="75000"/>
                  </a:srgbClr>
                </a:solidFill>
              </a:ln>
            </c:spPr>
          </c:dPt>
          <c:dPt>
            <c:idx val="32"/>
            <c:bubble3D val="0"/>
            <c:spPr>
              <a:solidFill>
                <a:srgbClr val="C0504D">
                  <a:lumMod val="75000"/>
                </a:srgbClr>
              </a:solidFill>
              <a:ln>
                <a:solidFill>
                  <a:srgbClr val="C0504D">
                    <a:lumMod val="75000"/>
                  </a:srgbClr>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5"/>
            <c:bubble3D val="0"/>
            <c:spPr>
              <a:solidFill>
                <a:sysClr val="windowText" lastClr="000000"/>
              </a:solidFill>
              <a:ln>
                <a:solidFill>
                  <a:sysClr val="windowText" lastClr="000000"/>
                </a:solidFill>
              </a:ln>
            </c:spPr>
          </c:dPt>
          <c:val>
            <c:numRef>
              <c:f>Data!$H$21:$BC$21</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10</c:v>
                </c:pt>
                <c:pt idx="25">
                  <c:v>0</c:v>
                </c:pt>
                <c:pt idx="26">
                  <c:v>0</c:v>
                </c:pt>
                <c:pt idx="27">
                  <c:v>0</c:v>
                </c:pt>
                <c:pt idx="28">
                  <c:v>10</c:v>
                </c:pt>
                <c:pt idx="29">
                  <c:v>0</c:v>
                </c:pt>
                <c:pt idx="30">
                  <c:v>0</c:v>
                </c:pt>
                <c:pt idx="31">
                  <c:v>0</c:v>
                </c:pt>
                <c:pt idx="32">
                  <c:v>10</c:v>
                </c:pt>
                <c:pt idx="33">
                  <c:v>0</c:v>
                </c:pt>
                <c:pt idx="34">
                  <c:v>0</c:v>
                </c:pt>
                <c:pt idx="35">
                  <c:v>0</c:v>
                </c:pt>
                <c:pt idx="36">
                  <c:v>0</c:v>
                </c:pt>
                <c:pt idx="37">
                  <c:v>10</c:v>
                </c:pt>
                <c:pt idx="38">
                  <c:v>0</c:v>
                </c:pt>
                <c:pt idx="39">
                  <c:v>0</c:v>
                </c:pt>
                <c:pt idx="40">
                  <c:v>0</c:v>
                </c:pt>
                <c:pt idx="41">
                  <c:v>10</c:v>
                </c:pt>
                <c:pt idx="42">
                  <c:v>0</c:v>
                </c:pt>
                <c:pt idx="43">
                  <c:v>0</c:v>
                </c:pt>
                <c:pt idx="44">
                  <c:v>0</c:v>
                </c:pt>
                <c:pt idx="45">
                  <c:v>10</c:v>
                </c:pt>
                <c:pt idx="46">
                  <c:v>0</c:v>
                </c:pt>
                <c:pt idx="47">
                  <c:v>0</c:v>
                </c:pt>
              </c:numCache>
            </c:numRef>
          </c:val>
        </c:ser>
        <c:ser>
          <c:idx val="17"/>
          <c:order val="17"/>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4"/>
            <c:bubble3D val="0"/>
            <c:spPr>
              <a:solidFill>
                <a:srgbClr val="C0504D">
                  <a:lumMod val="75000"/>
                </a:srgbClr>
              </a:solidFill>
              <a:ln>
                <a:solidFill>
                  <a:srgbClr val="C0504D">
                    <a:lumMod val="75000"/>
                  </a:srgbClr>
                </a:solidFill>
              </a:ln>
            </c:spPr>
          </c:dPt>
          <c:dPt>
            <c:idx val="29"/>
            <c:bubble3D val="0"/>
            <c:spPr>
              <a:solidFill>
                <a:sysClr val="windowText" lastClr="000000"/>
              </a:solidFill>
              <a:ln>
                <a:solidFill>
                  <a:sysClr val="windowText" lastClr="000000"/>
                </a:solidFill>
              </a:ln>
            </c:spPr>
          </c:dPt>
          <c:dPt>
            <c:idx val="33"/>
            <c:bubble3D val="0"/>
            <c:spPr>
              <a:solidFill>
                <a:sysClr val="windowText" lastClr="000000"/>
              </a:solidFill>
              <a:ln>
                <a:solidFill>
                  <a:sysClr val="windowText" lastClr="00000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5"/>
            <c:bubble3D val="0"/>
            <c:spPr>
              <a:solidFill>
                <a:sysClr val="windowText" lastClr="000000"/>
              </a:solidFill>
              <a:ln>
                <a:solidFill>
                  <a:sysClr val="windowText" lastClr="000000"/>
                </a:solidFill>
              </a:ln>
            </c:spPr>
          </c:dPt>
          <c:val>
            <c:numRef>
              <c:f>Data!$H$22:$BC$22</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10</c:v>
                </c:pt>
                <c:pt idx="25">
                  <c:v>0</c:v>
                </c:pt>
                <c:pt idx="26">
                  <c:v>0</c:v>
                </c:pt>
                <c:pt idx="27">
                  <c:v>0</c:v>
                </c:pt>
                <c:pt idx="28">
                  <c:v>0</c:v>
                </c:pt>
                <c:pt idx="29">
                  <c:v>10</c:v>
                </c:pt>
                <c:pt idx="30">
                  <c:v>0</c:v>
                </c:pt>
                <c:pt idx="31">
                  <c:v>0</c:v>
                </c:pt>
                <c:pt idx="32">
                  <c:v>0</c:v>
                </c:pt>
                <c:pt idx="33">
                  <c:v>10</c:v>
                </c:pt>
                <c:pt idx="34">
                  <c:v>0</c:v>
                </c:pt>
                <c:pt idx="35">
                  <c:v>0</c:v>
                </c:pt>
                <c:pt idx="36">
                  <c:v>0</c:v>
                </c:pt>
                <c:pt idx="37">
                  <c:v>10</c:v>
                </c:pt>
                <c:pt idx="38">
                  <c:v>0</c:v>
                </c:pt>
                <c:pt idx="39">
                  <c:v>0</c:v>
                </c:pt>
                <c:pt idx="40">
                  <c:v>0</c:v>
                </c:pt>
                <c:pt idx="41">
                  <c:v>10</c:v>
                </c:pt>
                <c:pt idx="42">
                  <c:v>0</c:v>
                </c:pt>
                <c:pt idx="43">
                  <c:v>0</c:v>
                </c:pt>
                <c:pt idx="44">
                  <c:v>0</c:v>
                </c:pt>
                <c:pt idx="45">
                  <c:v>10</c:v>
                </c:pt>
                <c:pt idx="46">
                  <c:v>0</c:v>
                </c:pt>
                <c:pt idx="47">
                  <c:v>0</c:v>
                </c:pt>
              </c:numCache>
            </c:numRef>
          </c:val>
        </c:ser>
        <c:ser>
          <c:idx val="18"/>
          <c:order val="18"/>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4"/>
            <c:bubble3D val="0"/>
            <c:spPr>
              <a:solidFill>
                <a:srgbClr val="C0504D">
                  <a:lumMod val="75000"/>
                </a:srgbClr>
              </a:solidFill>
              <a:ln>
                <a:solidFill>
                  <a:srgbClr val="C0504D">
                    <a:lumMod val="75000"/>
                  </a:srgbClr>
                </a:solidFill>
              </a:ln>
            </c:spPr>
          </c:dPt>
          <c:dPt>
            <c:idx val="29"/>
            <c:bubble3D val="0"/>
            <c:spPr>
              <a:solidFill>
                <a:sysClr val="windowText" lastClr="000000"/>
              </a:solidFill>
              <a:ln>
                <a:solidFill>
                  <a:sysClr val="windowText" lastClr="000000"/>
                </a:solidFill>
              </a:ln>
            </c:spPr>
          </c:dPt>
          <c:dPt>
            <c:idx val="33"/>
            <c:bubble3D val="0"/>
            <c:spPr>
              <a:solidFill>
                <a:sysClr val="windowText" lastClr="000000"/>
              </a:solidFill>
              <a:ln>
                <a:solidFill>
                  <a:sysClr val="windowText" lastClr="00000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5"/>
            <c:bubble3D val="0"/>
            <c:spPr>
              <a:solidFill>
                <a:sysClr val="windowText" lastClr="000000"/>
              </a:solidFill>
              <a:ln>
                <a:solidFill>
                  <a:sysClr val="windowText" lastClr="000000"/>
                </a:solidFill>
              </a:ln>
            </c:spPr>
          </c:dPt>
          <c:val>
            <c:numRef>
              <c:f>Data!$H$23:$BC$23</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10</c:v>
                </c:pt>
                <c:pt idx="25">
                  <c:v>0</c:v>
                </c:pt>
                <c:pt idx="26">
                  <c:v>0</c:v>
                </c:pt>
                <c:pt idx="27">
                  <c:v>0</c:v>
                </c:pt>
                <c:pt idx="28">
                  <c:v>0</c:v>
                </c:pt>
                <c:pt idx="29">
                  <c:v>10</c:v>
                </c:pt>
                <c:pt idx="30">
                  <c:v>0</c:v>
                </c:pt>
                <c:pt idx="31">
                  <c:v>0</c:v>
                </c:pt>
                <c:pt idx="32">
                  <c:v>0</c:v>
                </c:pt>
                <c:pt idx="33">
                  <c:v>10</c:v>
                </c:pt>
                <c:pt idx="34">
                  <c:v>0</c:v>
                </c:pt>
                <c:pt idx="35">
                  <c:v>0</c:v>
                </c:pt>
                <c:pt idx="36">
                  <c:v>0</c:v>
                </c:pt>
                <c:pt idx="37">
                  <c:v>10</c:v>
                </c:pt>
                <c:pt idx="38">
                  <c:v>0</c:v>
                </c:pt>
                <c:pt idx="39">
                  <c:v>0</c:v>
                </c:pt>
                <c:pt idx="40">
                  <c:v>0</c:v>
                </c:pt>
                <c:pt idx="41">
                  <c:v>10</c:v>
                </c:pt>
                <c:pt idx="42">
                  <c:v>0</c:v>
                </c:pt>
                <c:pt idx="43">
                  <c:v>0</c:v>
                </c:pt>
                <c:pt idx="44">
                  <c:v>0</c:v>
                </c:pt>
                <c:pt idx="45">
                  <c:v>10</c:v>
                </c:pt>
                <c:pt idx="46">
                  <c:v>0</c:v>
                </c:pt>
                <c:pt idx="47">
                  <c:v>0</c:v>
                </c:pt>
              </c:numCache>
            </c:numRef>
          </c:val>
        </c:ser>
        <c:ser>
          <c:idx val="19"/>
          <c:order val="19"/>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4"/>
            <c:bubble3D val="0"/>
            <c:spPr>
              <a:solidFill>
                <a:srgbClr val="C0504D">
                  <a:lumMod val="75000"/>
                </a:srgbClr>
              </a:solidFill>
              <a:ln>
                <a:solidFill>
                  <a:srgbClr val="C0504D">
                    <a:lumMod val="75000"/>
                  </a:srgbClr>
                </a:solidFill>
              </a:ln>
            </c:spPr>
          </c:dPt>
          <c:dPt>
            <c:idx val="29"/>
            <c:bubble3D val="0"/>
            <c:spPr>
              <a:solidFill>
                <a:sysClr val="windowText" lastClr="000000"/>
              </a:solidFill>
              <a:ln>
                <a:solidFill>
                  <a:sysClr val="windowText" lastClr="000000"/>
                </a:solidFill>
              </a:ln>
            </c:spPr>
          </c:dPt>
          <c:dPt>
            <c:idx val="33"/>
            <c:bubble3D val="0"/>
            <c:spPr>
              <a:solidFill>
                <a:sysClr val="windowText" lastClr="000000"/>
              </a:solidFill>
              <a:ln>
                <a:solidFill>
                  <a:sysClr val="windowText" lastClr="00000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5"/>
            <c:bubble3D val="0"/>
            <c:spPr>
              <a:solidFill>
                <a:sysClr val="windowText" lastClr="000000"/>
              </a:solidFill>
              <a:ln>
                <a:solidFill>
                  <a:sysClr val="windowText" lastClr="000000"/>
                </a:solidFill>
              </a:ln>
            </c:spPr>
          </c:dPt>
          <c:val>
            <c:numRef>
              <c:f>Data!$H$24:$BC$24</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10</c:v>
                </c:pt>
                <c:pt idx="25">
                  <c:v>0</c:v>
                </c:pt>
                <c:pt idx="26">
                  <c:v>0</c:v>
                </c:pt>
                <c:pt idx="27">
                  <c:v>0</c:v>
                </c:pt>
                <c:pt idx="28">
                  <c:v>0</c:v>
                </c:pt>
                <c:pt idx="29">
                  <c:v>10</c:v>
                </c:pt>
                <c:pt idx="30">
                  <c:v>0</c:v>
                </c:pt>
                <c:pt idx="31">
                  <c:v>0</c:v>
                </c:pt>
                <c:pt idx="32">
                  <c:v>0</c:v>
                </c:pt>
                <c:pt idx="33">
                  <c:v>10</c:v>
                </c:pt>
                <c:pt idx="34">
                  <c:v>0</c:v>
                </c:pt>
                <c:pt idx="35">
                  <c:v>0</c:v>
                </c:pt>
                <c:pt idx="36">
                  <c:v>0</c:v>
                </c:pt>
                <c:pt idx="37">
                  <c:v>10</c:v>
                </c:pt>
                <c:pt idx="38">
                  <c:v>0</c:v>
                </c:pt>
                <c:pt idx="39">
                  <c:v>0</c:v>
                </c:pt>
                <c:pt idx="40">
                  <c:v>0</c:v>
                </c:pt>
                <c:pt idx="41">
                  <c:v>10</c:v>
                </c:pt>
                <c:pt idx="42">
                  <c:v>0</c:v>
                </c:pt>
                <c:pt idx="43">
                  <c:v>0</c:v>
                </c:pt>
                <c:pt idx="44">
                  <c:v>0</c:v>
                </c:pt>
                <c:pt idx="45">
                  <c:v>10</c:v>
                </c:pt>
                <c:pt idx="46">
                  <c:v>0</c:v>
                </c:pt>
                <c:pt idx="47">
                  <c:v>0</c:v>
                </c:pt>
              </c:numCache>
            </c:numRef>
          </c:val>
        </c:ser>
        <c:ser>
          <c:idx val="20"/>
          <c:order val="20"/>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5"/>
            <c:bubble3D val="0"/>
            <c:spPr>
              <a:solidFill>
                <a:schemeClr val="tx1"/>
              </a:solidFill>
              <a:ln>
                <a:solidFill>
                  <a:schemeClr val="tx1"/>
                </a:solidFill>
              </a:ln>
            </c:spPr>
          </c:dPt>
          <c:dPt>
            <c:idx val="29"/>
            <c:bubble3D val="0"/>
            <c:spPr>
              <a:solidFill>
                <a:sysClr val="windowText" lastClr="000000"/>
              </a:solidFill>
              <a:ln>
                <a:solidFill>
                  <a:sysClr val="windowText" lastClr="000000"/>
                </a:solidFill>
              </a:ln>
            </c:spPr>
          </c:dPt>
          <c:dPt>
            <c:idx val="34"/>
            <c:bubble3D val="0"/>
            <c:spPr>
              <a:solidFill>
                <a:srgbClr val="0070C0"/>
              </a:solidFill>
              <a:ln>
                <a:solidFill>
                  <a:srgbClr val="0070C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6"/>
            <c:bubble3D val="0"/>
            <c:spPr>
              <a:solidFill>
                <a:srgbClr val="0070C0"/>
              </a:solidFill>
              <a:ln>
                <a:solidFill>
                  <a:srgbClr val="0070C0"/>
                </a:solidFill>
              </a:ln>
            </c:spPr>
          </c:dPt>
          <c:val>
            <c:numRef>
              <c:f>Data!$H$25:$BC$25</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10</c:v>
                </c:pt>
                <c:pt idx="26">
                  <c:v>0</c:v>
                </c:pt>
                <c:pt idx="27">
                  <c:v>0</c:v>
                </c:pt>
                <c:pt idx="28">
                  <c:v>0</c:v>
                </c:pt>
                <c:pt idx="29">
                  <c:v>10</c:v>
                </c:pt>
                <c:pt idx="30">
                  <c:v>0</c:v>
                </c:pt>
                <c:pt idx="31">
                  <c:v>0</c:v>
                </c:pt>
                <c:pt idx="32">
                  <c:v>0</c:v>
                </c:pt>
                <c:pt idx="33">
                  <c:v>0</c:v>
                </c:pt>
                <c:pt idx="34">
                  <c:v>10</c:v>
                </c:pt>
                <c:pt idx="35">
                  <c:v>0</c:v>
                </c:pt>
                <c:pt idx="36">
                  <c:v>0</c:v>
                </c:pt>
                <c:pt idx="37">
                  <c:v>10</c:v>
                </c:pt>
                <c:pt idx="38">
                  <c:v>0</c:v>
                </c:pt>
                <c:pt idx="39">
                  <c:v>0</c:v>
                </c:pt>
                <c:pt idx="40">
                  <c:v>0</c:v>
                </c:pt>
                <c:pt idx="41">
                  <c:v>10</c:v>
                </c:pt>
                <c:pt idx="42">
                  <c:v>0</c:v>
                </c:pt>
                <c:pt idx="43">
                  <c:v>0</c:v>
                </c:pt>
                <c:pt idx="44">
                  <c:v>0</c:v>
                </c:pt>
                <c:pt idx="45">
                  <c:v>0</c:v>
                </c:pt>
                <c:pt idx="46">
                  <c:v>10</c:v>
                </c:pt>
                <c:pt idx="47">
                  <c:v>0</c:v>
                </c:pt>
              </c:numCache>
            </c:numRef>
          </c:val>
        </c:ser>
        <c:ser>
          <c:idx val="21"/>
          <c:order val="21"/>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5"/>
            <c:bubble3D val="0"/>
            <c:spPr>
              <a:solidFill>
                <a:sysClr val="windowText" lastClr="000000"/>
              </a:solidFill>
              <a:ln>
                <a:solidFill>
                  <a:sysClr val="windowText" lastClr="000000"/>
                </a:solidFill>
              </a:ln>
            </c:spPr>
          </c:dPt>
          <c:dPt>
            <c:idx val="29"/>
            <c:bubble3D val="0"/>
            <c:spPr>
              <a:solidFill>
                <a:sysClr val="windowText" lastClr="000000"/>
              </a:solidFill>
              <a:ln>
                <a:solidFill>
                  <a:sysClr val="windowText" lastClr="000000"/>
                </a:solidFill>
              </a:ln>
            </c:spPr>
          </c:dPt>
          <c:dPt>
            <c:idx val="34"/>
            <c:bubble3D val="0"/>
            <c:spPr>
              <a:solidFill>
                <a:srgbClr val="0070C0"/>
              </a:solidFill>
              <a:ln>
                <a:solidFill>
                  <a:srgbClr val="0070C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6"/>
            <c:bubble3D val="0"/>
            <c:spPr>
              <a:solidFill>
                <a:srgbClr val="0070C0"/>
              </a:solidFill>
              <a:ln>
                <a:solidFill>
                  <a:srgbClr val="0070C0"/>
                </a:solidFill>
              </a:ln>
            </c:spPr>
          </c:dPt>
          <c:val>
            <c:numRef>
              <c:f>Data!$H$26:$BC$26</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10</c:v>
                </c:pt>
                <c:pt idx="26">
                  <c:v>0</c:v>
                </c:pt>
                <c:pt idx="27">
                  <c:v>0</c:v>
                </c:pt>
                <c:pt idx="28">
                  <c:v>0</c:v>
                </c:pt>
                <c:pt idx="29">
                  <c:v>10</c:v>
                </c:pt>
                <c:pt idx="30">
                  <c:v>0</c:v>
                </c:pt>
                <c:pt idx="31">
                  <c:v>0</c:v>
                </c:pt>
                <c:pt idx="32">
                  <c:v>0</c:v>
                </c:pt>
                <c:pt idx="33">
                  <c:v>0</c:v>
                </c:pt>
                <c:pt idx="34">
                  <c:v>10</c:v>
                </c:pt>
                <c:pt idx="35">
                  <c:v>0</c:v>
                </c:pt>
                <c:pt idx="36">
                  <c:v>0</c:v>
                </c:pt>
                <c:pt idx="37">
                  <c:v>10</c:v>
                </c:pt>
                <c:pt idx="38">
                  <c:v>0</c:v>
                </c:pt>
                <c:pt idx="39">
                  <c:v>0</c:v>
                </c:pt>
                <c:pt idx="40">
                  <c:v>0</c:v>
                </c:pt>
                <c:pt idx="41">
                  <c:v>10</c:v>
                </c:pt>
                <c:pt idx="42">
                  <c:v>0</c:v>
                </c:pt>
                <c:pt idx="43">
                  <c:v>0</c:v>
                </c:pt>
                <c:pt idx="44">
                  <c:v>0</c:v>
                </c:pt>
                <c:pt idx="45">
                  <c:v>0</c:v>
                </c:pt>
                <c:pt idx="46">
                  <c:v>10</c:v>
                </c:pt>
                <c:pt idx="47">
                  <c:v>0</c:v>
                </c:pt>
              </c:numCache>
            </c:numRef>
          </c:val>
        </c:ser>
        <c:ser>
          <c:idx val="22"/>
          <c:order val="22"/>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29"/>
            <c:bubble3D val="0"/>
            <c:spPr>
              <a:solidFill>
                <a:sysClr val="windowText" lastClr="000000"/>
              </a:solidFill>
              <a:ln>
                <a:solidFill>
                  <a:sysClr val="windowText" lastClr="000000"/>
                </a:solidFill>
              </a:ln>
            </c:spPr>
          </c:dPt>
          <c:dPt>
            <c:idx val="34"/>
            <c:bubble3D val="0"/>
            <c:spPr>
              <a:solidFill>
                <a:srgbClr val="0070C0"/>
              </a:solidFill>
              <a:ln>
                <a:solidFill>
                  <a:srgbClr val="0070C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6"/>
            <c:bubble3D val="0"/>
            <c:spPr>
              <a:solidFill>
                <a:srgbClr val="0070C0"/>
              </a:solidFill>
              <a:ln>
                <a:solidFill>
                  <a:srgbClr val="0070C0"/>
                </a:solidFill>
              </a:ln>
            </c:spPr>
          </c:dPt>
          <c:val>
            <c:numRef>
              <c:f>Data!$H$27:$BC$27</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10</c:v>
                </c:pt>
                <c:pt idx="30">
                  <c:v>0</c:v>
                </c:pt>
                <c:pt idx="31">
                  <c:v>0</c:v>
                </c:pt>
                <c:pt idx="32">
                  <c:v>0</c:v>
                </c:pt>
                <c:pt idx="33">
                  <c:v>0</c:v>
                </c:pt>
                <c:pt idx="34">
                  <c:v>10</c:v>
                </c:pt>
                <c:pt idx="35">
                  <c:v>0</c:v>
                </c:pt>
                <c:pt idx="36">
                  <c:v>0</c:v>
                </c:pt>
                <c:pt idx="37">
                  <c:v>10</c:v>
                </c:pt>
                <c:pt idx="38">
                  <c:v>0</c:v>
                </c:pt>
                <c:pt idx="39">
                  <c:v>0</c:v>
                </c:pt>
                <c:pt idx="40">
                  <c:v>0</c:v>
                </c:pt>
                <c:pt idx="41">
                  <c:v>10</c:v>
                </c:pt>
                <c:pt idx="42">
                  <c:v>0</c:v>
                </c:pt>
                <c:pt idx="43">
                  <c:v>0</c:v>
                </c:pt>
                <c:pt idx="44">
                  <c:v>0</c:v>
                </c:pt>
                <c:pt idx="45">
                  <c:v>0</c:v>
                </c:pt>
                <c:pt idx="46">
                  <c:v>10</c:v>
                </c:pt>
                <c:pt idx="47">
                  <c:v>0</c:v>
                </c:pt>
              </c:numCache>
            </c:numRef>
          </c:val>
        </c:ser>
        <c:ser>
          <c:idx val="23"/>
          <c:order val="23"/>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29"/>
            <c:bubble3D val="0"/>
            <c:spPr>
              <a:solidFill>
                <a:sysClr val="windowText" lastClr="000000"/>
              </a:solidFill>
              <a:ln>
                <a:solidFill>
                  <a:sysClr val="windowText" lastClr="000000"/>
                </a:solidFill>
              </a:ln>
            </c:spPr>
          </c:dPt>
          <c:dPt>
            <c:idx val="34"/>
            <c:bubble3D val="0"/>
            <c:spPr>
              <a:solidFill>
                <a:srgbClr val="0070C0"/>
              </a:solidFill>
              <a:ln>
                <a:solidFill>
                  <a:srgbClr val="0070C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6"/>
            <c:bubble3D val="0"/>
            <c:spPr>
              <a:solidFill>
                <a:srgbClr val="0070C0"/>
              </a:solidFill>
              <a:ln>
                <a:solidFill>
                  <a:srgbClr val="0070C0"/>
                </a:solidFill>
              </a:ln>
            </c:spPr>
          </c:dPt>
          <c:val>
            <c:numRef>
              <c:f>Data!$H$28:$BC$28</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10</c:v>
                </c:pt>
                <c:pt idx="30">
                  <c:v>0</c:v>
                </c:pt>
                <c:pt idx="31">
                  <c:v>0</c:v>
                </c:pt>
                <c:pt idx="32">
                  <c:v>0</c:v>
                </c:pt>
                <c:pt idx="33">
                  <c:v>0</c:v>
                </c:pt>
                <c:pt idx="34">
                  <c:v>10</c:v>
                </c:pt>
                <c:pt idx="35">
                  <c:v>0</c:v>
                </c:pt>
                <c:pt idx="36">
                  <c:v>0</c:v>
                </c:pt>
                <c:pt idx="37">
                  <c:v>10</c:v>
                </c:pt>
                <c:pt idx="38">
                  <c:v>0</c:v>
                </c:pt>
                <c:pt idx="39">
                  <c:v>0</c:v>
                </c:pt>
                <c:pt idx="40">
                  <c:v>0</c:v>
                </c:pt>
                <c:pt idx="41">
                  <c:v>10</c:v>
                </c:pt>
                <c:pt idx="42">
                  <c:v>0</c:v>
                </c:pt>
                <c:pt idx="43">
                  <c:v>0</c:v>
                </c:pt>
                <c:pt idx="44">
                  <c:v>0</c:v>
                </c:pt>
                <c:pt idx="45">
                  <c:v>0</c:v>
                </c:pt>
                <c:pt idx="46">
                  <c:v>10</c:v>
                </c:pt>
                <c:pt idx="47">
                  <c:v>0</c:v>
                </c:pt>
              </c:numCache>
            </c:numRef>
          </c:val>
        </c:ser>
        <c:ser>
          <c:idx val="24"/>
          <c:order val="24"/>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29"/>
            <c:bubble3D val="0"/>
            <c:spPr>
              <a:solidFill>
                <a:sysClr val="windowText" lastClr="000000"/>
              </a:solidFill>
              <a:ln>
                <a:solidFill>
                  <a:sysClr val="windowText" lastClr="000000"/>
                </a:solidFill>
              </a:ln>
            </c:spPr>
          </c:dPt>
          <c:dPt>
            <c:idx val="34"/>
            <c:bubble3D val="0"/>
            <c:spPr>
              <a:solidFill>
                <a:srgbClr val="0070C0"/>
              </a:solidFill>
              <a:ln>
                <a:solidFill>
                  <a:srgbClr val="0070C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6"/>
            <c:bubble3D val="0"/>
            <c:spPr>
              <a:solidFill>
                <a:srgbClr val="0070C0"/>
              </a:solidFill>
              <a:ln>
                <a:solidFill>
                  <a:srgbClr val="0070C0"/>
                </a:solidFill>
              </a:ln>
            </c:spPr>
          </c:dPt>
          <c:val>
            <c:numRef>
              <c:f>Data!$H$29:$BC$29</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10</c:v>
                </c:pt>
                <c:pt idx="30">
                  <c:v>0</c:v>
                </c:pt>
                <c:pt idx="31">
                  <c:v>0</c:v>
                </c:pt>
                <c:pt idx="32">
                  <c:v>0</c:v>
                </c:pt>
                <c:pt idx="33">
                  <c:v>0</c:v>
                </c:pt>
                <c:pt idx="34">
                  <c:v>10</c:v>
                </c:pt>
                <c:pt idx="35">
                  <c:v>0</c:v>
                </c:pt>
                <c:pt idx="36">
                  <c:v>0</c:v>
                </c:pt>
                <c:pt idx="37">
                  <c:v>10</c:v>
                </c:pt>
                <c:pt idx="38">
                  <c:v>0</c:v>
                </c:pt>
                <c:pt idx="39">
                  <c:v>0</c:v>
                </c:pt>
                <c:pt idx="40">
                  <c:v>0</c:v>
                </c:pt>
                <c:pt idx="41">
                  <c:v>10</c:v>
                </c:pt>
                <c:pt idx="42">
                  <c:v>0</c:v>
                </c:pt>
                <c:pt idx="43">
                  <c:v>0</c:v>
                </c:pt>
                <c:pt idx="44">
                  <c:v>0</c:v>
                </c:pt>
                <c:pt idx="45">
                  <c:v>0</c:v>
                </c:pt>
                <c:pt idx="46">
                  <c:v>10</c:v>
                </c:pt>
                <c:pt idx="47">
                  <c:v>0</c:v>
                </c:pt>
              </c:numCache>
            </c:numRef>
          </c:val>
        </c:ser>
        <c:ser>
          <c:idx val="25"/>
          <c:order val="25"/>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29"/>
            <c:bubble3D val="0"/>
            <c:spPr>
              <a:solidFill>
                <a:sysClr val="windowText" lastClr="000000"/>
              </a:solidFill>
              <a:ln>
                <a:solidFill>
                  <a:sysClr val="windowText" lastClr="000000"/>
                </a:solidFill>
              </a:ln>
            </c:spPr>
          </c:dPt>
          <c:dPt>
            <c:idx val="34"/>
            <c:bubble3D val="0"/>
            <c:spPr>
              <a:solidFill>
                <a:srgbClr val="0070C0"/>
              </a:solidFill>
              <a:ln>
                <a:solidFill>
                  <a:srgbClr val="0070C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6"/>
            <c:bubble3D val="0"/>
            <c:spPr>
              <a:solidFill>
                <a:srgbClr val="0070C0"/>
              </a:solidFill>
              <a:ln>
                <a:solidFill>
                  <a:srgbClr val="0070C0"/>
                </a:solidFill>
              </a:ln>
            </c:spPr>
          </c:dPt>
          <c:val>
            <c:numRef>
              <c:f>Data!$H$30:$BC$30</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10</c:v>
                </c:pt>
                <c:pt idx="30">
                  <c:v>0</c:v>
                </c:pt>
                <c:pt idx="31">
                  <c:v>0</c:v>
                </c:pt>
                <c:pt idx="32">
                  <c:v>0</c:v>
                </c:pt>
                <c:pt idx="33">
                  <c:v>0</c:v>
                </c:pt>
                <c:pt idx="34">
                  <c:v>10</c:v>
                </c:pt>
                <c:pt idx="35">
                  <c:v>0</c:v>
                </c:pt>
                <c:pt idx="36">
                  <c:v>0</c:v>
                </c:pt>
                <c:pt idx="37">
                  <c:v>10</c:v>
                </c:pt>
                <c:pt idx="38">
                  <c:v>0</c:v>
                </c:pt>
                <c:pt idx="39">
                  <c:v>0</c:v>
                </c:pt>
                <c:pt idx="40">
                  <c:v>0</c:v>
                </c:pt>
                <c:pt idx="41">
                  <c:v>10</c:v>
                </c:pt>
                <c:pt idx="42">
                  <c:v>0</c:v>
                </c:pt>
                <c:pt idx="43">
                  <c:v>0</c:v>
                </c:pt>
                <c:pt idx="44">
                  <c:v>0</c:v>
                </c:pt>
                <c:pt idx="45">
                  <c:v>0</c:v>
                </c:pt>
                <c:pt idx="46">
                  <c:v>10</c:v>
                </c:pt>
                <c:pt idx="47">
                  <c:v>0</c:v>
                </c:pt>
              </c:numCache>
            </c:numRef>
          </c:val>
        </c:ser>
        <c:ser>
          <c:idx val="26"/>
          <c:order val="26"/>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29"/>
            <c:bubble3D val="0"/>
            <c:spPr>
              <a:solidFill>
                <a:sysClr val="windowText" lastClr="000000"/>
              </a:solidFill>
              <a:ln>
                <a:solidFill>
                  <a:sysClr val="windowText" lastClr="000000"/>
                </a:solidFill>
              </a:ln>
            </c:spPr>
          </c:dPt>
          <c:dPt>
            <c:idx val="34"/>
            <c:bubble3D val="0"/>
            <c:spPr>
              <a:solidFill>
                <a:srgbClr val="0070C0"/>
              </a:solidFill>
              <a:ln>
                <a:solidFill>
                  <a:srgbClr val="0070C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6"/>
            <c:bubble3D val="0"/>
            <c:spPr>
              <a:solidFill>
                <a:srgbClr val="0070C0"/>
              </a:solidFill>
              <a:ln>
                <a:solidFill>
                  <a:srgbClr val="0070C0"/>
                </a:solidFill>
              </a:ln>
            </c:spPr>
          </c:dPt>
          <c:val>
            <c:numRef>
              <c:f>Data!$H$31:$BC$31</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10</c:v>
                </c:pt>
                <c:pt idx="30">
                  <c:v>0</c:v>
                </c:pt>
                <c:pt idx="31">
                  <c:v>0</c:v>
                </c:pt>
                <c:pt idx="32">
                  <c:v>0</c:v>
                </c:pt>
                <c:pt idx="33">
                  <c:v>0</c:v>
                </c:pt>
                <c:pt idx="34">
                  <c:v>10</c:v>
                </c:pt>
                <c:pt idx="35">
                  <c:v>0</c:v>
                </c:pt>
                <c:pt idx="36">
                  <c:v>0</c:v>
                </c:pt>
                <c:pt idx="37">
                  <c:v>10</c:v>
                </c:pt>
                <c:pt idx="38">
                  <c:v>0</c:v>
                </c:pt>
                <c:pt idx="39">
                  <c:v>0</c:v>
                </c:pt>
                <c:pt idx="40">
                  <c:v>0</c:v>
                </c:pt>
                <c:pt idx="41">
                  <c:v>10</c:v>
                </c:pt>
                <c:pt idx="42">
                  <c:v>0</c:v>
                </c:pt>
                <c:pt idx="43">
                  <c:v>0</c:v>
                </c:pt>
                <c:pt idx="44">
                  <c:v>0</c:v>
                </c:pt>
                <c:pt idx="45">
                  <c:v>0</c:v>
                </c:pt>
                <c:pt idx="46">
                  <c:v>10</c:v>
                </c:pt>
                <c:pt idx="47">
                  <c:v>0</c:v>
                </c:pt>
              </c:numCache>
            </c:numRef>
          </c:val>
        </c:ser>
        <c:ser>
          <c:idx val="27"/>
          <c:order val="27"/>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29"/>
            <c:bubble3D val="0"/>
            <c:spPr>
              <a:solidFill>
                <a:sysClr val="windowText" lastClr="000000"/>
              </a:solidFill>
              <a:ln>
                <a:solidFill>
                  <a:sysClr val="windowText" lastClr="000000"/>
                </a:solidFill>
              </a:ln>
            </c:spPr>
          </c:dPt>
          <c:dPt>
            <c:idx val="34"/>
            <c:bubble3D val="0"/>
            <c:spPr>
              <a:solidFill>
                <a:srgbClr val="0070C0"/>
              </a:solidFill>
              <a:ln>
                <a:solidFill>
                  <a:srgbClr val="0070C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6"/>
            <c:bubble3D val="0"/>
            <c:spPr>
              <a:solidFill>
                <a:srgbClr val="0070C0"/>
              </a:solidFill>
              <a:ln>
                <a:solidFill>
                  <a:srgbClr val="0070C0"/>
                </a:solidFill>
              </a:ln>
            </c:spPr>
          </c:dPt>
          <c:val>
            <c:numRef>
              <c:f>Data!$H$32:$BC$32</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10</c:v>
                </c:pt>
                <c:pt idx="30">
                  <c:v>0</c:v>
                </c:pt>
                <c:pt idx="31">
                  <c:v>0</c:v>
                </c:pt>
                <c:pt idx="32">
                  <c:v>0</c:v>
                </c:pt>
                <c:pt idx="33">
                  <c:v>0</c:v>
                </c:pt>
                <c:pt idx="34">
                  <c:v>10</c:v>
                </c:pt>
                <c:pt idx="35">
                  <c:v>0</c:v>
                </c:pt>
                <c:pt idx="36">
                  <c:v>0</c:v>
                </c:pt>
                <c:pt idx="37">
                  <c:v>10</c:v>
                </c:pt>
                <c:pt idx="38">
                  <c:v>0</c:v>
                </c:pt>
                <c:pt idx="39">
                  <c:v>0</c:v>
                </c:pt>
                <c:pt idx="40">
                  <c:v>0</c:v>
                </c:pt>
                <c:pt idx="41">
                  <c:v>10</c:v>
                </c:pt>
                <c:pt idx="42">
                  <c:v>0</c:v>
                </c:pt>
                <c:pt idx="43">
                  <c:v>0</c:v>
                </c:pt>
                <c:pt idx="44">
                  <c:v>0</c:v>
                </c:pt>
                <c:pt idx="45">
                  <c:v>0</c:v>
                </c:pt>
                <c:pt idx="46">
                  <c:v>10</c:v>
                </c:pt>
                <c:pt idx="47">
                  <c:v>0</c:v>
                </c:pt>
              </c:numCache>
            </c:numRef>
          </c:val>
        </c:ser>
        <c:ser>
          <c:idx val="28"/>
          <c:order val="28"/>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29"/>
            <c:bubble3D val="0"/>
            <c:spPr>
              <a:solidFill>
                <a:sysClr val="windowText" lastClr="000000"/>
              </a:solidFill>
              <a:ln>
                <a:solidFill>
                  <a:sysClr val="windowText" lastClr="000000"/>
                </a:solidFill>
              </a:ln>
            </c:spPr>
          </c:dPt>
          <c:dPt>
            <c:idx val="34"/>
            <c:bubble3D val="0"/>
            <c:spPr>
              <a:solidFill>
                <a:srgbClr val="0070C0"/>
              </a:solidFill>
              <a:ln>
                <a:solidFill>
                  <a:srgbClr val="0070C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6"/>
            <c:bubble3D val="0"/>
            <c:spPr>
              <a:solidFill>
                <a:srgbClr val="0070C0"/>
              </a:solidFill>
              <a:ln>
                <a:solidFill>
                  <a:srgbClr val="0070C0"/>
                </a:solidFill>
              </a:ln>
            </c:spPr>
          </c:dPt>
          <c:val>
            <c:numRef>
              <c:f>Data!$H$33:$BC$33</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10</c:v>
                </c:pt>
                <c:pt idx="30">
                  <c:v>0</c:v>
                </c:pt>
                <c:pt idx="31">
                  <c:v>0</c:v>
                </c:pt>
                <c:pt idx="32">
                  <c:v>0</c:v>
                </c:pt>
                <c:pt idx="33">
                  <c:v>0</c:v>
                </c:pt>
                <c:pt idx="34">
                  <c:v>10</c:v>
                </c:pt>
                <c:pt idx="35">
                  <c:v>0</c:v>
                </c:pt>
                <c:pt idx="36">
                  <c:v>0</c:v>
                </c:pt>
                <c:pt idx="37">
                  <c:v>10</c:v>
                </c:pt>
                <c:pt idx="38">
                  <c:v>0</c:v>
                </c:pt>
                <c:pt idx="39">
                  <c:v>0</c:v>
                </c:pt>
                <c:pt idx="40">
                  <c:v>0</c:v>
                </c:pt>
                <c:pt idx="41">
                  <c:v>10</c:v>
                </c:pt>
                <c:pt idx="42">
                  <c:v>0</c:v>
                </c:pt>
                <c:pt idx="43">
                  <c:v>0</c:v>
                </c:pt>
                <c:pt idx="44">
                  <c:v>0</c:v>
                </c:pt>
                <c:pt idx="45">
                  <c:v>0</c:v>
                </c:pt>
                <c:pt idx="46">
                  <c:v>10</c:v>
                </c:pt>
                <c:pt idx="47">
                  <c:v>0</c:v>
                </c:pt>
              </c:numCache>
            </c:numRef>
          </c:val>
        </c:ser>
        <c:ser>
          <c:idx val="29"/>
          <c:order val="29"/>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29"/>
            <c:bubble3D val="0"/>
            <c:spPr>
              <a:solidFill>
                <a:sysClr val="windowText" lastClr="000000"/>
              </a:solidFill>
              <a:ln>
                <a:solidFill>
                  <a:sysClr val="windowText" lastClr="000000"/>
                </a:solidFill>
              </a:ln>
            </c:spPr>
          </c:dPt>
          <c:dPt>
            <c:idx val="34"/>
            <c:bubble3D val="0"/>
            <c:spPr>
              <a:solidFill>
                <a:srgbClr val="0070C0"/>
              </a:solidFill>
              <a:ln>
                <a:solidFill>
                  <a:srgbClr val="0070C0"/>
                </a:solidFill>
              </a:ln>
            </c:spPr>
          </c:dPt>
          <c:dPt>
            <c:idx val="37"/>
            <c:bubble3D val="0"/>
            <c:spPr>
              <a:solidFill>
                <a:sysClr val="windowText" lastClr="000000"/>
              </a:solidFill>
              <a:ln>
                <a:solidFill>
                  <a:sysClr val="windowText" lastClr="000000"/>
                </a:solidFill>
              </a:ln>
            </c:spPr>
          </c:dPt>
          <c:dPt>
            <c:idx val="41"/>
            <c:bubble3D val="0"/>
            <c:spPr>
              <a:solidFill>
                <a:sysClr val="windowText" lastClr="000000"/>
              </a:solidFill>
              <a:ln>
                <a:solidFill>
                  <a:sysClr val="windowText" lastClr="000000"/>
                </a:solidFill>
              </a:ln>
            </c:spPr>
          </c:dPt>
          <c:dPt>
            <c:idx val="46"/>
            <c:bubble3D val="0"/>
            <c:spPr>
              <a:solidFill>
                <a:srgbClr val="0070C0"/>
              </a:solidFill>
              <a:ln>
                <a:solidFill>
                  <a:srgbClr val="0070C0"/>
                </a:solidFill>
              </a:ln>
            </c:spPr>
          </c:dPt>
          <c:val>
            <c:numRef>
              <c:f>Data!$H$34:$BC$34</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10</c:v>
                </c:pt>
                <c:pt idx="30">
                  <c:v>0</c:v>
                </c:pt>
                <c:pt idx="31">
                  <c:v>0</c:v>
                </c:pt>
                <c:pt idx="32">
                  <c:v>0</c:v>
                </c:pt>
                <c:pt idx="33">
                  <c:v>0</c:v>
                </c:pt>
                <c:pt idx="34">
                  <c:v>10</c:v>
                </c:pt>
                <c:pt idx="35">
                  <c:v>0</c:v>
                </c:pt>
                <c:pt idx="36">
                  <c:v>0</c:v>
                </c:pt>
                <c:pt idx="37">
                  <c:v>10</c:v>
                </c:pt>
                <c:pt idx="38">
                  <c:v>0</c:v>
                </c:pt>
                <c:pt idx="39">
                  <c:v>0</c:v>
                </c:pt>
                <c:pt idx="40">
                  <c:v>0</c:v>
                </c:pt>
                <c:pt idx="41">
                  <c:v>10</c:v>
                </c:pt>
                <c:pt idx="42">
                  <c:v>0</c:v>
                </c:pt>
                <c:pt idx="43">
                  <c:v>0</c:v>
                </c:pt>
                <c:pt idx="44">
                  <c:v>0</c:v>
                </c:pt>
                <c:pt idx="45">
                  <c:v>0</c:v>
                </c:pt>
                <c:pt idx="46">
                  <c:v>10</c:v>
                </c:pt>
                <c:pt idx="47">
                  <c:v>0</c:v>
                </c:pt>
              </c:numCache>
            </c:numRef>
          </c:val>
        </c:ser>
        <c:ser>
          <c:idx val="30"/>
          <c:order val="30"/>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6"/>
            <c:bubble3D val="0"/>
            <c:spPr>
              <a:solidFill>
                <a:srgbClr val="0070C0"/>
              </a:solidFill>
              <a:ln>
                <a:solidFill>
                  <a:srgbClr val="0070C0"/>
                </a:solidFill>
              </a:ln>
            </c:spPr>
          </c:dPt>
          <c:val>
            <c:numRef>
              <c:f>Data!$H$35:$BC$35</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10</c:v>
                </c:pt>
                <c:pt idx="47">
                  <c:v>0</c:v>
                </c:pt>
              </c:numCache>
            </c:numRef>
          </c:val>
        </c:ser>
        <c:ser>
          <c:idx val="31"/>
          <c:order val="31"/>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6"/>
            <c:bubble3D val="0"/>
            <c:spPr>
              <a:solidFill>
                <a:srgbClr val="0070C0"/>
              </a:solidFill>
              <a:ln>
                <a:solidFill>
                  <a:srgbClr val="0070C0"/>
                </a:solidFill>
              </a:ln>
            </c:spPr>
          </c:dPt>
          <c:val>
            <c:numRef>
              <c:f>Data!$H$36:$BC$36</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10</c:v>
                </c:pt>
                <c:pt idx="47">
                  <c:v>0</c:v>
                </c:pt>
              </c:numCache>
            </c:numRef>
          </c:val>
        </c:ser>
        <c:ser>
          <c:idx val="32"/>
          <c:order val="32"/>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6"/>
            <c:bubble3D val="0"/>
            <c:spPr>
              <a:solidFill>
                <a:srgbClr val="0070C0"/>
              </a:solidFill>
              <a:ln>
                <a:solidFill>
                  <a:srgbClr val="0070C0"/>
                </a:solidFill>
              </a:ln>
            </c:spPr>
          </c:dPt>
          <c:val>
            <c:numRef>
              <c:f>Data!$H$37:$BC$37</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10</c:v>
                </c:pt>
                <c:pt idx="47">
                  <c:v>0</c:v>
                </c:pt>
              </c:numCache>
            </c:numRef>
          </c:val>
        </c:ser>
        <c:ser>
          <c:idx val="33"/>
          <c:order val="33"/>
          <c:dPt>
            <c:idx val="3"/>
            <c:bubble3D val="0"/>
            <c:spPr>
              <a:noFill/>
              <a:ln>
                <a:noFill/>
              </a:ln>
            </c:spPr>
          </c:dPt>
          <c:dPt>
            <c:idx val="7"/>
            <c:bubble3D val="0"/>
            <c:spPr>
              <a:noFill/>
              <a:ln>
                <a:noFill/>
              </a:ln>
            </c:spPr>
          </c:dPt>
          <c:dPt>
            <c:idx val="11"/>
            <c:bubble3D val="0"/>
            <c:spPr>
              <a:noFill/>
              <a:ln>
                <a:noFill/>
              </a:ln>
            </c:spPr>
          </c:dPt>
          <c:dPt>
            <c:idx val="14"/>
            <c:bubble3D val="0"/>
            <c:spPr>
              <a:solidFill>
                <a:srgbClr val="0070C0"/>
              </a:solidFill>
              <a:ln>
                <a:solidFill>
                  <a:srgbClr val="0070C0"/>
                </a:solid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6"/>
            <c:bubble3D val="0"/>
            <c:spPr>
              <a:solidFill>
                <a:srgbClr val="0070C0"/>
              </a:solidFill>
              <a:ln>
                <a:solidFill>
                  <a:srgbClr val="0070C0"/>
                </a:solidFill>
              </a:ln>
            </c:spPr>
          </c:dPt>
          <c:val>
            <c:numRef>
              <c:f>Data!$H$38:$BC$38</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10</c:v>
                </c:pt>
                <c:pt idx="15">
                  <c:v>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10</c:v>
                </c:pt>
                <c:pt idx="47">
                  <c:v>0</c:v>
                </c:pt>
              </c:numCache>
            </c:numRef>
          </c:val>
        </c:ser>
        <c:ser>
          <c:idx val="34"/>
          <c:order val="34"/>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6"/>
            <c:bubble3D val="0"/>
            <c:spPr>
              <a:solidFill>
                <a:srgbClr val="0070C0"/>
              </a:solidFill>
              <a:ln>
                <a:solidFill>
                  <a:srgbClr val="0070C0"/>
                </a:solidFill>
              </a:ln>
            </c:spPr>
          </c:dPt>
          <c:val>
            <c:numRef>
              <c:f>Data!$H$39:$BC$39</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10</c:v>
                </c:pt>
                <c:pt idx="47">
                  <c:v>0</c:v>
                </c:pt>
              </c:numCache>
            </c:numRef>
          </c:val>
        </c:ser>
        <c:ser>
          <c:idx val="35"/>
          <c:order val="35"/>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6"/>
            <c:bubble3D val="0"/>
            <c:spPr>
              <a:solidFill>
                <a:srgbClr val="0070C0"/>
              </a:solidFill>
              <a:ln>
                <a:solidFill>
                  <a:srgbClr val="0070C0"/>
                </a:solidFill>
              </a:ln>
            </c:spPr>
          </c:dPt>
          <c:val>
            <c:numRef>
              <c:f>Data!$H$40:$BC$40</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10</c:v>
                </c:pt>
                <c:pt idx="47">
                  <c:v>0</c:v>
                </c:pt>
              </c:numCache>
            </c:numRef>
          </c:val>
        </c:ser>
        <c:ser>
          <c:idx val="36"/>
          <c:order val="36"/>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6"/>
            <c:bubble3D val="0"/>
            <c:spPr>
              <a:solidFill>
                <a:srgbClr val="0070C0"/>
              </a:solidFill>
              <a:ln>
                <a:solidFill>
                  <a:srgbClr val="0070C0"/>
                </a:solidFill>
              </a:ln>
            </c:spPr>
          </c:dPt>
          <c:val>
            <c:numRef>
              <c:f>Data!$H$41:$BC$41</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10</c:v>
                </c:pt>
                <c:pt idx="47">
                  <c:v>0</c:v>
                </c:pt>
              </c:numCache>
            </c:numRef>
          </c:val>
        </c:ser>
        <c:ser>
          <c:idx val="37"/>
          <c:order val="37"/>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6"/>
            <c:bubble3D val="0"/>
            <c:spPr>
              <a:solidFill>
                <a:srgbClr val="0070C0"/>
              </a:solidFill>
              <a:ln>
                <a:solidFill>
                  <a:srgbClr val="0070C0"/>
                </a:solidFill>
              </a:ln>
            </c:spPr>
          </c:dPt>
          <c:val>
            <c:numRef>
              <c:f>Data!$H$42:$BC$42</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10</c:v>
                </c:pt>
                <c:pt idx="47">
                  <c:v>0</c:v>
                </c:pt>
              </c:numCache>
            </c:numRef>
          </c:val>
        </c:ser>
        <c:ser>
          <c:idx val="38"/>
          <c:order val="38"/>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6"/>
            <c:bubble3D val="0"/>
            <c:spPr>
              <a:solidFill>
                <a:srgbClr val="0070C0"/>
              </a:solidFill>
              <a:ln>
                <a:solidFill>
                  <a:srgbClr val="0070C0"/>
                </a:solidFill>
              </a:ln>
            </c:spPr>
          </c:dPt>
          <c:val>
            <c:numRef>
              <c:f>Data!$H$43:$BC$43</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10</c:v>
                </c:pt>
                <c:pt idx="47">
                  <c:v>0</c:v>
                </c:pt>
              </c:numCache>
            </c:numRef>
          </c:val>
        </c:ser>
        <c:ser>
          <c:idx val="39"/>
          <c:order val="39"/>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6"/>
            <c:bubble3D val="0"/>
            <c:spPr>
              <a:solidFill>
                <a:srgbClr val="0070C0"/>
              </a:solidFill>
              <a:ln>
                <a:solidFill>
                  <a:srgbClr val="0070C0"/>
                </a:solid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6"/>
            <c:bubble3D val="0"/>
            <c:spPr>
              <a:solidFill>
                <a:srgbClr val="0070C0"/>
              </a:solidFill>
              <a:ln>
                <a:solidFill>
                  <a:srgbClr val="0070C0"/>
                </a:solidFill>
              </a:ln>
            </c:spPr>
          </c:dPt>
          <c:val>
            <c:numRef>
              <c:f>Data!$H$44:$BC$44</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10</c:v>
                </c:pt>
                <c:pt idx="27">
                  <c:v>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10</c:v>
                </c:pt>
                <c:pt idx="47">
                  <c:v>0</c:v>
                </c:pt>
              </c:numCache>
            </c:numRef>
          </c:val>
        </c:ser>
        <c:ser>
          <c:idx val="40"/>
          <c:order val="40"/>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7"/>
            <c:bubble3D val="0"/>
            <c:spPr>
              <a:noFill/>
              <a:ln>
                <a:no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Data!$H$45:$BC$45</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0</c:v>
                </c:pt>
                <c:pt idx="27">
                  <c:v>10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41"/>
          <c:order val="41"/>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7"/>
            <c:bubble3D val="0"/>
            <c:spPr>
              <a:noFill/>
              <a:ln>
                <a:no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Data!$H$46:$BC$46</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0</c:v>
                </c:pt>
                <c:pt idx="27">
                  <c:v>10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42"/>
          <c:order val="42"/>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7"/>
            <c:bubble3D val="0"/>
            <c:spPr>
              <a:noFill/>
              <a:ln>
                <a:no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Data!$H$47:$BC$47</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0</c:v>
                </c:pt>
                <c:pt idx="27">
                  <c:v>10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43"/>
          <c:order val="43"/>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7"/>
            <c:bubble3D val="0"/>
            <c:spPr>
              <a:noFill/>
              <a:ln>
                <a:no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Data!$H$48:$BC$48</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0</c:v>
                </c:pt>
                <c:pt idx="27">
                  <c:v>10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44"/>
          <c:order val="44"/>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7"/>
            <c:bubble3D val="0"/>
            <c:spPr>
              <a:noFill/>
              <a:ln>
                <a:no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Data!$H$49:$BC$49</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0</c:v>
                </c:pt>
                <c:pt idx="27">
                  <c:v>10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45"/>
          <c:order val="45"/>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7"/>
            <c:bubble3D val="0"/>
            <c:spPr>
              <a:noFill/>
              <a:ln>
                <a:no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Data!$H$50:$BC$50</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0</c:v>
                </c:pt>
                <c:pt idx="27">
                  <c:v>10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46"/>
          <c:order val="46"/>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7"/>
            <c:bubble3D val="0"/>
            <c:spPr>
              <a:noFill/>
              <a:ln>
                <a:no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Data!$H$51:$BC$51</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0</c:v>
                </c:pt>
                <c:pt idx="27">
                  <c:v>10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47"/>
          <c:order val="47"/>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2"/>
            <c:bubble3D val="0"/>
            <c:spPr>
              <a:solidFill>
                <a:srgbClr val="0070C0"/>
              </a:solidFill>
              <a:ln>
                <a:solidFill>
                  <a:srgbClr val="0070C0"/>
                </a:solidFill>
              </a:ln>
            </c:spPr>
          </c:dPt>
          <c:dPt>
            <c:idx val="27"/>
            <c:bubble3D val="0"/>
            <c:spPr>
              <a:noFill/>
              <a:ln>
                <a:no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Data!$H$52:$BC$52</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10</c:v>
                </c:pt>
                <c:pt idx="23">
                  <c:v>0</c:v>
                </c:pt>
                <c:pt idx="24">
                  <c:v>0</c:v>
                </c:pt>
                <c:pt idx="25">
                  <c:v>0</c:v>
                </c:pt>
                <c:pt idx="26">
                  <c:v>0</c:v>
                </c:pt>
                <c:pt idx="27">
                  <c:v>10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48"/>
          <c:order val="48"/>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3"/>
            <c:bubble3D val="0"/>
            <c:spPr>
              <a:noFill/>
              <a:ln>
                <a:noFill/>
              </a:ln>
            </c:spPr>
          </c:dPt>
          <c:dPt>
            <c:idx val="27"/>
            <c:bubble3D val="0"/>
            <c:spPr>
              <a:noFill/>
              <a:ln>
                <a:no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Data!$H$53:$BC$53</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0</c:v>
                </c:pt>
                <c:pt idx="23">
                  <c:v>10</c:v>
                </c:pt>
                <c:pt idx="24">
                  <c:v>0</c:v>
                </c:pt>
                <c:pt idx="25">
                  <c:v>0</c:v>
                </c:pt>
                <c:pt idx="26">
                  <c:v>0</c:v>
                </c:pt>
                <c:pt idx="27">
                  <c:v>10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49"/>
          <c:order val="49"/>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8"/>
            <c:bubble3D val="0"/>
            <c:spPr>
              <a:solidFill>
                <a:srgbClr val="0070C0"/>
              </a:solidFill>
              <a:ln>
                <a:solidFill>
                  <a:srgbClr val="0070C0"/>
                </a:solidFill>
              </a:ln>
            </c:spPr>
          </c:dPt>
          <c:dPt>
            <c:idx val="23"/>
            <c:bubble3D val="0"/>
            <c:spPr>
              <a:noFill/>
              <a:ln>
                <a:noFill/>
              </a:ln>
            </c:spPr>
          </c:dPt>
          <c:dPt>
            <c:idx val="27"/>
            <c:bubble3D val="0"/>
            <c:spPr>
              <a:noFill/>
              <a:ln>
                <a:noFill/>
              </a:ln>
            </c:spPr>
          </c:dPt>
          <c:dPt>
            <c:idx val="30"/>
            <c:bubble3D val="0"/>
            <c:spPr>
              <a:solidFill>
                <a:srgbClr val="0070C0"/>
              </a:solidFill>
              <a:ln>
                <a:solidFill>
                  <a:srgbClr val="0070C0"/>
                </a:solid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Data!$H$54:$BC$54</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10</c:v>
                </c:pt>
                <c:pt idx="19">
                  <c:v>0</c:v>
                </c:pt>
                <c:pt idx="20">
                  <c:v>0</c:v>
                </c:pt>
                <c:pt idx="21">
                  <c:v>0</c:v>
                </c:pt>
                <c:pt idx="22">
                  <c:v>0</c:v>
                </c:pt>
                <c:pt idx="23">
                  <c:v>10</c:v>
                </c:pt>
                <c:pt idx="24">
                  <c:v>0</c:v>
                </c:pt>
                <c:pt idx="25">
                  <c:v>0</c:v>
                </c:pt>
                <c:pt idx="26">
                  <c:v>0</c:v>
                </c:pt>
                <c:pt idx="27">
                  <c:v>10</c:v>
                </c:pt>
                <c:pt idx="28">
                  <c:v>0</c:v>
                </c:pt>
                <c:pt idx="29">
                  <c:v>0</c:v>
                </c:pt>
                <c:pt idx="30">
                  <c:v>10</c:v>
                </c:pt>
                <c:pt idx="31">
                  <c:v>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50"/>
          <c:order val="50"/>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Data!$H$55:$BC$55</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51"/>
          <c:order val="51"/>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Data!$H$56:$BC$56</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52"/>
          <c:order val="52"/>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Data!$H$57:$BC$57</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53"/>
          <c:order val="53"/>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Data!$H$58:$BC$58</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54"/>
          <c:order val="54"/>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Data!$H$59:$BC$59</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55"/>
          <c:order val="55"/>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Data!$H$60:$BC$60</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56"/>
          <c:order val="56"/>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Data!$H$61:$BC$61</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57"/>
          <c:order val="57"/>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Data!$H$62:$BC$62</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58"/>
          <c:order val="58"/>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Data!$H$63:$BC$63</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59"/>
          <c:order val="59"/>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Data!$H$64:$BC$64</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60"/>
          <c:order val="60"/>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Data!$H$65:$BC$65</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61"/>
          <c:order val="61"/>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Data!$H$66:$BC$66</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62"/>
          <c:order val="62"/>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Data!$H$67:$BC$67</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63"/>
          <c:order val="63"/>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Data!$H$68:$BC$68</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64"/>
          <c:order val="64"/>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Data!$H$69:$BC$69</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65"/>
          <c:order val="65"/>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Data!$H$70:$BC$70</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66"/>
          <c:order val="66"/>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Data!$H$71:$BC$71</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67"/>
          <c:order val="67"/>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Data!$H$72:$BC$72</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68"/>
          <c:order val="68"/>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Data!$H$73:$BC$73</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69"/>
          <c:order val="69"/>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4"/>
            <c:bubble3D val="0"/>
            <c:spPr>
              <a:solidFill>
                <a:srgbClr val="0070C0"/>
              </a:solidFill>
              <a:ln>
                <a:solidFill>
                  <a:srgbClr val="0070C0"/>
                </a:solid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Data!$H$74:$BC$74</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10</c:v>
                </c:pt>
                <c:pt idx="35">
                  <c:v>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70"/>
          <c:order val="70"/>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Data!$H$75:$BC$75</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71"/>
          <c:order val="71"/>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Data!$H$76:$BC$76</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72"/>
          <c:order val="72"/>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Data!$H$77:$BC$77</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73"/>
          <c:order val="73"/>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Data!$H$78:$BC$78</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74"/>
          <c:order val="74"/>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Data!$H$79:$BC$79</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75"/>
          <c:order val="75"/>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Data!$H$80:$BC$80</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76"/>
          <c:order val="76"/>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Data!$H$81:$BC$81</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77"/>
          <c:order val="77"/>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Data!$H$82:$BC$82</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78"/>
          <c:order val="78"/>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Data!$H$83:$BC$83</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79"/>
          <c:order val="79"/>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2"/>
            <c:bubble3D val="0"/>
            <c:spPr>
              <a:solidFill>
                <a:srgbClr val="0070C0"/>
              </a:solidFill>
              <a:ln>
                <a:solidFill>
                  <a:srgbClr val="0070C0"/>
                </a:solidFill>
              </a:ln>
            </c:spPr>
          </c:dPt>
          <c:dPt>
            <c:idx val="47"/>
            <c:bubble3D val="0"/>
            <c:spPr>
              <a:noFill/>
              <a:ln>
                <a:noFill/>
              </a:ln>
            </c:spPr>
          </c:dPt>
          <c:val>
            <c:numRef>
              <c:f>Data!$H$84:$BC$84</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10</c:v>
                </c:pt>
                <c:pt idx="43">
                  <c:v>0</c:v>
                </c:pt>
                <c:pt idx="44">
                  <c:v>0</c:v>
                </c:pt>
                <c:pt idx="45">
                  <c:v>0</c:v>
                </c:pt>
                <c:pt idx="46">
                  <c:v>0</c:v>
                </c:pt>
                <c:pt idx="47">
                  <c:v>10</c:v>
                </c:pt>
              </c:numCache>
            </c:numRef>
          </c:val>
        </c:ser>
        <c:ser>
          <c:idx val="80"/>
          <c:order val="80"/>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3"/>
            <c:bubble3D val="0"/>
            <c:spPr>
              <a:noFill/>
              <a:ln>
                <a:noFill/>
              </a:ln>
            </c:spPr>
          </c:dPt>
          <c:dPt>
            <c:idx val="47"/>
            <c:bubble3D val="0"/>
            <c:spPr>
              <a:noFill/>
              <a:ln>
                <a:noFill/>
              </a:ln>
            </c:spPr>
          </c:dPt>
          <c:val>
            <c:numRef>
              <c:f>Data!$H$85:$BC$85</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0</c:v>
                </c:pt>
                <c:pt idx="43">
                  <c:v>10</c:v>
                </c:pt>
                <c:pt idx="44">
                  <c:v>0</c:v>
                </c:pt>
                <c:pt idx="45">
                  <c:v>0</c:v>
                </c:pt>
                <c:pt idx="46">
                  <c:v>0</c:v>
                </c:pt>
                <c:pt idx="47">
                  <c:v>10</c:v>
                </c:pt>
              </c:numCache>
            </c:numRef>
          </c:val>
        </c:ser>
        <c:ser>
          <c:idx val="81"/>
          <c:order val="81"/>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3"/>
            <c:bubble3D val="0"/>
            <c:spPr>
              <a:noFill/>
              <a:ln>
                <a:noFill/>
              </a:ln>
            </c:spPr>
          </c:dPt>
          <c:dPt>
            <c:idx val="47"/>
            <c:bubble3D val="0"/>
            <c:spPr>
              <a:noFill/>
              <a:ln>
                <a:noFill/>
              </a:ln>
            </c:spPr>
          </c:dPt>
          <c:val>
            <c:numRef>
              <c:f>Data!$H$86:$BC$86</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0</c:v>
                </c:pt>
                <c:pt idx="43">
                  <c:v>10</c:v>
                </c:pt>
                <c:pt idx="44">
                  <c:v>0</c:v>
                </c:pt>
                <c:pt idx="45">
                  <c:v>0</c:v>
                </c:pt>
                <c:pt idx="46">
                  <c:v>0</c:v>
                </c:pt>
                <c:pt idx="47">
                  <c:v>10</c:v>
                </c:pt>
              </c:numCache>
            </c:numRef>
          </c:val>
        </c:ser>
        <c:ser>
          <c:idx val="82"/>
          <c:order val="82"/>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3"/>
            <c:bubble3D val="0"/>
            <c:spPr>
              <a:noFill/>
              <a:ln>
                <a:noFill/>
              </a:ln>
            </c:spPr>
          </c:dPt>
          <c:dPt>
            <c:idx val="47"/>
            <c:bubble3D val="0"/>
            <c:spPr>
              <a:noFill/>
              <a:ln>
                <a:noFill/>
              </a:ln>
            </c:spPr>
          </c:dPt>
          <c:val>
            <c:numRef>
              <c:f>Data!$H$87:$BC$87</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0</c:v>
                </c:pt>
                <c:pt idx="43">
                  <c:v>10</c:v>
                </c:pt>
                <c:pt idx="44">
                  <c:v>0</c:v>
                </c:pt>
                <c:pt idx="45">
                  <c:v>0</c:v>
                </c:pt>
                <c:pt idx="46">
                  <c:v>0</c:v>
                </c:pt>
                <c:pt idx="47">
                  <c:v>10</c:v>
                </c:pt>
              </c:numCache>
            </c:numRef>
          </c:val>
        </c:ser>
        <c:ser>
          <c:idx val="83"/>
          <c:order val="83"/>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3"/>
            <c:bubble3D val="0"/>
            <c:spPr>
              <a:noFill/>
              <a:ln>
                <a:noFill/>
              </a:ln>
            </c:spPr>
          </c:dPt>
          <c:dPt>
            <c:idx val="47"/>
            <c:bubble3D val="0"/>
            <c:spPr>
              <a:noFill/>
              <a:ln>
                <a:noFill/>
              </a:ln>
            </c:spPr>
          </c:dPt>
          <c:val>
            <c:numRef>
              <c:f>Data!$H$88:$BC$88</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0</c:v>
                </c:pt>
                <c:pt idx="43">
                  <c:v>10</c:v>
                </c:pt>
                <c:pt idx="44">
                  <c:v>0</c:v>
                </c:pt>
                <c:pt idx="45">
                  <c:v>0</c:v>
                </c:pt>
                <c:pt idx="46">
                  <c:v>0</c:v>
                </c:pt>
                <c:pt idx="47">
                  <c:v>10</c:v>
                </c:pt>
              </c:numCache>
            </c:numRef>
          </c:val>
        </c:ser>
        <c:ser>
          <c:idx val="84"/>
          <c:order val="84"/>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3"/>
            <c:bubble3D val="0"/>
            <c:spPr>
              <a:noFill/>
              <a:ln>
                <a:noFill/>
              </a:ln>
            </c:spPr>
          </c:dPt>
          <c:dPt>
            <c:idx val="47"/>
            <c:bubble3D val="0"/>
            <c:spPr>
              <a:noFill/>
              <a:ln>
                <a:noFill/>
              </a:ln>
            </c:spPr>
          </c:dPt>
          <c:val>
            <c:numRef>
              <c:f>Data!$H$89:$BC$89</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0</c:v>
                </c:pt>
                <c:pt idx="43">
                  <c:v>10</c:v>
                </c:pt>
                <c:pt idx="44">
                  <c:v>0</c:v>
                </c:pt>
                <c:pt idx="45">
                  <c:v>0</c:v>
                </c:pt>
                <c:pt idx="46">
                  <c:v>0</c:v>
                </c:pt>
                <c:pt idx="47">
                  <c:v>10</c:v>
                </c:pt>
              </c:numCache>
            </c:numRef>
          </c:val>
        </c:ser>
        <c:ser>
          <c:idx val="85"/>
          <c:order val="85"/>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3"/>
            <c:bubble3D val="0"/>
            <c:spPr>
              <a:noFill/>
              <a:ln>
                <a:noFill/>
              </a:ln>
            </c:spPr>
          </c:dPt>
          <c:dPt>
            <c:idx val="47"/>
            <c:bubble3D val="0"/>
            <c:spPr>
              <a:noFill/>
              <a:ln>
                <a:noFill/>
              </a:ln>
            </c:spPr>
          </c:dPt>
          <c:val>
            <c:numRef>
              <c:f>Data!$H$90:$BC$90</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0</c:v>
                </c:pt>
                <c:pt idx="43">
                  <c:v>10</c:v>
                </c:pt>
                <c:pt idx="44">
                  <c:v>0</c:v>
                </c:pt>
                <c:pt idx="45">
                  <c:v>0</c:v>
                </c:pt>
                <c:pt idx="46">
                  <c:v>0</c:v>
                </c:pt>
                <c:pt idx="47">
                  <c:v>10</c:v>
                </c:pt>
              </c:numCache>
            </c:numRef>
          </c:val>
        </c:ser>
        <c:ser>
          <c:idx val="86"/>
          <c:order val="86"/>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3"/>
            <c:bubble3D val="0"/>
            <c:spPr>
              <a:noFill/>
              <a:ln>
                <a:noFill/>
              </a:ln>
            </c:spPr>
          </c:dPt>
          <c:dPt>
            <c:idx val="47"/>
            <c:bubble3D val="0"/>
            <c:spPr>
              <a:noFill/>
              <a:ln>
                <a:noFill/>
              </a:ln>
            </c:spPr>
          </c:dPt>
          <c:val>
            <c:numRef>
              <c:f>Data!$H$91:$BC$91</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0</c:v>
                </c:pt>
                <c:pt idx="43">
                  <c:v>10</c:v>
                </c:pt>
                <c:pt idx="44">
                  <c:v>0</c:v>
                </c:pt>
                <c:pt idx="45">
                  <c:v>0</c:v>
                </c:pt>
                <c:pt idx="46">
                  <c:v>0</c:v>
                </c:pt>
                <c:pt idx="47">
                  <c:v>10</c:v>
                </c:pt>
              </c:numCache>
            </c:numRef>
          </c:val>
        </c:ser>
        <c:ser>
          <c:idx val="87"/>
          <c:order val="87"/>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3"/>
            <c:bubble3D val="0"/>
            <c:spPr>
              <a:noFill/>
              <a:ln>
                <a:noFill/>
              </a:ln>
            </c:spPr>
          </c:dPt>
          <c:dPt>
            <c:idx val="47"/>
            <c:bubble3D val="0"/>
            <c:spPr>
              <a:noFill/>
              <a:ln>
                <a:noFill/>
              </a:ln>
            </c:spPr>
          </c:dPt>
          <c:val>
            <c:numRef>
              <c:f>Data!$H$92:$BC$92</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0</c:v>
                </c:pt>
                <c:pt idx="43">
                  <c:v>10</c:v>
                </c:pt>
                <c:pt idx="44">
                  <c:v>0</c:v>
                </c:pt>
                <c:pt idx="45">
                  <c:v>0</c:v>
                </c:pt>
                <c:pt idx="46">
                  <c:v>0</c:v>
                </c:pt>
                <c:pt idx="47">
                  <c:v>10</c:v>
                </c:pt>
              </c:numCache>
            </c:numRef>
          </c:val>
        </c:ser>
        <c:ser>
          <c:idx val="88"/>
          <c:order val="88"/>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3"/>
            <c:bubble3D val="0"/>
            <c:spPr>
              <a:noFill/>
              <a:ln>
                <a:noFill/>
              </a:ln>
            </c:spPr>
          </c:dPt>
          <c:dPt>
            <c:idx val="47"/>
            <c:bubble3D val="0"/>
            <c:spPr>
              <a:noFill/>
              <a:ln>
                <a:noFill/>
              </a:ln>
            </c:spPr>
          </c:dPt>
          <c:val>
            <c:numRef>
              <c:f>Data!$H$93:$BC$93</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0</c:v>
                </c:pt>
                <c:pt idx="43">
                  <c:v>10</c:v>
                </c:pt>
                <c:pt idx="44">
                  <c:v>0</c:v>
                </c:pt>
                <c:pt idx="45">
                  <c:v>0</c:v>
                </c:pt>
                <c:pt idx="46">
                  <c:v>0</c:v>
                </c:pt>
                <c:pt idx="47">
                  <c:v>10</c:v>
                </c:pt>
              </c:numCache>
            </c:numRef>
          </c:val>
        </c:ser>
        <c:ser>
          <c:idx val="89"/>
          <c:order val="89"/>
          <c:dPt>
            <c:idx val="3"/>
            <c:bubble3D val="0"/>
            <c:spPr>
              <a:noFill/>
              <a:ln>
                <a:noFill/>
              </a:ln>
            </c:spPr>
          </c:dPt>
          <c:dPt>
            <c:idx val="7"/>
            <c:bubble3D val="0"/>
            <c:spPr>
              <a:noFill/>
              <a:ln>
                <a:noFill/>
              </a:ln>
            </c:spPr>
          </c:dPt>
          <c:dPt>
            <c:idx val="11"/>
            <c:bubble3D val="0"/>
            <c:spPr>
              <a:noFill/>
              <a:ln>
                <a:noFill/>
              </a:ln>
            </c:spPr>
          </c:dPt>
          <c:dPt>
            <c:idx val="15"/>
            <c:bubble3D val="0"/>
            <c:spPr>
              <a:noFill/>
              <a:ln>
                <a:noFill/>
              </a:ln>
            </c:spPr>
          </c:dPt>
          <c:dPt>
            <c:idx val="19"/>
            <c:bubble3D val="0"/>
            <c:spPr>
              <a:noFill/>
              <a:ln>
                <a:noFill/>
              </a:ln>
            </c:spPr>
          </c:dPt>
          <c:dPt>
            <c:idx val="23"/>
            <c:bubble3D val="0"/>
            <c:spPr>
              <a:noFill/>
              <a:ln>
                <a:noFill/>
              </a:ln>
            </c:spPr>
          </c:dPt>
          <c:dPt>
            <c:idx val="27"/>
            <c:bubble3D val="0"/>
            <c:spPr>
              <a:noFill/>
              <a:ln>
                <a:noFill/>
              </a:ln>
            </c:spPr>
          </c:dPt>
          <c:dPt>
            <c:idx val="31"/>
            <c:bubble3D val="0"/>
            <c:spPr>
              <a:noFill/>
              <a:ln>
                <a:noFill/>
              </a:ln>
            </c:spPr>
          </c:dPt>
          <c:dPt>
            <c:idx val="35"/>
            <c:bubble3D val="0"/>
            <c:spPr>
              <a:noFill/>
              <a:ln>
                <a:noFill/>
              </a:ln>
            </c:spPr>
          </c:dPt>
          <c:dPt>
            <c:idx val="38"/>
            <c:bubble3D val="0"/>
            <c:spPr>
              <a:solidFill>
                <a:srgbClr val="0070C0"/>
              </a:solidFill>
              <a:ln>
                <a:solidFill>
                  <a:srgbClr val="0070C0"/>
                </a:solidFill>
              </a:ln>
            </c:spPr>
          </c:dPt>
          <c:dPt>
            <c:idx val="43"/>
            <c:bubble3D val="0"/>
            <c:spPr>
              <a:noFill/>
              <a:ln>
                <a:noFill/>
              </a:ln>
            </c:spPr>
          </c:dPt>
          <c:dPt>
            <c:idx val="47"/>
            <c:bubble3D val="0"/>
            <c:spPr>
              <a:noFill/>
              <a:ln>
                <a:noFill/>
              </a:ln>
            </c:spPr>
          </c:dPt>
          <c:val>
            <c:numRef>
              <c:f>Data!$H$94:$BC$94</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10</c:v>
                </c:pt>
                <c:pt idx="39">
                  <c:v>0</c:v>
                </c:pt>
                <c:pt idx="40">
                  <c:v>0</c:v>
                </c:pt>
                <c:pt idx="41">
                  <c:v>0</c:v>
                </c:pt>
                <c:pt idx="42">
                  <c:v>0</c:v>
                </c:pt>
                <c:pt idx="43">
                  <c:v>10</c:v>
                </c:pt>
                <c:pt idx="44">
                  <c:v>0</c:v>
                </c:pt>
                <c:pt idx="45">
                  <c:v>0</c:v>
                </c:pt>
                <c:pt idx="46">
                  <c:v>0</c:v>
                </c:pt>
                <c:pt idx="47">
                  <c:v>10</c:v>
                </c:pt>
              </c:numCache>
            </c:numRef>
          </c:val>
        </c:ser>
        <c:ser>
          <c:idx val="90"/>
          <c:order val="90"/>
          <c:spPr>
            <a:noFill/>
            <a:ln>
              <a:noFill/>
            </a:ln>
          </c:spPr>
          <c:val>
            <c:numRef>
              <c:f>Data!$H$95:$BC$95</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0</c:v>
                </c:pt>
                <c:pt idx="39">
                  <c:v>10</c:v>
                </c:pt>
                <c:pt idx="40">
                  <c:v>0</c:v>
                </c:pt>
                <c:pt idx="41">
                  <c:v>0</c:v>
                </c:pt>
                <c:pt idx="42">
                  <c:v>0</c:v>
                </c:pt>
                <c:pt idx="43">
                  <c:v>10</c:v>
                </c:pt>
                <c:pt idx="44">
                  <c:v>0</c:v>
                </c:pt>
                <c:pt idx="45">
                  <c:v>0</c:v>
                </c:pt>
                <c:pt idx="46">
                  <c:v>0</c:v>
                </c:pt>
                <c:pt idx="47">
                  <c:v>10</c:v>
                </c:pt>
              </c:numCache>
            </c:numRef>
          </c:val>
        </c:ser>
        <c:ser>
          <c:idx val="91"/>
          <c:order val="91"/>
          <c:spPr>
            <a:noFill/>
            <a:ln>
              <a:noFill/>
            </a:ln>
          </c:spPr>
          <c:val>
            <c:numRef>
              <c:f>Data!$H$96:$BC$96</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0</c:v>
                </c:pt>
                <c:pt idx="39">
                  <c:v>10</c:v>
                </c:pt>
                <c:pt idx="40">
                  <c:v>0</c:v>
                </c:pt>
                <c:pt idx="41">
                  <c:v>0</c:v>
                </c:pt>
                <c:pt idx="42">
                  <c:v>0</c:v>
                </c:pt>
                <c:pt idx="43">
                  <c:v>10</c:v>
                </c:pt>
                <c:pt idx="44">
                  <c:v>0</c:v>
                </c:pt>
                <c:pt idx="45">
                  <c:v>0</c:v>
                </c:pt>
                <c:pt idx="46">
                  <c:v>0</c:v>
                </c:pt>
                <c:pt idx="47">
                  <c:v>10</c:v>
                </c:pt>
              </c:numCache>
            </c:numRef>
          </c:val>
        </c:ser>
        <c:ser>
          <c:idx val="92"/>
          <c:order val="92"/>
          <c:spPr>
            <a:noFill/>
            <a:ln>
              <a:noFill/>
            </a:ln>
          </c:spPr>
          <c:val>
            <c:numRef>
              <c:f>Data!$H$97:$BC$97</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0</c:v>
                </c:pt>
                <c:pt idx="39">
                  <c:v>10</c:v>
                </c:pt>
                <c:pt idx="40">
                  <c:v>0</c:v>
                </c:pt>
                <c:pt idx="41">
                  <c:v>0</c:v>
                </c:pt>
                <c:pt idx="42">
                  <c:v>0</c:v>
                </c:pt>
                <c:pt idx="43">
                  <c:v>10</c:v>
                </c:pt>
                <c:pt idx="44">
                  <c:v>0</c:v>
                </c:pt>
                <c:pt idx="45">
                  <c:v>0</c:v>
                </c:pt>
                <c:pt idx="46">
                  <c:v>0</c:v>
                </c:pt>
                <c:pt idx="47">
                  <c:v>10</c:v>
                </c:pt>
              </c:numCache>
            </c:numRef>
          </c:val>
        </c:ser>
        <c:ser>
          <c:idx val="93"/>
          <c:order val="93"/>
          <c:spPr>
            <a:noFill/>
            <a:ln>
              <a:noFill/>
            </a:ln>
          </c:spPr>
          <c:val>
            <c:numRef>
              <c:f>Data!$H$98:$BC$98</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0</c:v>
                </c:pt>
                <c:pt idx="39">
                  <c:v>10</c:v>
                </c:pt>
                <c:pt idx="40">
                  <c:v>0</c:v>
                </c:pt>
                <c:pt idx="41">
                  <c:v>0</c:v>
                </c:pt>
                <c:pt idx="42">
                  <c:v>0</c:v>
                </c:pt>
                <c:pt idx="43">
                  <c:v>10</c:v>
                </c:pt>
                <c:pt idx="44">
                  <c:v>0</c:v>
                </c:pt>
                <c:pt idx="45">
                  <c:v>0</c:v>
                </c:pt>
                <c:pt idx="46">
                  <c:v>0</c:v>
                </c:pt>
                <c:pt idx="47">
                  <c:v>10</c:v>
                </c:pt>
              </c:numCache>
            </c:numRef>
          </c:val>
        </c:ser>
        <c:ser>
          <c:idx val="94"/>
          <c:order val="94"/>
          <c:spPr>
            <a:noFill/>
            <a:ln>
              <a:noFill/>
            </a:ln>
          </c:spPr>
          <c:val>
            <c:numRef>
              <c:f>Data!$H$99:$BC$99</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0</c:v>
                </c:pt>
                <c:pt idx="39">
                  <c:v>10</c:v>
                </c:pt>
                <c:pt idx="40">
                  <c:v>0</c:v>
                </c:pt>
                <c:pt idx="41">
                  <c:v>0</c:v>
                </c:pt>
                <c:pt idx="42">
                  <c:v>0</c:v>
                </c:pt>
                <c:pt idx="43">
                  <c:v>10</c:v>
                </c:pt>
                <c:pt idx="44">
                  <c:v>0</c:v>
                </c:pt>
                <c:pt idx="45">
                  <c:v>0</c:v>
                </c:pt>
                <c:pt idx="46">
                  <c:v>0</c:v>
                </c:pt>
                <c:pt idx="47">
                  <c:v>10</c:v>
                </c:pt>
              </c:numCache>
            </c:numRef>
          </c:val>
        </c:ser>
        <c:ser>
          <c:idx val="95"/>
          <c:order val="95"/>
          <c:spPr>
            <a:noFill/>
            <a:ln>
              <a:noFill/>
            </a:ln>
          </c:spPr>
          <c:val>
            <c:numRef>
              <c:f>Data!$H$100:$BC$100</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0</c:v>
                </c:pt>
                <c:pt idx="39">
                  <c:v>10</c:v>
                </c:pt>
                <c:pt idx="40">
                  <c:v>0</c:v>
                </c:pt>
                <c:pt idx="41">
                  <c:v>0</c:v>
                </c:pt>
                <c:pt idx="42">
                  <c:v>0</c:v>
                </c:pt>
                <c:pt idx="43">
                  <c:v>10</c:v>
                </c:pt>
                <c:pt idx="44">
                  <c:v>0</c:v>
                </c:pt>
                <c:pt idx="45">
                  <c:v>0</c:v>
                </c:pt>
                <c:pt idx="46">
                  <c:v>0</c:v>
                </c:pt>
                <c:pt idx="47">
                  <c:v>10</c:v>
                </c:pt>
              </c:numCache>
            </c:numRef>
          </c:val>
        </c:ser>
        <c:ser>
          <c:idx val="96"/>
          <c:order val="96"/>
          <c:spPr>
            <a:noFill/>
            <a:ln>
              <a:noFill/>
            </a:ln>
          </c:spPr>
          <c:val>
            <c:numRef>
              <c:f>Data!$H$101:$BC$101</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0</c:v>
                </c:pt>
                <c:pt idx="39">
                  <c:v>10</c:v>
                </c:pt>
                <c:pt idx="40">
                  <c:v>0</c:v>
                </c:pt>
                <c:pt idx="41">
                  <c:v>0</c:v>
                </c:pt>
                <c:pt idx="42">
                  <c:v>0</c:v>
                </c:pt>
                <c:pt idx="43">
                  <c:v>10</c:v>
                </c:pt>
                <c:pt idx="44">
                  <c:v>0</c:v>
                </c:pt>
                <c:pt idx="45">
                  <c:v>0</c:v>
                </c:pt>
                <c:pt idx="46">
                  <c:v>0</c:v>
                </c:pt>
                <c:pt idx="47">
                  <c:v>10</c:v>
                </c:pt>
              </c:numCache>
            </c:numRef>
          </c:val>
        </c:ser>
        <c:ser>
          <c:idx val="97"/>
          <c:order val="97"/>
          <c:spPr>
            <a:noFill/>
            <a:ln>
              <a:noFill/>
            </a:ln>
          </c:spPr>
          <c:val>
            <c:numRef>
              <c:f>Data!$H$102:$BC$102</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0</c:v>
                </c:pt>
                <c:pt idx="39">
                  <c:v>10</c:v>
                </c:pt>
                <c:pt idx="40">
                  <c:v>0</c:v>
                </c:pt>
                <c:pt idx="41">
                  <c:v>0</c:v>
                </c:pt>
                <c:pt idx="42">
                  <c:v>0</c:v>
                </c:pt>
                <c:pt idx="43">
                  <c:v>10</c:v>
                </c:pt>
                <c:pt idx="44">
                  <c:v>0</c:v>
                </c:pt>
                <c:pt idx="45">
                  <c:v>0</c:v>
                </c:pt>
                <c:pt idx="46">
                  <c:v>0</c:v>
                </c:pt>
                <c:pt idx="47">
                  <c:v>10</c:v>
                </c:pt>
              </c:numCache>
            </c:numRef>
          </c:val>
        </c:ser>
        <c:ser>
          <c:idx val="98"/>
          <c:order val="98"/>
          <c:spPr>
            <a:noFill/>
            <a:ln>
              <a:noFill/>
            </a:ln>
          </c:spPr>
          <c:val>
            <c:numRef>
              <c:f>Data!$H$103:$BC$103</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0</c:v>
                </c:pt>
                <c:pt idx="39">
                  <c:v>10</c:v>
                </c:pt>
                <c:pt idx="40">
                  <c:v>0</c:v>
                </c:pt>
                <c:pt idx="41">
                  <c:v>0</c:v>
                </c:pt>
                <c:pt idx="42">
                  <c:v>0</c:v>
                </c:pt>
                <c:pt idx="43">
                  <c:v>10</c:v>
                </c:pt>
                <c:pt idx="44">
                  <c:v>0</c:v>
                </c:pt>
                <c:pt idx="45">
                  <c:v>0</c:v>
                </c:pt>
                <c:pt idx="46">
                  <c:v>0</c:v>
                </c:pt>
                <c:pt idx="47">
                  <c:v>10</c:v>
                </c:pt>
              </c:numCache>
            </c:numRef>
          </c:val>
        </c:ser>
        <c:ser>
          <c:idx val="99"/>
          <c:order val="99"/>
          <c:spPr>
            <a:noFill/>
            <a:ln>
              <a:noFill/>
            </a:ln>
          </c:spPr>
          <c:val>
            <c:numRef>
              <c:f>Data!$H$104:$BC$104</c:f>
              <c:numCache>
                <c:formatCode>General</c:formatCode>
                <c:ptCount val="48"/>
                <c:pt idx="0">
                  <c:v>0</c:v>
                </c:pt>
                <c:pt idx="1">
                  <c:v>0</c:v>
                </c:pt>
                <c:pt idx="2">
                  <c:v>0</c:v>
                </c:pt>
                <c:pt idx="3">
                  <c:v>10</c:v>
                </c:pt>
                <c:pt idx="4">
                  <c:v>0</c:v>
                </c:pt>
                <c:pt idx="5">
                  <c:v>0</c:v>
                </c:pt>
                <c:pt idx="6">
                  <c:v>0</c:v>
                </c:pt>
                <c:pt idx="7">
                  <c:v>10</c:v>
                </c:pt>
                <c:pt idx="8">
                  <c:v>0</c:v>
                </c:pt>
                <c:pt idx="9">
                  <c:v>0</c:v>
                </c:pt>
                <c:pt idx="10">
                  <c:v>0</c:v>
                </c:pt>
                <c:pt idx="11">
                  <c:v>10</c:v>
                </c:pt>
                <c:pt idx="12">
                  <c:v>0</c:v>
                </c:pt>
                <c:pt idx="13">
                  <c:v>0</c:v>
                </c:pt>
                <c:pt idx="14">
                  <c:v>0</c:v>
                </c:pt>
                <c:pt idx="15">
                  <c:v>10</c:v>
                </c:pt>
                <c:pt idx="16">
                  <c:v>0</c:v>
                </c:pt>
                <c:pt idx="17">
                  <c:v>0</c:v>
                </c:pt>
                <c:pt idx="18">
                  <c:v>0</c:v>
                </c:pt>
                <c:pt idx="19">
                  <c:v>10</c:v>
                </c:pt>
                <c:pt idx="20">
                  <c:v>0</c:v>
                </c:pt>
                <c:pt idx="21">
                  <c:v>0</c:v>
                </c:pt>
                <c:pt idx="22">
                  <c:v>0</c:v>
                </c:pt>
                <c:pt idx="23">
                  <c:v>10</c:v>
                </c:pt>
                <c:pt idx="24">
                  <c:v>0</c:v>
                </c:pt>
                <c:pt idx="25">
                  <c:v>0</c:v>
                </c:pt>
                <c:pt idx="26">
                  <c:v>0</c:v>
                </c:pt>
                <c:pt idx="27">
                  <c:v>10</c:v>
                </c:pt>
                <c:pt idx="28">
                  <c:v>0</c:v>
                </c:pt>
                <c:pt idx="29">
                  <c:v>0</c:v>
                </c:pt>
                <c:pt idx="30">
                  <c:v>0</c:v>
                </c:pt>
                <c:pt idx="31">
                  <c:v>10</c:v>
                </c:pt>
                <c:pt idx="32">
                  <c:v>0</c:v>
                </c:pt>
                <c:pt idx="33">
                  <c:v>0</c:v>
                </c:pt>
                <c:pt idx="34">
                  <c:v>0</c:v>
                </c:pt>
                <c:pt idx="35">
                  <c:v>10</c:v>
                </c:pt>
                <c:pt idx="36">
                  <c:v>0</c:v>
                </c:pt>
                <c:pt idx="37">
                  <c:v>0</c:v>
                </c:pt>
                <c:pt idx="38">
                  <c:v>0</c:v>
                </c:pt>
                <c:pt idx="39">
                  <c:v>10</c:v>
                </c:pt>
                <c:pt idx="40">
                  <c:v>0</c:v>
                </c:pt>
                <c:pt idx="41">
                  <c:v>0</c:v>
                </c:pt>
                <c:pt idx="42">
                  <c:v>0</c:v>
                </c:pt>
                <c:pt idx="43">
                  <c:v>10</c:v>
                </c:pt>
                <c:pt idx="44">
                  <c:v>0</c:v>
                </c:pt>
                <c:pt idx="45">
                  <c:v>0</c:v>
                </c:pt>
                <c:pt idx="46">
                  <c:v>0</c:v>
                </c:pt>
                <c:pt idx="47">
                  <c:v>10</c:v>
                </c:pt>
              </c:numCache>
            </c:numRef>
          </c:val>
        </c:ser>
        <c:dLbls>
          <c:showLegendKey val="0"/>
          <c:showVal val="0"/>
          <c:showCatName val="0"/>
          <c:showSerName val="0"/>
          <c:showPercent val="0"/>
          <c:showBubbleSize val="0"/>
          <c:showLeaderLines val="1"/>
        </c:dLbls>
        <c:firstSliceAng val="270"/>
        <c:holeSize val="10"/>
      </c:doughnutChart>
      <c:scatterChart>
        <c:scatterStyle val="lineMarker"/>
        <c:varyColors val="0"/>
        <c:ser>
          <c:idx val="101"/>
          <c:order val="100"/>
          <c:tx>
            <c:v>Circle</c:v>
          </c:tx>
          <c:spPr>
            <a:ln w="19050">
              <a:solidFill>
                <a:schemeClr val="tx1"/>
              </a:solidFill>
            </a:ln>
          </c:spPr>
          <c:marker>
            <c:symbol val="none"/>
          </c:marker>
          <c:xVal>
            <c:numRef>
              <c:f>'Circle Template'!$Q$3:$Q$51</c:f>
              <c:numCache>
                <c:formatCode>General</c:formatCode>
                <c:ptCount val="49"/>
                <c:pt idx="0">
                  <c:v>0.53</c:v>
                </c:pt>
                <c:pt idx="1">
                  <c:v>0.52194810909647027</c:v>
                </c:pt>
                <c:pt idx="2">
                  <c:v>0.49803708901653149</c:v>
                </c:pt>
                <c:pt idx="3">
                  <c:v>0.45899346400575253</c:v>
                </c:pt>
                <c:pt idx="4">
                  <c:v>0.47631397208144133</c:v>
                </c:pt>
                <c:pt idx="5">
                  <c:v>0.42132444371543792</c:v>
                </c:pt>
                <c:pt idx="6">
                  <c:v>0.3535331853275967</c:v>
                </c:pt>
                <c:pt idx="7">
                  <c:v>0.27500000000000008</c:v>
                </c:pt>
                <c:pt idx="8">
                  <c:v>0.20250000000000007</c:v>
                </c:pt>
                <c:pt idx="9">
                  <c:v>0.13851815804689588</c:v>
                </c:pt>
                <c:pt idx="10">
                  <c:v>7.0327511955106822E-2</c:v>
                </c:pt>
                <c:pt idx="11">
                  <c:v>2.4809256211899557E-17</c:v>
                </c:pt>
                <c:pt idx="12">
                  <c:v>8.8823262980874948E-18</c:v>
                </c:pt>
                <c:pt idx="13">
                  <c:v>-2.5178985761704891E-2</c:v>
                </c:pt>
                <c:pt idx="14">
                  <c:v>-4.9592920782221959E-2</c:v>
                </c:pt>
                <c:pt idx="15">
                  <c:v>-7.2499999999999967E-2</c:v>
                </c:pt>
                <c:pt idx="16">
                  <c:v>-8.4999999999999964E-2</c:v>
                </c:pt>
                <c:pt idx="17">
                  <c:v>-0.1092738936467117</c:v>
                </c:pt>
                <c:pt idx="18">
                  <c:v>-0.13022755533022626</c:v>
                </c:pt>
                <c:pt idx="19">
                  <c:v>-0.14722431864335458</c:v>
                </c:pt>
                <c:pt idx="20">
                  <c:v>-0.12990381056766581</c:v>
                </c:pt>
                <c:pt idx="21">
                  <c:v>-0.14095389311788625</c:v>
                </c:pt>
                <c:pt idx="22">
                  <c:v>-0.14772116295183119</c:v>
                </c:pt>
                <c:pt idx="23">
                  <c:v>-0.15</c:v>
                </c:pt>
                <c:pt idx="24">
                  <c:v>-0.46</c:v>
                </c:pt>
                <c:pt idx="25">
                  <c:v>-0.45301156638561568</c:v>
                </c:pt>
                <c:pt idx="26">
                  <c:v>-0.43225860556151791</c:v>
                </c:pt>
                <c:pt idx="27">
                  <c:v>-0.39837168574084175</c:v>
                </c:pt>
                <c:pt idx="28">
                  <c:v>-0.71014083110323956</c:v>
                </c:pt>
                <c:pt idx="29">
                  <c:v>-0.62815644335756193</c:v>
                </c:pt>
                <c:pt idx="30">
                  <c:v>-0.52708583994296232</c:v>
                </c:pt>
                <c:pt idx="31">
                  <c:v>-0.41000000000000036</c:v>
                </c:pt>
                <c:pt idx="32">
                  <c:v>-0.4550000000000004</c:v>
                </c:pt>
                <c:pt idx="33">
                  <c:v>-0.31123833042635912</c:v>
                </c:pt>
                <c:pt idx="34">
                  <c:v>-0.15801984167690661</c:v>
                </c:pt>
                <c:pt idx="35">
                  <c:v>-1.6723276409502664E-16</c:v>
                </c:pt>
                <c:pt idx="36">
                  <c:v>-1.3415375581249388E-16</c:v>
                </c:pt>
                <c:pt idx="37">
                  <c:v>0.12676316969685889</c:v>
                </c:pt>
                <c:pt idx="38">
                  <c:v>0.24967470462773775</c:v>
                </c:pt>
                <c:pt idx="39">
                  <c:v>0.36500000000000005</c:v>
                </c:pt>
                <c:pt idx="40">
                  <c:v>0.27500000000000008</c:v>
                </c:pt>
                <c:pt idx="41">
                  <c:v>0.35353318532759664</c:v>
                </c:pt>
                <c:pt idx="42">
                  <c:v>0.42132444371543781</c:v>
                </c:pt>
                <c:pt idx="43">
                  <c:v>0.47631397208144116</c:v>
                </c:pt>
                <c:pt idx="44">
                  <c:v>0.3983716857408417</c:v>
                </c:pt>
                <c:pt idx="45">
                  <c:v>0.43225860556151791</c:v>
                </c:pt>
                <c:pt idx="46">
                  <c:v>0.45301156638561568</c:v>
                </c:pt>
                <c:pt idx="47">
                  <c:v>0.46</c:v>
                </c:pt>
                <c:pt idx="48">
                  <c:v>0.53</c:v>
                </c:pt>
              </c:numCache>
            </c:numRef>
          </c:xVal>
          <c:yVal>
            <c:numRef>
              <c:f>'Circle Template'!$R$3:$R$51</c:f>
              <c:numCache>
                <c:formatCode>General</c:formatCode>
                <c:ptCount val="49"/>
                <c:pt idx="0">
                  <c:v>0</c:v>
                </c:pt>
                <c:pt idx="1">
                  <c:v>9.2033534163473082E-2</c:v>
                </c:pt>
                <c:pt idx="2">
                  <c:v>0.18127067596260443</c:v>
                </c:pt>
                <c:pt idx="3">
                  <c:v>0.26499999999999996</c:v>
                </c:pt>
                <c:pt idx="4">
                  <c:v>0.27499999999999997</c:v>
                </c:pt>
                <c:pt idx="5">
                  <c:v>0.35353318532759664</c:v>
                </c:pt>
                <c:pt idx="6">
                  <c:v>0.42132444371543792</c:v>
                </c:pt>
                <c:pt idx="7">
                  <c:v>0.47631397208144127</c:v>
                </c:pt>
                <c:pt idx="8">
                  <c:v>0.35074028853269767</c:v>
                </c:pt>
                <c:pt idx="9">
                  <c:v>0.38057551141829288</c:v>
                </c:pt>
                <c:pt idx="10">
                  <c:v>0.39884713996994425</c:v>
                </c:pt>
                <c:pt idx="11">
                  <c:v>0.40500000000000003</c:v>
                </c:pt>
                <c:pt idx="12">
                  <c:v>0.14499999999999999</c:v>
                </c:pt>
                <c:pt idx="13">
                  <c:v>0.14279712418677015</c:v>
                </c:pt>
                <c:pt idx="14">
                  <c:v>0.13625543001395671</c:v>
                </c:pt>
                <c:pt idx="15">
                  <c:v>0.1255736835487436</c:v>
                </c:pt>
                <c:pt idx="16">
                  <c:v>0.14722431864335458</c:v>
                </c:pt>
                <c:pt idx="17">
                  <c:v>0.13022755533022626</c:v>
                </c:pt>
                <c:pt idx="18">
                  <c:v>0.10927389364671172</c:v>
                </c:pt>
                <c:pt idx="19">
                  <c:v>8.4999999999999992E-2</c:v>
                </c:pt>
                <c:pt idx="20">
                  <c:v>7.4999999999999983E-2</c:v>
                </c:pt>
                <c:pt idx="21">
                  <c:v>5.1303021498850333E-2</c:v>
                </c:pt>
                <c:pt idx="22">
                  <c:v>2.6047226650039539E-2</c:v>
                </c:pt>
                <c:pt idx="23">
                  <c:v>1.83772268236293E-17</c:v>
                </c:pt>
                <c:pt idx="24">
                  <c:v>5.6356828925796528E-17</c:v>
                </c:pt>
                <c:pt idx="25">
                  <c:v>-7.9878161726788022E-2</c:v>
                </c:pt>
                <c:pt idx="26">
                  <c:v>-0.15732926592980759</c:v>
                </c:pt>
                <c:pt idx="27">
                  <c:v>-0.23000000000000007</c:v>
                </c:pt>
                <c:pt idx="28">
                  <c:v>-0.41000000000000009</c:v>
                </c:pt>
                <c:pt idx="29">
                  <c:v>-0.52708583994296221</c:v>
                </c:pt>
                <c:pt idx="30">
                  <c:v>-0.62815644335756182</c:v>
                </c:pt>
                <c:pt idx="31">
                  <c:v>-0.71014083110323944</c:v>
                </c:pt>
                <c:pt idx="32">
                  <c:v>-0.78808311744383897</c:v>
                </c:pt>
                <c:pt idx="33">
                  <c:v>-0.85512028491517644</c:v>
                </c:pt>
                <c:pt idx="34">
                  <c:v>-0.8961750552411093</c:v>
                </c:pt>
                <c:pt idx="35">
                  <c:v>-0.91</c:v>
                </c:pt>
                <c:pt idx="36">
                  <c:v>-0.73</c:v>
                </c:pt>
                <c:pt idx="37">
                  <c:v>-0.71890965969891196</c:v>
                </c:pt>
                <c:pt idx="38">
                  <c:v>-0.68597561317371325</c:v>
                </c:pt>
                <c:pt idx="39">
                  <c:v>-0.63219854476264015</c:v>
                </c:pt>
                <c:pt idx="40">
                  <c:v>-0.47631397208144127</c:v>
                </c:pt>
                <c:pt idx="41">
                  <c:v>-0.42132444371543798</c:v>
                </c:pt>
                <c:pt idx="42">
                  <c:v>-0.35353318532759681</c:v>
                </c:pt>
                <c:pt idx="43">
                  <c:v>-0.27500000000000024</c:v>
                </c:pt>
                <c:pt idx="44">
                  <c:v>-0.2300000000000002</c:v>
                </c:pt>
                <c:pt idx="45">
                  <c:v>-0.15732926592980756</c:v>
                </c:pt>
                <c:pt idx="46">
                  <c:v>-7.9878161726788396E-2</c:v>
                </c:pt>
                <c:pt idx="47">
                  <c:v>-1.1271365785159306E-16</c:v>
                </c:pt>
                <c:pt idx="48">
                  <c:v>0</c:v>
                </c:pt>
              </c:numCache>
            </c:numRef>
          </c:yVal>
          <c:smooth val="0"/>
        </c:ser>
        <c:ser>
          <c:idx val="102"/>
          <c:order val="101"/>
          <c:tx>
            <c:v>Line 1</c:v>
          </c:tx>
          <c:spPr>
            <a:ln w="19050">
              <a:solidFill>
                <a:schemeClr val="tx1"/>
              </a:solidFill>
            </a:ln>
          </c:spPr>
          <c:marker>
            <c:symbol val="none"/>
          </c:marker>
          <c:xVal>
            <c:numRef>
              <c:f>'Sector Template'!$B$3:$B$4</c:f>
              <c:numCache>
                <c:formatCode>General</c:formatCode>
                <c:ptCount val="2"/>
                <c:pt idx="0">
                  <c:v>0</c:v>
                </c:pt>
                <c:pt idx="1">
                  <c:v>0.53</c:v>
                </c:pt>
              </c:numCache>
            </c:numRef>
          </c:xVal>
          <c:yVal>
            <c:numRef>
              <c:f>'Sector Template'!$C$3:$C$4</c:f>
              <c:numCache>
                <c:formatCode>General</c:formatCode>
                <c:ptCount val="2"/>
                <c:pt idx="0">
                  <c:v>0</c:v>
                </c:pt>
                <c:pt idx="1">
                  <c:v>0</c:v>
                </c:pt>
              </c:numCache>
            </c:numRef>
          </c:yVal>
          <c:smooth val="0"/>
        </c:ser>
        <c:ser>
          <c:idx val="103"/>
          <c:order val="102"/>
          <c:tx>
            <c:v>Line 2</c:v>
          </c:tx>
          <c:spPr>
            <a:ln w="19050">
              <a:solidFill>
                <a:sysClr val="windowText" lastClr="000000"/>
              </a:solidFill>
            </a:ln>
          </c:spPr>
          <c:marker>
            <c:symbol val="none"/>
          </c:marker>
          <c:xVal>
            <c:numRef>
              <c:f>'Sector Template'!$B$5:$B$6</c:f>
              <c:numCache>
                <c:formatCode>General</c:formatCode>
                <c:ptCount val="2"/>
                <c:pt idx="0">
                  <c:v>0</c:v>
                </c:pt>
                <c:pt idx="1">
                  <c:v>0.47631397208144133</c:v>
                </c:pt>
              </c:numCache>
            </c:numRef>
          </c:xVal>
          <c:yVal>
            <c:numRef>
              <c:f>'Sector Template'!$C$5:$C$6</c:f>
              <c:numCache>
                <c:formatCode>General</c:formatCode>
                <c:ptCount val="2"/>
                <c:pt idx="0">
                  <c:v>0</c:v>
                </c:pt>
                <c:pt idx="1">
                  <c:v>0.27499999999999997</c:v>
                </c:pt>
              </c:numCache>
            </c:numRef>
          </c:yVal>
          <c:smooth val="0"/>
        </c:ser>
        <c:ser>
          <c:idx val="100"/>
          <c:order val="103"/>
          <c:tx>
            <c:v>Line 3</c:v>
          </c:tx>
          <c:spPr>
            <a:ln w="19050">
              <a:solidFill>
                <a:sysClr val="windowText" lastClr="000000"/>
              </a:solidFill>
            </a:ln>
          </c:spPr>
          <c:marker>
            <c:symbol val="none"/>
          </c:marker>
          <c:xVal>
            <c:numRef>
              <c:f>'Sector Template'!$B$7:$B$8</c:f>
              <c:numCache>
                <c:formatCode>General</c:formatCode>
                <c:ptCount val="2"/>
                <c:pt idx="0">
                  <c:v>0</c:v>
                </c:pt>
                <c:pt idx="1">
                  <c:v>0.20250000000000007</c:v>
                </c:pt>
              </c:numCache>
            </c:numRef>
          </c:xVal>
          <c:yVal>
            <c:numRef>
              <c:f>'Sector Template'!$C$7:$C$8</c:f>
              <c:numCache>
                <c:formatCode>General</c:formatCode>
                <c:ptCount val="2"/>
                <c:pt idx="0">
                  <c:v>0</c:v>
                </c:pt>
                <c:pt idx="1">
                  <c:v>0.35074028853269767</c:v>
                </c:pt>
              </c:numCache>
            </c:numRef>
          </c:yVal>
          <c:smooth val="0"/>
        </c:ser>
        <c:ser>
          <c:idx val="104"/>
          <c:order val="104"/>
          <c:tx>
            <c:v>Line 4</c:v>
          </c:tx>
          <c:spPr>
            <a:ln w="19050">
              <a:solidFill>
                <a:sysClr val="windowText" lastClr="000000"/>
              </a:solidFill>
            </a:ln>
          </c:spPr>
          <c:marker>
            <c:symbol val="none"/>
          </c:marker>
          <c:xVal>
            <c:numRef>
              <c:f>'Sector Template'!$B$9:$B$10</c:f>
              <c:numCache>
                <c:formatCode>General</c:formatCode>
                <c:ptCount val="2"/>
                <c:pt idx="0">
                  <c:v>0</c:v>
                </c:pt>
                <c:pt idx="1">
                  <c:v>8.8823262980874948E-18</c:v>
                </c:pt>
              </c:numCache>
            </c:numRef>
          </c:xVal>
          <c:yVal>
            <c:numRef>
              <c:f>'Sector Template'!$C$9:$C$10</c:f>
              <c:numCache>
                <c:formatCode>General</c:formatCode>
                <c:ptCount val="2"/>
                <c:pt idx="0">
                  <c:v>0</c:v>
                </c:pt>
                <c:pt idx="1">
                  <c:v>0.14499999999999999</c:v>
                </c:pt>
              </c:numCache>
            </c:numRef>
          </c:yVal>
          <c:smooth val="0"/>
        </c:ser>
        <c:ser>
          <c:idx val="105"/>
          <c:order val="105"/>
          <c:tx>
            <c:v>Line 5</c:v>
          </c:tx>
          <c:spPr>
            <a:ln w="19050">
              <a:solidFill>
                <a:sysClr val="windowText" lastClr="000000"/>
              </a:solidFill>
            </a:ln>
          </c:spPr>
          <c:marker>
            <c:symbol val="none"/>
          </c:marker>
          <c:xVal>
            <c:numRef>
              <c:f>'Sector Template'!$B$11:$B$12</c:f>
              <c:numCache>
                <c:formatCode>General</c:formatCode>
                <c:ptCount val="2"/>
                <c:pt idx="0">
                  <c:v>0</c:v>
                </c:pt>
                <c:pt idx="1">
                  <c:v>-8.4999999999999964E-2</c:v>
                </c:pt>
              </c:numCache>
            </c:numRef>
          </c:xVal>
          <c:yVal>
            <c:numRef>
              <c:f>'Sector Template'!$C$11:$C$12</c:f>
              <c:numCache>
                <c:formatCode>General</c:formatCode>
                <c:ptCount val="2"/>
                <c:pt idx="0">
                  <c:v>0</c:v>
                </c:pt>
                <c:pt idx="1">
                  <c:v>0.14722431864335458</c:v>
                </c:pt>
              </c:numCache>
            </c:numRef>
          </c:yVal>
          <c:smooth val="0"/>
        </c:ser>
        <c:ser>
          <c:idx val="106"/>
          <c:order val="106"/>
          <c:tx>
            <c:v>Line 6</c:v>
          </c:tx>
          <c:spPr>
            <a:ln w="19050">
              <a:solidFill>
                <a:sysClr val="windowText" lastClr="000000"/>
              </a:solidFill>
            </a:ln>
          </c:spPr>
          <c:marker>
            <c:symbol val="none"/>
          </c:marker>
          <c:xVal>
            <c:numRef>
              <c:f>'Sector Template'!$B$13:$B$14</c:f>
              <c:numCache>
                <c:formatCode>General</c:formatCode>
                <c:ptCount val="2"/>
                <c:pt idx="0">
                  <c:v>0</c:v>
                </c:pt>
                <c:pt idx="1">
                  <c:v>-0.12990381056766581</c:v>
                </c:pt>
              </c:numCache>
            </c:numRef>
          </c:xVal>
          <c:yVal>
            <c:numRef>
              <c:f>'Sector Template'!$C$13:$C$14</c:f>
              <c:numCache>
                <c:formatCode>General</c:formatCode>
                <c:ptCount val="2"/>
                <c:pt idx="0">
                  <c:v>0</c:v>
                </c:pt>
                <c:pt idx="1">
                  <c:v>7.4999999999999983E-2</c:v>
                </c:pt>
              </c:numCache>
            </c:numRef>
          </c:yVal>
          <c:smooth val="0"/>
        </c:ser>
        <c:ser>
          <c:idx val="107"/>
          <c:order val="107"/>
          <c:tx>
            <c:v>Line 7</c:v>
          </c:tx>
          <c:spPr>
            <a:ln w="19050">
              <a:solidFill>
                <a:sysClr val="windowText" lastClr="000000"/>
              </a:solidFill>
            </a:ln>
          </c:spPr>
          <c:marker>
            <c:symbol val="none"/>
          </c:marker>
          <c:xVal>
            <c:numRef>
              <c:f>'Sector Template'!$B$15:$B$16</c:f>
              <c:numCache>
                <c:formatCode>General</c:formatCode>
                <c:ptCount val="2"/>
                <c:pt idx="0">
                  <c:v>0</c:v>
                </c:pt>
                <c:pt idx="1">
                  <c:v>-0.46</c:v>
                </c:pt>
              </c:numCache>
            </c:numRef>
          </c:xVal>
          <c:yVal>
            <c:numRef>
              <c:f>'Sector Template'!$C$15:$C$16</c:f>
              <c:numCache>
                <c:formatCode>General</c:formatCode>
                <c:ptCount val="2"/>
                <c:pt idx="0">
                  <c:v>0</c:v>
                </c:pt>
                <c:pt idx="1">
                  <c:v>5.6356828925796528E-17</c:v>
                </c:pt>
              </c:numCache>
            </c:numRef>
          </c:yVal>
          <c:smooth val="0"/>
        </c:ser>
        <c:ser>
          <c:idx val="108"/>
          <c:order val="108"/>
          <c:tx>
            <c:v>Line 8</c:v>
          </c:tx>
          <c:spPr>
            <a:ln w="19050">
              <a:solidFill>
                <a:sysClr val="windowText" lastClr="000000"/>
              </a:solidFill>
            </a:ln>
          </c:spPr>
          <c:marker>
            <c:symbol val="none"/>
          </c:marker>
          <c:xVal>
            <c:numRef>
              <c:f>'Sector Template'!$B$17:$B$18</c:f>
              <c:numCache>
                <c:formatCode>General</c:formatCode>
                <c:ptCount val="2"/>
                <c:pt idx="0">
                  <c:v>0</c:v>
                </c:pt>
                <c:pt idx="1">
                  <c:v>-0.71014083110323956</c:v>
                </c:pt>
              </c:numCache>
            </c:numRef>
          </c:xVal>
          <c:yVal>
            <c:numRef>
              <c:f>'Sector Template'!$C$17:$C$18</c:f>
              <c:numCache>
                <c:formatCode>General</c:formatCode>
                <c:ptCount val="2"/>
                <c:pt idx="0">
                  <c:v>0</c:v>
                </c:pt>
                <c:pt idx="1">
                  <c:v>-0.41000000000000009</c:v>
                </c:pt>
              </c:numCache>
            </c:numRef>
          </c:yVal>
          <c:smooth val="0"/>
        </c:ser>
        <c:ser>
          <c:idx val="109"/>
          <c:order val="109"/>
          <c:tx>
            <c:v>Line 9</c:v>
          </c:tx>
          <c:spPr>
            <a:ln w="19050">
              <a:solidFill>
                <a:sysClr val="windowText" lastClr="000000"/>
              </a:solidFill>
            </a:ln>
          </c:spPr>
          <c:marker>
            <c:symbol val="none"/>
          </c:marker>
          <c:xVal>
            <c:numRef>
              <c:f>'Sector Template'!$B$19:$B$20</c:f>
              <c:numCache>
                <c:formatCode>General</c:formatCode>
                <c:ptCount val="2"/>
                <c:pt idx="0">
                  <c:v>0</c:v>
                </c:pt>
                <c:pt idx="1">
                  <c:v>-0.4550000000000004</c:v>
                </c:pt>
              </c:numCache>
            </c:numRef>
          </c:xVal>
          <c:yVal>
            <c:numRef>
              <c:f>'Sector Template'!$C$19:$C$20</c:f>
              <c:numCache>
                <c:formatCode>General</c:formatCode>
                <c:ptCount val="2"/>
                <c:pt idx="0">
                  <c:v>0</c:v>
                </c:pt>
                <c:pt idx="1">
                  <c:v>-0.78808311744383897</c:v>
                </c:pt>
              </c:numCache>
            </c:numRef>
          </c:yVal>
          <c:smooth val="0"/>
        </c:ser>
        <c:ser>
          <c:idx val="110"/>
          <c:order val="110"/>
          <c:tx>
            <c:v>Line 10</c:v>
          </c:tx>
          <c:spPr>
            <a:ln w="19050">
              <a:solidFill>
                <a:sysClr val="windowText" lastClr="000000"/>
              </a:solidFill>
            </a:ln>
          </c:spPr>
          <c:marker>
            <c:symbol val="none"/>
          </c:marker>
          <c:xVal>
            <c:numRef>
              <c:f>'Sector Template'!$B$21:$B$22</c:f>
              <c:numCache>
                <c:formatCode>General</c:formatCode>
                <c:ptCount val="2"/>
                <c:pt idx="0">
                  <c:v>0</c:v>
                </c:pt>
                <c:pt idx="1">
                  <c:v>-1.3415375581249388E-16</c:v>
                </c:pt>
              </c:numCache>
            </c:numRef>
          </c:xVal>
          <c:yVal>
            <c:numRef>
              <c:f>'Sector Template'!$C$21:$C$22</c:f>
              <c:numCache>
                <c:formatCode>General</c:formatCode>
                <c:ptCount val="2"/>
                <c:pt idx="0">
                  <c:v>0</c:v>
                </c:pt>
                <c:pt idx="1">
                  <c:v>-0.73</c:v>
                </c:pt>
              </c:numCache>
            </c:numRef>
          </c:yVal>
          <c:smooth val="0"/>
        </c:ser>
        <c:ser>
          <c:idx val="111"/>
          <c:order val="111"/>
          <c:tx>
            <c:v>Line 11</c:v>
          </c:tx>
          <c:spPr>
            <a:ln w="19050">
              <a:solidFill>
                <a:sysClr val="windowText" lastClr="000000"/>
              </a:solidFill>
            </a:ln>
          </c:spPr>
          <c:marker>
            <c:symbol val="none"/>
          </c:marker>
          <c:xVal>
            <c:numRef>
              <c:f>'Sector Template'!$B$23:$B$24</c:f>
              <c:numCache>
                <c:formatCode>General</c:formatCode>
                <c:ptCount val="2"/>
                <c:pt idx="0">
                  <c:v>0</c:v>
                </c:pt>
                <c:pt idx="1">
                  <c:v>0.27500000000000008</c:v>
                </c:pt>
              </c:numCache>
            </c:numRef>
          </c:xVal>
          <c:yVal>
            <c:numRef>
              <c:f>'Sector Template'!$C$23:$C$24</c:f>
              <c:numCache>
                <c:formatCode>General</c:formatCode>
                <c:ptCount val="2"/>
                <c:pt idx="0">
                  <c:v>0</c:v>
                </c:pt>
                <c:pt idx="1">
                  <c:v>-0.47631397208144127</c:v>
                </c:pt>
              </c:numCache>
            </c:numRef>
          </c:yVal>
          <c:smooth val="0"/>
        </c:ser>
        <c:ser>
          <c:idx val="112"/>
          <c:order val="112"/>
          <c:tx>
            <c:v>Line 12</c:v>
          </c:tx>
          <c:spPr>
            <a:ln w="19050">
              <a:solidFill>
                <a:sysClr val="windowText" lastClr="000000"/>
              </a:solidFill>
            </a:ln>
          </c:spPr>
          <c:marker>
            <c:symbol val="none"/>
          </c:marker>
          <c:xVal>
            <c:numRef>
              <c:f>'Sector Template'!$B$25:$B$26</c:f>
              <c:numCache>
                <c:formatCode>General</c:formatCode>
                <c:ptCount val="2"/>
                <c:pt idx="0">
                  <c:v>0</c:v>
                </c:pt>
                <c:pt idx="1">
                  <c:v>0.3983716857408417</c:v>
                </c:pt>
              </c:numCache>
            </c:numRef>
          </c:xVal>
          <c:yVal>
            <c:numRef>
              <c:f>'Sector Template'!$C$25:$C$26</c:f>
              <c:numCache>
                <c:formatCode>General</c:formatCode>
                <c:ptCount val="2"/>
                <c:pt idx="0">
                  <c:v>0</c:v>
                </c:pt>
                <c:pt idx="1">
                  <c:v>-0.2300000000000002</c:v>
                </c:pt>
              </c:numCache>
            </c:numRef>
          </c:yVal>
          <c:smooth val="0"/>
        </c:ser>
        <c:ser>
          <c:idx val="114"/>
          <c:order val="114"/>
          <c:tx>
            <c:v>Labels</c:v>
          </c:tx>
          <c:spPr>
            <a:ln>
              <a:noFill/>
            </a:ln>
          </c:spPr>
          <c:marker>
            <c:symbol val="none"/>
          </c:marker>
          <c:dLbls>
            <c:dLbl>
              <c:idx val="0"/>
              <c:layout>
                <c:manualLayout>
                  <c:x val="-7.7111419058376596E-3"/>
                  <c:y val="-2.0409953077770424E-2"/>
                </c:manualLayout>
              </c:layout>
              <c:tx>
                <c:strRef>
                  <c:f>'Circle Template'!$V$3</c:f>
                  <c:strCache>
                    <c:ptCount val="1"/>
                    <c:pt idx="0">
                      <c:v>SEPTEMBER</c:v>
                    </c:pt>
                  </c:strCache>
                </c:strRef>
              </c:tx>
              <c:spPr/>
              <c:txPr>
                <a:bodyPr rot="4500000" vert="horz"/>
                <a:lstStyle/>
                <a:p>
                  <a:pPr>
                    <a:defRPr sz="400" b="0" i="1">
                      <a:latin typeface="Arial" pitchFamily="34" charset="0"/>
                      <a:cs typeface="Arial"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{22748980-B937-46A5-A561-DECA6E535A2C}</c15:txfldGUID>
                      <c15:f>'Circle Template'!$V$3</c15:f>
                      <c15:dlblFieldTableCache>
                        <c:ptCount val="1"/>
                        <c:pt idx="0">
                          <c:v>SEPTEMBER</c:v>
                        </c:pt>
                      </c15:dlblFieldTableCache>
                    </c15:dlblFTEntry>
                  </c15:dlblFieldTable>
                  <c15:showDataLabelsRange val="0"/>
                </c:ext>
              </c:extLst>
            </c:dLbl>
            <c:dLbl>
              <c:idx val="1"/>
              <c:layout>
                <c:manualLayout>
                  <c:x val="-1.0410255177919648E-2"/>
                  <c:y val="-2.3325660660309045E-2"/>
                </c:manualLayout>
              </c:layout>
              <c:tx>
                <c:strRef>
                  <c:f>'Circle Template'!$V$4</c:f>
                  <c:strCache>
                    <c:ptCount val="1"/>
                    <c:pt idx="0">
                      <c:v>AUGUST</c:v>
                    </c:pt>
                  </c:strCache>
                </c:strRef>
              </c:tx>
              <c:spPr/>
              <c:txPr>
                <a:bodyPr rot="2700000"/>
                <a:lstStyle/>
                <a:p>
                  <a:pPr>
                    <a:defRPr sz="400" b="0" i="1">
                      <a:latin typeface="Arial" pitchFamily="34" charset="0"/>
                      <a:cs typeface="Arial"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{4E6BFD3C-2A26-4792-9181-E1AB2C848EFD}</c15:txfldGUID>
                      <c15:f>'Circle Template'!$V$4</c15:f>
                      <c15:dlblFieldTableCache>
                        <c:ptCount val="1"/>
                        <c:pt idx="0">
                          <c:v>AUGUST</c:v>
                        </c:pt>
                      </c15:dlblFieldTableCache>
                    </c15:dlblFTEntry>
                  </c15:dlblFieldTable>
                  <c15:showDataLabelsRange val="0"/>
                </c:ext>
              </c:extLst>
            </c:dLbl>
            <c:dLbl>
              <c:idx val="2"/>
              <c:layout>
                <c:manualLayout>
                  <c:x val="-1.5985133089289581E-2"/>
                  <c:y val="-3.2072783407924951E-2"/>
                </c:manualLayout>
              </c:layout>
              <c:tx>
                <c:strRef>
                  <c:f>'Circle Template'!$V$5</c:f>
                  <c:strCache>
                    <c:ptCount val="1"/>
                    <c:pt idx="0">
                      <c:v>JULY</c:v>
                    </c:pt>
                  </c:strCache>
                </c:strRef>
              </c:tx>
              <c:spPr/>
              <c:txPr>
                <a:bodyPr rot="960000"/>
                <a:lstStyle/>
                <a:p>
                  <a:pPr>
                    <a:defRPr sz="400" b="0" i="1">
                      <a:latin typeface="Arial" pitchFamily="34" charset="0"/>
                      <a:cs typeface="Arial"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{064988DB-807C-4C06-91DB-875542F306CF}</c15:txfldGUID>
                      <c15:f>'Circle Template'!$V$5</c15:f>
                      <c15:dlblFieldTableCache>
                        <c:ptCount val="1"/>
                        <c:pt idx="0">
                          <c:v>JULY</c:v>
                        </c:pt>
                      </c15:dlblFieldTableCache>
                    </c15:dlblFTEntry>
                  </c15:dlblFieldTable>
                  <c15:showDataLabelsRange val="0"/>
                </c:ext>
              </c:extLst>
            </c:dLbl>
            <c:dLbl>
              <c:idx val="3"/>
              <c:layout>
                <c:manualLayout>
                  <c:x val="-2.7738216344523479E-2"/>
                  <c:y val="-2.6241368242847684E-2"/>
                </c:manualLayout>
              </c:layout>
              <c:tx>
                <c:strRef>
                  <c:f>'Circle Template'!$V$6</c:f>
                  <c:strCache>
                    <c:ptCount val="1"/>
                    <c:pt idx="0">
                      <c:v>JUNE</c:v>
                    </c:pt>
                  </c:strCache>
                </c:strRef>
              </c:tx>
              <c:spPr/>
              <c:txPr>
                <a:bodyPr rot="-1320000"/>
                <a:lstStyle/>
                <a:p>
                  <a:pPr>
                    <a:defRPr sz="400" b="0" i="1">
                      <a:latin typeface="Arial" pitchFamily="34" charset="0"/>
                      <a:cs typeface="Arial"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{CA5BF6E1-7196-4A1A-8361-E13203E65E1D}</c15:txfldGUID>
                      <c15:f>'Circle Template'!$V$6</c15:f>
                      <c15:dlblFieldTableCache>
                        <c:ptCount val="1"/>
                        <c:pt idx="0">
                          <c:v>JUNE</c:v>
                        </c:pt>
                      </c15:dlblFieldTableCache>
                    </c15:dlblFTEntry>
                  </c15:dlblFieldTable>
                  <c15:showDataLabelsRange val="0"/>
                </c:ext>
              </c:extLst>
            </c:dLbl>
            <c:dLbl>
              <c:idx val="4"/>
              <c:layout>
                <c:manualLayout>
                  <c:x val="-2.604272634791455E-2"/>
                  <c:y val="-1.4578537912693207E-2"/>
                </c:manualLayout>
              </c:layout>
              <c:tx>
                <c:strRef>
                  <c:f>'Circle Template'!$V$7</c:f>
                  <c:strCache>
                    <c:ptCount val="1"/>
                    <c:pt idx="0">
                      <c:v>MAY</c:v>
                    </c:pt>
                  </c:strCache>
                </c:strRef>
              </c:tx>
              <c:spPr/>
              <c:txPr>
                <a:bodyPr rot="-2700000" vert="horz"/>
                <a:lstStyle/>
                <a:p>
                  <a:pPr>
                    <a:defRPr sz="400" b="0" i="1">
                      <a:latin typeface="Arial" pitchFamily="34" charset="0"/>
                      <a:cs typeface="Arial"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{95A2FA22-33A4-48CE-B9DD-3804F8DF9058}</c15:txfldGUID>
                      <c15:f>'Circle Template'!$V$7</c15:f>
                      <c15:dlblFieldTableCache>
                        <c:ptCount val="1"/>
                        <c:pt idx="0">
                          <c:v>MAY</c:v>
                        </c:pt>
                      </c15:dlblFieldTableCache>
                    </c15:dlblFTEntry>
                  </c15:dlblFieldTable>
                  <c15:showDataLabelsRange val="0"/>
                </c:ext>
              </c:extLst>
            </c:dLbl>
            <c:dLbl>
              <c:idx val="5"/>
              <c:layout/>
              <c:tx>
                <c:strRef>
                  <c:f>'Circle Template'!$V$8</c:f>
                  <c:strCache>
                    <c:ptCount val="1"/>
                    <c:pt idx="0">
                      <c:v>APRIL
1854</c:v>
                    </c:pt>
                  </c:strCache>
                </c:strRef>
              </c:tx>
              <c:spPr/>
              <c:txPr>
                <a:bodyPr rot="-4800000" vert="horz"/>
                <a:lstStyle/>
                <a:p>
                  <a:pPr>
                    <a:defRPr sz="400" b="0" i="1">
                      <a:latin typeface="Arial" pitchFamily="34" charset="0"/>
                      <a:cs typeface="Arial" pitchFamily="34" charset="0"/>
                    </a:defRPr>
                  </a:pPr>
                  <a:endParaRPr lang="en-US"/>
                </a:p>
              </c:txPr>
              <c:dLblPos val="l"/>
              <c:showLegendKey val="0"/>
              <c:showVal val="1"/>
              <c:showCatName val="0"/>
              <c:showSerName val="0"/>
              <c:showPercent val="0"/>
              <c:showBubbleSize val="0"/>
              <c:extLst>
                <c:ext xmlns:c15="http://schemas.microsoft.com/office/drawing/2012/chart" uri="{CE6537A1-D6FC-4f65-9D91-7224C49458BB}">
                  <c15:layout/>
                  <c15:dlblFieldTable>
                    <c15:dlblFTEntry>
                      <c15:txfldGUID>{3A59A35B-9248-41DD-BCD7-065590FD13EC}</c15:txfldGUID>
                      <c15:f>'Circle Template'!$V$8</c15:f>
                      <c15:dlblFieldTableCache>
                        <c:ptCount val="1"/>
                        <c:pt idx="0">
                          <c:v>APRIL
1854</c:v>
                        </c:pt>
                      </c15:dlblFieldTableCache>
                    </c15:dlblFTEntry>
                  </c15:dlblFieldTable>
                  <c15:showDataLabelsRange val="0"/>
                </c:ext>
              </c:extLst>
            </c:dLbl>
            <c:dLbl>
              <c:idx val="6"/>
              <c:layout>
                <c:manualLayout>
                  <c:x val="-3.6174974567650058E-2"/>
                  <c:y val="5.8314151650772621E-3"/>
                </c:manualLayout>
              </c:layout>
              <c:tx>
                <c:strRef>
                  <c:f>'Circle Template'!$V$9</c:f>
                  <c:strCache>
                    <c:ptCount val="1"/>
                    <c:pt idx="0">
                      <c:v>MARCH 1855</c:v>
                    </c:pt>
                  </c:strCache>
                </c:strRef>
              </c:tx>
              <c:spPr/>
              <c:txPr>
                <a:bodyPr rot="-5400000" vert="horz"/>
                <a:lstStyle/>
                <a:p>
                  <a:pPr>
                    <a:defRPr sz="400" b="0" i="1">
                      <a:latin typeface="Arial" pitchFamily="34" charset="0"/>
                      <a:cs typeface="Arial"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{F0AB88FD-B8A9-4568-B26F-0F5744B4CEA8}</c15:txfldGUID>
                      <c15:f>'Circle Template'!$V$9</c15:f>
                      <c15:dlblFieldTableCache>
                        <c:ptCount val="1"/>
                        <c:pt idx="0">
                          <c:v>MARCH 1855</c:v>
                        </c:pt>
                      </c15:dlblFieldTableCache>
                    </c15:dlblFTEntry>
                  </c15:dlblFieldTable>
                  <c15:showDataLabelsRange val="0"/>
                </c:ext>
              </c:extLst>
            </c:dLbl>
            <c:dLbl>
              <c:idx val="7"/>
              <c:layout>
                <c:manualLayout>
                  <c:x val="-4.3126430152487301E-2"/>
                  <c:y val="2.3325660660309045E-2"/>
                </c:manualLayout>
              </c:layout>
              <c:tx>
                <c:strRef>
                  <c:f>'Circle Template'!$V$10</c:f>
                  <c:strCache>
                    <c:ptCount val="1"/>
                    <c:pt idx="0">
                      <c:v>FEBRUARY</c:v>
                    </c:pt>
                  </c:strCache>
                </c:strRef>
              </c:tx>
              <c:spPr/>
              <c:txPr>
                <a:bodyPr rot="2700000"/>
                <a:lstStyle/>
                <a:p>
                  <a:pPr>
                    <a:defRPr sz="400" b="0" i="1">
                      <a:latin typeface="Arial" pitchFamily="34" charset="0"/>
                      <a:cs typeface="Arial"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{3BBC9005-603F-4083-AA72-8C38E1E64373}</c15:txfldGUID>
                      <c15:f>'Circle Template'!$V$10</c15:f>
                      <c15:dlblFieldTableCache>
                        <c:ptCount val="1"/>
                        <c:pt idx="0">
                          <c:v>FEBRUARY</c:v>
                        </c:pt>
                      </c15:dlblFieldTableCache>
                    </c15:dlblFTEntry>
                  </c15:dlblFieldTable>
                  <c15:showDataLabelsRange val="0"/>
                </c:ext>
              </c:extLst>
            </c:dLbl>
            <c:dLbl>
              <c:idx val="8"/>
              <c:layout>
                <c:manualLayout>
                  <c:x val="-3.3475754493048494E-2"/>
                  <c:y val="3.2072783407924951E-2"/>
                </c:manualLayout>
              </c:layout>
              <c:tx>
                <c:strRef>
                  <c:f>'Circle Template'!$V$11</c:f>
                  <c:strCache>
                    <c:ptCount val="1"/>
                    <c:pt idx="0">
                      <c:v>JANUARY 1855</c:v>
                    </c:pt>
                  </c:strCache>
                </c:strRef>
              </c:tx>
              <c:spPr/>
              <c:txPr>
                <a:bodyPr rot="840000"/>
                <a:lstStyle/>
                <a:p>
                  <a:pPr>
                    <a:defRPr sz="400" b="0" i="1">
                      <a:latin typeface="Arial" pitchFamily="34" charset="0"/>
                      <a:cs typeface="Arial"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{20D2B70D-CBD6-45FF-8B76-2C7B51F8A6B2}</c15:txfldGUID>
                      <c15:f>'Circle Template'!$V$11</c15:f>
                      <c15:dlblFieldTableCache>
                        <c:ptCount val="1"/>
                        <c:pt idx="0">
                          <c:v>JANUARY 1855</c:v>
                        </c:pt>
                      </c15:dlblFieldTableCache>
                    </c15:dlblFTEntry>
                  </c15:dlblFieldTable>
                  <c15:showDataLabelsRange val="0"/>
                </c:ext>
              </c:extLst>
            </c:dLbl>
            <c:dLbl>
              <c:idx val="9"/>
              <c:layout>
                <c:manualLayout>
                  <c:x val="-2.2624618514750769E-2"/>
                  <c:y val="3.7904198573002208E-2"/>
                </c:manualLayout>
              </c:layout>
              <c:tx>
                <c:strRef>
                  <c:f>'Circle Template'!$V$12</c:f>
                  <c:strCache>
                    <c:ptCount val="1"/>
                    <c:pt idx="0">
                      <c:v>DECEMBER</c:v>
                    </c:pt>
                  </c:strCache>
                </c:strRef>
              </c:tx>
              <c:spPr/>
              <c:txPr>
                <a:bodyPr rot="-900000"/>
                <a:lstStyle/>
                <a:p>
                  <a:pPr>
                    <a:defRPr sz="400" b="0" i="1">
                      <a:latin typeface="Arial" pitchFamily="34" charset="0"/>
                      <a:cs typeface="Arial"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{45B8FFF0-8155-4F04-B2EF-B0B5B57237DF}</c15:txfldGUID>
                      <c15:f>'Circle Template'!$V$12</c15:f>
                      <c15:dlblFieldTableCache>
                        <c:ptCount val="1"/>
                        <c:pt idx="0">
                          <c:v>DECEMBER</c:v>
                        </c:pt>
                      </c15:dlblFieldTableCache>
                    </c15:dlblFTEntry>
                  </c15:dlblFieldTable>
                  <c15:showDataLabelsRange val="0"/>
                </c:ext>
              </c:extLst>
            </c:dLbl>
            <c:dLbl>
              <c:idx val="10"/>
              <c:layout>
                <c:manualLayout>
                  <c:x val="-1.2071888775856125E-2"/>
                  <c:y val="3.4988490990463569E-2"/>
                </c:manualLayout>
              </c:layout>
              <c:tx>
                <c:strRef>
                  <c:f>'Circle Template'!$V$13</c:f>
                  <c:strCache>
                    <c:ptCount val="1"/>
                    <c:pt idx="0">
                      <c:v>NOVEMBER</c:v>
                    </c:pt>
                  </c:strCache>
                </c:strRef>
              </c:tx>
              <c:spPr/>
              <c:txPr>
                <a:bodyPr rot="-2700000"/>
                <a:lstStyle/>
                <a:p>
                  <a:pPr>
                    <a:defRPr sz="400" b="0" i="1">
                      <a:latin typeface="Arial" pitchFamily="34" charset="0"/>
                      <a:cs typeface="Arial"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{D6AC7E36-89BC-45E6-9851-83F1B2DEB7FB}</c15:txfldGUID>
                      <c15:f>'Circle Template'!$V$13</c15:f>
                      <c15:dlblFieldTableCache>
                        <c:ptCount val="1"/>
                        <c:pt idx="0">
                          <c:v>NOVEMBER</c:v>
                        </c:pt>
                      </c15:dlblFieldTableCache>
                    </c15:dlblFTEntry>
                  </c15:dlblFieldTable>
                  <c15:showDataLabelsRange val="0"/>
                </c:ext>
              </c:extLst>
            </c:dLbl>
            <c:dLbl>
              <c:idx val="11"/>
              <c:layout>
                <c:manualLayout>
                  <c:x val="-2.4213199189368883E-3"/>
                  <c:y val="1.1662830330154524E-2"/>
                </c:manualLayout>
              </c:layout>
              <c:tx>
                <c:strRef>
                  <c:f>'Circle Template'!$V$14</c:f>
                  <c:strCache>
                    <c:ptCount val="1"/>
                    <c:pt idx="0">
                      <c:v>OCTOBER</c:v>
                    </c:pt>
                  </c:strCache>
                </c:strRef>
              </c:tx>
              <c:spPr/>
              <c:txPr>
                <a:bodyPr rot="-4500000" vert="horz" anchor="ctr" anchorCtr="0"/>
                <a:lstStyle/>
                <a:p>
                  <a:pPr>
                    <a:defRPr sz="400" b="0" i="1">
                      <a:latin typeface="Arial" pitchFamily="34" charset="0"/>
                      <a:cs typeface="Arial"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{79E485A5-AC0F-491D-B1C5-3F216AE99FF2}</c15:txfldGUID>
                      <c15:f>'Circle Template'!$V$14</c15:f>
                      <c15:dlblFieldTableCache>
                        <c:ptCount val="1"/>
                        <c:pt idx="0">
                          <c:v>OCTOBER</c:v>
                        </c:pt>
                      </c15:dlblFieldTableCache>
                    </c15:dlblFTEntry>
                  </c15:dlblFieldTable>
                  <c15:showDataLabelsRange val="0"/>
                </c:ext>
              </c:extLst>
            </c:dLbl>
            <c:spPr>
              <a:noFill/>
              <a:ln>
                <a:noFill/>
              </a:ln>
              <a:effectLst/>
            </c:spPr>
            <c:txPr>
              <a:bodyPr/>
              <a:lstStyle/>
              <a:p>
                <a:pPr>
                  <a:defRPr sz="400" b="0" i="1">
                    <a:latin typeface="Arial" pitchFamily="34" charset="0"/>
                    <a:cs typeface="Arial"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'Circle Template'!$T$3:$T$14</c:f>
              <c:numCache>
                <c:formatCode>General</c:formatCode>
                <c:ptCount val="12"/>
                <c:pt idx="0">
                  <c:v>0.50999259905650085</c:v>
                </c:pt>
                <c:pt idx="1">
                  <c:v>0.38742881452151734</c:v>
                </c:pt>
                <c:pt idx="2">
                  <c:v>0.10442283500100136</c:v>
                </c:pt>
                <c:pt idx="3">
                  <c:v>-3.7385953271963424E-2</c:v>
                </c:pt>
                <c:pt idx="4">
                  <c:v>-0.11975072448846898</c:v>
                </c:pt>
                <c:pt idx="5">
                  <c:v>-0.14433752803485872</c:v>
                </c:pt>
                <c:pt idx="6">
                  <c:v>-0.44263508597356682</c:v>
                </c:pt>
                <c:pt idx="7">
                  <c:v>-0.57762114165026213</c:v>
                </c:pt>
                <c:pt idx="8">
                  <c:v>-0.23462908605163285</c:v>
                </c:pt>
                <c:pt idx="9">
                  <c:v>0.18821893716229832</c:v>
                </c:pt>
                <c:pt idx="10">
                  <c:v>0.38742881452151723</c:v>
                </c:pt>
                <c:pt idx="11">
                  <c:v>0.44263508597356682</c:v>
                </c:pt>
              </c:numCache>
            </c:numRef>
          </c:xVal>
          <c:yVal>
            <c:numRef>
              <c:f>'Circle Template'!$U$3:$U$14</c:f>
              <c:numCache>
                <c:formatCode>General</c:formatCode>
                <c:ptCount val="12"/>
                <c:pt idx="0">
                  <c:v>0.13665210506303876</c:v>
                </c:pt>
                <c:pt idx="1">
                  <c:v>0.38742881452151728</c:v>
                </c:pt>
                <c:pt idx="2">
                  <c:v>0.38971132569411859</c:v>
                </c:pt>
                <c:pt idx="3">
                  <c:v>0.13952627710036342</c:v>
                </c:pt>
                <c:pt idx="4">
                  <c:v>0.11975072448846899</c:v>
                </c:pt>
                <c:pt idx="5">
                  <c:v>3.8675124074444935E-2</c:v>
                </c:pt>
                <c:pt idx="6">
                  <c:v>-0.1186037138282978</c:v>
                </c:pt>
                <c:pt idx="7">
                  <c:v>-0.57762114165026202</c:v>
                </c:pt>
                <c:pt idx="8">
                  <c:v>-0.87564767007814281</c:v>
                </c:pt>
                <c:pt idx="9">
                  <c:v>-0.70244263643631255</c:v>
                </c:pt>
                <c:pt idx="10">
                  <c:v>-0.3874288145215174</c:v>
                </c:pt>
                <c:pt idx="11">
                  <c:v>-0.11860371382829799</c:v>
                </c:pt>
              </c:numCache>
            </c:numRef>
          </c:yVal>
          <c:smooth val="0"/>
        </c:ser>
        <c:ser>
          <c:idx val="115"/>
          <c:order val="115"/>
          <c:tx>
            <c:v>Place</c:v>
          </c:tx>
          <c:spPr>
            <a:ln>
              <a:noFill/>
            </a:ln>
          </c:spPr>
          <c:marker>
            <c:symbol val="none"/>
          </c:marker>
          <c:dLbls>
            <c:dLbl>
              <c:idx val="0"/>
              <c:layout>
                <c:manualLayout>
                  <c:x val="-1.853173236356646E-2"/>
                  <c:y val="-1.7494245495231785E-2"/>
                </c:manualLayout>
              </c:layout>
              <c:tx>
                <c:strRef>
                  <c:f>'Circle Template'!$V$17</c:f>
                  <c:strCache>
                    <c:ptCount val="1"/>
                    <c:pt idx="0">
                      <c:v>BULGARIA</c:v>
                    </c:pt>
                  </c:strCache>
                </c:strRef>
              </c:tx>
              <c:spPr/>
              <c:txPr>
                <a:bodyPr rot="-5400000" vert="horz"/>
                <a:lstStyle/>
                <a:p>
                  <a:pPr>
                    <a:defRPr sz="600" b="0" i="1"/>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{DAB93BF7-F6A9-4621-860C-7A19CE9C2649}</c15:txfldGUID>
                      <c15:f>'Circle Template'!$V$17</c15:f>
                      <c15:dlblFieldTableCache>
                        <c:ptCount val="1"/>
                        <c:pt idx="0">
                          <c:v>BULGARIA</c:v>
                        </c:pt>
                      </c15:dlblFieldTableCache>
                    </c15:dlblFTEntry>
                  </c15:dlblFieldTable>
                  <c15:showDataLabelsRange val="0"/>
                </c:ext>
              </c:extLst>
            </c:dLbl>
            <c:dLbl>
              <c:idx val="1"/>
              <c:layout>
                <c:manualLayout>
                  <c:x val="-1.3903017972193963E-2"/>
                  <c:y val="1.1662830330154524E-2"/>
                </c:manualLayout>
              </c:layout>
              <c:tx>
                <c:strRef>
                  <c:f>'Circle Template'!$V$18</c:f>
                  <c:strCache>
                    <c:ptCount val="1"/>
                    <c:pt idx="0">
                      <c:v>CRIMEA</c:v>
                    </c:pt>
                  </c:strCache>
                </c:strRef>
              </c:tx>
              <c:spPr/>
              <c:txPr>
                <a:bodyPr/>
                <a:lstStyle/>
                <a:p>
                  <a:pPr>
                    <a:defRPr sz="600" b="0" i="1"/>
                  </a:pPr>
                  <a:endParaRPr lang="en-US"/>
                </a:p>
              </c:txPr>
              <c:dLblPos val="r"/>
              <c:showLegendKey val="0"/>
              <c:showVal val="1"/>
              <c:showCatName val="0"/>
              <c:showSerName val="0"/>
              <c:showPercent val="0"/>
              <c:showBubbleSize val="0"/>
              <c:extLst>
                <c:ext xmlns:c15="http://schemas.microsoft.com/office/drawing/2012/chart" uri="{CE6537A1-D6FC-4f65-9D91-7224C49458BB}">
                  <c15:layout/>
                  <c15:dlblFieldTable>
                    <c15:dlblFTEntry>
                      <c15:txfldGUID>{729AC12F-5846-4F06-BDE8-66872AAD97B1}</c15:txfldGUID>
                      <c15:f>'Circle Template'!$V$18</c15:f>
                      <c15:dlblFieldTableCache>
                        <c:ptCount val="1"/>
                        <c:pt idx="0">
                          <c:v>CRIMEA</c:v>
                        </c:pt>
                      </c15:dlblFieldTableCache>
                    </c15:dlblFTEntry>
                  </c15:dlblFieldTable>
                  <c15:showDataLabelsRange val="0"/>
                </c:ext>
              </c:extLst>
            </c:dLbl>
            <c:spPr>
              <a:noFill/>
              <a:ln>
                <a:noFill/>
              </a:ln>
              <a:effectLst/>
            </c:spPr>
            <c:txPr>
              <a:bodyPr/>
              <a:lstStyle/>
              <a:p>
                <a:pPr>
                  <a:defRPr sz="600" b="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'Circle Template'!$T$17:$T$18</c:f>
              <c:numCache>
                <c:formatCode>General</c:formatCode>
                <c:ptCount val="2"/>
                <c:pt idx="0">
                  <c:v>-0.01</c:v>
                </c:pt>
                <c:pt idx="1">
                  <c:v>0.5</c:v>
                </c:pt>
              </c:numCache>
            </c:numRef>
          </c:xVal>
          <c:yVal>
            <c:numRef>
              <c:f>'Circle Template'!$U$17:$U$18</c:f>
              <c:numCache>
                <c:formatCode>General</c:formatCode>
                <c:ptCount val="2"/>
                <c:pt idx="0">
                  <c:v>0.3</c:v>
                </c:pt>
                <c:pt idx="1">
                  <c:v>-0.01</c:v>
                </c:pt>
              </c:numCache>
            </c:numRef>
          </c:yVal>
          <c:smooth val="0"/>
        </c:ser>
        <c:dLbls>
          <c:showLegendKey val="0"/>
          <c:showVal val="0"/>
          <c:showCatName val="0"/>
          <c:showSerName val="0"/>
          <c:showPercent val="0"/>
          <c:showBubbleSize val="0"/>
        </c:dLbls>
        <c:axId val="1997190304"/>
        <c:axId val="1997206624"/>
      </c:scatterChart>
      <c:valAx>
        <c:axId val="1997206624"/>
        <c:scaling>
          <c:orientation val="minMax"/>
          <c:max val="1"/>
          <c:min val="-1"/>
        </c:scaling>
        <c:delete val="0"/>
        <c:axPos val="l"/>
        <c:majorGridlines>
          <c:spPr>
            <a:ln>
              <a:solidFill>
                <a:prstClr val="black">
                  <a:alpha val="0"/>
                </a:prstClr>
              </a:solidFill>
            </a:ln>
          </c:spPr>
        </c:majorGridlines>
        <c:numFmt formatCode="General" sourceLinked="1"/>
        <c:majorTickMark val="none"/>
        <c:minorTickMark val="none"/>
        <c:tickLblPos val="none"/>
        <c:spPr>
          <a:ln>
            <a:noFill/>
          </a:ln>
        </c:spPr>
        <c:crossAx val="1997190304"/>
        <c:crosses val="autoZero"/>
        <c:crossBetween val="midCat"/>
        <c:majorUnit val="0.1"/>
      </c:valAx>
      <c:valAx>
        <c:axId val="1997190304"/>
        <c:scaling>
          <c:orientation val="minMax"/>
          <c:max val="1"/>
          <c:min val="-1"/>
        </c:scaling>
        <c:delete val="0"/>
        <c:axPos val="b"/>
        <c:majorGridlines>
          <c:spPr>
            <a:ln>
              <a:solidFill>
                <a:prstClr val="black">
                  <a:alpha val="0"/>
                </a:prstClr>
              </a:solidFill>
            </a:ln>
          </c:spPr>
        </c:majorGridlines>
        <c:numFmt formatCode="General" sourceLinked="1"/>
        <c:majorTickMark val="none"/>
        <c:minorTickMark val="none"/>
        <c:tickLblPos val="none"/>
        <c:spPr>
          <a:ln>
            <a:noFill/>
          </a:ln>
        </c:spPr>
        <c:crossAx val="1997206624"/>
        <c:crosses val="autoZero"/>
        <c:crossBetween val="midCat"/>
        <c:majorUnit val="0.1"/>
      </c:valAx>
    </c:plotArea>
    <c:plotVisOnly val="1"/>
    <c:dispBlanksAs val="gap"/>
    <c:showDLblsOverMax val="0"/>
  </c:chart>
  <c:spPr>
    <a:ln>
      <a:noFill/>
    </a:ln>
  </c:spPr>
  <c:printSettings>
    <c:headerFooter/>
    <c:pageMargins b="0.75000000000000189" l="0.70000000000000062" r="0.70000000000000062" t="0.75000000000000189" header="0.30000000000000032" footer="0.30000000000000032"/>
    <c:pageSetup/>
  </c:printSettings>
  <c:userShapes r:id="rId1"/>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17</xdr:col>
      <xdr:colOff>152399</xdr:colOff>
      <xdr:row>0</xdr:row>
      <xdr:rowOff>142874</xdr:rowOff>
    </xdr:from>
    <xdr:to>
      <xdr:col>25</xdr:col>
      <xdr:colOff>390524</xdr:colOff>
      <xdr:row>22</xdr:row>
      <xdr:rowOff>38099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32384</xdr:colOff>
      <xdr:row>0</xdr:row>
      <xdr:rowOff>52452</xdr:rowOff>
    </xdr:from>
    <xdr:to>
      <xdr:col>15</xdr:col>
      <xdr:colOff>251459</xdr:colOff>
      <xdr:row>26</xdr:row>
      <xdr:rowOff>110490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0.21763</cdr:x>
      <cdr:y>0.45992</cdr:y>
    </cdr:from>
    <cdr:to>
      <cdr:x>0.53595</cdr:x>
      <cdr:y>0.84806</cdr:y>
    </cdr:to>
    <cdr:sp macro="" textlink="">
      <cdr:nvSpPr>
        <cdr:cNvPr id="2" name="TextBox 1"/>
        <cdr:cNvSpPr txBox="1"/>
      </cdr:nvSpPr>
      <cdr:spPr>
        <a:xfrm xmlns:a="http://schemas.openxmlformats.org/drawingml/2006/main">
          <a:off x="2037716" y="1940220"/>
          <a:ext cx="2980407" cy="163738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latin typeface="Monotype Corsiva" pitchFamily="66" charset="0"/>
            </a:rPr>
            <a:t>The</a:t>
          </a:r>
          <a:r>
            <a:rPr lang="en-US" sz="1100" baseline="0">
              <a:latin typeface="Monotype Corsiva" pitchFamily="66" charset="0"/>
            </a:rPr>
            <a:t> areas of the blue, red and black wedges are each measured from the centre as the common vertex.</a:t>
          </a:r>
        </a:p>
        <a:p xmlns:a="http://schemas.openxmlformats.org/drawingml/2006/main">
          <a:endParaRPr lang="en-US" sz="1100" baseline="0">
            <a:latin typeface="Monotype Corsiva" pitchFamily="66" charset="0"/>
          </a:endParaRPr>
        </a:p>
        <a:p xmlns:a="http://schemas.openxmlformats.org/drawingml/2006/main">
          <a:r>
            <a:rPr lang="en-US" sz="1100" baseline="0">
              <a:latin typeface="Monotype Corsiva" pitchFamily="66" charset="0"/>
            </a:rPr>
            <a:t>The blue wedges measured from the centre of the circle represent area for area the deaths from Preventible or Mitigable Zymotic diseases, the red wedges measured from the centre the deaths from wounds, &amp; the black wedges measured from the centre the deaths from all other causes.</a:t>
          </a:r>
        </a:p>
      </cdr:txBody>
    </cdr:sp>
  </cdr:relSizeAnchor>
  <cdr:relSizeAnchor xmlns:cdr="http://schemas.openxmlformats.org/drawingml/2006/chartDrawing">
    <cdr:from>
      <cdr:x>0.65575</cdr:x>
      <cdr:y>0.12485</cdr:y>
    </cdr:from>
    <cdr:to>
      <cdr:x>0.87223</cdr:x>
      <cdr:y>0.24226</cdr:y>
    </cdr:to>
    <cdr:sp macro="" textlink="">
      <cdr:nvSpPr>
        <cdr:cNvPr id="3" name="TextBox 2"/>
        <cdr:cNvSpPr txBox="1"/>
      </cdr:nvSpPr>
      <cdr:spPr>
        <a:xfrm xmlns:a="http://schemas.openxmlformats.org/drawingml/2006/main">
          <a:off x="6139816" y="526668"/>
          <a:ext cx="2026920" cy="495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100">
              <a:latin typeface="Algerian" pitchFamily="82" charset="0"/>
            </a:rPr>
            <a:t>1.</a:t>
          </a:r>
        </a:p>
        <a:p xmlns:a="http://schemas.openxmlformats.org/drawingml/2006/main">
          <a:r>
            <a:rPr lang="en-US" sz="1100">
              <a:latin typeface="Algerian" pitchFamily="82" charset="0"/>
            </a:rPr>
            <a:t>APril </a:t>
          </a:r>
          <a:r>
            <a:rPr lang="en-US" sz="1100" u="sng">
              <a:latin typeface="Algerian" pitchFamily="82" charset="0"/>
            </a:rPr>
            <a:t>1854 </a:t>
          </a:r>
          <a:r>
            <a:rPr lang="en-US" sz="900" u="sng">
              <a:latin typeface="Algerian" pitchFamily="82" charset="0"/>
            </a:rPr>
            <a:t>to</a:t>
          </a:r>
          <a:r>
            <a:rPr lang="en-US" sz="1100" u="sng">
              <a:latin typeface="Algerian" pitchFamily="82" charset="0"/>
            </a:rPr>
            <a:t> march </a:t>
          </a:r>
          <a:r>
            <a:rPr lang="en-US" sz="1100">
              <a:latin typeface="Algerian" pitchFamily="82" charset="0"/>
            </a:rPr>
            <a:t>1855</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29"/>
  <sheetViews>
    <sheetView showGridLines="0" tabSelected="1" workbookViewId="0">
      <selection activeCell="B25" sqref="B25:B29"/>
    </sheetView>
  </sheetViews>
  <sheetFormatPr defaultRowHeight="12.75" x14ac:dyDescent="0.2"/>
  <cols>
    <col min="5" max="5" width="7.140625" customWidth="1"/>
    <col min="6" max="17" width="4.140625" bestFit="1" customWidth="1"/>
  </cols>
  <sheetData>
    <row r="2" spans="1:17" ht="14.25" x14ac:dyDescent="0.2">
      <c r="A2" s="3" t="s">
        <v>9</v>
      </c>
      <c r="B2" s="15" t="s">
        <v>8</v>
      </c>
      <c r="C2" s="15" t="s">
        <v>7</v>
      </c>
      <c r="D2" s="3"/>
      <c r="E2" s="15" t="s">
        <v>6</v>
      </c>
      <c r="F2" s="14">
        <v>1</v>
      </c>
      <c r="G2" s="12">
        <v>1</v>
      </c>
      <c r="H2" s="13">
        <v>2</v>
      </c>
      <c r="I2" s="13">
        <v>2</v>
      </c>
      <c r="J2" s="14">
        <v>3</v>
      </c>
      <c r="K2" s="12">
        <v>3</v>
      </c>
      <c r="L2" s="13">
        <v>4</v>
      </c>
      <c r="M2" s="13">
        <v>4</v>
      </c>
      <c r="N2" s="14">
        <v>5</v>
      </c>
      <c r="O2" s="12">
        <v>5</v>
      </c>
      <c r="P2" s="13">
        <v>6</v>
      </c>
      <c r="Q2" s="12">
        <v>6</v>
      </c>
    </row>
    <row r="3" spans="1:17" ht="14.25" x14ac:dyDescent="0.2">
      <c r="A3" s="3">
        <v>1</v>
      </c>
      <c r="B3" s="11" t="s">
        <v>5</v>
      </c>
      <c r="C3" s="10">
        <v>7</v>
      </c>
      <c r="D3" s="3"/>
      <c r="E3" s="9">
        <v>1</v>
      </c>
      <c r="F3" s="1">
        <f t="shared" ref="F3:F12" si="0">IF(VLOOKUP(F$2,$A$3:$C$8,3,FALSE)&gt;=$E3,10,0)</f>
        <v>10</v>
      </c>
      <c r="G3" s="1">
        <f t="shared" ref="G3:G12" si="1">IF(F3=10,0,10)</f>
        <v>0</v>
      </c>
      <c r="H3" s="1">
        <f t="shared" ref="H3:H12" si="2">IF(VLOOKUP(H$2,$A$3:$C$8,3,FALSE)&gt;=$E3,10,0)</f>
        <v>10</v>
      </c>
      <c r="I3" s="1">
        <f t="shared" ref="I3:I12" si="3">IF(H3=10,0,10)</f>
        <v>0</v>
      </c>
      <c r="J3" s="1">
        <f t="shared" ref="J3:J12" si="4">IF(VLOOKUP(J$2,$A$3:$C$8,3,FALSE)&gt;=$E3,10,0)</f>
        <v>10</v>
      </c>
      <c r="K3" s="1">
        <f t="shared" ref="K3:K12" si="5">IF(J3=10,0,10)</f>
        <v>0</v>
      </c>
      <c r="L3" s="1">
        <f t="shared" ref="L3:L12" si="6">IF(VLOOKUP(L$2,$A$3:$C$8,3,FALSE)&gt;=$E3,10,0)</f>
        <v>10</v>
      </c>
      <c r="M3" s="1">
        <f t="shared" ref="M3:M12" si="7">IF(L3=10,0,10)</f>
        <v>0</v>
      </c>
      <c r="N3" s="1">
        <f t="shared" ref="N3:N12" si="8">IF(VLOOKUP(N$2,$A$3:$C$8,3,FALSE)&gt;=$E3,10,0)</f>
        <v>10</v>
      </c>
      <c r="O3" s="1">
        <f t="shared" ref="O3:O12" si="9">IF(N3=10,0,10)</f>
        <v>0</v>
      </c>
      <c r="P3" s="1">
        <f t="shared" ref="P3:P12" si="10">IF(VLOOKUP(P$2,$A$3:$C$8,3,FALSE)&gt;=$E3,10,0)</f>
        <v>10</v>
      </c>
      <c r="Q3" s="1">
        <f t="shared" ref="Q3:Q12" si="11">IF(P3=10,0,10)</f>
        <v>0</v>
      </c>
    </row>
    <row r="4" spans="1:17" ht="14.25" x14ac:dyDescent="0.2">
      <c r="A4" s="3">
        <v>2</v>
      </c>
      <c r="B4" s="8" t="s">
        <v>4</v>
      </c>
      <c r="C4" s="7">
        <v>2</v>
      </c>
      <c r="D4" s="3"/>
      <c r="E4" s="4">
        <v>2</v>
      </c>
      <c r="F4" s="1">
        <f t="shared" si="0"/>
        <v>10</v>
      </c>
      <c r="G4" s="1">
        <f t="shared" si="1"/>
        <v>0</v>
      </c>
      <c r="H4" s="1">
        <f t="shared" si="2"/>
        <v>10</v>
      </c>
      <c r="I4" s="1">
        <f t="shared" si="3"/>
        <v>0</v>
      </c>
      <c r="J4" s="1">
        <f t="shared" si="4"/>
        <v>10</v>
      </c>
      <c r="K4" s="1">
        <f t="shared" si="5"/>
        <v>0</v>
      </c>
      <c r="L4" s="1">
        <f t="shared" si="6"/>
        <v>10</v>
      </c>
      <c r="M4" s="1">
        <f t="shared" si="7"/>
        <v>0</v>
      </c>
      <c r="N4" s="1">
        <f t="shared" si="8"/>
        <v>10</v>
      </c>
      <c r="O4" s="1">
        <f t="shared" si="9"/>
        <v>0</v>
      </c>
      <c r="P4" s="1">
        <f t="shared" si="10"/>
        <v>0</v>
      </c>
      <c r="Q4" s="1">
        <f t="shared" si="11"/>
        <v>10</v>
      </c>
    </row>
    <row r="5" spans="1:17" ht="14.25" x14ac:dyDescent="0.2">
      <c r="A5" s="3">
        <v>3</v>
      </c>
      <c r="B5" s="8" t="s">
        <v>3</v>
      </c>
      <c r="C5" s="7">
        <v>7</v>
      </c>
      <c r="D5" s="3"/>
      <c r="E5" s="4">
        <v>3</v>
      </c>
      <c r="F5" s="1">
        <f t="shared" si="0"/>
        <v>10</v>
      </c>
      <c r="G5" s="1">
        <f t="shared" si="1"/>
        <v>0</v>
      </c>
      <c r="H5" s="1">
        <f t="shared" si="2"/>
        <v>0</v>
      </c>
      <c r="I5" s="1">
        <f t="shared" si="3"/>
        <v>10</v>
      </c>
      <c r="J5" s="1">
        <f t="shared" si="4"/>
        <v>10</v>
      </c>
      <c r="K5" s="1">
        <f t="shared" si="5"/>
        <v>0</v>
      </c>
      <c r="L5" s="1">
        <f t="shared" si="6"/>
        <v>10</v>
      </c>
      <c r="M5" s="1">
        <f t="shared" si="7"/>
        <v>0</v>
      </c>
      <c r="N5" s="1">
        <f t="shared" si="8"/>
        <v>10</v>
      </c>
      <c r="O5" s="1">
        <f t="shared" si="9"/>
        <v>0</v>
      </c>
      <c r="P5" s="1">
        <f t="shared" si="10"/>
        <v>0</v>
      </c>
      <c r="Q5" s="1">
        <f t="shared" si="11"/>
        <v>10</v>
      </c>
    </row>
    <row r="6" spans="1:17" ht="14.25" x14ac:dyDescent="0.2">
      <c r="A6" s="3">
        <v>4</v>
      </c>
      <c r="B6" s="8" t="s">
        <v>2</v>
      </c>
      <c r="C6" s="7">
        <v>5</v>
      </c>
      <c r="D6" s="3"/>
      <c r="E6" s="4">
        <v>4</v>
      </c>
      <c r="F6" s="1">
        <f t="shared" si="0"/>
        <v>10</v>
      </c>
      <c r="G6" s="1">
        <f t="shared" si="1"/>
        <v>0</v>
      </c>
      <c r="H6" s="1">
        <f t="shared" si="2"/>
        <v>0</v>
      </c>
      <c r="I6" s="1">
        <f t="shared" si="3"/>
        <v>10</v>
      </c>
      <c r="J6" s="1">
        <f t="shared" si="4"/>
        <v>10</v>
      </c>
      <c r="K6" s="1">
        <f t="shared" si="5"/>
        <v>0</v>
      </c>
      <c r="L6" s="1">
        <f t="shared" si="6"/>
        <v>10</v>
      </c>
      <c r="M6" s="1">
        <f t="shared" si="7"/>
        <v>0</v>
      </c>
      <c r="N6" s="1">
        <f t="shared" si="8"/>
        <v>0</v>
      </c>
      <c r="O6" s="1">
        <f t="shared" si="9"/>
        <v>10</v>
      </c>
      <c r="P6" s="1">
        <f t="shared" si="10"/>
        <v>0</v>
      </c>
      <c r="Q6" s="1">
        <f t="shared" si="11"/>
        <v>10</v>
      </c>
    </row>
    <row r="7" spans="1:17" ht="14.25" x14ac:dyDescent="0.2">
      <c r="A7" s="3">
        <v>5</v>
      </c>
      <c r="B7" s="8" t="s">
        <v>1</v>
      </c>
      <c r="C7" s="7">
        <v>3</v>
      </c>
      <c r="D7" s="3"/>
      <c r="E7" s="4">
        <v>5</v>
      </c>
      <c r="F7" s="1">
        <f t="shared" si="0"/>
        <v>10</v>
      </c>
      <c r="G7" s="1">
        <f t="shared" si="1"/>
        <v>0</v>
      </c>
      <c r="H7" s="1">
        <f t="shared" si="2"/>
        <v>0</v>
      </c>
      <c r="I7" s="1">
        <f t="shared" si="3"/>
        <v>10</v>
      </c>
      <c r="J7" s="1">
        <f t="shared" si="4"/>
        <v>10</v>
      </c>
      <c r="K7" s="1">
        <f t="shared" si="5"/>
        <v>0</v>
      </c>
      <c r="L7" s="1">
        <f t="shared" si="6"/>
        <v>10</v>
      </c>
      <c r="M7" s="1">
        <f t="shared" si="7"/>
        <v>0</v>
      </c>
      <c r="N7" s="1">
        <f t="shared" si="8"/>
        <v>0</v>
      </c>
      <c r="O7" s="1">
        <f t="shared" si="9"/>
        <v>10</v>
      </c>
      <c r="P7" s="1">
        <f t="shared" si="10"/>
        <v>0</v>
      </c>
      <c r="Q7" s="1">
        <f t="shared" si="11"/>
        <v>10</v>
      </c>
    </row>
    <row r="8" spans="1:17" ht="14.25" x14ac:dyDescent="0.2">
      <c r="A8" s="3">
        <v>6</v>
      </c>
      <c r="B8" s="6" t="s">
        <v>0</v>
      </c>
      <c r="C8" s="5">
        <v>1</v>
      </c>
      <c r="D8" s="3"/>
      <c r="E8" s="4">
        <v>6</v>
      </c>
      <c r="F8" s="1">
        <f t="shared" si="0"/>
        <v>10</v>
      </c>
      <c r="G8" s="1">
        <f t="shared" si="1"/>
        <v>0</v>
      </c>
      <c r="H8" s="1">
        <f t="shared" si="2"/>
        <v>0</v>
      </c>
      <c r="I8" s="1">
        <f t="shared" si="3"/>
        <v>10</v>
      </c>
      <c r="J8" s="1">
        <f t="shared" si="4"/>
        <v>10</v>
      </c>
      <c r="K8" s="1">
        <f t="shared" si="5"/>
        <v>0</v>
      </c>
      <c r="L8" s="1">
        <f t="shared" si="6"/>
        <v>0</v>
      </c>
      <c r="M8" s="1">
        <f t="shared" si="7"/>
        <v>10</v>
      </c>
      <c r="N8" s="1">
        <f t="shared" si="8"/>
        <v>0</v>
      </c>
      <c r="O8" s="1">
        <f t="shared" si="9"/>
        <v>10</v>
      </c>
      <c r="P8" s="1">
        <f t="shared" si="10"/>
        <v>0</v>
      </c>
      <c r="Q8" s="1">
        <f t="shared" si="11"/>
        <v>10</v>
      </c>
    </row>
    <row r="9" spans="1:17" ht="14.25" x14ac:dyDescent="0.2">
      <c r="A9" s="3"/>
      <c r="B9" s="3"/>
      <c r="C9" s="3"/>
      <c r="D9" s="3"/>
      <c r="E9" s="4">
        <v>7</v>
      </c>
      <c r="F9" s="1">
        <f t="shared" si="0"/>
        <v>10</v>
      </c>
      <c r="G9" s="1">
        <f t="shared" si="1"/>
        <v>0</v>
      </c>
      <c r="H9" s="1">
        <f t="shared" si="2"/>
        <v>0</v>
      </c>
      <c r="I9" s="1">
        <f t="shared" si="3"/>
        <v>10</v>
      </c>
      <c r="J9" s="1">
        <f t="shared" si="4"/>
        <v>10</v>
      </c>
      <c r="K9" s="1">
        <f t="shared" si="5"/>
        <v>0</v>
      </c>
      <c r="L9" s="1">
        <f t="shared" si="6"/>
        <v>0</v>
      </c>
      <c r="M9" s="1">
        <f t="shared" si="7"/>
        <v>10</v>
      </c>
      <c r="N9" s="1">
        <f t="shared" si="8"/>
        <v>0</v>
      </c>
      <c r="O9" s="1">
        <f t="shared" si="9"/>
        <v>10</v>
      </c>
      <c r="P9" s="1">
        <f t="shared" si="10"/>
        <v>0</v>
      </c>
      <c r="Q9" s="1">
        <f t="shared" si="11"/>
        <v>10</v>
      </c>
    </row>
    <row r="10" spans="1:17" ht="14.25" x14ac:dyDescent="0.2">
      <c r="A10" s="3"/>
      <c r="B10" s="3"/>
      <c r="C10" s="3"/>
      <c r="D10" s="3"/>
      <c r="E10" s="4">
        <v>8</v>
      </c>
      <c r="F10" s="1">
        <f t="shared" si="0"/>
        <v>0</v>
      </c>
      <c r="G10" s="1">
        <f t="shared" si="1"/>
        <v>10</v>
      </c>
      <c r="H10" s="1">
        <f t="shared" si="2"/>
        <v>0</v>
      </c>
      <c r="I10" s="1">
        <f t="shared" si="3"/>
        <v>10</v>
      </c>
      <c r="J10" s="1">
        <f t="shared" si="4"/>
        <v>0</v>
      </c>
      <c r="K10" s="1">
        <f t="shared" si="5"/>
        <v>10</v>
      </c>
      <c r="L10" s="1">
        <f t="shared" si="6"/>
        <v>0</v>
      </c>
      <c r="M10" s="1">
        <f t="shared" si="7"/>
        <v>10</v>
      </c>
      <c r="N10" s="1">
        <f t="shared" si="8"/>
        <v>0</v>
      </c>
      <c r="O10" s="1">
        <f t="shared" si="9"/>
        <v>10</v>
      </c>
      <c r="P10" s="1">
        <f t="shared" si="10"/>
        <v>0</v>
      </c>
      <c r="Q10" s="1">
        <f t="shared" si="11"/>
        <v>10</v>
      </c>
    </row>
    <row r="11" spans="1:17" ht="14.25" x14ac:dyDescent="0.2">
      <c r="A11" s="3"/>
      <c r="B11" s="3"/>
      <c r="C11" s="3"/>
      <c r="D11" s="3"/>
      <c r="E11" s="4">
        <v>9</v>
      </c>
      <c r="F11" s="1">
        <f t="shared" si="0"/>
        <v>0</v>
      </c>
      <c r="G11" s="1">
        <f t="shared" si="1"/>
        <v>10</v>
      </c>
      <c r="H11" s="1">
        <f t="shared" si="2"/>
        <v>0</v>
      </c>
      <c r="I11" s="1">
        <f t="shared" si="3"/>
        <v>10</v>
      </c>
      <c r="J11" s="1">
        <f t="shared" si="4"/>
        <v>0</v>
      </c>
      <c r="K11" s="1">
        <f t="shared" si="5"/>
        <v>10</v>
      </c>
      <c r="L11" s="1">
        <f t="shared" si="6"/>
        <v>0</v>
      </c>
      <c r="M11" s="1">
        <f t="shared" si="7"/>
        <v>10</v>
      </c>
      <c r="N11" s="1">
        <f t="shared" si="8"/>
        <v>0</v>
      </c>
      <c r="O11" s="1">
        <f t="shared" si="9"/>
        <v>10</v>
      </c>
      <c r="P11" s="1">
        <f t="shared" si="10"/>
        <v>0</v>
      </c>
      <c r="Q11" s="1">
        <f t="shared" si="11"/>
        <v>10</v>
      </c>
    </row>
    <row r="12" spans="1:17" ht="14.25" x14ac:dyDescent="0.2">
      <c r="A12" s="3"/>
      <c r="B12" s="3"/>
      <c r="C12" s="3"/>
      <c r="D12" s="3"/>
      <c r="E12" s="2">
        <v>10</v>
      </c>
      <c r="F12" s="1">
        <f t="shared" si="0"/>
        <v>0</v>
      </c>
      <c r="G12" s="1">
        <f t="shared" si="1"/>
        <v>10</v>
      </c>
      <c r="H12" s="1">
        <f t="shared" si="2"/>
        <v>0</v>
      </c>
      <c r="I12" s="1">
        <f t="shared" si="3"/>
        <v>10</v>
      </c>
      <c r="J12" s="1">
        <f t="shared" si="4"/>
        <v>0</v>
      </c>
      <c r="K12" s="1">
        <f t="shared" si="5"/>
        <v>10</v>
      </c>
      <c r="L12" s="1">
        <f t="shared" si="6"/>
        <v>0</v>
      </c>
      <c r="M12" s="1">
        <f t="shared" si="7"/>
        <v>10</v>
      </c>
      <c r="N12" s="1">
        <f t="shared" si="8"/>
        <v>0</v>
      </c>
      <c r="O12" s="1">
        <f t="shared" si="9"/>
        <v>10</v>
      </c>
      <c r="P12" s="1">
        <f t="shared" si="10"/>
        <v>0</v>
      </c>
      <c r="Q12" s="1">
        <f t="shared" si="11"/>
        <v>10</v>
      </c>
    </row>
    <row r="16" spans="1:17" x14ac:dyDescent="0.2">
      <c r="E16" s="20" t="s">
        <v>34</v>
      </c>
    </row>
    <row r="17" spans="2:6" x14ac:dyDescent="0.2">
      <c r="E17" s="19" t="s">
        <v>35</v>
      </c>
      <c r="F17" s="19">
        <v>5</v>
      </c>
    </row>
    <row r="18" spans="2:6" x14ac:dyDescent="0.2">
      <c r="E18" s="19" t="s">
        <v>36</v>
      </c>
      <c r="F18" s="19">
        <v>8</v>
      </c>
    </row>
    <row r="25" spans="2:6" x14ac:dyDescent="0.2">
      <c r="B25" t="s">
        <v>85</v>
      </c>
    </row>
    <row r="26" spans="2:6" x14ac:dyDescent="0.2">
      <c r="B26" s="47" t="s">
        <v>86</v>
      </c>
    </row>
    <row r="27" spans="2:6" x14ac:dyDescent="0.2">
      <c r="B27" s="47" t="s">
        <v>87</v>
      </c>
    </row>
    <row r="28" spans="2:6" x14ac:dyDescent="0.2">
      <c r="B28" s="47" t="s">
        <v>88</v>
      </c>
    </row>
    <row r="29" spans="2:6" x14ac:dyDescent="0.2">
      <c r="B29" t="s">
        <v>89</v>
      </c>
    </row>
  </sheetData>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BC104"/>
  <sheetViews>
    <sheetView showGridLines="0" workbookViewId="0">
      <selection activeCell="D25" sqref="D25"/>
    </sheetView>
  </sheetViews>
  <sheetFormatPr defaultRowHeight="12.75" x14ac:dyDescent="0.2"/>
  <cols>
    <col min="1" max="1" width="3.7109375" customWidth="1"/>
    <col min="2" max="2" width="12.85546875" bestFit="1" customWidth="1"/>
    <col min="3" max="3" width="4.85546875" bestFit="1" customWidth="1"/>
    <col min="4" max="5" width="5.7109375" bestFit="1" customWidth="1"/>
    <col min="6" max="6" width="5.7109375" customWidth="1"/>
    <col min="8" max="8" width="4" bestFit="1" customWidth="1"/>
    <col min="9" max="9" width="5.42578125" bestFit="1" customWidth="1"/>
    <col min="10" max="10" width="4.5703125" bestFit="1" customWidth="1"/>
    <col min="11" max="11" width="5.28515625" bestFit="1" customWidth="1"/>
    <col min="12" max="12" width="4" bestFit="1" customWidth="1"/>
    <col min="13" max="13" width="5.42578125" bestFit="1" customWidth="1"/>
    <col min="14" max="14" width="4.5703125" bestFit="1" customWidth="1"/>
    <col min="15" max="15" width="5.28515625" bestFit="1" customWidth="1"/>
    <col min="16" max="16" width="4" bestFit="1" customWidth="1"/>
    <col min="17" max="17" width="5.42578125" bestFit="1" customWidth="1"/>
    <col min="18" max="18" width="4.5703125" bestFit="1" customWidth="1"/>
    <col min="19" max="19" width="5.28515625" bestFit="1" customWidth="1"/>
    <col min="20" max="20" width="4" bestFit="1" customWidth="1"/>
    <col min="21" max="21" width="5.42578125" bestFit="1" customWidth="1"/>
    <col min="22" max="22" width="4.5703125" bestFit="1" customWidth="1"/>
    <col min="23" max="23" width="5.28515625" bestFit="1" customWidth="1"/>
    <col min="24" max="24" width="4" bestFit="1" customWidth="1"/>
    <col min="25" max="25" width="5.42578125" bestFit="1" customWidth="1"/>
    <col min="26" max="26" width="4.5703125" bestFit="1" customWidth="1"/>
    <col min="27" max="27" width="5.28515625" bestFit="1" customWidth="1"/>
    <col min="28" max="28" width="4" bestFit="1" customWidth="1"/>
    <col min="29" max="29" width="5.42578125" bestFit="1" customWidth="1"/>
    <col min="30" max="30" width="4.5703125" bestFit="1" customWidth="1"/>
    <col min="31" max="31" width="5.28515625" bestFit="1" customWidth="1"/>
    <col min="32" max="32" width="4" bestFit="1" customWidth="1"/>
    <col min="33" max="33" width="5.42578125" bestFit="1" customWidth="1"/>
    <col min="34" max="34" width="4.5703125" bestFit="1" customWidth="1"/>
    <col min="35" max="35" width="5.28515625" bestFit="1" customWidth="1"/>
    <col min="36" max="36" width="4" bestFit="1" customWidth="1"/>
    <col min="37" max="37" width="5.42578125" bestFit="1" customWidth="1"/>
    <col min="38" max="38" width="4.5703125" bestFit="1" customWidth="1"/>
    <col min="39" max="39" width="5.28515625" bestFit="1" customWidth="1"/>
    <col min="40" max="40" width="4" bestFit="1" customWidth="1"/>
    <col min="41" max="41" width="5.42578125" bestFit="1" customWidth="1"/>
    <col min="42" max="42" width="4.5703125" bestFit="1" customWidth="1"/>
    <col min="43" max="43" width="5.28515625" bestFit="1" customWidth="1"/>
    <col min="44" max="44" width="4" bestFit="1" customWidth="1"/>
    <col min="45" max="45" width="5.42578125" bestFit="1" customWidth="1"/>
    <col min="46" max="46" width="4.5703125" bestFit="1" customWidth="1"/>
    <col min="47" max="47" width="5.28515625" bestFit="1" customWidth="1"/>
    <col min="48" max="48" width="4" bestFit="1" customWidth="1"/>
    <col min="49" max="49" width="5.42578125" bestFit="1" customWidth="1"/>
    <col min="50" max="50" width="4.5703125" bestFit="1" customWidth="1"/>
    <col min="51" max="51" width="5.28515625" bestFit="1" customWidth="1"/>
    <col min="52" max="52" width="4" bestFit="1" customWidth="1"/>
    <col min="53" max="53" width="5.42578125" bestFit="1" customWidth="1"/>
    <col min="54" max="54" width="4.5703125" bestFit="1" customWidth="1"/>
    <col min="55" max="55" width="5.28515625" bestFit="1" customWidth="1"/>
  </cols>
  <sheetData>
    <row r="2" spans="1:55" x14ac:dyDescent="0.2">
      <c r="B2" t="s">
        <v>33</v>
      </c>
      <c r="C2" s="17" t="s">
        <v>31</v>
      </c>
      <c r="D2" s="18" t="s">
        <v>32</v>
      </c>
      <c r="E2" s="16" t="s">
        <v>30</v>
      </c>
      <c r="F2" s="18" t="s">
        <v>40</v>
      </c>
      <c r="H2" s="46" t="s">
        <v>42</v>
      </c>
      <c r="I2" s="46"/>
      <c r="J2" s="46"/>
      <c r="K2" s="46"/>
      <c r="L2" s="46" t="s">
        <v>10</v>
      </c>
      <c r="M2" s="46"/>
      <c r="N2" s="46"/>
      <c r="O2" s="46"/>
      <c r="P2" s="46" t="s">
        <v>11</v>
      </c>
      <c r="Q2" s="46"/>
      <c r="R2" s="46"/>
      <c r="S2" s="46"/>
      <c r="T2" s="46" t="s">
        <v>12</v>
      </c>
      <c r="U2" s="46"/>
      <c r="V2" s="46"/>
      <c r="W2" s="46"/>
      <c r="X2" s="46" t="s">
        <v>13</v>
      </c>
      <c r="Y2" s="46"/>
      <c r="Z2" s="46"/>
      <c r="AA2" s="46"/>
      <c r="AB2" s="46" t="s">
        <v>14</v>
      </c>
      <c r="AC2" s="46"/>
      <c r="AD2" s="46"/>
      <c r="AE2" s="46"/>
      <c r="AF2" s="46" t="s">
        <v>15</v>
      </c>
      <c r="AG2" s="46"/>
      <c r="AH2" s="46"/>
      <c r="AI2" s="46"/>
      <c r="AJ2" s="46" t="s">
        <v>16</v>
      </c>
      <c r="AK2" s="46"/>
      <c r="AL2" s="46"/>
      <c r="AM2" s="46"/>
      <c r="AN2" s="46" t="s">
        <v>17</v>
      </c>
      <c r="AO2" s="46"/>
      <c r="AP2" s="46"/>
      <c r="AQ2" s="46"/>
      <c r="AR2" s="46" t="s">
        <v>37</v>
      </c>
      <c r="AS2" s="46"/>
      <c r="AT2" s="46"/>
      <c r="AU2" s="46"/>
      <c r="AV2" s="46" t="s">
        <v>38</v>
      </c>
      <c r="AW2" s="46"/>
      <c r="AX2" s="46"/>
      <c r="AY2" s="46"/>
      <c r="AZ2" s="46" t="s">
        <v>39</v>
      </c>
      <c r="BA2" s="46"/>
      <c r="BB2" s="46"/>
      <c r="BC2" s="46"/>
    </row>
    <row r="3" spans="1:55" x14ac:dyDescent="0.2">
      <c r="A3" s="26">
        <v>1</v>
      </c>
      <c r="B3" t="s">
        <v>18</v>
      </c>
      <c r="C3" s="25">
        <v>0</v>
      </c>
      <c r="D3" s="25">
        <v>6</v>
      </c>
      <c r="E3" s="25">
        <v>0</v>
      </c>
      <c r="F3" s="27">
        <f>100-MAX(C3:E3)</f>
        <v>94</v>
      </c>
      <c r="H3" s="21">
        <v>1</v>
      </c>
      <c r="I3" s="21">
        <v>1</v>
      </c>
      <c r="J3" s="21">
        <v>1</v>
      </c>
      <c r="K3" s="21">
        <v>1</v>
      </c>
      <c r="L3" s="21">
        <v>2</v>
      </c>
      <c r="M3" s="21">
        <v>2</v>
      </c>
      <c r="N3" s="21">
        <v>2</v>
      </c>
      <c r="O3" s="21">
        <v>2</v>
      </c>
      <c r="P3" s="21">
        <v>3</v>
      </c>
      <c r="Q3" s="21">
        <v>3</v>
      </c>
      <c r="R3" s="21">
        <v>3</v>
      </c>
      <c r="S3" s="21">
        <v>3</v>
      </c>
      <c r="T3" s="21">
        <v>4</v>
      </c>
      <c r="U3" s="21">
        <v>4</v>
      </c>
      <c r="V3" s="21">
        <v>4</v>
      </c>
      <c r="W3" s="21">
        <v>4</v>
      </c>
      <c r="X3" s="21">
        <v>5</v>
      </c>
      <c r="Y3" s="21">
        <v>5</v>
      </c>
      <c r="Z3" s="21">
        <v>5</v>
      </c>
      <c r="AA3" s="21">
        <v>5</v>
      </c>
      <c r="AB3" s="21">
        <v>6</v>
      </c>
      <c r="AC3" s="21">
        <v>6</v>
      </c>
      <c r="AD3" s="21">
        <v>6</v>
      </c>
      <c r="AE3" s="21">
        <v>6</v>
      </c>
      <c r="AF3" s="21">
        <v>7</v>
      </c>
      <c r="AG3" s="21">
        <v>7</v>
      </c>
      <c r="AH3" s="21">
        <v>7</v>
      </c>
      <c r="AI3" s="21">
        <v>7</v>
      </c>
      <c r="AJ3" s="21">
        <v>8</v>
      </c>
      <c r="AK3" s="21">
        <v>8</v>
      </c>
      <c r="AL3" s="21">
        <v>8</v>
      </c>
      <c r="AM3" s="21">
        <v>8</v>
      </c>
      <c r="AN3" s="21">
        <v>9</v>
      </c>
      <c r="AO3" s="21">
        <v>9</v>
      </c>
      <c r="AP3" s="21">
        <v>9</v>
      </c>
      <c r="AQ3" s="21">
        <v>9</v>
      </c>
      <c r="AR3" s="21">
        <v>10</v>
      </c>
      <c r="AS3" s="21">
        <v>10</v>
      </c>
      <c r="AT3" s="21">
        <v>10</v>
      </c>
      <c r="AU3" s="21">
        <v>10</v>
      </c>
      <c r="AV3" s="21">
        <v>11</v>
      </c>
      <c r="AW3" s="21">
        <v>11</v>
      </c>
      <c r="AX3" s="21">
        <v>11</v>
      </c>
      <c r="AY3" s="21">
        <v>11</v>
      </c>
      <c r="AZ3" s="21">
        <v>12</v>
      </c>
      <c r="BA3" s="21">
        <v>12</v>
      </c>
      <c r="BB3" s="21">
        <v>12</v>
      </c>
      <c r="BC3" s="21">
        <v>12</v>
      </c>
    </row>
    <row r="4" spans="1:55" x14ac:dyDescent="0.2">
      <c r="A4" s="26">
        <v>2</v>
      </c>
      <c r="B4" t="s">
        <v>19</v>
      </c>
      <c r="C4" s="25">
        <v>0</v>
      </c>
      <c r="D4" s="25">
        <v>5</v>
      </c>
      <c r="E4" s="25">
        <v>8</v>
      </c>
      <c r="F4" s="27">
        <f t="shared" ref="F4:F14" si="0">100-MAX(C4:E4)</f>
        <v>92</v>
      </c>
      <c r="H4" s="23" t="s">
        <v>31</v>
      </c>
      <c r="I4" s="29" t="s">
        <v>32</v>
      </c>
      <c r="J4" s="22" t="s">
        <v>30</v>
      </c>
      <c r="K4" s="24" t="s">
        <v>40</v>
      </c>
      <c r="L4" s="23" t="s">
        <v>31</v>
      </c>
      <c r="M4" s="29" t="s">
        <v>32</v>
      </c>
      <c r="N4" s="22" t="s">
        <v>30</v>
      </c>
      <c r="O4" s="24" t="s">
        <v>40</v>
      </c>
      <c r="P4" s="23" t="s">
        <v>31</v>
      </c>
      <c r="Q4" s="29" t="s">
        <v>32</v>
      </c>
      <c r="R4" s="22" t="s">
        <v>30</v>
      </c>
      <c r="S4" s="24" t="s">
        <v>40</v>
      </c>
      <c r="T4" s="23" t="s">
        <v>31</v>
      </c>
      <c r="U4" s="29" t="s">
        <v>32</v>
      </c>
      <c r="V4" s="22" t="s">
        <v>30</v>
      </c>
      <c r="W4" s="24" t="s">
        <v>40</v>
      </c>
      <c r="X4" s="23" t="s">
        <v>31</v>
      </c>
      <c r="Y4" s="29" t="s">
        <v>32</v>
      </c>
      <c r="Z4" s="22" t="s">
        <v>30</v>
      </c>
      <c r="AA4" s="24" t="s">
        <v>40</v>
      </c>
      <c r="AB4" s="23" t="s">
        <v>31</v>
      </c>
      <c r="AC4" s="29" t="s">
        <v>32</v>
      </c>
      <c r="AD4" s="22" t="s">
        <v>30</v>
      </c>
      <c r="AE4" s="24" t="s">
        <v>40</v>
      </c>
      <c r="AF4" s="23" t="s">
        <v>31</v>
      </c>
      <c r="AG4" s="29" t="s">
        <v>32</v>
      </c>
      <c r="AH4" s="22" t="s">
        <v>30</v>
      </c>
      <c r="AI4" s="24" t="s">
        <v>40</v>
      </c>
      <c r="AJ4" s="23" t="s">
        <v>31</v>
      </c>
      <c r="AK4" s="29" t="s">
        <v>32</v>
      </c>
      <c r="AL4" s="22" t="s">
        <v>30</v>
      </c>
      <c r="AM4" s="24" t="s">
        <v>40</v>
      </c>
      <c r="AN4" s="23" t="s">
        <v>31</v>
      </c>
      <c r="AO4" s="29" t="s">
        <v>32</v>
      </c>
      <c r="AP4" s="22" t="s">
        <v>30</v>
      </c>
      <c r="AQ4" s="24" t="s">
        <v>40</v>
      </c>
      <c r="AR4" s="23" t="s">
        <v>31</v>
      </c>
      <c r="AS4" s="29" t="s">
        <v>32</v>
      </c>
      <c r="AT4" s="22" t="s">
        <v>30</v>
      </c>
      <c r="AU4" s="24" t="s">
        <v>40</v>
      </c>
      <c r="AV4" s="23" t="s">
        <v>31</v>
      </c>
      <c r="AW4" s="29" t="s">
        <v>32</v>
      </c>
      <c r="AX4" s="22" t="s">
        <v>30</v>
      </c>
      <c r="AY4" s="24" t="s">
        <v>40</v>
      </c>
      <c r="AZ4" s="23" t="s">
        <v>31</v>
      </c>
      <c r="BA4" s="29" t="s">
        <v>32</v>
      </c>
      <c r="BB4" s="22" t="s">
        <v>30</v>
      </c>
      <c r="BC4" s="24" t="s">
        <v>40</v>
      </c>
    </row>
    <row r="5" spans="1:55" x14ac:dyDescent="0.2">
      <c r="A5" s="26">
        <v>3</v>
      </c>
      <c r="B5" t="s">
        <v>20</v>
      </c>
      <c r="C5" s="25">
        <v>0</v>
      </c>
      <c r="D5" s="25">
        <v>2</v>
      </c>
      <c r="E5" s="25">
        <v>5</v>
      </c>
      <c r="F5" s="27">
        <f t="shared" si="0"/>
        <v>95</v>
      </c>
      <c r="G5" s="27">
        <v>1</v>
      </c>
      <c r="H5" s="21">
        <f>IF(VLOOKUP(H$3,$A$3:$F$14,3,FALSE)&gt;=$G5,10,0)</f>
        <v>0</v>
      </c>
      <c r="I5" s="21">
        <f>IF(H5=0,IF(VLOOKUP(I$3,$A$3:$F$14,4,FALSE)&gt;=$G5,10,0),0)</f>
        <v>10</v>
      </c>
      <c r="J5" s="21">
        <f>IF(AND(H5=0,I5=0),IF(VLOOKUP(J$3,$A$3:$F$14,5,FALSE)&gt;=$G5,10,0),0)</f>
        <v>0</v>
      </c>
      <c r="K5" s="21">
        <f>IF(OR(H5=10,I5=10,J5=10),0,10)</f>
        <v>0</v>
      </c>
      <c r="L5" s="30">
        <f t="shared" ref="L5:L20" si="1">IF(VLOOKUP(L$3,$A$3:$F$14,3,FALSE)&gt;=$G5,10,0)</f>
        <v>0</v>
      </c>
      <c r="M5" s="30">
        <f t="shared" ref="M5" si="2">IF(L5=0,IF(VLOOKUP(M$3,$A$3:$F$14,4,FALSE)&gt;=$G5,10,0),0)</f>
        <v>10</v>
      </c>
      <c r="N5" s="30">
        <f t="shared" ref="N5" si="3">IF(AND(L5=0,M5=0),IF(VLOOKUP(N$3,$A$3:$F$14,5,FALSE)&gt;=$G5,10,0),0)</f>
        <v>0</v>
      </c>
      <c r="O5" s="30">
        <f t="shared" ref="O5" si="4">IF(OR(L5=10,M5=10,N5=10),0,10)</f>
        <v>0</v>
      </c>
      <c r="P5" s="30">
        <f t="shared" ref="P5:P20" si="5">IF(VLOOKUP(P$3,$A$3:$F$14,3,FALSE)&gt;=$G5,10,0)</f>
        <v>0</v>
      </c>
      <c r="Q5" s="30">
        <f t="shared" ref="Q5" si="6">IF(P5=0,IF(VLOOKUP(Q$3,$A$3:$F$14,4,FALSE)&gt;=$G5,10,0),0)</f>
        <v>10</v>
      </c>
      <c r="R5" s="30">
        <f t="shared" ref="R5" si="7">IF(AND(P5=0,Q5=0),IF(VLOOKUP(R$3,$A$3:$F$14,5,FALSE)&gt;=$G5,10,0),0)</f>
        <v>0</v>
      </c>
      <c r="S5" s="30">
        <f t="shared" ref="S5" si="8">IF(OR(P5=10,Q5=10,R5=10),0,10)</f>
        <v>0</v>
      </c>
      <c r="T5" s="30">
        <f t="shared" ref="T5:T20" si="9">IF(VLOOKUP(T$3,$A$3:$F$14,3,FALSE)&gt;=$G5,10,0)</f>
        <v>0</v>
      </c>
      <c r="U5" s="30">
        <f t="shared" ref="U5" si="10">IF(T5=0,IF(VLOOKUP(U$3,$A$3:$F$14,4,FALSE)&gt;=$G5,10,0),0)</f>
        <v>10</v>
      </c>
      <c r="V5" s="30">
        <f t="shared" ref="V5" si="11">IF(AND(T5=0,U5=0),IF(VLOOKUP(V$3,$A$3:$F$14,5,FALSE)&gt;=$G5,10,0),0)</f>
        <v>0</v>
      </c>
      <c r="W5" s="30">
        <f t="shared" ref="W5" si="12">IF(OR(T5=10,U5=10,V5=10),0,10)</f>
        <v>0</v>
      </c>
      <c r="X5" s="30">
        <f t="shared" ref="X5:X20" si="13">IF(VLOOKUP(X$3,$A$3:$F$14,3,FALSE)&gt;=$G5,10,0)</f>
        <v>0</v>
      </c>
      <c r="Y5" s="30">
        <f t="shared" ref="Y5" si="14">IF(X5=0,IF(VLOOKUP(Y$3,$A$3:$F$14,4,FALSE)&gt;=$G5,10,0),0)</f>
        <v>10</v>
      </c>
      <c r="Z5" s="30">
        <f t="shared" ref="Z5" si="15">IF(AND(X5=0,Y5=0),IF(VLOOKUP(Z$3,$A$3:$F$14,5,FALSE)&gt;=$G5,10,0),0)</f>
        <v>0</v>
      </c>
      <c r="AA5" s="30">
        <f t="shared" ref="AA5" si="16">IF(OR(X5=10,Y5=10,Z5=10),0,10)</f>
        <v>0</v>
      </c>
      <c r="AB5" s="30">
        <f t="shared" ref="AB5:AB20" si="17">IF(VLOOKUP(AB$3,$A$3:$F$14,3,FALSE)&gt;=$G5,10,0)</f>
        <v>10</v>
      </c>
      <c r="AC5" s="30">
        <f t="shared" ref="AC5" si="18">IF(AB5=0,IF(VLOOKUP(AC$3,$A$3:$F$14,4,FALSE)&gt;=$G5,10,0),0)</f>
        <v>0</v>
      </c>
      <c r="AD5" s="30">
        <f t="shared" ref="AD5" si="19">IF(AND(AB5=0,AC5=0),IF(VLOOKUP(AD$3,$A$3:$F$14,5,FALSE)&gt;=$G5,10,0),0)</f>
        <v>0</v>
      </c>
      <c r="AE5" s="30">
        <f t="shared" ref="AE5" si="20">IF(OR(AB5=10,AC5=10,AD5=10),0,10)</f>
        <v>0</v>
      </c>
      <c r="AF5" s="30">
        <f t="shared" ref="AF5:AF20" si="21">IF(VLOOKUP(AF$3,$A$3:$F$14,3,FALSE)&gt;=$G5,10,0)</f>
        <v>10</v>
      </c>
      <c r="AG5" s="30">
        <f t="shared" ref="AG5" si="22">IF(AF5=0,IF(VLOOKUP(AG$3,$A$3:$F$14,4,FALSE)&gt;=$G5,10,0),0)</f>
        <v>0</v>
      </c>
      <c r="AH5" s="30">
        <f t="shared" ref="AH5" si="23">IF(AND(AF5=0,AG5=0),IF(VLOOKUP(AH$3,$A$3:$F$14,5,FALSE)&gt;=$G5,10,0),0)</f>
        <v>0</v>
      </c>
      <c r="AI5" s="30">
        <f t="shared" ref="AI5" si="24">IF(OR(AF5=10,AG5=10,AH5=10),0,10)</f>
        <v>0</v>
      </c>
      <c r="AJ5" s="30">
        <f t="shared" ref="AJ5:AJ20" si="25">IF(VLOOKUP(AJ$3,$A$3:$F$14,3,FALSE)&gt;=$G5,10,0)</f>
        <v>10</v>
      </c>
      <c r="AK5" s="30">
        <f t="shared" ref="AK5" si="26">IF(AJ5=0,IF(VLOOKUP(AK$3,$A$3:$F$14,4,FALSE)&gt;=$G5,10,0),0)</f>
        <v>0</v>
      </c>
      <c r="AL5" s="30">
        <f t="shared" ref="AL5" si="27">IF(AND(AJ5=0,AK5=0),IF(VLOOKUP(AL$3,$A$3:$F$14,5,FALSE)&gt;=$G5,10,0),0)</f>
        <v>0</v>
      </c>
      <c r="AM5" s="30">
        <f t="shared" ref="AM5" si="28">IF(OR(AJ5=10,AK5=10,AL5=10),0,10)</f>
        <v>0</v>
      </c>
      <c r="AN5" s="30">
        <f t="shared" ref="AN5:AN20" si="29">IF(VLOOKUP(AN$3,$A$3:$F$14,3,FALSE)&gt;=$G5,10,0)</f>
        <v>10</v>
      </c>
      <c r="AO5" s="30">
        <f t="shared" ref="AO5" si="30">IF(AN5=0,IF(VLOOKUP(AO$3,$A$3:$F$14,4,FALSE)&gt;=$G5,10,0),0)</f>
        <v>0</v>
      </c>
      <c r="AP5" s="30">
        <f t="shared" ref="AP5" si="31">IF(AND(AN5=0,AO5=0),IF(VLOOKUP(AP$3,$A$3:$F$14,5,FALSE)&gt;=$G5,10,0),0)</f>
        <v>0</v>
      </c>
      <c r="AQ5" s="30">
        <f t="shared" ref="AQ5" si="32">IF(OR(AN5=10,AO5=10,AP5=10),0,10)</f>
        <v>0</v>
      </c>
      <c r="AR5" s="30">
        <f t="shared" ref="AR5:AR20" si="33">IF(VLOOKUP(AR$3,$A$3:$F$14,3,FALSE)&gt;=$G5,10,0)</f>
        <v>10</v>
      </c>
      <c r="AS5" s="30">
        <f t="shared" ref="AS5" si="34">IF(AR5=0,IF(VLOOKUP(AS$3,$A$3:$F$14,4,FALSE)&gt;=$G5,10,0),0)</f>
        <v>0</v>
      </c>
      <c r="AT5" s="30">
        <f t="shared" ref="AT5" si="35">IF(AND(AR5=0,AS5=0),IF(VLOOKUP(AT$3,$A$3:$F$14,5,FALSE)&gt;=$G5,10,0),0)</f>
        <v>0</v>
      </c>
      <c r="AU5" s="30">
        <f t="shared" ref="AU5" si="36">IF(OR(AR5=10,AS5=10,AT5=10),0,10)</f>
        <v>0</v>
      </c>
      <c r="AV5" s="30">
        <f t="shared" ref="AV5:AV20" si="37">IF(VLOOKUP(AV$3,$A$3:$F$14,3,FALSE)&gt;=$G5,10,0)</f>
        <v>10</v>
      </c>
      <c r="AW5" s="30">
        <f t="shared" ref="AW5" si="38">IF(AV5=0,IF(VLOOKUP(AW$3,$A$3:$F$14,4,FALSE)&gt;=$G5,10,0),0)</f>
        <v>0</v>
      </c>
      <c r="AX5" s="30">
        <f t="shared" ref="AX5" si="39">IF(AND(AV5=0,AW5=0),IF(VLOOKUP(AX$3,$A$3:$F$14,5,FALSE)&gt;=$G5,10,0),0)</f>
        <v>0</v>
      </c>
      <c r="AY5" s="30">
        <f t="shared" ref="AY5" si="40">IF(OR(AV5=10,AW5=10,AX5=10),0,10)</f>
        <v>0</v>
      </c>
      <c r="AZ5" s="30">
        <f t="shared" ref="AZ5:AZ20" si="41">IF(VLOOKUP(AZ$3,$A$3:$F$14,3,FALSE)&gt;=$G5,10,0)</f>
        <v>10</v>
      </c>
      <c r="BA5" s="30">
        <f t="shared" ref="BA5" si="42">IF(AZ5=0,IF(VLOOKUP(BA$3,$A$3:$F$14,4,FALSE)&gt;=$G5,10,0),0)</f>
        <v>0</v>
      </c>
      <c r="BB5" s="30">
        <f t="shared" ref="BB5" si="43">IF(AND(AZ5=0,BA5=0),IF(VLOOKUP(BB$3,$A$3:$F$14,5,FALSE)&gt;=$G5,10,0),0)</f>
        <v>0</v>
      </c>
      <c r="BC5" s="30">
        <f t="shared" ref="BC5" si="44">IF(OR(AZ5=10,BA5=10,BB5=10),0,10)</f>
        <v>0</v>
      </c>
    </row>
    <row r="6" spans="1:55" x14ac:dyDescent="0.2">
      <c r="A6" s="26">
        <v>4</v>
      </c>
      <c r="B6" t="s">
        <v>21</v>
      </c>
      <c r="C6" s="25">
        <v>0</v>
      </c>
      <c r="D6" s="25">
        <v>10</v>
      </c>
      <c r="E6" s="25">
        <v>34</v>
      </c>
      <c r="F6" s="27">
        <f t="shared" si="0"/>
        <v>66</v>
      </c>
      <c r="G6" s="27">
        <v>2</v>
      </c>
      <c r="H6" s="21">
        <f t="shared" ref="H6:H69" si="45">IF(VLOOKUP(H$3,$A$3:$F$14,3,FALSE)&gt;=$G6,10,0)</f>
        <v>0</v>
      </c>
      <c r="I6" s="28">
        <f t="shared" ref="I6:I69" si="46">IF($H6=0,IF(VLOOKUP(I$3,$A$3:$F$14,4,FALSE)&gt;=$G6,10,0),0)</f>
        <v>10</v>
      </c>
      <c r="J6" s="28">
        <f t="shared" ref="J6:J69" si="47">IF(AND($H6=0,$I6=0),IF(VLOOKUP(J$3,$A$3:$F$14,5,FALSE)&gt;=$G6,10,0),0)</f>
        <v>0</v>
      </c>
      <c r="K6" s="30">
        <f t="shared" ref="K6:K69" si="48">IF(OR($H6=10,$I6=10,$J6=10),0,10)</f>
        <v>0</v>
      </c>
      <c r="L6" s="30">
        <f t="shared" si="1"/>
        <v>0</v>
      </c>
      <c r="M6" s="30">
        <f t="shared" ref="M6" si="49">IF(L6=0,IF(VLOOKUP(M$3,$A$3:$F$14,4,FALSE)&gt;=$G6,10,0),0)</f>
        <v>10</v>
      </c>
      <c r="N6" s="30">
        <f t="shared" ref="N6:N69" si="50">IF(AND(L6=0,M6=0),IF(VLOOKUP(N$3,$A$3:$F$14,5,FALSE)&gt;=$G6,10,0),0)</f>
        <v>0</v>
      </c>
      <c r="O6" s="30">
        <f t="shared" ref="O6:O69" si="51">IF(OR(L6=10,M6=10,N6=10),0,10)</f>
        <v>0</v>
      </c>
      <c r="P6" s="30">
        <f t="shared" si="5"/>
        <v>0</v>
      </c>
      <c r="Q6" s="30">
        <f t="shared" ref="Q6" si="52">IF(P6=0,IF(VLOOKUP(Q$3,$A$3:$F$14,4,FALSE)&gt;=$G6,10,0),0)</f>
        <v>10</v>
      </c>
      <c r="R6" s="30">
        <f t="shared" ref="R6:R69" si="53">IF(AND(P6=0,Q6=0),IF(VLOOKUP(R$3,$A$3:$F$14,5,FALSE)&gt;=$G6,10,0),0)</f>
        <v>0</v>
      </c>
      <c r="S6" s="30">
        <f t="shared" ref="S6:S69" si="54">IF(OR(P6=10,Q6=10,R6=10),0,10)</f>
        <v>0</v>
      </c>
      <c r="T6" s="30">
        <f t="shared" si="9"/>
        <v>0</v>
      </c>
      <c r="U6" s="30">
        <f t="shared" ref="U6" si="55">IF(T6=0,IF(VLOOKUP(U$3,$A$3:$F$14,4,FALSE)&gt;=$G6,10,0),0)</f>
        <v>10</v>
      </c>
      <c r="V6" s="30">
        <f t="shared" ref="V6:V69" si="56">IF(AND(T6=0,U6=0),IF(VLOOKUP(V$3,$A$3:$F$14,5,FALSE)&gt;=$G6,10,0),0)</f>
        <v>0</v>
      </c>
      <c r="W6" s="30">
        <f t="shared" ref="W6:W69" si="57">IF(OR(T6=10,U6=10,V6=10),0,10)</f>
        <v>0</v>
      </c>
      <c r="X6" s="30">
        <f t="shared" si="13"/>
        <v>0</v>
      </c>
      <c r="Y6" s="30">
        <f t="shared" ref="Y6" si="58">IF(X6=0,IF(VLOOKUP(Y$3,$A$3:$F$14,4,FALSE)&gt;=$G6,10,0),0)</f>
        <v>10</v>
      </c>
      <c r="Z6" s="30">
        <f t="shared" ref="Z6:Z69" si="59">IF(AND(X6=0,Y6=0),IF(VLOOKUP(Z$3,$A$3:$F$14,5,FALSE)&gt;=$G6,10,0),0)</f>
        <v>0</v>
      </c>
      <c r="AA6" s="30">
        <f t="shared" ref="AA6:AA69" si="60">IF(OR(X6=10,Y6=10,Z6=10),0,10)</f>
        <v>0</v>
      </c>
      <c r="AB6" s="30">
        <f t="shared" si="17"/>
        <v>10</v>
      </c>
      <c r="AC6" s="30">
        <f t="shared" ref="AC6" si="61">IF(AB6=0,IF(VLOOKUP(AC$3,$A$3:$F$14,4,FALSE)&gt;=$G6,10,0),0)</f>
        <v>0</v>
      </c>
      <c r="AD6" s="30">
        <f t="shared" ref="AD6:AD69" si="62">IF(AND(AB6=0,AC6=0),IF(VLOOKUP(AD$3,$A$3:$F$14,5,FALSE)&gt;=$G6,10,0),0)</f>
        <v>0</v>
      </c>
      <c r="AE6" s="30">
        <f t="shared" ref="AE6:AE69" si="63">IF(OR(AB6=10,AC6=10,AD6=10),0,10)</f>
        <v>0</v>
      </c>
      <c r="AF6" s="30">
        <f t="shared" si="21"/>
        <v>10</v>
      </c>
      <c r="AG6" s="30">
        <f t="shared" ref="AG6" si="64">IF(AF6=0,IF(VLOOKUP(AG$3,$A$3:$F$14,4,FALSE)&gt;=$G6,10,0),0)</f>
        <v>0</v>
      </c>
      <c r="AH6" s="30">
        <f t="shared" ref="AH6:AH69" si="65">IF(AND(AF6=0,AG6=0),IF(VLOOKUP(AH$3,$A$3:$F$14,5,FALSE)&gt;=$G6,10,0),0)</f>
        <v>0</v>
      </c>
      <c r="AI6" s="30">
        <f t="shared" ref="AI6:AI69" si="66">IF(OR(AF6=10,AG6=10,AH6=10),0,10)</f>
        <v>0</v>
      </c>
      <c r="AJ6" s="30">
        <f t="shared" si="25"/>
        <v>10</v>
      </c>
      <c r="AK6" s="30">
        <f t="shared" ref="AK6" si="67">IF(AJ6=0,IF(VLOOKUP(AK$3,$A$3:$F$14,4,FALSE)&gt;=$G6,10,0),0)</f>
        <v>0</v>
      </c>
      <c r="AL6" s="30">
        <f t="shared" ref="AL6:AL69" si="68">IF(AND(AJ6=0,AK6=0),IF(VLOOKUP(AL$3,$A$3:$F$14,5,FALSE)&gt;=$G6,10,0),0)</f>
        <v>0</v>
      </c>
      <c r="AM6" s="30">
        <f t="shared" ref="AM6:AM69" si="69">IF(OR(AJ6=10,AK6=10,AL6=10),0,10)</f>
        <v>0</v>
      </c>
      <c r="AN6" s="30">
        <f t="shared" si="29"/>
        <v>10</v>
      </c>
      <c r="AO6" s="30">
        <f t="shared" ref="AO6" si="70">IF(AN6=0,IF(VLOOKUP(AO$3,$A$3:$F$14,4,FALSE)&gt;=$G6,10,0),0)</f>
        <v>0</v>
      </c>
      <c r="AP6" s="30">
        <f t="shared" ref="AP6:AP69" si="71">IF(AND(AN6=0,AO6=0),IF(VLOOKUP(AP$3,$A$3:$F$14,5,FALSE)&gt;=$G6,10,0),0)</f>
        <v>0</v>
      </c>
      <c r="AQ6" s="30">
        <f t="shared" ref="AQ6:AQ69" si="72">IF(OR(AN6=10,AO6=10,AP6=10),0,10)</f>
        <v>0</v>
      </c>
      <c r="AR6" s="30">
        <f t="shared" si="33"/>
        <v>10</v>
      </c>
      <c r="AS6" s="30">
        <f t="shared" ref="AS6" si="73">IF(AR6=0,IF(VLOOKUP(AS$3,$A$3:$F$14,4,FALSE)&gt;=$G6,10,0),0)</f>
        <v>0</v>
      </c>
      <c r="AT6" s="30">
        <f t="shared" ref="AT6:AT69" si="74">IF(AND(AR6=0,AS6=0),IF(VLOOKUP(AT$3,$A$3:$F$14,5,FALSE)&gt;=$G6,10,0),0)</f>
        <v>0</v>
      </c>
      <c r="AU6" s="30">
        <f t="shared" ref="AU6:AU69" si="75">IF(OR(AR6=10,AS6=10,AT6=10),0,10)</f>
        <v>0</v>
      </c>
      <c r="AV6" s="30">
        <f t="shared" si="37"/>
        <v>10</v>
      </c>
      <c r="AW6" s="30">
        <f t="shared" ref="AW6" si="76">IF(AV6=0,IF(VLOOKUP(AW$3,$A$3:$F$14,4,FALSE)&gt;=$G6,10,0),0)</f>
        <v>0</v>
      </c>
      <c r="AX6" s="30">
        <f t="shared" ref="AX6:AX69" si="77">IF(AND(AV6=0,AW6=0),IF(VLOOKUP(AX$3,$A$3:$F$14,5,FALSE)&gt;=$G6,10,0),0)</f>
        <v>0</v>
      </c>
      <c r="AY6" s="30">
        <f t="shared" ref="AY6:AY69" si="78">IF(OR(AV6=10,AW6=10,AX6=10),0,10)</f>
        <v>0</v>
      </c>
      <c r="AZ6" s="30">
        <f t="shared" si="41"/>
        <v>10</v>
      </c>
      <c r="BA6" s="30">
        <f t="shared" ref="BA6" si="79">IF(AZ6=0,IF(VLOOKUP(BA$3,$A$3:$F$14,4,FALSE)&gt;=$G6,10,0),0)</f>
        <v>0</v>
      </c>
      <c r="BB6" s="30">
        <f t="shared" ref="BB6:BB69" si="80">IF(AND(AZ6=0,BA6=0),IF(VLOOKUP(BB$3,$A$3:$F$14,5,FALSE)&gt;=$G6,10,0),0)</f>
        <v>0</v>
      </c>
      <c r="BC6" s="30">
        <f t="shared" ref="BC6:BC69" si="81">IF(OR(AZ6=10,BA6=10,BB6=10),0,10)</f>
        <v>0</v>
      </c>
    </row>
    <row r="7" spans="1:55" x14ac:dyDescent="0.2">
      <c r="A7" s="26">
        <v>5</v>
      </c>
      <c r="B7" t="s">
        <v>22</v>
      </c>
      <c r="C7" s="25">
        <v>0</v>
      </c>
      <c r="D7" s="25">
        <v>10</v>
      </c>
      <c r="E7" s="25">
        <v>50</v>
      </c>
      <c r="F7" s="27">
        <f t="shared" si="0"/>
        <v>50</v>
      </c>
      <c r="G7" s="27">
        <v>3</v>
      </c>
      <c r="H7" s="21">
        <f t="shared" si="45"/>
        <v>0</v>
      </c>
      <c r="I7" s="28">
        <f t="shared" si="46"/>
        <v>10</v>
      </c>
      <c r="J7" s="28">
        <f t="shared" si="47"/>
        <v>0</v>
      </c>
      <c r="K7" s="30">
        <f t="shared" si="48"/>
        <v>0</v>
      </c>
      <c r="L7" s="30">
        <f t="shared" si="1"/>
        <v>0</v>
      </c>
      <c r="M7" s="30">
        <f t="shared" ref="M7" si="82">IF(L7=0,IF(VLOOKUP(M$3,$A$3:$F$14,4,FALSE)&gt;=$G7,10,0),0)</f>
        <v>10</v>
      </c>
      <c r="N7" s="30">
        <f t="shared" si="50"/>
        <v>0</v>
      </c>
      <c r="O7" s="30">
        <f t="shared" si="51"/>
        <v>0</v>
      </c>
      <c r="P7" s="30">
        <f t="shared" si="5"/>
        <v>0</v>
      </c>
      <c r="Q7" s="30">
        <f t="shared" ref="Q7" si="83">IF(P7=0,IF(VLOOKUP(Q$3,$A$3:$F$14,4,FALSE)&gt;=$G7,10,0),0)</f>
        <v>0</v>
      </c>
      <c r="R7" s="30">
        <f t="shared" si="53"/>
        <v>10</v>
      </c>
      <c r="S7" s="30">
        <f t="shared" si="54"/>
        <v>0</v>
      </c>
      <c r="T7" s="30">
        <f t="shared" si="9"/>
        <v>0</v>
      </c>
      <c r="U7" s="30">
        <f t="shared" ref="U7" si="84">IF(T7=0,IF(VLOOKUP(U$3,$A$3:$F$14,4,FALSE)&gt;=$G7,10,0),0)</f>
        <v>10</v>
      </c>
      <c r="V7" s="30">
        <f t="shared" si="56"/>
        <v>0</v>
      </c>
      <c r="W7" s="30">
        <f t="shared" si="57"/>
        <v>0</v>
      </c>
      <c r="X7" s="30">
        <f t="shared" si="13"/>
        <v>0</v>
      </c>
      <c r="Y7" s="30">
        <f t="shared" ref="Y7" si="85">IF(X7=0,IF(VLOOKUP(Y$3,$A$3:$F$14,4,FALSE)&gt;=$G7,10,0),0)</f>
        <v>10</v>
      </c>
      <c r="Z7" s="30">
        <f t="shared" si="59"/>
        <v>0</v>
      </c>
      <c r="AA7" s="30">
        <f t="shared" si="60"/>
        <v>0</v>
      </c>
      <c r="AB7" s="30">
        <f t="shared" si="17"/>
        <v>10</v>
      </c>
      <c r="AC7" s="30">
        <f t="shared" ref="AC7" si="86">IF(AB7=0,IF(VLOOKUP(AC$3,$A$3:$F$14,4,FALSE)&gt;=$G7,10,0),0)</f>
        <v>0</v>
      </c>
      <c r="AD7" s="30">
        <f t="shared" si="62"/>
        <v>0</v>
      </c>
      <c r="AE7" s="30">
        <f t="shared" si="63"/>
        <v>0</v>
      </c>
      <c r="AF7" s="30">
        <f t="shared" si="21"/>
        <v>10</v>
      </c>
      <c r="AG7" s="30">
        <f t="shared" ref="AG7" si="87">IF(AF7=0,IF(VLOOKUP(AG$3,$A$3:$F$14,4,FALSE)&gt;=$G7,10,0),0)</f>
        <v>0</v>
      </c>
      <c r="AH7" s="30">
        <f t="shared" si="65"/>
        <v>0</v>
      </c>
      <c r="AI7" s="30">
        <f t="shared" si="66"/>
        <v>0</v>
      </c>
      <c r="AJ7" s="30">
        <f t="shared" si="25"/>
        <v>10</v>
      </c>
      <c r="AK7" s="30">
        <f t="shared" ref="AK7" si="88">IF(AJ7=0,IF(VLOOKUP(AK$3,$A$3:$F$14,4,FALSE)&gt;=$G7,10,0),0)</f>
        <v>0</v>
      </c>
      <c r="AL7" s="30">
        <f t="shared" si="68"/>
        <v>0</v>
      </c>
      <c r="AM7" s="30">
        <f t="shared" si="69"/>
        <v>0</v>
      </c>
      <c r="AN7" s="30">
        <f t="shared" si="29"/>
        <v>10</v>
      </c>
      <c r="AO7" s="30">
        <f t="shared" ref="AO7" si="89">IF(AN7=0,IF(VLOOKUP(AO$3,$A$3:$F$14,4,FALSE)&gt;=$G7,10,0),0)</f>
        <v>0</v>
      </c>
      <c r="AP7" s="30">
        <f t="shared" si="71"/>
        <v>0</v>
      </c>
      <c r="AQ7" s="30">
        <f t="shared" si="72"/>
        <v>0</v>
      </c>
      <c r="AR7" s="30">
        <f t="shared" si="33"/>
        <v>10</v>
      </c>
      <c r="AS7" s="30">
        <f t="shared" ref="AS7" si="90">IF(AR7=0,IF(VLOOKUP(AS$3,$A$3:$F$14,4,FALSE)&gt;=$G7,10,0),0)</f>
        <v>0</v>
      </c>
      <c r="AT7" s="30">
        <f t="shared" si="74"/>
        <v>0</v>
      </c>
      <c r="AU7" s="30">
        <f t="shared" si="75"/>
        <v>0</v>
      </c>
      <c r="AV7" s="30">
        <f t="shared" si="37"/>
        <v>10</v>
      </c>
      <c r="AW7" s="30">
        <f t="shared" ref="AW7" si="91">IF(AV7=0,IF(VLOOKUP(AW$3,$A$3:$F$14,4,FALSE)&gt;=$G7,10,0),0)</f>
        <v>0</v>
      </c>
      <c r="AX7" s="30">
        <f t="shared" si="77"/>
        <v>0</v>
      </c>
      <c r="AY7" s="30">
        <f t="shared" si="78"/>
        <v>0</v>
      </c>
      <c r="AZ7" s="30">
        <f t="shared" si="41"/>
        <v>10</v>
      </c>
      <c r="BA7" s="30">
        <f t="shared" ref="BA7" si="92">IF(AZ7=0,IF(VLOOKUP(BA$3,$A$3:$F$14,4,FALSE)&gt;=$G7,10,0),0)</f>
        <v>0</v>
      </c>
      <c r="BB7" s="30">
        <f t="shared" si="80"/>
        <v>0</v>
      </c>
      <c r="BC7" s="30">
        <f t="shared" si="81"/>
        <v>0</v>
      </c>
    </row>
    <row r="8" spans="1:55" x14ac:dyDescent="0.2">
      <c r="A8" s="26">
        <v>6</v>
      </c>
      <c r="B8" t="s">
        <v>23</v>
      </c>
      <c r="C8" s="25">
        <v>13</v>
      </c>
      <c r="D8" s="25">
        <v>15</v>
      </c>
      <c r="E8" s="25">
        <v>48</v>
      </c>
      <c r="F8" s="27">
        <f t="shared" si="0"/>
        <v>52</v>
      </c>
      <c r="G8" s="27">
        <v>4</v>
      </c>
      <c r="H8" s="21">
        <f t="shared" si="45"/>
        <v>0</v>
      </c>
      <c r="I8" s="28">
        <f t="shared" si="46"/>
        <v>10</v>
      </c>
      <c r="J8" s="28">
        <f t="shared" si="47"/>
        <v>0</v>
      </c>
      <c r="K8" s="30">
        <f t="shared" si="48"/>
        <v>0</v>
      </c>
      <c r="L8" s="30">
        <f t="shared" si="1"/>
        <v>0</v>
      </c>
      <c r="M8" s="30">
        <f t="shared" ref="M8" si="93">IF(L8=0,IF(VLOOKUP(M$3,$A$3:$F$14,4,FALSE)&gt;=$G8,10,0),0)</f>
        <v>10</v>
      </c>
      <c r="N8" s="30">
        <f t="shared" si="50"/>
        <v>0</v>
      </c>
      <c r="O8" s="30">
        <f t="shared" si="51"/>
        <v>0</v>
      </c>
      <c r="P8" s="30">
        <f t="shared" si="5"/>
        <v>0</v>
      </c>
      <c r="Q8" s="30">
        <f t="shared" ref="Q8" si="94">IF(P8=0,IF(VLOOKUP(Q$3,$A$3:$F$14,4,FALSE)&gt;=$G8,10,0),0)</f>
        <v>0</v>
      </c>
      <c r="R8" s="30">
        <f t="shared" si="53"/>
        <v>10</v>
      </c>
      <c r="S8" s="30">
        <f t="shared" si="54"/>
        <v>0</v>
      </c>
      <c r="T8" s="30">
        <f t="shared" si="9"/>
        <v>0</v>
      </c>
      <c r="U8" s="30">
        <f t="shared" ref="U8" si="95">IF(T8=0,IF(VLOOKUP(U$3,$A$3:$F$14,4,FALSE)&gt;=$G8,10,0),0)</f>
        <v>10</v>
      </c>
      <c r="V8" s="30">
        <f t="shared" si="56"/>
        <v>0</v>
      </c>
      <c r="W8" s="30">
        <f t="shared" si="57"/>
        <v>0</v>
      </c>
      <c r="X8" s="30">
        <f t="shared" si="13"/>
        <v>0</v>
      </c>
      <c r="Y8" s="30">
        <f t="shared" ref="Y8" si="96">IF(X8=0,IF(VLOOKUP(Y$3,$A$3:$F$14,4,FALSE)&gt;=$G8,10,0),0)</f>
        <v>10</v>
      </c>
      <c r="Z8" s="30">
        <f t="shared" si="59"/>
        <v>0</v>
      </c>
      <c r="AA8" s="30">
        <f t="shared" si="60"/>
        <v>0</v>
      </c>
      <c r="AB8" s="30">
        <f t="shared" si="17"/>
        <v>10</v>
      </c>
      <c r="AC8" s="30">
        <f t="shared" ref="AC8" si="97">IF(AB8=0,IF(VLOOKUP(AC$3,$A$3:$F$14,4,FALSE)&gt;=$G8,10,0),0)</f>
        <v>0</v>
      </c>
      <c r="AD8" s="30">
        <f t="shared" si="62"/>
        <v>0</v>
      </c>
      <c r="AE8" s="30">
        <f t="shared" si="63"/>
        <v>0</v>
      </c>
      <c r="AF8" s="30">
        <f t="shared" si="21"/>
        <v>10</v>
      </c>
      <c r="AG8" s="30">
        <f t="shared" ref="AG8" si="98">IF(AF8=0,IF(VLOOKUP(AG$3,$A$3:$F$14,4,FALSE)&gt;=$G8,10,0),0)</f>
        <v>0</v>
      </c>
      <c r="AH8" s="30">
        <f t="shared" si="65"/>
        <v>0</v>
      </c>
      <c r="AI8" s="30">
        <f t="shared" si="66"/>
        <v>0</v>
      </c>
      <c r="AJ8" s="30">
        <f t="shared" si="25"/>
        <v>10</v>
      </c>
      <c r="AK8" s="30">
        <f t="shared" ref="AK8" si="99">IF(AJ8=0,IF(VLOOKUP(AK$3,$A$3:$F$14,4,FALSE)&gt;=$G8,10,0),0)</f>
        <v>0</v>
      </c>
      <c r="AL8" s="30">
        <f t="shared" si="68"/>
        <v>0</v>
      </c>
      <c r="AM8" s="30">
        <f t="shared" si="69"/>
        <v>0</v>
      </c>
      <c r="AN8" s="30">
        <f t="shared" si="29"/>
        <v>10</v>
      </c>
      <c r="AO8" s="30">
        <f t="shared" ref="AO8" si="100">IF(AN8=0,IF(VLOOKUP(AO$3,$A$3:$F$14,4,FALSE)&gt;=$G8,10,0),0)</f>
        <v>0</v>
      </c>
      <c r="AP8" s="30">
        <f t="shared" si="71"/>
        <v>0</v>
      </c>
      <c r="AQ8" s="30">
        <f t="shared" si="72"/>
        <v>0</v>
      </c>
      <c r="AR8" s="30">
        <f t="shared" si="33"/>
        <v>10</v>
      </c>
      <c r="AS8" s="30">
        <f t="shared" ref="AS8" si="101">IF(AR8=0,IF(VLOOKUP(AS$3,$A$3:$F$14,4,FALSE)&gt;=$G8,10,0),0)</f>
        <v>0</v>
      </c>
      <c r="AT8" s="30">
        <f t="shared" si="74"/>
        <v>0</v>
      </c>
      <c r="AU8" s="30">
        <f t="shared" si="75"/>
        <v>0</v>
      </c>
      <c r="AV8" s="30">
        <f t="shared" si="37"/>
        <v>10</v>
      </c>
      <c r="AW8" s="30">
        <f t="shared" ref="AW8" si="102">IF(AV8=0,IF(VLOOKUP(AW$3,$A$3:$F$14,4,FALSE)&gt;=$G8,10,0),0)</f>
        <v>0</v>
      </c>
      <c r="AX8" s="30">
        <f t="shared" si="77"/>
        <v>0</v>
      </c>
      <c r="AY8" s="30">
        <f t="shared" si="78"/>
        <v>0</v>
      </c>
      <c r="AZ8" s="30">
        <f t="shared" si="41"/>
        <v>10</v>
      </c>
      <c r="BA8" s="30">
        <f t="shared" ref="BA8" si="103">IF(AZ8=0,IF(VLOOKUP(BA$3,$A$3:$F$14,4,FALSE)&gt;=$G8,10,0),0)</f>
        <v>0</v>
      </c>
      <c r="BB8" s="30">
        <f t="shared" si="80"/>
        <v>0</v>
      </c>
      <c r="BC8" s="30">
        <f t="shared" si="81"/>
        <v>0</v>
      </c>
    </row>
    <row r="9" spans="1:55" x14ac:dyDescent="0.2">
      <c r="A9" s="26">
        <v>7</v>
      </c>
      <c r="B9" t="s">
        <v>24</v>
      </c>
      <c r="C9" s="25">
        <v>20</v>
      </c>
      <c r="D9" s="25">
        <v>22</v>
      </c>
      <c r="E9" s="25">
        <v>40</v>
      </c>
      <c r="F9" s="27">
        <f t="shared" si="0"/>
        <v>60</v>
      </c>
      <c r="G9" s="27">
        <v>5</v>
      </c>
      <c r="H9" s="21">
        <f t="shared" si="45"/>
        <v>0</v>
      </c>
      <c r="I9" s="28">
        <f t="shared" si="46"/>
        <v>10</v>
      </c>
      <c r="J9" s="28">
        <f t="shared" si="47"/>
        <v>0</v>
      </c>
      <c r="K9" s="30">
        <f t="shared" si="48"/>
        <v>0</v>
      </c>
      <c r="L9" s="30">
        <f t="shared" si="1"/>
        <v>0</v>
      </c>
      <c r="M9" s="30">
        <f t="shared" ref="M9" si="104">IF(L9=0,IF(VLOOKUP(M$3,$A$3:$F$14,4,FALSE)&gt;=$G9,10,0),0)</f>
        <v>10</v>
      </c>
      <c r="N9" s="30">
        <f t="shared" si="50"/>
        <v>0</v>
      </c>
      <c r="O9" s="30">
        <f t="shared" si="51"/>
        <v>0</v>
      </c>
      <c r="P9" s="30">
        <f t="shared" si="5"/>
        <v>0</v>
      </c>
      <c r="Q9" s="30">
        <f t="shared" ref="Q9" si="105">IF(P9=0,IF(VLOOKUP(Q$3,$A$3:$F$14,4,FALSE)&gt;=$G9,10,0),0)</f>
        <v>0</v>
      </c>
      <c r="R9" s="30">
        <f t="shared" si="53"/>
        <v>10</v>
      </c>
      <c r="S9" s="30">
        <f t="shared" si="54"/>
        <v>0</v>
      </c>
      <c r="T9" s="30">
        <f t="shared" si="9"/>
        <v>0</v>
      </c>
      <c r="U9" s="30">
        <f t="shared" ref="U9" si="106">IF(T9=0,IF(VLOOKUP(U$3,$A$3:$F$14,4,FALSE)&gt;=$G9,10,0),0)</f>
        <v>10</v>
      </c>
      <c r="V9" s="30">
        <f t="shared" si="56"/>
        <v>0</v>
      </c>
      <c r="W9" s="30">
        <f t="shared" si="57"/>
        <v>0</v>
      </c>
      <c r="X9" s="30">
        <f t="shared" si="13"/>
        <v>0</v>
      </c>
      <c r="Y9" s="30">
        <f t="shared" ref="Y9" si="107">IF(X9=0,IF(VLOOKUP(Y$3,$A$3:$F$14,4,FALSE)&gt;=$G9,10,0),0)</f>
        <v>10</v>
      </c>
      <c r="Z9" s="30">
        <f t="shared" si="59"/>
        <v>0</v>
      </c>
      <c r="AA9" s="30">
        <f t="shared" si="60"/>
        <v>0</v>
      </c>
      <c r="AB9" s="30">
        <f t="shared" si="17"/>
        <v>10</v>
      </c>
      <c r="AC9" s="30">
        <f t="shared" ref="AC9" si="108">IF(AB9=0,IF(VLOOKUP(AC$3,$A$3:$F$14,4,FALSE)&gt;=$G9,10,0),0)</f>
        <v>0</v>
      </c>
      <c r="AD9" s="30">
        <f t="shared" si="62"/>
        <v>0</v>
      </c>
      <c r="AE9" s="30">
        <f t="shared" si="63"/>
        <v>0</v>
      </c>
      <c r="AF9" s="30">
        <f t="shared" si="21"/>
        <v>10</v>
      </c>
      <c r="AG9" s="30">
        <f t="shared" ref="AG9" si="109">IF(AF9=0,IF(VLOOKUP(AG$3,$A$3:$F$14,4,FALSE)&gt;=$G9,10,0),0)</f>
        <v>0</v>
      </c>
      <c r="AH9" s="30">
        <f t="shared" si="65"/>
        <v>0</v>
      </c>
      <c r="AI9" s="30">
        <f t="shared" si="66"/>
        <v>0</v>
      </c>
      <c r="AJ9" s="30">
        <f t="shared" si="25"/>
        <v>10</v>
      </c>
      <c r="AK9" s="30">
        <f t="shared" ref="AK9" si="110">IF(AJ9=0,IF(VLOOKUP(AK$3,$A$3:$F$14,4,FALSE)&gt;=$G9,10,0),0)</f>
        <v>0</v>
      </c>
      <c r="AL9" s="30">
        <f t="shared" si="68"/>
        <v>0</v>
      </c>
      <c r="AM9" s="30">
        <f t="shared" si="69"/>
        <v>0</v>
      </c>
      <c r="AN9" s="30">
        <f t="shared" si="29"/>
        <v>10</v>
      </c>
      <c r="AO9" s="30">
        <f t="shared" ref="AO9" si="111">IF(AN9=0,IF(VLOOKUP(AO$3,$A$3:$F$14,4,FALSE)&gt;=$G9,10,0),0)</f>
        <v>0</v>
      </c>
      <c r="AP9" s="30">
        <f t="shared" si="71"/>
        <v>0</v>
      </c>
      <c r="AQ9" s="30">
        <f t="shared" si="72"/>
        <v>0</v>
      </c>
      <c r="AR9" s="30">
        <f t="shared" si="33"/>
        <v>10</v>
      </c>
      <c r="AS9" s="30">
        <f t="shared" ref="AS9" si="112">IF(AR9=0,IF(VLOOKUP(AS$3,$A$3:$F$14,4,FALSE)&gt;=$G9,10,0),0)</f>
        <v>0</v>
      </c>
      <c r="AT9" s="30">
        <f t="shared" si="74"/>
        <v>0</v>
      </c>
      <c r="AU9" s="30">
        <f t="shared" si="75"/>
        <v>0</v>
      </c>
      <c r="AV9" s="30">
        <f t="shared" si="37"/>
        <v>10</v>
      </c>
      <c r="AW9" s="30">
        <f t="shared" ref="AW9" si="113">IF(AV9=0,IF(VLOOKUP(AW$3,$A$3:$F$14,4,FALSE)&gt;=$G9,10,0),0)</f>
        <v>0</v>
      </c>
      <c r="AX9" s="30">
        <f t="shared" si="77"/>
        <v>0</v>
      </c>
      <c r="AY9" s="30">
        <f t="shared" si="78"/>
        <v>0</v>
      </c>
      <c r="AZ9" s="30">
        <f t="shared" si="41"/>
        <v>10</v>
      </c>
      <c r="BA9" s="30">
        <f t="shared" ref="BA9" si="114">IF(AZ9=0,IF(VLOOKUP(BA$3,$A$3:$F$14,4,FALSE)&gt;=$G9,10,0),0)</f>
        <v>0</v>
      </c>
      <c r="BB9" s="30">
        <f t="shared" si="80"/>
        <v>0</v>
      </c>
      <c r="BC9" s="30">
        <f t="shared" si="81"/>
        <v>0</v>
      </c>
    </row>
    <row r="10" spans="1:55" x14ac:dyDescent="0.2">
      <c r="A10" s="26">
        <v>8</v>
      </c>
      <c r="B10" t="s">
        <v>25</v>
      </c>
      <c r="C10" s="25">
        <v>17</v>
      </c>
      <c r="D10" s="25">
        <v>30</v>
      </c>
      <c r="E10" s="25">
        <v>50</v>
      </c>
      <c r="F10" s="27">
        <f t="shared" si="0"/>
        <v>50</v>
      </c>
      <c r="G10" s="27">
        <v>6</v>
      </c>
      <c r="H10" s="21">
        <f t="shared" si="45"/>
        <v>0</v>
      </c>
      <c r="I10" s="28">
        <f t="shared" si="46"/>
        <v>10</v>
      </c>
      <c r="J10" s="28">
        <f t="shared" si="47"/>
        <v>0</v>
      </c>
      <c r="K10" s="30">
        <f t="shared" si="48"/>
        <v>0</v>
      </c>
      <c r="L10" s="30">
        <f t="shared" si="1"/>
        <v>0</v>
      </c>
      <c r="M10" s="30">
        <f t="shared" ref="M10" si="115">IF(L10=0,IF(VLOOKUP(M$3,$A$3:$F$14,4,FALSE)&gt;=$G10,10,0),0)</f>
        <v>0</v>
      </c>
      <c r="N10" s="30">
        <f t="shared" si="50"/>
        <v>10</v>
      </c>
      <c r="O10" s="30">
        <f t="shared" si="51"/>
        <v>0</v>
      </c>
      <c r="P10" s="30">
        <f t="shared" si="5"/>
        <v>0</v>
      </c>
      <c r="Q10" s="30">
        <f t="shared" ref="Q10" si="116">IF(P10=0,IF(VLOOKUP(Q$3,$A$3:$F$14,4,FALSE)&gt;=$G10,10,0),0)</f>
        <v>0</v>
      </c>
      <c r="R10" s="30">
        <f t="shared" si="53"/>
        <v>0</v>
      </c>
      <c r="S10" s="30">
        <f t="shared" si="54"/>
        <v>10</v>
      </c>
      <c r="T10" s="30">
        <f t="shared" si="9"/>
        <v>0</v>
      </c>
      <c r="U10" s="30">
        <f t="shared" ref="U10" si="117">IF(T10=0,IF(VLOOKUP(U$3,$A$3:$F$14,4,FALSE)&gt;=$G10,10,0),0)</f>
        <v>10</v>
      </c>
      <c r="V10" s="30">
        <f t="shared" si="56"/>
        <v>0</v>
      </c>
      <c r="W10" s="30">
        <f t="shared" si="57"/>
        <v>0</v>
      </c>
      <c r="X10" s="30">
        <f t="shared" si="13"/>
        <v>0</v>
      </c>
      <c r="Y10" s="30">
        <f t="shared" ref="Y10" si="118">IF(X10=0,IF(VLOOKUP(Y$3,$A$3:$F$14,4,FALSE)&gt;=$G10,10,0),0)</f>
        <v>10</v>
      </c>
      <c r="Z10" s="30">
        <f t="shared" si="59"/>
        <v>0</v>
      </c>
      <c r="AA10" s="30">
        <f t="shared" si="60"/>
        <v>0</v>
      </c>
      <c r="AB10" s="30">
        <f t="shared" si="17"/>
        <v>10</v>
      </c>
      <c r="AC10" s="30">
        <f t="shared" ref="AC10" si="119">IF(AB10=0,IF(VLOOKUP(AC$3,$A$3:$F$14,4,FALSE)&gt;=$G10,10,0),0)</f>
        <v>0</v>
      </c>
      <c r="AD10" s="30">
        <f t="shared" si="62"/>
        <v>0</v>
      </c>
      <c r="AE10" s="30">
        <f t="shared" si="63"/>
        <v>0</v>
      </c>
      <c r="AF10" s="30">
        <f t="shared" si="21"/>
        <v>10</v>
      </c>
      <c r="AG10" s="30">
        <f t="shared" ref="AG10" si="120">IF(AF10=0,IF(VLOOKUP(AG$3,$A$3:$F$14,4,FALSE)&gt;=$G10,10,0),0)</f>
        <v>0</v>
      </c>
      <c r="AH10" s="30">
        <f t="shared" si="65"/>
        <v>0</v>
      </c>
      <c r="AI10" s="30">
        <f t="shared" si="66"/>
        <v>0</v>
      </c>
      <c r="AJ10" s="30">
        <f t="shared" si="25"/>
        <v>10</v>
      </c>
      <c r="AK10" s="30">
        <f t="shared" ref="AK10" si="121">IF(AJ10=0,IF(VLOOKUP(AK$3,$A$3:$F$14,4,FALSE)&gt;=$G10,10,0),0)</f>
        <v>0</v>
      </c>
      <c r="AL10" s="30">
        <f t="shared" si="68"/>
        <v>0</v>
      </c>
      <c r="AM10" s="30">
        <f t="shared" si="69"/>
        <v>0</v>
      </c>
      <c r="AN10" s="30">
        <f t="shared" si="29"/>
        <v>10</v>
      </c>
      <c r="AO10" s="30">
        <f t="shared" ref="AO10" si="122">IF(AN10=0,IF(VLOOKUP(AO$3,$A$3:$F$14,4,FALSE)&gt;=$G10,10,0),0)</f>
        <v>0</v>
      </c>
      <c r="AP10" s="30">
        <f t="shared" si="71"/>
        <v>0</v>
      </c>
      <c r="AQ10" s="30">
        <f t="shared" si="72"/>
        <v>0</v>
      </c>
      <c r="AR10" s="30">
        <f t="shared" si="33"/>
        <v>10</v>
      </c>
      <c r="AS10" s="30">
        <f t="shared" ref="AS10" si="123">IF(AR10=0,IF(VLOOKUP(AS$3,$A$3:$F$14,4,FALSE)&gt;=$G10,10,0),0)</f>
        <v>0</v>
      </c>
      <c r="AT10" s="30">
        <f t="shared" si="74"/>
        <v>0</v>
      </c>
      <c r="AU10" s="30">
        <f t="shared" si="75"/>
        <v>0</v>
      </c>
      <c r="AV10" s="30">
        <f t="shared" si="37"/>
        <v>10</v>
      </c>
      <c r="AW10" s="30">
        <f t="shared" ref="AW10" si="124">IF(AV10=0,IF(VLOOKUP(AW$3,$A$3:$F$14,4,FALSE)&gt;=$G10,10,0),0)</f>
        <v>0</v>
      </c>
      <c r="AX10" s="30">
        <f t="shared" si="77"/>
        <v>0</v>
      </c>
      <c r="AY10" s="30">
        <f t="shared" si="78"/>
        <v>0</v>
      </c>
      <c r="AZ10" s="30">
        <f t="shared" si="41"/>
        <v>10</v>
      </c>
      <c r="BA10" s="30">
        <f t="shared" ref="BA10" si="125">IF(AZ10=0,IF(VLOOKUP(BA$3,$A$3:$F$14,4,FALSE)&gt;=$G10,10,0),0)</f>
        <v>0</v>
      </c>
      <c r="BB10" s="30">
        <f t="shared" si="80"/>
        <v>0</v>
      </c>
      <c r="BC10" s="30">
        <f t="shared" si="81"/>
        <v>0</v>
      </c>
    </row>
    <row r="11" spans="1:55" x14ac:dyDescent="0.2">
      <c r="A11" s="26">
        <v>9</v>
      </c>
      <c r="B11" t="s">
        <v>26</v>
      </c>
      <c r="C11" s="25">
        <v>17</v>
      </c>
      <c r="D11" s="25">
        <v>20</v>
      </c>
      <c r="E11" s="25">
        <v>70</v>
      </c>
      <c r="F11" s="27">
        <f t="shared" si="0"/>
        <v>30</v>
      </c>
      <c r="G11" s="27">
        <v>7</v>
      </c>
      <c r="H11" s="21">
        <f t="shared" si="45"/>
        <v>0</v>
      </c>
      <c r="I11" s="28">
        <f t="shared" si="46"/>
        <v>0</v>
      </c>
      <c r="J11" s="28">
        <f t="shared" si="47"/>
        <v>0</v>
      </c>
      <c r="K11" s="30">
        <f t="shared" si="48"/>
        <v>10</v>
      </c>
      <c r="L11" s="30">
        <f t="shared" si="1"/>
        <v>0</v>
      </c>
      <c r="M11" s="30">
        <f t="shared" ref="M11" si="126">IF(L11=0,IF(VLOOKUP(M$3,$A$3:$F$14,4,FALSE)&gt;=$G11,10,0),0)</f>
        <v>0</v>
      </c>
      <c r="N11" s="30">
        <f t="shared" si="50"/>
        <v>10</v>
      </c>
      <c r="O11" s="30">
        <f t="shared" si="51"/>
        <v>0</v>
      </c>
      <c r="P11" s="30">
        <f t="shared" si="5"/>
        <v>0</v>
      </c>
      <c r="Q11" s="30">
        <f t="shared" ref="Q11" si="127">IF(P11=0,IF(VLOOKUP(Q$3,$A$3:$F$14,4,FALSE)&gt;=$G11,10,0),0)</f>
        <v>0</v>
      </c>
      <c r="R11" s="30">
        <f t="shared" si="53"/>
        <v>0</v>
      </c>
      <c r="S11" s="30">
        <f t="shared" si="54"/>
        <v>10</v>
      </c>
      <c r="T11" s="30">
        <f t="shared" si="9"/>
        <v>0</v>
      </c>
      <c r="U11" s="30">
        <f t="shared" ref="U11" si="128">IF(T11=0,IF(VLOOKUP(U$3,$A$3:$F$14,4,FALSE)&gt;=$G11,10,0),0)</f>
        <v>10</v>
      </c>
      <c r="V11" s="30">
        <f t="shared" si="56"/>
        <v>0</v>
      </c>
      <c r="W11" s="30">
        <f t="shared" si="57"/>
        <v>0</v>
      </c>
      <c r="X11" s="30">
        <f t="shared" si="13"/>
        <v>0</v>
      </c>
      <c r="Y11" s="30">
        <f t="shared" ref="Y11" si="129">IF(X11=0,IF(VLOOKUP(Y$3,$A$3:$F$14,4,FALSE)&gt;=$G11,10,0),0)</f>
        <v>10</v>
      </c>
      <c r="Z11" s="30">
        <f t="shared" si="59"/>
        <v>0</v>
      </c>
      <c r="AA11" s="30">
        <f t="shared" si="60"/>
        <v>0</v>
      </c>
      <c r="AB11" s="30">
        <f t="shared" si="17"/>
        <v>10</v>
      </c>
      <c r="AC11" s="30">
        <f t="shared" ref="AC11" si="130">IF(AB11=0,IF(VLOOKUP(AC$3,$A$3:$F$14,4,FALSE)&gt;=$G11,10,0),0)</f>
        <v>0</v>
      </c>
      <c r="AD11" s="30">
        <f t="shared" si="62"/>
        <v>0</v>
      </c>
      <c r="AE11" s="30">
        <f t="shared" si="63"/>
        <v>0</v>
      </c>
      <c r="AF11" s="30">
        <f t="shared" si="21"/>
        <v>10</v>
      </c>
      <c r="AG11" s="30">
        <f t="shared" ref="AG11" si="131">IF(AF11=0,IF(VLOOKUP(AG$3,$A$3:$F$14,4,FALSE)&gt;=$G11,10,0),0)</f>
        <v>0</v>
      </c>
      <c r="AH11" s="30">
        <f t="shared" si="65"/>
        <v>0</v>
      </c>
      <c r="AI11" s="30">
        <f t="shared" si="66"/>
        <v>0</v>
      </c>
      <c r="AJ11" s="30">
        <f t="shared" si="25"/>
        <v>10</v>
      </c>
      <c r="AK11" s="30">
        <f t="shared" ref="AK11" si="132">IF(AJ11=0,IF(VLOOKUP(AK$3,$A$3:$F$14,4,FALSE)&gt;=$G11,10,0),0)</f>
        <v>0</v>
      </c>
      <c r="AL11" s="30">
        <f t="shared" si="68"/>
        <v>0</v>
      </c>
      <c r="AM11" s="30">
        <f t="shared" si="69"/>
        <v>0</v>
      </c>
      <c r="AN11" s="30">
        <f t="shared" si="29"/>
        <v>10</v>
      </c>
      <c r="AO11" s="30">
        <f t="shared" ref="AO11" si="133">IF(AN11=0,IF(VLOOKUP(AO$3,$A$3:$F$14,4,FALSE)&gt;=$G11,10,0),0)</f>
        <v>0</v>
      </c>
      <c r="AP11" s="30">
        <f t="shared" si="71"/>
        <v>0</v>
      </c>
      <c r="AQ11" s="30">
        <f t="shared" si="72"/>
        <v>0</v>
      </c>
      <c r="AR11" s="30">
        <f t="shared" si="33"/>
        <v>10</v>
      </c>
      <c r="AS11" s="30">
        <f t="shared" ref="AS11" si="134">IF(AR11=0,IF(VLOOKUP(AS$3,$A$3:$F$14,4,FALSE)&gt;=$G11,10,0),0)</f>
        <v>0</v>
      </c>
      <c r="AT11" s="30">
        <f t="shared" si="74"/>
        <v>0</v>
      </c>
      <c r="AU11" s="30">
        <f t="shared" si="75"/>
        <v>0</v>
      </c>
      <c r="AV11" s="30">
        <f t="shared" si="37"/>
        <v>10</v>
      </c>
      <c r="AW11" s="30">
        <f t="shared" ref="AW11" si="135">IF(AV11=0,IF(VLOOKUP(AW$3,$A$3:$F$14,4,FALSE)&gt;=$G11,10,0),0)</f>
        <v>0</v>
      </c>
      <c r="AX11" s="30">
        <f t="shared" si="77"/>
        <v>0</v>
      </c>
      <c r="AY11" s="30">
        <f t="shared" si="78"/>
        <v>0</v>
      </c>
      <c r="AZ11" s="30">
        <f t="shared" si="41"/>
        <v>10</v>
      </c>
      <c r="BA11" s="30">
        <f t="shared" ref="BA11" si="136">IF(AZ11=0,IF(VLOOKUP(BA$3,$A$3:$F$14,4,FALSE)&gt;=$G11,10,0),0)</f>
        <v>0</v>
      </c>
      <c r="BB11" s="30">
        <f t="shared" si="80"/>
        <v>0</v>
      </c>
      <c r="BC11" s="30">
        <f t="shared" si="81"/>
        <v>0</v>
      </c>
    </row>
    <row r="12" spans="1:55" x14ac:dyDescent="0.2">
      <c r="A12" s="26">
        <v>10</v>
      </c>
      <c r="B12" t="s">
        <v>27</v>
      </c>
      <c r="C12" s="25">
        <v>15</v>
      </c>
      <c r="D12" s="25">
        <v>30</v>
      </c>
      <c r="E12" s="25">
        <v>90</v>
      </c>
      <c r="F12" s="27">
        <f t="shared" si="0"/>
        <v>10</v>
      </c>
      <c r="G12" s="27">
        <v>8</v>
      </c>
      <c r="H12" s="21">
        <f t="shared" si="45"/>
        <v>0</v>
      </c>
      <c r="I12" s="28">
        <f t="shared" si="46"/>
        <v>0</v>
      </c>
      <c r="J12" s="28">
        <f t="shared" si="47"/>
        <v>0</v>
      </c>
      <c r="K12" s="30">
        <f t="shared" si="48"/>
        <v>10</v>
      </c>
      <c r="L12" s="30">
        <f t="shared" si="1"/>
        <v>0</v>
      </c>
      <c r="M12" s="30">
        <f t="shared" ref="M12" si="137">IF(L12=0,IF(VLOOKUP(M$3,$A$3:$F$14,4,FALSE)&gt;=$G12,10,0),0)</f>
        <v>0</v>
      </c>
      <c r="N12" s="30">
        <f t="shared" si="50"/>
        <v>10</v>
      </c>
      <c r="O12" s="30">
        <f t="shared" si="51"/>
        <v>0</v>
      </c>
      <c r="P12" s="30">
        <f t="shared" si="5"/>
        <v>0</v>
      </c>
      <c r="Q12" s="30">
        <f t="shared" ref="Q12" si="138">IF(P12=0,IF(VLOOKUP(Q$3,$A$3:$F$14,4,FALSE)&gt;=$G12,10,0),0)</f>
        <v>0</v>
      </c>
      <c r="R12" s="30">
        <f t="shared" si="53"/>
        <v>0</v>
      </c>
      <c r="S12" s="30">
        <f t="shared" si="54"/>
        <v>10</v>
      </c>
      <c r="T12" s="30">
        <f t="shared" si="9"/>
        <v>0</v>
      </c>
      <c r="U12" s="30">
        <f t="shared" ref="U12" si="139">IF(T12=0,IF(VLOOKUP(U$3,$A$3:$F$14,4,FALSE)&gt;=$G12,10,0),0)</f>
        <v>10</v>
      </c>
      <c r="V12" s="30">
        <f t="shared" si="56"/>
        <v>0</v>
      </c>
      <c r="W12" s="30">
        <f t="shared" si="57"/>
        <v>0</v>
      </c>
      <c r="X12" s="30">
        <f t="shared" si="13"/>
        <v>0</v>
      </c>
      <c r="Y12" s="30">
        <f t="shared" ref="Y12" si="140">IF(X12=0,IF(VLOOKUP(Y$3,$A$3:$F$14,4,FALSE)&gt;=$G12,10,0),0)</f>
        <v>10</v>
      </c>
      <c r="Z12" s="30">
        <f t="shared" si="59"/>
        <v>0</v>
      </c>
      <c r="AA12" s="30">
        <f t="shared" si="60"/>
        <v>0</v>
      </c>
      <c r="AB12" s="30">
        <f t="shared" si="17"/>
        <v>10</v>
      </c>
      <c r="AC12" s="30">
        <f t="shared" ref="AC12" si="141">IF(AB12=0,IF(VLOOKUP(AC$3,$A$3:$F$14,4,FALSE)&gt;=$G12,10,0),0)</f>
        <v>0</v>
      </c>
      <c r="AD12" s="30">
        <f t="shared" si="62"/>
        <v>0</v>
      </c>
      <c r="AE12" s="30">
        <f t="shared" si="63"/>
        <v>0</v>
      </c>
      <c r="AF12" s="30">
        <f t="shared" si="21"/>
        <v>10</v>
      </c>
      <c r="AG12" s="30">
        <f t="shared" ref="AG12" si="142">IF(AF12=0,IF(VLOOKUP(AG$3,$A$3:$F$14,4,FALSE)&gt;=$G12,10,0),0)</f>
        <v>0</v>
      </c>
      <c r="AH12" s="30">
        <f t="shared" si="65"/>
        <v>0</v>
      </c>
      <c r="AI12" s="30">
        <f t="shared" si="66"/>
        <v>0</v>
      </c>
      <c r="AJ12" s="30">
        <f t="shared" si="25"/>
        <v>10</v>
      </c>
      <c r="AK12" s="30">
        <f t="shared" ref="AK12" si="143">IF(AJ12=0,IF(VLOOKUP(AK$3,$A$3:$F$14,4,FALSE)&gt;=$G12,10,0),0)</f>
        <v>0</v>
      </c>
      <c r="AL12" s="30">
        <f t="shared" si="68"/>
        <v>0</v>
      </c>
      <c r="AM12" s="30">
        <f t="shared" si="69"/>
        <v>0</v>
      </c>
      <c r="AN12" s="30">
        <f t="shared" si="29"/>
        <v>10</v>
      </c>
      <c r="AO12" s="30">
        <f t="shared" ref="AO12" si="144">IF(AN12=0,IF(VLOOKUP(AO$3,$A$3:$F$14,4,FALSE)&gt;=$G12,10,0),0)</f>
        <v>0</v>
      </c>
      <c r="AP12" s="30">
        <f t="shared" si="71"/>
        <v>0</v>
      </c>
      <c r="AQ12" s="30">
        <f t="shared" si="72"/>
        <v>0</v>
      </c>
      <c r="AR12" s="30">
        <f t="shared" si="33"/>
        <v>10</v>
      </c>
      <c r="AS12" s="30">
        <f t="shared" ref="AS12" si="145">IF(AR12=0,IF(VLOOKUP(AS$3,$A$3:$F$14,4,FALSE)&gt;=$G12,10,0),0)</f>
        <v>0</v>
      </c>
      <c r="AT12" s="30">
        <f t="shared" si="74"/>
        <v>0</v>
      </c>
      <c r="AU12" s="30">
        <f t="shared" si="75"/>
        <v>0</v>
      </c>
      <c r="AV12" s="30">
        <f t="shared" si="37"/>
        <v>10</v>
      </c>
      <c r="AW12" s="30">
        <f t="shared" ref="AW12" si="146">IF(AV12=0,IF(VLOOKUP(AW$3,$A$3:$F$14,4,FALSE)&gt;=$G12,10,0),0)</f>
        <v>0</v>
      </c>
      <c r="AX12" s="30">
        <f t="shared" si="77"/>
        <v>0</v>
      </c>
      <c r="AY12" s="30">
        <f t="shared" si="78"/>
        <v>0</v>
      </c>
      <c r="AZ12" s="30">
        <f t="shared" si="41"/>
        <v>10</v>
      </c>
      <c r="BA12" s="30">
        <f t="shared" ref="BA12" si="147">IF(AZ12=0,IF(VLOOKUP(BA$3,$A$3:$F$14,4,FALSE)&gt;=$G12,10,0),0)</f>
        <v>0</v>
      </c>
      <c r="BB12" s="30">
        <f t="shared" si="80"/>
        <v>0</v>
      </c>
      <c r="BC12" s="30">
        <f t="shared" si="81"/>
        <v>0</v>
      </c>
    </row>
    <row r="13" spans="1:55" x14ac:dyDescent="0.2">
      <c r="A13" s="26">
        <v>11</v>
      </c>
      <c r="B13" t="s">
        <v>28</v>
      </c>
      <c r="C13" s="25">
        <v>10</v>
      </c>
      <c r="D13" s="25">
        <v>30</v>
      </c>
      <c r="E13" s="25">
        <v>80</v>
      </c>
      <c r="F13" s="27">
        <f t="shared" si="0"/>
        <v>20</v>
      </c>
      <c r="G13" s="27">
        <v>9</v>
      </c>
      <c r="H13" s="21">
        <f t="shared" si="45"/>
        <v>0</v>
      </c>
      <c r="I13" s="28">
        <f t="shared" si="46"/>
        <v>0</v>
      </c>
      <c r="J13" s="28">
        <f t="shared" si="47"/>
        <v>0</v>
      </c>
      <c r="K13" s="30">
        <f t="shared" si="48"/>
        <v>10</v>
      </c>
      <c r="L13" s="30">
        <f t="shared" si="1"/>
        <v>0</v>
      </c>
      <c r="M13" s="30">
        <f t="shared" ref="M13" si="148">IF(L13=0,IF(VLOOKUP(M$3,$A$3:$F$14,4,FALSE)&gt;=$G13,10,0),0)</f>
        <v>0</v>
      </c>
      <c r="N13" s="30">
        <f t="shared" si="50"/>
        <v>0</v>
      </c>
      <c r="O13" s="30">
        <f t="shared" si="51"/>
        <v>10</v>
      </c>
      <c r="P13" s="30">
        <f t="shared" si="5"/>
        <v>0</v>
      </c>
      <c r="Q13" s="30">
        <f t="shared" ref="Q13" si="149">IF(P13=0,IF(VLOOKUP(Q$3,$A$3:$F$14,4,FALSE)&gt;=$G13,10,0),0)</f>
        <v>0</v>
      </c>
      <c r="R13" s="30">
        <f t="shared" si="53"/>
        <v>0</v>
      </c>
      <c r="S13" s="30">
        <f t="shared" si="54"/>
        <v>10</v>
      </c>
      <c r="T13" s="30">
        <f t="shared" si="9"/>
        <v>0</v>
      </c>
      <c r="U13" s="30">
        <f t="shared" ref="U13" si="150">IF(T13=0,IF(VLOOKUP(U$3,$A$3:$F$14,4,FALSE)&gt;=$G13,10,0),0)</f>
        <v>10</v>
      </c>
      <c r="V13" s="30">
        <f t="shared" si="56"/>
        <v>0</v>
      </c>
      <c r="W13" s="30">
        <f t="shared" si="57"/>
        <v>0</v>
      </c>
      <c r="X13" s="30">
        <f t="shared" si="13"/>
        <v>0</v>
      </c>
      <c r="Y13" s="30">
        <f t="shared" ref="Y13" si="151">IF(X13=0,IF(VLOOKUP(Y$3,$A$3:$F$14,4,FALSE)&gt;=$G13,10,0),0)</f>
        <v>10</v>
      </c>
      <c r="Z13" s="30">
        <f t="shared" si="59"/>
        <v>0</v>
      </c>
      <c r="AA13" s="30">
        <f t="shared" si="60"/>
        <v>0</v>
      </c>
      <c r="AB13" s="30">
        <f t="shared" si="17"/>
        <v>10</v>
      </c>
      <c r="AC13" s="30">
        <f t="shared" ref="AC13" si="152">IF(AB13=0,IF(VLOOKUP(AC$3,$A$3:$F$14,4,FALSE)&gt;=$G13,10,0),0)</f>
        <v>0</v>
      </c>
      <c r="AD13" s="30">
        <f t="shared" si="62"/>
        <v>0</v>
      </c>
      <c r="AE13" s="30">
        <f t="shared" si="63"/>
        <v>0</v>
      </c>
      <c r="AF13" s="30">
        <f t="shared" si="21"/>
        <v>10</v>
      </c>
      <c r="AG13" s="30">
        <f t="shared" ref="AG13" si="153">IF(AF13=0,IF(VLOOKUP(AG$3,$A$3:$F$14,4,FALSE)&gt;=$G13,10,0),0)</f>
        <v>0</v>
      </c>
      <c r="AH13" s="30">
        <f t="shared" si="65"/>
        <v>0</v>
      </c>
      <c r="AI13" s="30">
        <f t="shared" si="66"/>
        <v>0</v>
      </c>
      <c r="AJ13" s="30">
        <f t="shared" si="25"/>
        <v>10</v>
      </c>
      <c r="AK13" s="30">
        <f t="shared" ref="AK13" si="154">IF(AJ13=0,IF(VLOOKUP(AK$3,$A$3:$F$14,4,FALSE)&gt;=$G13,10,0),0)</f>
        <v>0</v>
      </c>
      <c r="AL13" s="30">
        <f t="shared" si="68"/>
        <v>0</v>
      </c>
      <c r="AM13" s="30">
        <f t="shared" si="69"/>
        <v>0</v>
      </c>
      <c r="AN13" s="30">
        <f t="shared" si="29"/>
        <v>10</v>
      </c>
      <c r="AO13" s="30">
        <f t="shared" ref="AO13" si="155">IF(AN13=0,IF(VLOOKUP(AO$3,$A$3:$F$14,4,FALSE)&gt;=$G13,10,0),0)</f>
        <v>0</v>
      </c>
      <c r="AP13" s="30">
        <f t="shared" si="71"/>
        <v>0</v>
      </c>
      <c r="AQ13" s="30">
        <f t="shared" si="72"/>
        <v>0</v>
      </c>
      <c r="AR13" s="30">
        <f t="shared" si="33"/>
        <v>10</v>
      </c>
      <c r="AS13" s="30">
        <f t="shared" ref="AS13" si="156">IF(AR13=0,IF(VLOOKUP(AS$3,$A$3:$F$14,4,FALSE)&gt;=$G13,10,0),0)</f>
        <v>0</v>
      </c>
      <c r="AT13" s="30">
        <f t="shared" si="74"/>
        <v>0</v>
      </c>
      <c r="AU13" s="30">
        <f t="shared" si="75"/>
        <v>0</v>
      </c>
      <c r="AV13" s="30">
        <f t="shared" si="37"/>
        <v>10</v>
      </c>
      <c r="AW13" s="30">
        <f t="shared" ref="AW13" si="157">IF(AV13=0,IF(VLOOKUP(AW$3,$A$3:$F$14,4,FALSE)&gt;=$G13,10,0),0)</f>
        <v>0</v>
      </c>
      <c r="AX13" s="30">
        <f t="shared" si="77"/>
        <v>0</v>
      </c>
      <c r="AY13" s="30">
        <f t="shared" si="78"/>
        <v>0</v>
      </c>
      <c r="AZ13" s="30">
        <f t="shared" si="41"/>
        <v>0</v>
      </c>
      <c r="BA13" s="30">
        <f t="shared" ref="BA13" si="158">IF(AZ13=0,IF(VLOOKUP(BA$3,$A$3:$F$14,4,FALSE)&gt;=$G13,10,0),0)</f>
        <v>10</v>
      </c>
      <c r="BB13" s="30">
        <f t="shared" si="80"/>
        <v>0</v>
      </c>
      <c r="BC13" s="30">
        <f t="shared" si="81"/>
        <v>0</v>
      </c>
    </row>
    <row r="14" spans="1:55" x14ac:dyDescent="0.2">
      <c r="A14" s="26">
        <v>12</v>
      </c>
      <c r="B14" t="s">
        <v>29</v>
      </c>
      <c r="C14" s="25">
        <v>8</v>
      </c>
      <c r="D14" s="25">
        <v>20</v>
      </c>
      <c r="E14" s="25">
        <v>40</v>
      </c>
      <c r="F14" s="27">
        <f t="shared" si="0"/>
        <v>60</v>
      </c>
      <c r="G14" s="27">
        <v>10</v>
      </c>
      <c r="H14" s="21">
        <f t="shared" si="45"/>
        <v>0</v>
      </c>
      <c r="I14" s="28">
        <f t="shared" si="46"/>
        <v>0</v>
      </c>
      <c r="J14" s="28">
        <f t="shared" si="47"/>
        <v>0</v>
      </c>
      <c r="K14" s="30">
        <f t="shared" si="48"/>
        <v>10</v>
      </c>
      <c r="L14" s="30">
        <f t="shared" si="1"/>
        <v>0</v>
      </c>
      <c r="M14" s="30">
        <f t="shared" ref="M14" si="159">IF(L14=0,IF(VLOOKUP(M$3,$A$3:$F$14,4,FALSE)&gt;=$G14,10,0),0)</f>
        <v>0</v>
      </c>
      <c r="N14" s="30">
        <f t="shared" si="50"/>
        <v>0</v>
      </c>
      <c r="O14" s="30">
        <f t="shared" si="51"/>
        <v>10</v>
      </c>
      <c r="P14" s="30">
        <f t="shared" si="5"/>
        <v>0</v>
      </c>
      <c r="Q14" s="30">
        <f t="shared" ref="Q14" si="160">IF(P14=0,IF(VLOOKUP(Q$3,$A$3:$F$14,4,FALSE)&gt;=$G14,10,0),0)</f>
        <v>0</v>
      </c>
      <c r="R14" s="30">
        <f t="shared" si="53"/>
        <v>0</v>
      </c>
      <c r="S14" s="30">
        <f t="shared" si="54"/>
        <v>10</v>
      </c>
      <c r="T14" s="30">
        <f t="shared" si="9"/>
        <v>0</v>
      </c>
      <c r="U14" s="30">
        <f t="shared" ref="U14" si="161">IF(T14=0,IF(VLOOKUP(U$3,$A$3:$F$14,4,FALSE)&gt;=$G14,10,0),0)</f>
        <v>10</v>
      </c>
      <c r="V14" s="30">
        <f t="shared" si="56"/>
        <v>0</v>
      </c>
      <c r="W14" s="30">
        <f t="shared" si="57"/>
        <v>0</v>
      </c>
      <c r="X14" s="30">
        <f t="shared" si="13"/>
        <v>0</v>
      </c>
      <c r="Y14" s="30">
        <f t="shared" ref="Y14" si="162">IF(X14=0,IF(VLOOKUP(Y$3,$A$3:$F$14,4,FALSE)&gt;=$G14,10,0),0)</f>
        <v>10</v>
      </c>
      <c r="Z14" s="30">
        <f t="shared" si="59"/>
        <v>0</v>
      </c>
      <c r="AA14" s="30">
        <f t="shared" si="60"/>
        <v>0</v>
      </c>
      <c r="AB14" s="30">
        <f t="shared" si="17"/>
        <v>10</v>
      </c>
      <c r="AC14" s="30">
        <f t="shared" ref="AC14" si="163">IF(AB14=0,IF(VLOOKUP(AC$3,$A$3:$F$14,4,FALSE)&gt;=$G14,10,0),0)</f>
        <v>0</v>
      </c>
      <c r="AD14" s="30">
        <f t="shared" si="62"/>
        <v>0</v>
      </c>
      <c r="AE14" s="30">
        <f t="shared" si="63"/>
        <v>0</v>
      </c>
      <c r="AF14" s="30">
        <f t="shared" si="21"/>
        <v>10</v>
      </c>
      <c r="AG14" s="30">
        <f t="shared" ref="AG14" si="164">IF(AF14=0,IF(VLOOKUP(AG$3,$A$3:$F$14,4,FALSE)&gt;=$G14,10,0),0)</f>
        <v>0</v>
      </c>
      <c r="AH14" s="30">
        <f t="shared" si="65"/>
        <v>0</v>
      </c>
      <c r="AI14" s="30">
        <f t="shared" si="66"/>
        <v>0</v>
      </c>
      <c r="AJ14" s="30">
        <f t="shared" si="25"/>
        <v>10</v>
      </c>
      <c r="AK14" s="30">
        <f t="shared" ref="AK14" si="165">IF(AJ14=0,IF(VLOOKUP(AK$3,$A$3:$F$14,4,FALSE)&gt;=$G14,10,0),0)</f>
        <v>0</v>
      </c>
      <c r="AL14" s="30">
        <f t="shared" si="68"/>
        <v>0</v>
      </c>
      <c r="AM14" s="30">
        <f t="shared" si="69"/>
        <v>0</v>
      </c>
      <c r="AN14" s="30">
        <f t="shared" si="29"/>
        <v>10</v>
      </c>
      <c r="AO14" s="30">
        <f t="shared" ref="AO14" si="166">IF(AN14=0,IF(VLOOKUP(AO$3,$A$3:$F$14,4,FALSE)&gt;=$G14,10,0),0)</f>
        <v>0</v>
      </c>
      <c r="AP14" s="30">
        <f t="shared" si="71"/>
        <v>0</v>
      </c>
      <c r="AQ14" s="30">
        <f t="shared" si="72"/>
        <v>0</v>
      </c>
      <c r="AR14" s="30">
        <f t="shared" si="33"/>
        <v>10</v>
      </c>
      <c r="AS14" s="30">
        <f t="shared" ref="AS14" si="167">IF(AR14=0,IF(VLOOKUP(AS$3,$A$3:$F$14,4,FALSE)&gt;=$G14,10,0),0)</f>
        <v>0</v>
      </c>
      <c r="AT14" s="30">
        <f t="shared" si="74"/>
        <v>0</v>
      </c>
      <c r="AU14" s="30">
        <f t="shared" si="75"/>
        <v>0</v>
      </c>
      <c r="AV14" s="30">
        <f t="shared" si="37"/>
        <v>10</v>
      </c>
      <c r="AW14" s="30">
        <f t="shared" ref="AW14" si="168">IF(AV14=0,IF(VLOOKUP(AW$3,$A$3:$F$14,4,FALSE)&gt;=$G14,10,0),0)</f>
        <v>0</v>
      </c>
      <c r="AX14" s="30">
        <f t="shared" si="77"/>
        <v>0</v>
      </c>
      <c r="AY14" s="30">
        <f t="shared" si="78"/>
        <v>0</v>
      </c>
      <c r="AZ14" s="30">
        <f t="shared" si="41"/>
        <v>0</v>
      </c>
      <c r="BA14" s="30">
        <f t="shared" ref="BA14" si="169">IF(AZ14=0,IF(VLOOKUP(BA$3,$A$3:$F$14,4,FALSE)&gt;=$G14,10,0),0)</f>
        <v>10</v>
      </c>
      <c r="BB14" s="30">
        <f t="shared" si="80"/>
        <v>0</v>
      </c>
      <c r="BC14" s="30">
        <f t="shared" si="81"/>
        <v>0</v>
      </c>
    </row>
    <row r="15" spans="1:55" x14ac:dyDescent="0.2">
      <c r="G15" s="19">
        <v>11</v>
      </c>
      <c r="H15" s="21">
        <f t="shared" si="45"/>
        <v>0</v>
      </c>
      <c r="I15" s="28">
        <f t="shared" si="46"/>
        <v>0</v>
      </c>
      <c r="J15" s="28">
        <f t="shared" si="47"/>
        <v>0</v>
      </c>
      <c r="K15" s="30">
        <f t="shared" si="48"/>
        <v>10</v>
      </c>
      <c r="L15" s="30">
        <f t="shared" si="1"/>
        <v>0</v>
      </c>
      <c r="M15" s="30">
        <f t="shared" ref="M15" si="170">IF(L15=0,IF(VLOOKUP(M$3,$A$3:$F$14,4,FALSE)&gt;=$G15,10,0),0)</f>
        <v>0</v>
      </c>
      <c r="N15" s="30">
        <f t="shared" si="50"/>
        <v>0</v>
      </c>
      <c r="O15" s="30">
        <f t="shared" si="51"/>
        <v>10</v>
      </c>
      <c r="P15" s="30">
        <f t="shared" si="5"/>
        <v>0</v>
      </c>
      <c r="Q15" s="30">
        <f t="shared" ref="Q15" si="171">IF(P15=0,IF(VLOOKUP(Q$3,$A$3:$F$14,4,FALSE)&gt;=$G15,10,0),0)</f>
        <v>0</v>
      </c>
      <c r="R15" s="30">
        <f t="shared" si="53"/>
        <v>0</v>
      </c>
      <c r="S15" s="30">
        <f t="shared" si="54"/>
        <v>10</v>
      </c>
      <c r="T15" s="30">
        <f t="shared" si="9"/>
        <v>0</v>
      </c>
      <c r="U15" s="30">
        <f t="shared" ref="U15" si="172">IF(T15=0,IF(VLOOKUP(U$3,$A$3:$F$14,4,FALSE)&gt;=$G15,10,0),0)</f>
        <v>0</v>
      </c>
      <c r="V15" s="30">
        <f t="shared" si="56"/>
        <v>10</v>
      </c>
      <c r="W15" s="30">
        <f t="shared" si="57"/>
        <v>0</v>
      </c>
      <c r="X15" s="30">
        <f t="shared" si="13"/>
        <v>0</v>
      </c>
      <c r="Y15" s="30">
        <f t="shared" ref="Y15" si="173">IF(X15=0,IF(VLOOKUP(Y$3,$A$3:$F$14,4,FALSE)&gt;=$G15,10,0),0)</f>
        <v>0</v>
      </c>
      <c r="Z15" s="30">
        <f t="shared" si="59"/>
        <v>10</v>
      </c>
      <c r="AA15" s="30">
        <f t="shared" si="60"/>
        <v>0</v>
      </c>
      <c r="AB15" s="30">
        <f t="shared" si="17"/>
        <v>10</v>
      </c>
      <c r="AC15" s="30">
        <f t="shared" ref="AC15" si="174">IF(AB15=0,IF(VLOOKUP(AC$3,$A$3:$F$14,4,FALSE)&gt;=$G15,10,0),0)</f>
        <v>0</v>
      </c>
      <c r="AD15" s="30">
        <f t="shared" si="62"/>
        <v>0</v>
      </c>
      <c r="AE15" s="30">
        <f t="shared" si="63"/>
        <v>0</v>
      </c>
      <c r="AF15" s="30">
        <f t="shared" si="21"/>
        <v>10</v>
      </c>
      <c r="AG15" s="30">
        <f t="shared" ref="AG15" si="175">IF(AF15=0,IF(VLOOKUP(AG$3,$A$3:$F$14,4,FALSE)&gt;=$G15,10,0),0)</f>
        <v>0</v>
      </c>
      <c r="AH15" s="30">
        <f t="shared" si="65"/>
        <v>0</v>
      </c>
      <c r="AI15" s="30">
        <f t="shared" si="66"/>
        <v>0</v>
      </c>
      <c r="AJ15" s="30">
        <f t="shared" si="25"/>
        <v>10</v>
      </c>
      <c r="AK15" s="30">
        <f t="shared" ref="AK15" si="176">IF(AJ15=0,IF(VLOOKUP(AK$3,$A$3:$F$14,4,FALSE)&gt;=$G15,10,0),0)</f>
        <v>0</v>
      </c>
      <c r="AL15" s="30">
        <f t="shared" si="68"/>
        <v>0</v>
      </c>
      <c r="AM15" s="30">
        <f t="shared" si="69"/>
        <v>0</v>
      </c>
      <c r="AN15" s="30">
        <f t="shared" si="29"/>
        <v>10</v>
      </c>
      <c r="AO15" s="30">
        <f t="shared" ref="AO15" si="177">IF(AN15=0,IF(VLOOKUP(AO$3,$A$3:$F$14,4,FALSE)&gt;=$G15,10,0),0)</f>
        <v>0</v>
      </c>
      <c r="AP15" s="30">
        <f t="shared" si="71"/>
        <v>0</v>
      </c>
      <c r="AQ15" s="30">
        <f t="shared" si="72"/>
        <v>0</v>
      </c>
      <c r="AR15" s="30">
        <f t="shared" si="33"/>
        <v>10</v>
      </c>
      <c r="AS15" s="30">
        <f t="shared" ref="AS15" si="178">IF(AR15=0,IF(VLOOKUP(AS$3,$A$3:$F$14,4,FALSE)&gt;=$G15,10,0),0)</f>
        <v>0</v>
      </c>
      <c r="AT15" s="30">
        <f t="shared" si="74"/>
        <v>0</v>
      </c>
      <c r="AU15" s="30">
        <f t="shared" si="75"/>
        <v>0</v>
      </c>
      <c r="AV15" s="30">
        <f t="shared" si="37"/>
        <v>0</v>
      </c>
      <c r="AW15" s="30">
        <f t="shared" ref="AW15" si="179">IF(AV15=0,IF(VLOOKUP(AW$3,$A$3:$F$14,4,FALSE)&gt;=$G15,10,0),0)</f>
        <v>10</v>
      </c>
      <c r="AX15" s="30">
        <f t="shared" si="77"/>
        <v>0</v>
      </c>
      <c r="AY15" s="30">
        <f t="shared" si="78"/>
        <v>0</v>
      </c>
      <c r="AZ15" s="30">
        <f t="shared" si="41"/>
        <v>0</v>
      </c>
      <c r="BA15" s="30">
        <f t="shared" ref="BA15" si="180">IF(AZ15=0,IF(VLOOKUP(BA$3,$A$3:$F$14,4,FALSE)&gt;=$G15,10,0),0)</f>
        <v>10</v>
      </c>
      <c r="BB15" s="30">
        <f t="shared" si="80"/>
        <v>0</v>
      </c>
      <c r="BC15" s="30">
        <f t="shared" si="81"/>
        <v>0</v>
      </c>
    </row>
    <row r="16" spans="1:55" x14ac:dyDescent="0.2">
      <c r="G16" s="19">
        <v>12</v>
      </c>
      <c r="H16" s="21">
        <f t="shared" si="45"/>
        <v>0</v>
      </c>
      <c r="I16" s="28">
        <f t="shared" si="46"/>
        <v>0</v>
      </c>
      <c r="J16" s="28">
        <f t="shared" si="47"/>
        <v>0</v>
      </c>
      <c r="K16" s="30">
        <f t="shared" si="48"/>
        <v>10</v>
      </c>
      <c r="L16" s="30">
        <f t="shared" si="1"/>
        <v>0</v>
      </c>
      <c r="M16" s="30">
        <f t="shared" ref="M16" si="181">IF(L16=0,IF(VLOOKUP(M$3,$A$3:$F$14,4,FALSE)&gt;=$G16,10,0),0)</f>
        <v>0</v>
      </c>
      <c r="N16" s="30">
        <f t="shared" si="50"/>
        <v>0</v>
      </c>
      <c r="O16" s="30">
        <f t="shared" si="51"/>
        <v>10</v>
      </c>
      <c r="P16" s="30">
        <f t="shared" si="5"/>
        <v>0</v>
      </c>
      <c r="Q16" s="30">
        <f t="shared" ref="Q16" si="182">IF(P16=0,IF(VLOOKUP(Q$3,$A$3:$F$14,4,FALSE)&gt;=$G16,10,0),0)</f>
        <v>0</v>
      </c>
      <c r="R16" s="30">
        <f t="shared" si="53"/>
        <v>0</v>
      </c>
      <c r="S16" s="30">
        <f t="shared" si="54"/>
        <v>10</v>
      </c>
      <c r="T16" s="30">
        <f t="shared" si="9"/>
        <v>0</v>
      </c>
      <c r="U16" s="30">
        <f t="shared" ref="U16" si="183">IF(T16=0,IF(VLOOKUP(U$3,$A$3:$F$14,4,FALSE)&gt;=$G16,10,0),0)</f>
        <v>0</v>
      </c>
      <c r="V16" s="30">
        <f t="shared" si="56"/>
        <v>10</v>
      </c>
      <c r="W16" s="30">
        <f t="shared" si="57"/>
        <v>0</v>
      </c>
      <c r="X16" s="30">
        <f t="shared" si="13"/>
        <v>0</v>
      </c>
      <c r="Y16" s="30">
        <f t="shared" ref="Y16" si="184">IF(X16=0,IF(VLOOKUP(Y$3,$A$3:$F$14,4,FALSE)&gt;=$G16,10,0),0)</f>
        <v>0</v>
      </c>
      <c r="Z16" s="30">
        <f t="shared" si="59"/>
        <v>10</v>
      </c>
      <c r="AA16" s="30">
        <f t="shared" si="60"/>
        <v>0</v>
      </c>
      <c r="AB16" s="30">
        <f t="shared" si="17"/>
        <v>10</v>
      </c>
      <c r="AC16" s="30">
        <f t="shared" ref="AC16" si="185">IF(AB16=0,IF(VLOOKUP(AC$3,$A$3:$F$14,4,FALSE)&gt;=$G16,10,0),0)</f>
        <v>0</v>
      </c>
      <c r="AD16" s="30">
        <f t="shared" si="62"/>
        <v>0</v>
      </c>
      <c r="AE16" s="30">
        <f t="shared" si="63"/>
        <v>0</v>
      </c>
      <c r="AF16" s="30">
        <f t="shared" si="21"/>
        <v>10</v>
      </c>
      <c r="AG16" s="30">
        <f t="shared" ref="AG16" si="186">IF(AF16=0,IF(VLOOKUP(AG$3,$A$3:$F$14,4,FALSE)&gt;=$G16,10,0),0)</f>
        <v>0</v>
      </c>
      <c r="AH16" s="30">
        <f t="shared" si="65"/>
        <v>0</v>
      </c>
      <c r="AI16" s="30">
        <f t="shared" si="66"/>
        <v>0</v>
      </c>
      <c r="AJ16" s="30">
        <f t="shared" si="25"/>
        <v>10</v>
      </c>
      <c r="AK16" s="30">
        <f t="shared" ref="AK16" si="187">IF(AJ16=0,IF(VLOOKUP(AK$3,$A$3:$F$14,4,FALSE)&gt;=$G16,10,0),0)</f>
        <v>0</v>
      </c>
      <c r="AL16" s="30">
        <f t="shared" si="68"/>
        <v>0</v>
      </c>
      <c r="AM16" s="30">
        <f t="shared" si="69"/>
        <v>0</v>
      </c>
      <c r="AN16" s="30">
        <f t="shared" si="29"/>
        <v>10</v>
      </c>
      <c r="AO16" s="30">
        <f t="shared" ref="AO16" si="188">IF(AN16=0,IF(VLOOKUP(AO$3,$A$3:$F$14,4,FALSE)&gt;=$G16,10,0),0)</f>
        <v>0</v>
      </c>
      <c r="AP16" s="30">
        <f t="shared" si="71"/>
        <v>0</v>
      </c>
      <c r="AQ16" s="30">
        <f t="shared" si="72"/>
        <v>0</v>
      </c>
      <c r="AR16" s="30">
        <f t="shared" si="33"/>
        <v>10</v>
      </c>
      <c r="AS16" s="30">
        <f t="shared" ref="AS16" si="189">IF(AR16=0,IF(VLOOKUP(AS$3,$A$3:$F$14,4,FALSE)&gt;=$G16,10,0),0)</f>
        <v>0</v>
      </c>
      <c r="AT16" s="30">
        <f t="shared" si="74"/>
        <v>0</v>
      </c>
      <c r="AU16" s="30">
        <f t="shared" si="75"/>
        <v>0</v>
      </c>
      <c r="AV16" s="30">
        <f t="shared" si="37"/>
        <v>0</v>
      </c>
      <c r="AW16" s="30">
        <f t="shared" ref="AW16" si="190">IF(AV16=0,IF(VLOOKUP(AW$3,$A$3:$F$14,4,FALSE)&gt;=$G16,10,0),0)</f>
        <v>10</v>
      </c>
      <c r="AX16" s="30">
        <f t="shared" si="77"/>
        <v>0</v>
      </c>
      <c r="AY16" s="30">
        <f t="shared" si="78"/>
        <v>0</v>
      </c>
      <c r="AZ16" s="30">
        <f t="shared" si="41"/>
        <v>0</v>
      </c>
      <c r="BA16" s="30">
        <f t="shared" ref="BA16" si="191">IF(AZ16=0,IF(VLOOKUP(BA$3,$A$3:$F$14,4,FALSE)&gt;=$G16,10,0),0)</f>
        <v>10</v>
      </c>
      <c r="BB16" s="30">
        <f t="shared" si="80"/>
        <v>0</v>
      </c>
      <c r="BC16" s="30">
        <f t="shared" si="81"/>
        <v>0</v>
      </c>
    </row>
    <row r="17" spans="3:55" x14ac:dyDescent="0.2">
      <c r="G17" s="19">
        <v>13</v>
      </c>
      <c r="H17" s="21">
        <f t="shared" si="45"/>
        <v>0</v>
      </c>
      <c r="I17" s="28">
        <f t="shared" si="46"/>
        <v>0</v>
      </c>
      <c r="J17" s="28">
        <f t="shared" si="47"/>
        <v>0</v>
      </c>
      <c r="K17" s="30">
        <f t="shared" si="48"/>
        <v>10</v>
      </c>
      <c r="L17" s="30">
        <f t="shared" si="1"/>
        <v>0</v>
      </c>
      <c r="M17" s="30">
        <f t="shared" ref="M17" si="192">IF(L17=0,IF(VLOOKUP(M$3,$A$3:$F$14,4,FALSE)&gt;=$G17,10,0),0)</f>
        <v>0</v>
      </c>
      <c r="N17" s="30">
        <f t="shared" si="50"/>
        <v>0</v>
      </c>
      <c r="O17" s="30">
        <f t="shared" si="51"/>
        <v>10</v>
      </c>
      <c r="P17" s="30">
        <f t="shared" si="5"/>
        <v>0</v>
      </c>
      <c r="Q17" s="30">
        <f t="shared" ref="Q17" si="193">IF(P17=0,IF(VLOOKUP(Q$3,$A$3:$F$14,4,FALSE)&gt;=$G17,10,0),0)</f>
        <v>0</v>
      </c>
      <c r="R17" s="30">
        <f t="shared" si="53"/>
        <v>0</v>
      </c>
      <c r="S17" s="30">
        <f t="shared" si="54"/>
        <v>10</v>
      </c>
      <c r="T17" s="30">
        <f t="shared" si="9"/>
        <v>0</v>
      </c>
      <c r="U17" s="30">
        <f t="shared" ref="U17" si="194">IF(T17=0,IF(VLOOKUP(U$3,$A$3:$F$14,4,FALSE)&gt;=$G17,10,0),0)</f>
        <v>0</v>
      </c>
      <c r="V17" s="30">
        <f t="shared" si="56"/>
        <v>10</v>
      </c>
      <c r="W17" s="30">
        <f t="shared" si="57"/>
        <v>0</v>
      </c>
      <c r="X17" s="30">
        <f t="shared" si="13"/>
        <v>0</v>
      </c>
      <c r="Y17" s="30">
        <f t="shared" ref="Y17" si="195">IF(X17=0,IF(VLOOKUP(Y$3,$A$3:$F$14,4,FALSE)&gt;=$G17,10,0),0)</f>
        <v>0</v>
      </c>
      <c r="Z17" s="30">
        <f t="shared" si="59"/>
        <v>10</v>
      </c>
      <c r="AA17" s="30">
        <f t="shared" si="60"/>
        <v>0</v>
      </c>
      <c r="AB17" s="30">
        <f t="shared" si="17"/>
        <v>10</v>
      </c>
      <c r="AC17" s="30">
        <f t="shared" ref="AC17" si="196">IF(AB17=0,IF(VLOOKUP(AC$3,$A$3:$F$14,4,FALSE)&gt;=$G17,10,0),0)</f>
        <v>0</v>
      </c>
      <c r="AD17" s="30">
        <f t="shared" si="62"/>
        <v>0</v>
      </c>
      <c r="AE17" s="30">
        <f t="shared" si="63"/>
        <v>0</v>
      </c>
      <c r="AF17" s="30">
        <f t="shared" si="21"/>
        <v>10</v>
      </c>
      <c r="AG17" s="30">
        <f t="shared" ref="AG17" si="197">IF(AF17=0,IF(VLOOKUP(AG$3,$A$3:$F$14,4,FALSE)&gt;=$G17,10,0),0)</f>
        <v>0</v>
      </c>
      <c r="AH17" s="30">
        <f t="shared" si="65"/>
        <v>0</v>
      </c>
      <c r="AI17" s="30">
        <f t="shared" si="66"/>
        <v>0</v>
      </c>
      <c r="AJ17" s="30">
        <f t="shared" si="25"/>
        <v>10</v>
      </c>
      <c r="AK17" s="30">
        <f t="shared" ref="AK17" si="198">IF(AJ17=0,IF(VLOOKUP(AK$3,$A$3:$F$14,4,FALSE)&gt;=$G17,10,0),0)</f>
        <v>0</v>
      </c>
      <c r="AL17" s="30">
        <f t="shared" si="68"/>
        <v>0</v>
      </c>
      <c r="AM17" s="30">
        <f t="shared" si="69"/>
        <v>0</v>
      </c>
      <c r="AN17" s="30">
        <f t="shared" si="29"/>
        <v>10</v>
      </c>
      <c r="AO17" s="30">
        <f t="shared" ref="AO17" si="199">IF(AN17=0,IF(VLOOKUP(AO$3,$A$3:$F$14,4,FALSE)&gt;=$G17,10,0),0)</f>
        <v>0</v>
      </c>
      <c r="AP17" s="30">
        <f t="shared" si="71"/>
        <v>0</v>
      </c>
      <c r="AQ17" s="30">
        <f t="shared" si="72"/>
        <v>0</v>
      </c>
      <c r="AR17" s="30">
        <f t="shared" si="33"/>
        <v>10</v>
      </c>
      <c r="AS17" s="30">
        <f t="shared" ref="AS17" si="200">IF(AR17=0,IF(VLOOKUP(AS$3,$A$3:$F$14,4,FALSE)&gt;=$G17,10,0),0)</f>
        <v>0</v>
      </c>
      <c r="AT17" s="30">
        <f t="shared" si="74"/>
        <v>0</v>
      </c>
      <c r="AU17" s="30">
        <f t="shared" si="75"/>
        <v>0</v>
      </c>
      <c r="AV17" s="30">
        <f t="shared" si="37"/>
        <v>0</v>
      </c>
      <c r="AW17" s="30">
        <f t="shared" ref="AW17" si="201">IF(AV17=0,IF(VLOOKUP(AW$3,$A$3:$F$14,4,FALSE)&gt;=$G17,10,0),0)</f>
        <v>10</v>
      </c>
      <c r="AX17" s="30">
        <f t="shared" si="77"/>
        <v>0</v>
      </c>
      <c r="AY17" s="30">
        <f t="shared" si="78"/>
        <v>0</v>
      </c>
      <c r="AZ17" s="30">
        <f t="shared" si="41"/>
        <v>0</v>
      </c>
      <c r="BA17" s="30">
        <f t="shared" ref="BA17" si="202">IF(AZ17=0,IF(VLOOKUP(BA$3,$A$3:$F$14,4,FALSE)&gt;=$G17,10,0),0)</f>
        <v>10</v>
      </c>
      <c r="BB17" s="30">
        <f t="shared" si="80"/>
        <v>0</v>
      </c>
      <c r="BC17" s="30">
        <f t="shared" si="81"/>
        <v>0</v>
      </c>
    </row>
    <row r="18" spans="3:55" x14ac:dyDescent="0.2">
      <c r="C18" s="26"/>
      <c r="D18" s="26"/>
      <c r="G18" s="19">
        <v>14</v>
      </c>
      <c r="H18" s="21">
        <f t="shared" si="45"/>
        <v>0</v>
      </c>
      <c r="I18" s="28">
        <f t="shared" si="46"/>
        <v>0</v>
      </c>
      <c r="J18" s="28">
        <f t="shared" si="47"/>
        <v>0</v>
      </c>
      <c r="K18" s="30">
        <f t="shared" si="48"/>
        <v>10</v>
      </c>
      <c r="L18" s="30">
        <f t="shared" si="1"/>
        <v>0</v>
      </c>
      <c r="M18" s="30">
        <f t="shared" ref="M18" si="203">IF(L18=0,IF(VLOOKUP(M$3,$A$3:$F$14,4,FALSE)&gt;=$G18,10,0),0)</f>
        <v>0</v>
      </c>
      <c r="N18" s="30">
        <f t="shared" si="50"/>
        <v>0</v>
      </c>
      <c r="O18" s="30">
        <f t="shared" si="51"/>
        <v>10</v>
      </c>
      <c r="P18" s="30">
        <f t="shared" si="5"/>
        <v>0</v>
      </c>
      <c r="Q18" s="30">
        <f t="shared" ref="Q18" si="204">IF(P18=0,IF(VLOOKUP(Q$3,$A$3:$F$14,4,FALSE)&gt;=$G18,10,0),0)</f>
        <v>0</v>
      </c>
      <c r="R18" s="30">
        <f t="shared" si="53"/>
        <v>0</v>
      </c>
      <c r="S18" s="30">
        <f t="shared" si="54"/>
        <v>10</v>
      </c>
      <c r="T18" s="30">
        <f t="shared" si="9"/>
        <v>0</v>
      </c>
      <c r="U18" s="30">
        <f t="shared" ref="U18" si="205">IF(T18=0,IF(VLOOKUP(U$3,$A$3:$F$14,4,FALSE)&gt;=$G18,10,0),0)</f>
        <v>0</v>
      </c>
      <c r="V18" s="30">
        <f t="shared" si="56"/>
        <v>10</v>
      </c>
      <c r="W18" s="30">
        <f t="shared" si="57"/>
        <v>0</v>
      </c>
      <c r="X18" s="30">
        <f t="shared" si="13"/>
        <v>0</v>
      </c>
      <c r="Y18" s="30">
        <f t="shared" ref="Y18" si="206">IF(X18=0,IF(VLOOKUP(Y$3,$A$3:$F$14,4,FALSE)&gt;=$G18,10,0),0)</f>
        <v>0</v>
      </c>
      <c r="Z18" s="30">
        <f t="shared" si="59"/>
        <v>10</v>
      </c>
      <c r="AA18" s="30">
        <f t="shared" si="60"/>
        <v>0</v>
      </c>
      <c r="AB18" s="30">
        <f t="shared" si="17"/>
        <v>0</v>
      </c>
      <c r="AC18" s="30">
        <f t="shared" ref="AC18" si="207">IF(AB18=0,IF(VLOOKUP(AC$3,$A$3:$F$14,4,FALSE)&gt;=$G18,10,0),0)</f>
        <v>10</v>
      </c>
      <c r="AD18" s="30">
        <f t="shared" si="62"/>
        <v>0</v>
      </c>
      <c r="AE18" s="30">
        <f t="shared" si="63"/>
        <v>0</v>
      </c>
      <c r="AF18" s="30">
        <f t="shared" si="21"/>
        <v>10</v>
      </c>
      <c r="AG18" s="30">
        <f t="shared" ref="AG18" si="208">IF(AF18=0,IF(VLOOKUP(AG$3,$A$3:$F$14,4,FALSE)&gt;=$G18,10,0),0)</f>
        <v>0</v>
      </c>
      <c r="AH18" s="30">
        <f t="shared" si="65"/>
        <v>0</v>
      </c>
      <c r="AI18" s="30">
        <f t="shared" si="66"/>
        <v>0</v>
      </c>
      <c r="AJ18" s="30">
        <f t="shared" si="25"/>
        <v>10</v>
      </c>
      <c r="AK18" s="30">
        <f t="shared" ref="AK18" si="209">IF(AJ18=0,IF(VLOOKUP(AK$3,$A$3:$F$14,4,FALSE)&gt;=$G18,10,0),0)</f>
        <v>0</v>
      </c>
      <c r="AL18" s="30">
        <f t="shared" si="68"/>
        <v>0</v>
      </c>
      <c r="AM18" s="30">
        <f t="shared" si="69"/>
        <v>0</v>
      </c>
      <c r="AN18" s="30">
        <f t="shared" si="29"/>
        <v>10</v>
      </c>
      <c r="AO18" s="30">
        <f t="shared" ref="AO18" si="210">IF(AN18=0,IF(VLOOKUP(AO$3,$A$3:$F$14,4,FALSE)&gt;=$G18,10,0),0)</f>
        <v>0</v>
      </c>
      <c r="AP18" s="30">
        <f t="shared" si="71"/>
        <v>0</v>
      </c>
      <c r="AQ18" s="30">
        <f t="shared" si="72"/>
        <v>0</v>
      </c>
      <c r="AR18" s="30">
        <f t="shared" si="33"/>
        <v>10</v>
      </c>
      <c r="AS18" s="30">
        <f t="shared" ref="AS18" si="211">IF(AR18=0,IF(VLOOKUP(AS$3,$A$3:$F$14,4,FALSE)&gt;=$G18,10,0),0)</f>
        <v>0</v>
      </c>
      <c r="AT18" s="30">
        <f t="shared" si="74"/>
        <v>0</v>
      </c>
      <c r="AU18" s="30">
        <f t="shared" si="75"/>
        <v>0</v>
      </c>
      <c r="AV18" s="30">
        <f t="shared" si="37"/>
        <v>0</v>
      </c>
      <c r="AW18" s="30">
        <f t="shared" ref="AW18" si="212">IF(AV18=0,IF(VLOOKUP(AW$3,$A$3:$F$14,4,FALSE)&gt;=$G18,10,0),0)</f>
        <v>10</v>
      </c>
      <c r="AX18" s="30">
        <f t="shared" si="77"/>
        <v>0</v>
      </c>
      <c r="AY18" s="30">
        <f t="shared" si="78"/>
        <v>0</v>
      </c>
      <c r="AZ18" s="30">
        <f t="shared" si="41"/>
        <v>0</v>
      </c>
      <c r="BA18" s="30">
        <f t="shared" ref="BA18" si="213">IF(AZ18=0,IF(VLOOKUP(BA$3,$A$3:$F$14,4,FALSE)&gt;=$G18,10,0),0)</f>
        <v>10</v>
      </c>
      <c r="BB18" s="30">
        <f t="shared" si="80"/>
        <v>0</v>
      </c>
      <c r="BC18" s="30">
        <f t="shared" si="81"/>
        <v>0</v>
      </c>
    </row>
    <row r="19" spans="3:55" x14ac:dyDescent="0.2">
      <c r="C19" s="26"/>
      <c r="D19" s="26"/>
      <c r="G19" s="19">
        <v>15</v>
      </c>
      <c r="H19" s="21">
        <f t="shared" si="45"/>
        <v>0</v>
      </c>
      <c r="I19" s="28">
        <f t="shared" si="46"/>
        <v>0</v>
      </c>
      <c r="J19" s="28">
        <f t="shared" si="47"/>
        <v>0</v>
      </c>
      <c r="K19" s="30">
        <f t="shared" si="48"/>
        <v>10</v>
      </c>
      <c r="L19" s="30">
        <f t="shared" si="1"/>
        <v>0</v>
      </c>
      <c r="M19" s="30">
        <f t="shared" ref="M19" si="214">IF(L19=0,IF(VLOOKUP(M$3,$A$3:$F$14,4,FALSE)&gt;=$G19,10,0),0)</f>
        <v>0</v>
      </c>
      <c r="N19" s="30">
        <f t="shared" si="50"/>
        <v>0</v>
      </c>
      <c r="O19" s="30">
        <f t="shared" si="51"/>
        <v>10</v>
      </c>
      <c r="P19" s="30">
        <f t="shared" si="5"/>
        <v>0</v>
      </c>
      <c r="Q19" s="30">
        <f t="shared" ref="Q19" si="215">IF(P19=0,IF(VLOOKUP(Q$3,$A$3:$F$14,4,FALSE)&gt;=$G19,10,0),0)</f>
        <v>0</v>
      </c>
      <c r="R19" s="30">
        <f t="shared" si="53"/>
        <v>0</v>
      </c>
      <c r="S19" s="30">
        <f t="shared" si="54"/>
        <v>10</v>
      </c>
      <c r="T19" s="30">
        <f t="shared" si="9"/>
        <v>0</v>
      </c>
      <c r="U19" s="30">
        <f t="shared" ref="U19" si="216">IF(T19=0,IF(VLOOKUP(U$3,$A$3:$F$14,4,FALSE)&gt;=$G19,10,0),0)</f>
        <v>0</v>
      </c>
      <c r="V19" s="30">
        <f t="shared" si="56"/>
        <v>10</v>
      </c>
      <c r="W19" s="30">
        <f t="shared" si="57"/>
        <v>0</v>
      </c>
      <c r="X19" s="30">
        <f t="shared" si="13"/>
        <v>0</v>
      </c>
      <c r="Y19" s="30">
        <f t="shared" ref="Y19" si="217">IF(X19=0,IF(VLOOKUP(Y$3,$A$3:$F$14,4,FALSE)&gt;=$G19,10,0),0)</f>
        <v>0</v>
      </c>
      <c r="Z19" s="30">
        <f t="shared" si="59"/>
        <v>10</v>
      </c>
      <c r="AA19" s="30">
        <f t="shared" si="60"/>
        <v>0</v>
      </c>
      <c r="AB19" s="30">
        <f t="shared" si="17"/>
        <v>0</v>
      </c>
      <c r="AC19" s="30">
        <f t="shared" ref="AC19" si="218">IF(AB19=0,IF(VLOOKUP(AC$3,$A$3:$F$14,4,FALSE)&gt;=$G19,10,0),0)</f>
        <v>10</v>
      </c>
      <c r="AD19" s="30">
        <f t="shared" si="62"/>
        <v>0</v>
      </c>
      <c r="AE19" s="30">
        <f t="shared" si="63"/>
        <v>0</v>
      </c>
      <c r="AF19" s="30">
        <f t="shared" si="21"/>
        <v>10</v>
      </c>
      <c r="AG19" s="30">
        <f t="shared" ref="AG19" si="219">IF(AF19=0,IF(VLOOKUP(AG$3,$A$3:$F$14,4,FALSE)&gt;=$G19,10,0),0)</f>
        <v>0</v>
      </c>
      <c r="AH19" s="30">
        <f t="shared" si="65"/>
        <v>0</v>
      </c>
      <c r="AI19" s="30">
        <f t="shared" si="66"/>
        <v>0</v>
      </c>
      <c r="AJ19" s="30">
        <f t="shared" si="25"/>
        <v>10</v>
      </c>
      <c r="AK19" s="30">
        <f t="shared" ref="AK19" si="220">IF(AJ19=0,IF(VLOOKUP(AK$3,$A$3:$F$14,4,FALSE)&gt;=$G19,10,0),0)</f>
        <v>0</v>
      </c>
      <c r="AL19" s="30">
        <f t="shared" si="68"/>
        <v>0</v>
      </c>
      <c r="AM19" s="30">
        <f t="shared" si="69"/>
        <v>0</v>
      </c>
      <c r="AN19" s="30">
        <f t="shared" si="29"/>
        <v>10</v>
      </c>
      <c r="AO19" s="30">
        <f t="shared" ref="AO19" si="221">IF(AN19=0,IF(VLOOKUP(AO$3,$A$3:$F$14,4,FALSE)&gt;=$G19,10,0),0)</f>
        <v>0</v>
      </c>
      <c r="AP19" s="30">
        <f t="shared" si="71"/>
        <v>0</v>
      </c>
      <c r="AQ19" s="30">
        <f t="shared" si="72"/>
        <v>0</v>
      </c>
      <c r="AR19" s="30">
        <f t="shared" si="33"/>
        <v>10</v>
      </c>
      <c r="AS19" s="30">
        <f t="shared" ref="AS19" si="222">IF(AR19=0,IF(VLOOKUP(AS$3,$A$3:$F$14,4,FALSE)&gt;=$G19,10,0),0)</f>
        <v>0</v>
      </c>
      <c r="AT19" s="30">
        <f t="shared" si="74"/>
        <v>0</v>
      </c>
      <c r="AU19" s="30">
        <f t="shared" si="75"/>
        <v>0</v>
      </c>
      <c r="AV19" s="30">
        <f t="shared" si="37"/>
        <v>0</v>
      </c>
      <c r="AW19" s="30">
        <f t="shared" ref="AW19" si="223">IF(AV19=0,IF(VLOOKUP(AW$3,$A$3:$F$14,4,FALSE)&gt;=$G19,10,0),0)</f>
        <v>10</v>
      </c>
      <c r="AX19" s="30">
        <f t="shared" si="77"/>
        <v>0</v>
      </c>
      <c r="AY19" s="30">
        <f t="shared" si="78"/>
        <v>0</v>
      </c>
      <c r="AZ19" s="30">
        <f t="shared" si="41"/>
        <v>0</v>
      </c>
      <c r="BA19" s="30">
        <f t="shared" ref="BA19" si="224">IF(AZ19=0,IF(VLOOKUP(BA$3,$A$3:$F$14,4,FALSE)&gt;=$G19,10,0),0)</f>
        <v>10</v>
      </c>
      <c r="BB19" s="30">
        <f t="shared" si="80"/>
        <v>0</v>
      </c>
      <c r="BC19" s="30">
        <f t="shared" si="81"/>
        <v>0</v>
      </c>
    </row>
    <row r="20" spans="3:55" x14ac:dyDescent="0.2">
      <c r="G20" s="19">
        <v>16</v>
      </c>
      <c r="H20" s="21">
        <f t="shared" si="45"/>
        <v>0</v>
      </c>
      <c r="I20" s="28">
        <f t="shared" si="46"/>
        <v>0</v>
      </c>
      <c r="J20" s="28">
        <f t="shared" si="47"/>
        <v>0</v>
      </c>
      <c r="K20" s="30">
        <f t="shared" si="48"/>
        <v>10</v>
      </c>
      <c r="L20" s="30">
        <f t="shared" si="1"/>
        <v>0</v>
      </c>
      <c r="M20" s="30">
        <f t="shared" ref="M20" si="225">IF(L20=0,IF(VLOOKUP(M$3,$A$3:$F$14,4,FALSE)&gt;=$G20,10,0),0)</f>
        <v>0</v>
      </c>
      <c r="N20" s="30">
        <f t="shared" si="50"/>
        <v>0</v>
      </c>
      <c r="O20" s="30">
        <f t="shared" si="51"/>
        <v>10</v>
      </c>
      <c r="P20" s="30">
        <f t="shared" si="5"/>
        <v>0</v>
      </c>
      <c r="Q20" s="30">
        <f t="shared" ref="Q20" si="226">IF(P20=0,IF(VLOOKUP(Q$3,$A$3:$F$14,4,FALSE)&gt;=$G20,10,0),0)</f>
        <v>0</v>
      </c>
      <c r="R20" s="30">
        <f t="shared" si="53"/>
        <v>0</v>
      </c>
      <c r="S20" s="30">
        <f t="shared" si="54"/>
        <v>10</v>
      </c>
      <c r="T20" s="30">
        <f t="shared" si="9"/>
        <v>0</v>
      </c>
      <c r="U20" s="30">
        <f t="shared" ref="U20" si="227">IF(T20=0,IF(VLOOKUP(U$3,$A$3:$F$14,4,FALSE)&gt;=$G20,10,0),0)</f>
        <v>0</v>
      </c>
      <c r="V20" s="30">
        <f t="shared" si="56"/>
        <v>10</v>
      </c>
      <c r="W20" s="30">
        <f t="shared" si="57"/>
        <v>0</v>
      </c>
      <c r="X20" s="30">
        <f t="shared" si="13"/>
        <v>0</v>
      </c>
      <c r="Y20" s="30">
        <f t="shared" ref="Y20" si="228">IF(X20=0,IF(VLOOKUP(Y$3,$A$3:$F$14,4,FALSE)&gt;=$G20,10,0),0)</f>
        <v>0</v>
      </c>
      <c r="Z20" s="30">
        <f t="shared" si="59"/>
        <v>10</v>
      </c>
      <c r="AA20" s="30">
        <f t="shared" si="60"/>
        <v>0</v>
      </c>
      <c r="AB20" s="30">
        <f t="shared" si="17"/>
        <v>0</v>
      </c>
      <c r="AC20" s="30">
        <f t="shared" ref="AC20" si="229">IF(AB20=0,IF(VLOOKUP(AC$3,$A$3:$F$14,4,FALSE)&gt;=$G20,10,0),0)</f>
        <v>0</v>
      </c>
      <c r="AD20" s="30">
        <f t="shared" si="62"/>
        <v>10</v>
      </c>
      <c r="AE20" s="30">
        <f t="shared" si="63"/>
        <v>0</v>
      </c>
      <c r="AF20" s="30">
        <f t="shared" si="21"/>
        <v>10</v>
      </c>
      <c r="AG20" s="30">
        <f t="shared" ref="AG20" si="230">IF(AF20=0,IF(VLOOKUP(AG$3,$A$3:$F$14,4,FALSE)&gt;=$G20,10,0),0)</f>
        <v>0</v>
      </c>
      <c r="AH20" s="30">
        <f t="shared" si="65"/>
        <v>0</v>
      </c>
      <c r="AI20" s="30">
        <f t="shared" si="66"/>
        <v>0</v>
      </c>
      <c r="AJ20" s="30">
        <f t="shared" si="25"/>
        <v>10</v>
      </c>
      <c r="AK20" s="30">
        <f t="shared" ref="AK20" si="231">IF(AJ20=0,IF(VLOOKUP(AK$3,$A$3:$F$14,4,FALSE)&gt;=$G20,10,0),0)</f>
        <v>0</v>
      </c>
      <c r="AL20" s="30">
        <f t="shared" si="68"/>
        <v>0</v>
      </c>
      <c r="AM20" s="30">
        <f t="shared" si="69"/>
        <v>0</v>
      </c>
      <c r="AN20" s="30">
        <f t="shared" si="29"/>
        <v>10</v>
      </c>
      <c r="AO20" s="30">
        <f t="shared" ref="AO20" si="232">IF(AN20=0,IF(VLOOKUP(AO$3,$A$3:$F$14,4,FALSE)&gt;=$G20,10,0),0)</f>
        <v>0</v>
      </c>
      <c r="AP20" s="30">
        <f t="shared" si="71"/>
        <v>0</v>
      </c>
      <c r="AQ20" s="30">
        <f t="shared" si="72"/>
        <v>0</v>
      </c>
      <c r="AR20" s="30">
        <f t="shared" si="33"/>
        <v>0</v>
      </c>
      <c r="AS20" s="30">
        <f t="shared" ref="AS20" si="233">IF(AR20=0,IF(VLOOKUP(AS$3,$A$3:$F$14,4,FALSE)&gt;=$G20,10,0),0)</f>
        <v>10</v>
      </c>
      <c r="AT20" s="30">
        <f t="shared" si="74"/>
        <v>0</v>
      </c>
      <c r="AU20" s="30">
        <f t="shared" si="75"/>
        <v>0</v>
      </c>
      <c r="AV20" s="30">
        <f t="shared" si="37"/>
        <v>0</v>
      </c>
      <c r="AW20" s="30">
        <f t="shared" ref="AW20" si="234">IF(AV20=0,IF(VLOOKUP(AW$3,$A$3:$F$14,4,FALSE)&gt;=$G20,10,0),0)</f>
        <v>10</v>
      </c>
      <c r="AX20" s="30">
        <f t="shared" si="77"/>
        <v>0</v>
      </c>
      <c r="AY20" s="30">
        <f t="shared" si="78"/>
        <v>0</v>
      </c>
      <c r="AZ20" s="30">
        <f t="shared" si="41"/>
        <v>0</v>
      </c>
      <c r="BA20" s="30">
        <f t="shared" ref="BA20" si="235">IF(AZ20=0,IF(VLOOKUP(BA$3,$A$3:$F$14,4,FALSE)&gt;=$G20,10,0),0)</f>
        <v>10</v>
      </c>
      <c r="BB20" s="30">
        <f t="shared" si="80"/>
        <v>0</v>
      </c>
      <c r="BC20" s="30">
        <f t="shared" si="81"/>
        <v>0</v>
      </c>
    </row>
    <row r="21" spans="3:55" x14ac:dyDescent="0.2">
      <c r="G21" s="19">
        <v>17</v>
      </c>
      <c r="H21" s="21">
        <f t="shared" si="45"/>
        <v>0</v>
      </c>
      <c r="I21" s="28">
        <f t="shared" si="46"/>
        <v>0</v>
      </c>
      <c r="J21" s="28">
        <f t="shared" si="47"/>
        <v>0</v>
      </c>
      <c r="K21" s="30">
        <f t="shared" si="48"/>
        <v>10</v>
      </c>
      <c r="L21" s="30">
        <f t="shared" ref="L21:L84" si="236">IF(VLOOKUP(L$3,$A$3:$F$14,3,FALSE)&gt;=$G21,10,0)</f>
        <v>0</v>
      </c>
      <c r="M21" s="30">
        <f t="shared" ref="M21" si="237">IF(L21=0,IF(VLOOKUP(M$3,$A$3:$F$14,4,FALSE)&gt;=$G21,10,0),0)</f>
        <v>0</v>
      </c>
      <c r="N21" s="30">
        <f t="shared" si="50"/>
        <v>0</v>
      </c>
      <c r="O21" s="30">
        <f t="shared" si="51"/>
        <v>10</v>
      </c>
      <c r="P21" s="30">
        <f t="shared" ref="P21:P84" si="238">IF(VLOOKUP(P$3,$A$3:$F$14,3,FALSE)&gt;=$G21,10,0)</f>
        <v>0</v>
      </c>
      <c r="Q21" s="30">
        <f t="shared" ref="Q21" si="239">IF(P21=0,IF(VLOOKUP(Q$3,$A$3:$F$14,4,FALSE)&gt;=$G21,10,0),0)</f>
        <v>0</v>
      </c>
      <c r="R21" s="30">
        <f t="shared" si="53"/>
        <v>0</v>
      </c>
      <c r="S21" s="30">
        <f t="shared" si="54"/>
        <v>10</v>
      </c>
      <c r="T21" s="30">
        <f t="shared" ref="T21:T84" si="240">IF(VLOOKUP(T$3,$A$3:$F$14,3,FALSE)&gt;=$G21,10,0)</f>
        <v>0</v>
      </c>
      <c r="U21" s="30">
        <f t="shared" ref="U21" si="241">IF(T21=0,IF(VLOOKUP(U$3,$A$3:$F$14,4,FALSE)&gt;=$G21,10,0),0)</f>
        <v>0</v>
      </c>
      <c r="V21" s="30">
        <f t="shared" si="56"/>
        <v>10</v>
      </c>
      <c r="W21" s="30">
        <f t="shared" si="57"/>
        <v>0</v>
      </c>
      <c r="X21" s="30">
        <f t="shared" ref="X21:X84" si="242">IF(VLOOKUP(X$3,$A$3:$F$14,3,FALSE)&gt;=$G21,10,0)</f>
        <v>0</v>
      </c>
      <c r="Y21" s="30">
        <f t="shared" ref="Y21" si="243">IF(X21=0,IF(VLOOKUP(Y$3,$A$3:$F$14,4,FALSE)&gt;=$G21,10,0),0)</f>
        <v>0</v>
      </c>
      <c r="Z21" s="30">
        <f t="shared" si="59"/>
        <v>10</v>
      </c>
      <c r="AA21" s="30">
        <f t="shared" si="60"/>
        <v>0</v>
      </c>
      <c r="AB21" s="30">
        <f t="shared" ref="AB21:AB84" si="244">IF(VLOOKUP(AB$3,$A$3:$F$14,3,FALSE)&gt;=$G21,10,0)</f>
        <v>0</v>
      </c>
      <c r="AC21" s="30">
        <f t="shared" ref="AC21" si="245">IF(AB21=0,IF(VLOOKUP(AC$3,$A$3:$F$14,4,FALSE)&gt;=$G21,10,0),0)</f>
        <v>0</v>
      </c>
      <c r="AD21" s="30">
        <f t="shared" si="62"/>
        <v>10</v>
      </c>
      <c r="AE21" s="30">
        <f t="shared" si="63"/>
        <v>0</v>
      </c>
      <c r="AF21" s="30">
        <f t="shared" ref="AF21:AF84" si="246">IF(VLOOKUP(AF$3,$A$3:$F$14,3,FALSE)&gt;=$G21,10,0)</f>
        <v>10</v>
      </c>
      <c r="AG21" s="30">
        <f t="shared" ref="AG21" si="247">IF(AF21=0,IF(VLOOKUP(AG$3,$A$3:$F$14,4,FALSE)&gt;=$G21,10,0),0)</f>
        <v>0</v>
      </c>
      <c r="AH21" s="30">
        <f t="shared" si="65"/>
        <v>0</v>
      </c>
      <c r="AI21" s="30">
        <f t="shared" si="66"/>
        <v>0</v>
      </c>
      <c r="AJ21" s="30">
        <f t="shared" ref="AJ21:AJ84" si="248">IF(VLOOKUP(AJ$3,$A$3:$F$14,3,FALSE)&gt;=$G21,10,0)</f>
        <v>10</v>
      </c>
      <c r="AK21" s="30">
        <f t="shared" ref="AK21" si="249">IF(AJ21=0,IF(VLOOKUP(AK$3,$A$3:$F$14,4,FALSE)&gt;=$G21,10,0),0)</f>
        <v>0</v>
      </c>
      <c r="AL21" s="30">
        <f t="shared" si="68"/>
        <v>0</v>
      </c>
      <c r="AM21" s="30">
        <f t="shared" si="69"/>
        <v>0</v>
      </c>
      <c r="AN21" s="30">
        <f t="shared" ref="AN21:AN84" si="250">IF(VLOOKUP(AN$3,$A$3:$F$14,3,FALSE)&gt;=$G21,10,0)</f>
        <v>10</v>
      </c>
      <c r="AO21" s="30">
        <f t="shared" ref="AO21" si="251">IF(AN21=0,IF(VLOOKUP(AO$3,$A$3:$F$14,4,FALSE)&gt;=$G21,10,0),0)</f>
        <v>0</v>
      </c>
      <c r="AP21" s="30">
        <f t="shared" si="71"/>
        <v>0</v>
      </c>
      <c r="AQ21" s="30">
        <f t="shared" si="72"/>
        <v>0</v>
      </c>
      <c r="AR21" s="30">
        <f t="shared" ref="AR21:AR84" si="252">IF(VLOOKUP(AR$3,$A$3:$F$14,3,FALSE)&gt;=$G21,10,0)</f>
        <v>0</v>
      </c>
      <c r="AS21" s="30">
        <f t="shared" ref="AS21" si="253">IF(AR21=0,IF(VLOOKUP(AS$3,$A$3:$F$14,4,FALSE)&gt;=$G21,10,0),0)</f>
        <v>10</v>
      </c>
      <c r="AT21" s="30">
        <f t="shared" si="74"/>
        <v>0</v>
      </c>
      <c r="AU21" s="30">
        <f t="shared" si="75"/>
        <v>0</v>
      </c>
      <c r="AV21" s="30">
        <f t="shared" ref="AV21:AV84" si="254">IF(VLOOKUP(AV$3,$A$3:$F$14,3,FALSE)&gt;=$G21,10,0)</f>
        <v>0</v>
      </c>
      <c r="AW21" s="30">
        <f t="shared" ref="AW21" si="255">IF(AV21=0,IF(VLOOKUP(AW$3,$A$3:$F$14,4,FALSE)&gt;=$G21,10,0),0)</f>
        <v>10</v>
      </c>
      <c r="AX21" s="30">
        <f t="shared" si="77"/>
        <v>0</v>
      </c>
      <c r="AY21" s="30">
        <f t="shared" si="78"/>
        <v>0</v>
      </c>
      <c r="AZ21" s="30">
        <f t="shared" ref="AZ21:AZ84" si="256">IF(VLOOKUP(AZ$3,$A$3:$F$14,3,FALSE)&gt;=$G21,10,0)</f>
        <v>0</v>
      </c>
      <c r="BA21" s="30">
        <f t="shared" ref="BA21" si="257">IF(AZ21=0,IF(VLOOKUP(BA$3,$A$3:$F$14,4,FALSE)&gt;=$G21,10,0),0)</f>
        <v>10</v>
      </c>
      <c r="BB21" s="30">
        <f t="shared" si="80"/>
        <v>0</v>
      </c>
      <c r="BC21" s="30">
        <f t="shared" si="81"/>
        <v>0</v>
      </c>
    </row>
    <row r="22" spans="3:55" x14ac:dyDescent="0.2">
      <c r="G22" s="19">
        <v>18</v>
      </c>
      <c r="H22" s="21">
        <f t="shared" si="45"/>
        <v>0</v>
      </c>
      <c r="I22" s="28">
        <f t="shared" si="46"/>
        <v>0</v>
      </c>
      <c r="J22" s="28">
        <f t="shared" si="47"/>
        <v>0</v>
      </c>
      <c r="K22" s="30">
        <f t="shared" si="48"/>
        <v>10</v>
      </c>
      <c r="L22" s="30">
        <f t="shared" si="236"/>
        <v>0</v>
      </c>
      <c r="M22" s="30">
        <f t="shared" ref="M22" si="258">IF(L22=0,IF(VLOOKUP(M$3,$A$3:$F$14,4,FALSE)&gt;=$G22,10,0),0)</f>
        <v>0</v>
      </c>
      <c r="N22" s="30">
        <f t="shared" si="50"/>
        <v>0</v>
      </c>
      <c r="O22" s="30">
        <f t="shared" si="51"/>
        <v>10</v>
      </c>
      <c r="P22" s="30">
        <f t="shared" si="238"/>
        <v>0</v>
      </c>
      <c r="Q22" s="30">
        <f t="shared" ref="Q22" si="259">IF(P22=0,IF(VLOOKUP(Q$3,$A$3:$F$14,4,FALSE)&gt;=$G22,10,0),0)</f>
        <v>0</v>
      </c>
      <c r="R22" s="30">
        <f t="shared" si="53"/>
        <v>0</v>
      </c>
      <c r="S22" s="30">
        <f t="shared" si="54"/>
        <v>10</v>
      </c>
      <c r="T22" s="30">
        <f t="shared" si="240"/>
        <v>0</v>
      </c>
      <c r="U22" s="30">
        <f t="shared" ref="U22" si="260">IF(T22=0,IF(VLOOKUP(U$3,$A$3:$F$14,4,FALSE)&gt;=$G22,10,0),0)</f>
        <v>0</v>
      </c>
      <c r="V22" s="30">
        <f t="shared" si="56"/>
        <v>10</v>
      </c>
      <c r="W22" s="30">
        <f t="shared" si="57"/>
        <v>0</v>
      </c>
      <c r="X22" s="30">
        <f t="shared" si="242"/>
        <v>0</v>
      </c>
      <c r="Y22" s="30">
        <f t="shared" ref="Y22" si="261">IF(X22=0,IF(VLOOKUP(Y$3,$A$3:$F$14,4,FALSE)&gt;=$G22,10,0),0)</f>
        <v>0</v>
      </c>
      <c r="Z22" s="30">
        <f t="shared" si="59"/>
        <v>10</v>
      </c>
      <c r="AA22" s="30">
        <f t="shared" si="60"/>
        <v>0</v>
      </c>
      <c r="AB22" s="30">
        <f t="shared" si="244"/>
        <v>0</v>
      </c>
      <c r="AC22" s="30">
        <f t="shared" ref="AC22" si="262">IF(AB22=0,IF(VLOOKUP(AC$3,$A$3:$F$14,4,FALSE)&gt;=$G22,10,0),0)</f>
        <v>0</v>
      </c>
      <c r="AD22" s="30">
        <f t="shared" si="62"/>
        <v>10</v>
      </c>
      <c r="AE22" s="30">
        <f t="shared" si="63"/>
        <v>0</v>
      </c>
      <c r="AF22" s="30">
        <f t="shared" si="246"/>
        <v>10</v>
      </c>
      <c r="AG22" s="30">
        <f t="shared" ref="AG22" si="263">IF(AF22=0,IF(VLOOKUP(AG$3,$A$3:$F$14,4,FALSE)&gt;=$G22,10,0),0)</f>
        <v>0</v>
      </c>
      <c r="AH22" s="30">
        <f t="shared" si="65"/>
        <v>0</v>
      </c>
      <c r="AI22" s="30">
        <f t="shared" si="66"/>
        <v>0</v>
      </c>
      <c r="AJ22" s="30">
        <f t="shared" si="248"/>
        <v>0</v>
      </c>
      <c r="AK22" s="30">
        <f t="shared" ref="AK22" si="264">IF(AJ22=0,IF(VLOOKUP(AK$3,$A$3:$F$14,4,FALSE)&gt;=$G22,10,0),0)</f>
        <v>10</v>
      </c>
      <c r="AL22" s="30">
        <f t="shared" si="68"/>
        <v>0</v>
      </c>
      <c r="AM22" s="30">
        <f t="shared" si="69"/>
        <v>0</v>
      </c>
      <c r="AN22" s="30">
        <f t="shared" si="250"/>
        <v>0</v>
      </c>
      <c r="AO22" s="30">
        <f t="shared" ref="AO22" si="265">IF(AN22=0,IF(VLOOKUP(AO$3,$A$3:$F$14,4,FALSE)&gt;=$G22,10,0),0)</f>
        <v>10</v>
      </c>
      <c r="AP22" s="30">
        <f t="shared" si="71"/>
        <v>0</v>
      </c>
      <c r="AQ22" s="30">
        <f t="shared" si="72"/>
        <v>0</v>
      </c>
      <c r="AR22" s="30">
        <f t="shared" si="252"/>
        <v>0</v>
      </c>
      <c r="AS22" s="30">
        <f t="shared" ref="AS22" si="266">IF(AR22=0,IF(VLOOKUP(AS$3,$A$3:$F$14,4,FALSE)&gt;=$G22,10,0),0)</f>
        <v>10</v>
      </c>
      <c r="AT22" s="30">
        <f t="shared" si="74"/>
        <v>0</v>
      </c>
      <c r="AU22" s="30">
        <f t="shared" si="75"/>
        <v>0</v>
      </c>
      <c r="AV22" s="30">
        <f t="shared" si="254"/>
        <v>0</v>
      </c>
      <c r="AW22" s="30">
        <f t="shared" ref="AW22" si="267">IF(AV22=0,IF(VLOOKUP(AW$3,$A$3:$F$14,4,FALSE)&gt;=$G22,10,0),0)</f>
        <v>10</v>
      </c>
      <c r="AX22" s="30">
        <f t="shared" si="77"/>
        <v>0</v>
      </c>
      <c r="AY22" s="30">
        <f t="shared" si="78"/>
        <v>0</v>
      </c>
      <c r="AZ22" s="30">
        <f t="shared" si="256"/>
        <v>0</v>
      </c>
      <c r="BA22" s="30">
        <f t="shared" ref="BA22" si="268">IF(AZ22=0,IF(VLOOKUP(BA$3,$A$3:$F$14,4,FALSE)&gt;=$G22,10,0),0)</f>
        <v>10</v>
      </c>
      <c r="BB22" s="30">
        <f t="shared" si="80"/>
        <v>0</v>
      </c>
      <c r="BC22" s="30">
        <f t="shared" si="81"/>
        <v>0</v>
      </c>
    </row>
    <row r="23" spans="3:55" x14ac:dyDescent="0.2">
      <c r="G23" s="19">
        <v>19</v>
      </c>
      <c r="H23" s="21">
        <f t="shared" si="45"/>
        <v>0</v>
      </c>
      <c r="I23" s="28">
        <f t="shared" si="46"/>
        <v>0</v>
      </c>
      <c r="J23" s="28">
        <f t="shared" si="47"/>
        <v>0</v>
      </c>
      <c r="K23" s="30">
        <f t="shared" si="48"/>
        <v>10</v>
      </c>
      <c r="L23" s="30">
        <f t="shared" si="236"/>
        <v>0</v>
      </c>
      <c r="M23" s="30">
        <f t="shared" ref="M23" si="269">IF(L23=0,IF(VLOOKUP(M$3,$A$3:$F$14,4,FALSE)&gt;=$G23,10,0),0)</f>
        <v>0</v>
      </c>
      <c r="N23" s="30">
        <f t="shared" si="50"/>
        <v>0</v>
      </c>
      <c r="O23" s="30">
        <f t="shared" si="51"/>
        <v>10</v>
      </c>
      <c r="P23" s="30">
        <f t="shared" si="238"/>
        <v>0</v>
      </c>
      <c r="Q23" s="30">
        <f t="shared" ref="Q23" si="270">IF(P23=0,IF(VLOOKUP(Q$3,$A$3:$F$14,4,FALSE)&gt;=$G23,10,0),0)</f>
        <v>0</v>
      </c>
      <c r="R23" s="30">
        <f t="shared" si="53"/>
        <v>0</v>
      </c>
      <c r="S23" s="30">
        <f t="shared" si="54"/>
        <v>10</v>
      </c>
      <c r="T23" s="30">
        <f t="shared" si="240"/>
        <v>0</v>
      </c>
      <c r="U23" s="30">
        <f t="shared" ref="U23" si="271">IF(T23=0,IF(VLOOKUP(U$3,$A$3:$F$14,4,FALSE)&gt;=$G23,10,0),0)</f>
        <v>0</v>
      </c>
      <c r="V23" s="30">
        <f t="shared" si="56"/>
        <v>10</v>
      </c>
      <c r="W23" s="30">
        <f t="shared" si="57"/>
        <v>0</v>
      </c>
      <c r="X23" s="30">
        <f t="shared" si="242"/>
        <v>0</v>
      </c>
      <c r="Y23" s="30">
        <f t="shared" ref="Y23" si="272">IF(X23=0,IF(VLOOKUP(Y$3,$A$3:$F$14,4,FALSE)&gt;=$G23,10,0),0)</f>
        <v>0</v>
      </c>
      <c r="Z23" s="30">
        <f t="shared" si="59"/>
        <v>10</v>
      </c>
      <c r="AA23" s="30">
        <f t="shared" si="60"/>
        <v>0</v>
      </c>
      <c r="AB23" s="30">
        <f t="shared" si="244"/>
        <v>0</v>
      </c>
      <c r="AC23" s="30">
        <f t="shared" ref="AC23" si="273">IF(AB23=0,IF(VLOOKUP(AC$3,$A$3:$F$14,4,FALSE)&gt;=$G23,10,0),0)</f>
        <v>0</v>
      </c>
      <c r="AD23" s="30">
        <f t="shared" si="62"/>
        <v>10</v>
      </c>
      <c r="AE23" s="30">
        <f t="shared" si="63"/>
        <v>0</v>
      </c>
      <c r="AF23" s="30">
        <f t="shared" si="246"/>
        <v>10</v>
      </c>
      <c r="AG23" s="30">
        <f t="shared" ref="AG23" si="274">IF(AF23=0,IF(VLOOKUP(AG$3,$A$3:$F$14,4,FALSE)&gt;=$G23,10,0),0)</f>
        <v>0</v>
      </c>
      <c r="AH23" s="30">
        <f t="shared" si="65"/>
        <v>0</v>
      </c>
      <c r="AI23" s="30">
        <f t="shared" si="66"/>
        <v>0</v>
      </c>
      <c r="AJ23" s="30">
        <f t="shared" si="248"/>
        <v>0</v>
      </c>
      <c r="AK23" s="30">
        <f t="shared" ref="AK23" si="275">IF(AJ23=0,IF(VLOOKUP(AK$3,$A$3:$F$14,4,FALSE)&gt;=$G23,10,0),0)</f>
        <v>10</v>
      </c>
      <c r="AL23" s="30">
        <f t="shared" si="68"/>
        <v>0</v>
      </c>
      <c r="AM23" s="30">
        <f t="shared" si="69"/>
        <v>0</v>
      </c>
      <c r="AN23" s="30">
        <f t="shared" si="250"/>
        <v>0</v>
      </c>
      <c r="AO23" s="30">
        <f t="shared" ref="AO23" si="276">IF(AN23=0,IF(VLOOKUP(AO$3,$A$3:$F$14,4,FALSE)&gt;=$G23,10,0),0)</f>
        <v>10</v>
      </c>
      <c r="AP23" s="30">
        <f t="shared" si="71"/>
        <v>0</v>
      </c>
      <c r="AQ23" s="30">
        <f t="shared" si="72"/>
        <v>0</v>
      </c>
      <c r="AR23" s="30">
        <f t="shared" si="252"/>
        <v>0</v>
      </c>
      <c r="AS23" s="30">
        <f t="shared" ref="AS23" si="277">IF(AR23=0,IF(VLOOKUP(AS$3,$A$3:$F$14,4,FALSE)&gt;=$G23,10,0),0)</f>
        <v>10</v>
      </c>
      <c r="AT23" s="30">
        <f t="shared" si="74"/>
        <v>0</v>
      </c>
      <c r="AU23" s="30">
        <f t="shared" si="75"/>
        <v>0</v>
      </c>
      <c r="AV23" s="30">
        <f t="shared" si="254"/>
        <v>0</v>
      </c>
      <c r="AW23" s="30">
        <f t="shared" ref="AW23" si="278">IF(AV23=0,IF(VLOOKUP(AW$3,$A$3:$F$14,4,FALSE)&gt;=$G23,10,0),0)</f>
        <v>10</v>
      </c>
      <c r="AX23" s="30">
        <f t="shared" si="77"/>
        <v>0</v>
      </c>
      <c r="AY23" s="30">
        <f t="shared" si="78"/>
        <v>0</v>
      </c>
      <c r="AZ23" s="30">
        <f t="shared" si="256"/>
        <v>0</v>
      </c>
      <c r="BA23" s="30">
        <f t="shared" ref="BA23" si="279">IF(AZ23=0,IF(VLOOKUP(BA$3,$A$3:$F$14,4,FALSE)&gt;=$G23,10,0),0)</f>
        <v>10</v>
      </c>
      <c r="BB23" s="30">
        <f t="shared" si="80"/>
        <v>0</v>
      </c>
      <c r="BC23" s="30">
        <f t="shared" si="81"/>
        <v>0</v>
      </c>
    </row>
    <row r="24" spans="3:55" x14ac:dyDescent="0.2">
      <c r="G24" s="19">
        <v>20</v>
      </c>
      <c r="H24" s="21">
        <f t="shared" si="45"/>
        <v>0</v>
      </c>
      <c r="I24" s="28">
        <f t="shared" si="46"/>
        <v>0</v>
      </c>
      <c r="J24" s="28">
        <f t="shared" si="47"/>
        <v>0</v>
      </c>
      <c r="K24" s="30">
        <f t="shared" si="48"/>
        <v>10</v>
      </c>
      <c r="L24" s="30">
        <f t="shared" si="236"/>
        <v>0</v>
      </c>
      <c r="M24" s="30">
        <f t="shared" ref="M24" si="280">IF(L24=0,IF(VLOOKUP(M$3,$A$3:$F$14,4,FALSE)&gt;=$G24,10,0),0)</f>
        <v>0</v>
      </c>
      <c r="N24" s="30">
        <f t="shared" si="50"/>
        <v>0</v>
      </c>
      <c r="O24" s="30">
        <f t="shared" si="51"/>
        <v>10</v>
      </c>
      <c r="P24" s="30">
        <f t="shared" si="238"/>
        <v>0</v>
      </c>
      <c r="Q24" s="30">
        <f t="shared" ref="Q24" si="281">IF(P24=0,IF(VLOOKUP(Q$3,$A$3:$F$14,4,FALSE)&gt;=$G24,10,0),0)</f>
        <v>0</v>
      </c>
      <c r="R24" s="30">
        <f t="shared" si="53"/>
        <v>0</v>
      </c>
      <c r="S24" s="30">
        <f t="shared" si="54"/>
        <v>10</v>
      </c>
      <c r="T24" s="30">
        <f t="shared" si="240"/>
        <v>0</v>
      </c>
      <c r="U24" s="30">
        <f t="shared" ref="U24" si="282">IF(T24=0,IF(VLOOKUP(U$3,$A$3:$F$14,4,FALSE)&gt;=$G24,10,0),0)</f>
        <v>0</v>
      </c>
      <c r="V24" s="30">
        <f t="shared" si="56"/>
        <v>10</v>
      </c>
      <c r="W24" s="30">
        <f t="shared" si="57"/>
        <v>0</v>
      </c>
      <c r="X24" s="30">
        <f t="shared" si="242"/>
        <v>0</v>
      </c>
      <c r="Y24" s="30">
        <f t="shared" ref="Y24" si="283">IF(X24=0,IF(VLOOKUP(Y$3,$A$3:$F$14,4,FALSE)&gt;=$G24,10,0),0)</f>
        <v>0</v>
      </c>
      <c r="Z24" s="30">
        <f t="shared" si="59"/>
        <v>10</v>
      </c>
      <c r="AA24" s="30">
        <f t="shared" si="60"/>
        <v>0</v>
      </c>
      <c r="AB24" s="30">
        <f t="shared" si="244"/>
        <v>0</v>
      </c>
      <c r="AC24" s="30">
        <f t="shared" ref="AC24" si="284">IF(AB24=0,IF(VLOOKUP(AC$3,$A$3:$F$14,4,FALSE)&gt;=$G24,10,0),0)</f>
        <v>0</v>
      </c>
      <c r="AD24" s="30">
        <f t="shared" si="62"/>
        <v>10</v>
      </c>
      <c r="AE24" s="30">
        <f t="shared" si="63"/>
        <v>0</v>
      </c>
      <c r="AF24" s="30">
        <f t="shared" si="246"/>
        <v>10</v>
      </c>
      <c r="AG24" s="30">
        <f t="shared" ref="AG24" si="285">IF(AF24=0,IF(VLOOKUP(AG$3,$A$3:$F$14,4,FALSE)&gt;=$G24,10,0),0)</f>
        <v>0</v>
      </c>
      <c r="AH24" s="30">
        <f t="shared" si="65"/>
        <v>0</v>
      </c>
      <c r="AI24" s="30">
        <f t="shared" si="66"/>
        <v>0</v>
      </c>
      <c r="AJ24" s="30">
        <f t="shared" si="248"/>
        <v>0</v>
      </c>
      <c r="AK24" s="30">
        <f t="shared" ref="AK24" si="286">IF(AJ24=0,IF(VLOOKUP(AK$3,$A$3:$F$14,4,FALSE)&gt;=$G24,10,0),0)</f>
        <v>10</v>
      </c>
      <c r="AL24" s="30">
        <f t="shared" si="68"/>
        <v>0</v>
      </c>
      <c r="AM24" s="30">
        <f t="shared" si="69"/>
        <v>0</v>
      </c>
      <c r="AN24" s="30">
        <f t="shared" si="250"/>
        <v>0</v>
      </c>
      <c r="AO24" s="30">
        <f t="shared" ref="AO24" si="287">IF(AN24=0,IF(VLOOKUP(AO$3,$A$3:$F$14,4,FALSE)&gt;=$G24,10,0),0)</f>
        <v>10</v>
      </c>
      <c r="AP24" s="30">
        <f t="shared" si="71"/>
        <v>0</v>
      </c>
      <c r="AQ24" s="30">
        <f t="shared" si="72"/>
        <v>0</v>
      </c>
      <c r="AR24" s="30">
        <f t="shared" si="252"/>
        <v>0</v>
      </c>
      <c r="AS24" s="30">
        <f t="shared" ref="AS24" si="288">IF(AR24=0,IF(VLOOKUP(AS$3,$A$3:$F$14,4,FALSE)&gt;=$G24,10,0),0)</f>
        <v>10</v>
      </c>
      <c r="AT24" s="30">
        <f t="shared" si="74"/>
        <v>0</v>
      </c>
      <c r="AU24" s="30">
        <f t="shared" si="75"/>
        <v>0</v>
      </c>
      <c r="AV24" s="30">
        <f t="shared" si="254"/>
        <v>0</v>
      </c>
      <c r="AW24" s="30">
        <f t="shared" ref="AW24" si="289">IF(AV24=0,IF(VLOOKUP(AW$3,$A$3:$F$14,4,FALSE)&gt;=$G24,10,0),0)</f>
        <v>10</v>
      </c>
      <c r="AX24" s="30">
        <f t="shared" si="77"/>
        <v>0</v>
      </c>
      <c r="AY24" s="30">
        <f t="shared" si="78"/>
        <v>0</v>
      </c>
      <c r="AZ24" s="30">
        <f t="shared" si="256"/>
        <v>0</v>
      </c>
      <c r="BA24" s="30">
        <f t="shared" ref="BA24" si="290">IF(AZ24=0,IF(VLOOKUP(BA$3,$A$3:$F$14,4,FALSE)&gt;=$G24,10,0),0)</f>
        <v>10</v>
      </c>
      <c r="BB24" s="30">
        <f t="shared" si="80"/>
        <v>0</v>
      </c>
      <c r="BC24" s="30">
        <f t="shared" si="81"/>
        <v>0</v>
      </c>
    </row>
    <row r="25" spans="3:55" x14ac:dyDescent="0.2">
      <c r="D25" t="s">
        <v>41</v>
      </c>
      <c r="G25" s="19">
        <v>21</v>
      </c>
      <c r="H25" s="21">
        <f t="shared" si="45"/>
        <v>0</v>
      </c>
      <c r="I25" s="28">
        <f t="shared" si="46"/>
        <v>0</v>
      </c>
      <c r="J25" s="28">
        <f t="shared" si="47"/>
        <v>0</v>
      </c>
      <c r="K25" s="30">
        <f t="shared" si="48"/>
        <v>10</v>
      </c>
      <c r="L25" s="30">
        <f t="shared" si="236"/>
        <v>0</v>
      </c>
      <c r="M25" s="30">
        <f t="shared" ref="M25" si="291">IF(L25=0,IF(VLOOKUP(M$3,$A$3:$F$14,4,FALSE)&gt;=$G25,10,0),0)</f>
        <v>0</v>
      </c>
      <c r="N25" s="30">
        <f t="shared" si="50"/>
        <v>0</v>
      </c>
      <c r="O25" s="30">
        <f t="shared" si="51"/>
        <v>10</v>
      </c>
      <c r="P25" s="30">
        <f t="shared" si="238"/>
        <v>0</v>
      </c>
      <c r="Q25" s="30">
        <f t="shared" ref="Q25" si="292">IF(P25=0,IF(VLOOKUP(Q$3,$A$3:$F$14,4,FALSE)&gt;=$G25,10,0),0)</f>
        <v>0</v>
      </c>
      <c r="R25" s="30">
        <f t="shared" si="53"/>
        <v>0</v>
      </c>
      <c r="S25" s="30">
        <f t="shared" si="54"/>
        <v>10</v>
      </c>
      <c r="T25" s="30">
        <f t="shared" si="240"/>
        <v>0</v>
      </c>
      <c r="U25" s="30">
        <f t="shared" ref="U25" si="293">IF(T25=0,IF(VLOOKUP(U$3,$A$3:$F$14,4,FALSE)&gt;=$G25,10,0),0)</f>
        <v>0</v>
      </c>
      <c r="V25" s="30">
        <f t="shared" si="56"/>
        <v>10</v>
      </c>
      <c r="W25" s="30">
        <f t="shared" si="57"/>
        <v>0</v>
      </c>
      <c r="X25" s="30">
        <f t="shared" si="242"/>
        <v>0</v>
      </c>
      <c r="Y25" s="30">
        <f t="shared" ref="Y25" si="294">IF(X25=0,IF(VLOOKUP(Y$3,$A$3:$F$14,4,FALSE)&gt;=$G25,10,0),0)</f>
        <v>0</v>
      </c>
      <c r="Z25" s="30">
        <f t="shared" si="59"/>
        <v>10</v>
      </c>
      <c r="AA25" s="30">
        <f t="shared" si="60"/>
        <v>0</v>
      </c>
      <c r="AB25" s="30">
        <f t="shared" si="244"/>
        <v>0</v>
      </c>
      <c r="AC25" s="30">
        <f t="shared" ref="AC25" si="295">IF(AB25=0,IF(VLOOKUP(AC$3,$A$3:$F$14,4,FALSE)&gt;=$G25,10,0),0)</f>
        <v>0</v>
      </c>
      <c r="AD25" s="30">
        <f t="shared" si="62"/>
        <v>10</v>
      </c>
      <c r="AE25" s="30">
        <f t="shared" si="63"/>
        <v>0</v>
      </c>
      <c r="AF25" s="30">
        <f t="shared" si="246"/>
        <v>0</v>
      </c>
      <c r="AG25" s="30">
        <f t="shared" ref="AG25" si="296">IF(AF25=0,IF(VLOOKUP(AG$3,$A$3:$F$14,4,FALSE)&gt;=$G25,10,0),0)</f>
        <v>10</v>
      </c>
      <c r="AH25" s="30">
        <f t="shared" si="65"/>
        <v>0</v>
      </c>
      <c r="AI25" s="30">
        <f t="shared" si="66"/>
        <v>0</v>
      </c>
      <c r="AJ25" s="30">
        <f t="shared" si="248"/>
        <v>0</v>
      </c>
      <c r="AK25" s="30">
        <f t="shared" ref="AK25" si="297">IF(AJ25=0,IF(VLOOKUP(AK$3,$A$3:$F$14,4,FALSE)&gt;=$G25,10,0),0)</f>
        <v>10</v>
      </c>
      <c r="AL25" s="30">
        <f t="shared" si="68"/>
        <v>0</v>
      </c>
      <c r="AM25" s="30">
        <f t="shared" si="69"/>
        <v>0</v>
      </c>
      <c r="AN25" s="30">
        <f t="shared" si="250"/>
        <v>0</v>
      </c>
      <c r="AO25" s="30">
        <f t="shared" ref="AO25" si="298">IF(AN25=0,IF(VLOOKUP(AO$3,$A$3:$F$14,4,FALSE)&gt;=$G25,10,0),0)</f>
        <v>0</v>
      </c>
      <c r="AP25" s="30">
        <f t="shared" si="71"/>
        <v>10</v>
      </c>
      <c r="AQ25" s="30">
        <f t="shared" si="72"/>
        <v>0</v>
      </c>
      <c r="AR25" s="30">
        <f t="shared" si="252"/>
        <v>0</v>
      </c>
      <c r="AS25" s="30">
        <f t="shared" ref="AS25" si="299">IF(AR25=0,IF(VLOOKUP(AS$3,$A$3:$F$14,4,FALSE)&gt;=$G25,10,0),0)</f>
        <v>10</v>
      </c>
      <c r="AT25" s="30">
        <f t="shared" si="74"/>
        <v>0</v>
      </c>
      <c r="AU25" s="30">
        <f t="shared" si="75"/>
        <v>0</v>
      </c>
      <c r="AV25" s="30">
        <f t="shared" si="254"/>
        <v>0</v>
      </c>
      <c r="AW25" s="30">
        <f t="shared" ref="AW25" si="300">IF(AV25=0,IF(VLOOKUP(AW$3,$A$3:$F$14,4,FALSE)&gt;=$G25,10,0),0)</f>
        <v>10</v>
      </c>
      <c r="AX25" s="30">
        <f t="shared" si="77"/>
        <v>0</v>
      </c>
      <c r="AY25" s="30">
        <f t="shared" si="78"/>
        <v>0</v>
      </c>
      <c r="AZ25" s="30">
        <f t="shared" si="256"/>
        <v>0</v>
      </c>
      <c r="BA25" s="30">
        <f t="shared" ref="BA25" si="301">IF(AZ25=0,IF(VLOOKUP(BA$3,$A$3:$F$14,4,FALSE)&gt;=$G25,10,0),0)</f>
        <v>0</v>
      </c>
      <c r="BB25" s="30">
        <f t="shared" si="80"/>
        <v>10</v>
      </c>
      <c r="BC25" s="30">
        <f t="shared" si="81"/>
        <v>0</v>
      </c>
    </row>
    <row r="26" spans="3:55" x14ac:dyDescent="0.2">
      <c r="G26" s="19">
        <v>22</v>
      </c>
      <c r="H26" s="21">
        <f t="shared" si="45"/>
        <v>0</v>
      </c>
      <c r="I26" s="28">
        <f t="shared" si="46"/>
        <v>0</v>
      </c>
      <c r="J26" s="28">
        <f t="shared" si="47"/>
        <v>0</v>
      </c>
      <c r="K26" s="30">
        <f t="shared" si="48"/>
        <v>10</v>
      </c>
      <c r="L26" s="30">
        <f t="shared" si="236"/>
        <v>0</v>
      </c>
      <c r="M26" s="30">
        <f t="shared" ref="M26" si="302">IF(L26=0,IF(VLOOKUP(M$3,$A$3:$F$14,4,FALSE)&gt;=$G26,10,0),0)</f>
        <v>0</v>
      </c>
      <c r="N26" s="30">
        <f t="shared" si="50"/>
        <v>0</v>
      </c>
      <c r="O26" s="30">
        <f t="shared" si="51"/>
        <v>10</v>
      </c>
      <c r="P26" s="30">
        <f t="shared" si="238"/>
        <v>0</v>
      </c>
      <c r="Q26" s="30">
        <f t="shared" ref="Q26" si="303">IF(P26=0,IF(VLOOKUP(Q$3,$A$3:$F$14,4,FALSE)&gt;=$G26,10,0),0)</f>
        <v>0</v>
      </c>
      <c r="R26" s="30">
        <f t="shared" si="53"/>
        <v>0</v>
      </c>
      <c r="S26" s="30">
        <f t="shared" si="54"/>
        <v>10</v>
      </c>
      <c r="T26" s="30">
        <f t="shared" si="240"/>
        <v>0</v>
      </c>
      <c r="U26" s="30">
        <f t="shared" ref="U26" si="304">IF(T26=0,IF(VLOOKUP(U$3,$A$3:$F$14,4,FALSE)&gt;=$G26,10,0),0)</f>
        <v>0</v>
      </c>
      <c r="V26" s="30">
        <f t="shared" si="56"/>
        <v>10</v>
      </c>
      <c r="W26" s="30">
        <f t="shared" si="57"/>
        <v>0</v>
      </c>
      <c r="X26" s="30">
        <f t="shared" si="242"/>
        <v>0</v>
      </c>
      <c r="Y26" s="30">
        <f t="shared" ref="Y26" si="305">IF(X26=0,IF(VLOOKUP(Y$3,$A$3:$F$14,4,FALSE)&gt;=$G26,10,0),0)</f>
        <v>0</v>
      </c>
      <c r="Z26" s="30">
        <f t="shared" si="59"/>
        <v>10</v>
      </c>
      <c r="AA26" s="30">
        <f t="shared" si="60"/>
        <v>0</v>
      </c>
      <c r="AB26" s="30">
        <f t="shared" si="244"/>
        <v>0</v>
      </c>
      <c r="AC26" s="30">
        <f t="shared" ref="AC26" si="306">IF(AB26=0,IF(VLOOKUP(AC$3,$A$3:$F$14,4,FALSE)&gt;=$G26,10,0),0)</f>
        <v>0</v>
      </c>
      <c r="AD26" s="30">
        <f t="shared" si="62"/>
        <v>10</v>
      </c>
      <c r="AE26" s="30">
        <f t="shared" si="63"/>
        <v>0</v>
      </c>
      <c r="AF26" s="30">
        <f t="shared" si="246"/>
        <v>0</v>
      </c>
      <c r="AG26" s="30">
        <f t="shared" ref="AG26" si="307">IF(AF26=0,IF(VLOOKUP(AG$3,$A$3:$F$14,4,FALSE)&gt;=$G26,10,0),0)</f>
        <v>10</v>
      </c>
      <c r="AH26" s="30">
        <f t="shared" si="65"/>
        <v>0</v>
      </c>
      <c r="AI26" s="30">
        <f t="shared" si="66"/>
        <v>0</v>
      </c>
      <c r="AJ26" s="30">
        <f t="shared" si="248"/>
        <v>0</v>
      </c>
      <c r="AK26" s="30">
        <f t="shared" ref="AK26" si="308">IF(AJ26=0,IF(VLOOKUP(AK$3,$A$3:$F$14,4,FALSE)&gt;=$G26,10,0),0)</f>
        <v>10</v>
      </c>
      <c r="AL26" s="30">
        <f t="shared" si="68"/>
        <v>0</v>
      </c>
      <c r="AM26" s="30">
        <f t="shared" si="69"/>
        <v>0</v>
      </c>
      <c r="AN26" s="30">
        <f t="shared" si="250"/>
        <v>0</v>
      </c>
      <c r="AO26" s="30">
        <f t="shared" ref="AO26" si="309">IF(AN26=0,IF(VLOOKUP(AO$3,$A$3:$F$14,4,FALSE)&gt;=$G26,10,0),0)</f>
        <v>0</v>
      </c>
      <c r="AP26" s="30">
        <f t="shared" si="71"/>
        <v>10</v>
      </c>
      <c r="AQ26" s="30">
        <f t="shared" si="72"/>
        <v>0</v>
      </c>
      <c r="AR26" s="30">
        <f t="shared" si="252"/>
        <v>0</v>
      </c>
      <c r="AS26" s="30">
        <f t="shared" ref="AS26" si="310">IF(AR26=0,IF(VLOOKUP(AS$3,$A$3:$F$14,4,FALSE)&gt;=$G26,10,0),0)</f>
        <v>10</v>
      </c>
      <c r="AT26" s="30">
        <f t="shared" si="74"/>
        <v>0</v>
      </c>
      <c r="AU26" s="30">
        <f t="shared" si="75"/>
        <v>0</v>
      </c>
      <c r="AV26" s="30">
        <f t="shared" si="254"/>
        <v>0</v>
      </c>
      <c r="AW26" s="30">
        <f t="shared" ref="AW26" si="311">IF(AV26=0,IF(VLOOKUP(AW$3,$A$3:$F$14,4,FALSE)&gt;=$G26,10,0),0)</f>
        <v>10</v>
      </c>
      <c r="AX26" s="30">
        <f t="shared" si="77"/>
        <v>0</v>
      </c>
      <c r="AY26" s="30">
        <f t="shared" si="78"/>
        <v>0</v>
      </c>
      <c r="AZ26" s="30">
        <f t="shared" si="256"/>
        <v>0</v>
      </c>
      <c r="BA26" s="30">
        <f t="shared" ref="BA26" si="312">IF(AZ26=0,IF(VLOOKUP(BA$3,$A$3:$F$14,4,FALSE)&gt;=$G26,10,0),0)</f>
        <v>0</v>
      </c>
      <c r="BB26" s="30">
        <f t="shared" si="80"/>
        <v>10</v>
      </c>
      <c r="BC26" s="30">
        <f t="shared" si="81"/>
        <v>0</v>
      </c>
    </row>
    <row r="27" spans="3:55" x14ac:dyDescent="0.2">
      <c r="G27" s="19">
        <v>23</v>
      </c>
      <c r="H27" s="21">
        <f t="shared" si="45"/>
        <v>0</v>
      </c>
      <c r="I27" s="28">
        <f t="shared" si="46"/>
        <v>0</v>
      </c>
      <c r="J27" s="28">
        <f t="shared" si="47"/>
        <v>0</v>
      </c>
      <c r="K27" s="30">
        <f t="shared" si="48"/>
        <v>10</v>
      </c>
      <c r="L27" s="30">
        <f t="shared" si="236"/>
        <v>0</v>
      </c>
      <c r="M27" s="30">
        <f t="shared" ref="M27" si="313">IF(L27=0,IF(VLOOKUP(M$3,$A$3:$F$14,4,FALSE)&gt;=$G27,10,0),0)</f>
        <v>0</v>
      </c>
      <c r="N27" s="30">
        <f t="shared" si="50"/>
        <v>0</v>
      </c>
      <c r="O27" s="30">
        <f t="shared" si="51"/>
        <v>10</v>
      </c>
      <c r="P27" s="30">
        <f t="shared" si="238"/>
        <v>0</v>
      </c>
      <c r="Q27" s="30">
        <f t="shared" ref="Q27" si="314">IF(P27=0,IF(VLOOKUP(Q$3,$A$3:$F$14,4,FALSE)&gt;=$G27,10,0),0)</f>
        <v>0</v>
      </c>
      <c r="R27" s="30">
        <f t="shared" si="53"/>
        <v>0</v>
      </c>
      <c r="S27" s="30">
        <f t="shared" si="54"/>
        <v>10</v>
      </c>
      <c r="T27" s="30">
        <f t="shared" si="240"/>
        <v>0</v>
      </c>
      <c r="U27" s="30">
        <f t="shared" ref="U27" si="315">IF(T27=0,IF(VLOOKUP(U$3,$A$3:$F$14,4,FALSE)&gt;=$G27,10,0),0)</f>
        <v>0</v>
      </c>
      <c r="V27" s="30">
        <f t="shared" si="56"/>
        <v>10</v>
      </c>
      <c r="W27" s="30">
        <f t="shared" si="57"/>
        <v>0</v>
      </c>
      <c r="X27" s="30">
        <f t="shared" si="242"/>
        <v>0</v>
      </c>
      <c r="Y27" s="30">
        <f t="shared" ref="Y27" si="316">IF(X27=0,IF(VLOOKUP(Y$3,$A$3:$F$14,4,FALSE)&gt;=$G27,10,0),0)</f>
        <v>0</v>
      </c>
      <c r="Z27" s="30">
        <f t="shared" si="59"/>
        <v>10</v>
      </c>
      <c r="AA27" s="30">
        <f t="shared" si="60"/>
        <v>0</v>
      </c>
      <c r="AB27" s="30">
        <f t="shared" si="244"/>
        <v>0</v>
      </c>
      <c r="AC27" s="30">
        <f t="shared" ref="AC27" si="317">IF(AB27=0,IF(VLOOKUP(AC$3,$A$3:$F$14,4,FALSE)&gt;=$G27,10,0),0)</f>
        <v>0</v>
      </c>
      <c r="AD27" s="30">
        <f t="shared" si="62"/>
        <v>10</v>
      </c>
      <c r="AE27" s="30">
        <f t="shared" si="63"/>
        <v>0</v>
      </c>
      <c r="AF27" s="30">
        <f t="shared" si="246"/>
        <v>0</v>
      </c>
      <c r="AG27" s="30">
        <f t="shared" ref="AG27" si="318">IF(AF27=0,IF(VLOOKUP(AG$3,$A$3:$F$14,4,FALSE)&gt;=$G27,10,0),0)</f>
        <v>0</v>
      </c>
      <c r="AH27" s="30">
        <f t="shared" si="65"/>
        <v>10</v>
      </c>
      <c r="AI27" s="30">
        <f t="shared" si="66"/>
        <v>0</v>
      </c>
      <c r="AJ27" s="30">
        <f t="shared" si="248"/>
        <v>0</v>
      </c>
      <c r="AK27" s="30">
        <f t="shared" ref="AK27" si="319">IF(AJ27=0,IF(VLOOKUP(AK$3,$A$3:$F$14,4,FALSE)&gt;=$G27,10,0),0)</f>
        <v>10</v>
      </c>
      <c r="AL27" s="30">
        <f t="shared" si="68"/>
        <v>0</v>
      </c>
      <c r="AM27" s="30">
        <f t="shared" si="69"/>
        <v>0</v>
      </c>
      <c r="AN27" s="30">
        <f t="shared" si="250"/>
        <v>0</v>
      </c>
      <c r="AO27" s="30">
        <f t="shared" ref="AO27" si="320">IF(AN27=0,IF(VLOOKUP(AO$3,$A$3:$F$14,4,FALSE)&gt;=$G27,10,0),0)</f>
        <v>0</v>
      </c>
      <c r="AP27" s="30">
        <f t="shared" si="71"/>
        <v>10</v>
      </c>
      <c r="AQ27" s="30">
        <f t="shared" si="72"/>
        <v>0</v>
      </c>
      <c r="AR27" s="30">
        <f t="shared" si="252"/>
        <v>0</v>
      </c>
      <c r="AS27" s="30">
        <f t="shared" ref="AS27" si="321">IF(AR27=0,IF(VLOOKUP(AS$3,$A$3:$F$14,4,FALSE)&gt;=$G27,10,0),0)</f>
        <v>10</v>
      </c>
      <c r="AT27" s="30">
        <f t="shared" si="74"/>
        <v>0</v>
      </c>
      <c r="AU27" s="30">
        <f t="shared" si="75"/>
        <v>0</v>
      </c>
      <c r="AV27" s="30">
        <f t="shared" si="254"/>
        <v>0</v>
      </c>
      <c r="AW27" s="30">
        <f t="shared" ref="AW27" si="322">IF(AV27=0,IF(VLOOKUP(AW$3,$A$3:$F$14,4,FALSE)&gt;=$G27,10,0),0)</f>
        <v>10</v>
      </c>
      <c r="AX27" s="30">
        <f t="shared" si="77"/>
        <v>0</v>
      </c>
      <c r="AY27" s="30">
        <f t="shared" si="78"/>
        <v>0</v>
      </c>
      <c r="AZ27" s="30">
        <f t="shared" si="256"/>
        <v>0</v>
      </c>
      <c r="BA27" s="30">
        <f t="shared" ref="BA27" si="323">IF(AZ27=0,IF(VLOOKUP(BA$3,$A$3:$F$14,4,FALSE)&gt;=$G27,10,0),0)</f>
        <v>0</v>
      </c>
      <c r="BB27" s="30">
        <f t="shared" si="80"/>
        <v>10</v>
      </c>
      <c r="BC27" s="30">
        <f t="shared" si="81"/>
        <v>0</v>
      </c>
    </row>
    <row r="28" spans="3:55" x14ac:dyDescent="0.2">
      <c r="G28" s="19">
        <v>24</v>
      </c>
      <c r="H28" s="21">
        <f t="shared" si="45"/>
        <v>0</v>
      </c>
      <c r="I28" s="28">
        <f t="shared" si="46"/>
        <v>0</v>
      </c>
      <c r="J28" s="28">
        <f t="shared" si="47"/>
        <v>0</v>
      </c>
      <c r="K28" s="30">
        <f t="shared" si="48"/>
        <v>10</v>
      </c>
      <c r="L28" s="30">
        <f t="shared" si="236"/>
        <v>0</v>
      </c>
      <c r="M28" s="30">
        <f t="shared" ref="M28" si="324">IF(L28=0,IF(VLOOKUP(M$3,$A$3:$F$14,4,FALSE)&gt;=$G28,10,0),0)</f>
        <v>0</v>
      </c>
      <c r="N28" s="30">
        <f t="shared" si="50"/>
        <v>0</v>
      </c>
      <c r="O28" s="30">
        <f t="shared" si="51"/>
        <v>10</v>
      </c>
      <c r="P28" s="30">
        <f t="shared" si="238"/>
        <v>0</v>
      </c>
      <c r="Q28" s="30">
        <f t="shared" ref="Q28" si="325">IF(P28=0,IF(VLOOKUP(Q$3,$A$3:$F$14,4,FALSE)&gt;=$G28,10,0),0)</f>
        <v>0</v>
      </c>
      <c r="R28" s="30">
        <f t="shared" si="53"/>
        <v>0</v>
      </c>
      <c r="S28" s="30">
        <f t="shared" si="54"/>
        <v>10</v>
      </c>
      <c r="T28" s="30">
        <f t="shared" si="240"/>
        <v>0</v>
      </c>
      <c r="U28" s="30">
        <f t="shared" ref="U28" si="326">IF(T28=0,IF(VLOOKUP(U$3,$A$3:$F$14,4,FALSE)&gt;=$G28,10,0),0)</f>
        <v>0</v>
      </c>
      <c r="V28" s="30">
        <f t="shared" si="56"/>
        <v>10</v>
      </c>
      <c r="W28" s="30">
        <f t="shared" si="57"/>
        <v>0</v>
      </c>
      <c r="X28" s="30">
        <f t="shared" si="242"/>
        <v>0</v>
      </c>
      <c r="Y28" s="30">
        <f t="shared" ref="Y28" si="327">IF(X28=0,IF(VLOOKUP(Y$3,$A$3:$F$14,4,FALSE)&gt;=$G28,10,0),0)</f>
        <v>0</v>
      </c>
      <c r="Z28" s="30">
        <f t="shared" si="59"/>
        <v>10</v>
      </c>
      <c r="AA28" s="30">
        <f t="shared" si="60"/>
        <v>0</v>
      </c>
      <c r="AB28" s="30">
        <f t="shared" si="244"/>
        <v>0</v>
      </c>
      <c r="AC28" s="30">
        <f t="shared" ref="AC28" si="328">IF(AB28=0,IF(VLOOKUP(AC$3,$A$3:$F$14,4,FALSE)&gt;=$G28,10,0),0)</f>
        <v>0</v>
      </c>
      <c r="AD28" s="30">
        <f t="shared" si="62"/>
        <v>10</v>
      </c>
      <c r="AE28" s="30">
        <f t="shared" si="63"/>
        <v>0</v>
      </c>
      <c r="AF28" s="30">
        <f t="shared" si="246"/>
        <v>0</v>
      </c>
      <c r="AG28" s="30">
        <f t="shared" ref="AG28" si="329">IF(AF28=0,IF(VLOOKUP(AG$3,$A$3:$F$14,4,FALSE)&gt;=$G28,10,0),0)</f>
        <v>0</v>
      </c>
      <c r="AH28" s="30">
        <f t="shared" si="65"/>
        <v>10</v>
      </c>
      <c r="AI28" s="30">
        <f t="shared" si="66"/>
        <v>0</v>
      </c>
      <c r="AJ28" s="30">
        <f t="shared" si="248"/>
        <v>0</v>
      </c>
      <c r="AK28" s="30">
        <f t="shared" ref="AK28" si="330">IF(AJ28=0,IF(VLOOKUP(AK$3,$A$3:$F$14,4,FALSE)&gt;=$G28,10,0),0)</f>
        <v>10</v>
      </c>
      <c r="AL28" s="30">
        <f t="shared" si="68"/>
        <v>0</v>
      </c>
      <c r="AM28" s="30">
        <f t="shared" si="69"/>
        <v>0</v>
      </c>
      <c r="AN28" s="30">
        <f t="shared" si="250"/>
        <v>0</v>
      </c>
      <c r="AO28" s="30">
        <f t="shared" ref="AO28" si="331">IF(AN28=0,IF(VLOOKUP(AO$3,$A$3:$F$14,4,FALSE)&gt;=$G28,10,0),0)</f>
        <v>0</v>
      </c>
      <c r="AP28" s="30">
        <f t="shared" si="71"/>
        <v>10</v>
      </c>
      <c r="AQ28" s="30">
        <f t="shared" si="72"/>
        <v>0</v>
      </c>
      <c r="AR28" s="30">
        <f t="shared" si="252"/>
        <v>0</v>
      </c>
      <c r="AS28" s="30">
        <f t="shared" ref="AS28" si="332">IF(AR28=0,IF(VLOOKUP(AS$3,$A$3:$F$14,4,FALSE)&gt;=$G28,10,0),0)</f>
        <v>10</v>
      </c>
      <c r="AT28" s="30">
        <f t="shared" si="74"/>
        <v>0</v>
      </c>
      <c r="AU28" s="30">
        <f t="shared" si="75"/>
        <v>0</v>
      </c>
      <c r="AV28" s="30">
        <f t="shared" si="254"/>
        <v>0</v>
      </c>
      <c r="AW28" s="30">
        <f t="shared" ref="AW28" si="333">IF(AV28=0,IF(VLOOKUP(AW$3,$A$3:$F$14,4,FALSE)&gt;=$G28,10,0),0)</f>
        <v>10</v>
      </c>
      <c r="AX28" s="30">
        <f t="shared" si="77"/>
        <v>0</v>
      </c>
      <c r="AY28" s="30">
        <f t="shared" si="78"/>
        <v>0</v>
      </c>
      <c r="AZ28" s="30">
        <f t="shared" si="256"/>
        <v>0</v>
      </c>
      <c r="BA28" s="30">
        <f t="shared" ref="BA28" si="334">IF(AZ28=0,IF(VLOOKUP(BA$3,$A$3:$F$14,4,FALSE)&gt;=$G28,10,0),0)</f>
        <v>0</v>
      </c>
      <c r="BB28" s="30">
        <f t="shared" si="80"/>
        <v>10</v>
      </c>
      <c r="BC28" s="30">
        <f t="shared" si="81"/>
        <v>0</v>
      </c>
    </row>
    <row r="29" spans="3:55" x14ac:dyDescent="0.2">
      <c r="G29" s="19">
        <v>25</v>
      </c>
      <c r="H29" s="21">
        <f t="shared" si="45"/>
        <v>0</v>
      </c>
      <c r="I29" s="28">
        <f t="shared" si="46"/>
        <v>0</v>
      </c>
      <c r="J29" s="28">
        <f t="shared" si="47"/>
        <v>0</v>
      </c>
      <c r="K29" s="30">
        <f t="shared" si="48"/>
        <v>10</v>
      </c>
      <c r="L29" s="30">
        <f t="shared" si="236"/>
        <v>0</v>
      </c>
      <c r="M29" s="30">
        <f t="shared" ref="M29" si="335">IF(L29=0,IF(VLOOKUP(M$3,$A$3:$F$14,4,FALSE)&gt;=$G29,10,0),0)</f>
        <v>0</v>
      </c>
      <c r="N29" s="30">
        <f t="shared" si="50"/>
        <v>0</v>
      </c>
      <c r="O29" s="30">
        <f t="shared" si="51"/>
        <v>10</v>
      </c>
      <c r="P29" s="30">
        <f t="shared" si="238"/>
        <v>0</v>
      </c>
      <c r="Q29" s="30">
        <f t="shared" ref="Q29" si="336">IF(P29=0,IF(VLOOKUP(Q$3,$A$3:$F$14,4,FALSE)&gt;=$G29,10,0),0)</f>
        <v>0</v>
      </c>
      <c r="R29" s="30">
        <f t="shared" si="53"/>
        <v>0</v>
      </c>
      <c r="S29" s="30">
        <f t="shared" si="54"/>
        <v>10</v>
      </c>
      <c r="T29" s="30">
        <f t="shared" si="240"/>
        <v>0</v>
      </c>
      <c r="U29" s="30">
        <f t="shared" ref="U29" si="337">IF(T29=0,IF(VLOOKUP(U$3,$A$3:$F$14,4,FALSE)&gt;=$G29,10,0),0)</f>
        <v>0</v>
      </c>
      <c r="V29" s="30">
        <f t="shared" si="56"/>
        <v>10</v>
      </c>
      <c r="W29" s="30">
        <f t="shared" si="57"/>
        <v>0</v>
      </c>
      <c r="X29" s="30">
        <f t="shared" si="242"/>
        <v>0</v>
      </c>
      <c r="Y29" s="30">
        <f t="shared" ref="Y29" si="338">IF(X29=0,IF(VLOOKUP(Y$3,$A$3:$F$14,4,FALSE)&gt;=$G29,10,0),0)</f>
        <v>0</v>
      </c>
      <c r="Z29" s="30">
        <f t="shared" si="59"/>
        <v>10</v>
      </c>
      <c r="AA29" s="30">
        <f t="shared" si="60"/>
        <v>0</v>
      </c>
      <c r="AB29" s="30">
        <f t="shared" si="244"/>
        <v>0</v>
      </c>
      <c r="AC29" s="30">
        <f t="shared" ref="AC29" si="339">IF(AB29=0,IF(VLOOKUP(AC$3,$A$3:$F$14,4,FALSE)&gt;=$G29,10,0),0)</f>
        <v>0</v>
      </c>
      <c r="AD29" s="30">
        <f t="shared" si="62"/>
        <v>10</v>
      </c>
      <c r="AE29" s="30">
        <f t="shared" si="63"/>
        <v>0</v>
      </c>
      <c r="AF29" s="30">
        <f t="shared" si="246"/>
        <v>0</v>
      </c>
      <c r="AG29" s="30">
        <f t="shared" ref="AG29" si="340">IF(AF29=0,IF(VLOOKUP(AG$3,$A$3:$F$14,4,FALSE)&gt;=$G29,10,0),0)</f>
        <v>0</v>
      </c>
      <c r="AH29" s="30">
        <f t="shared" si="65"/>
        <v>10</v>
      </c>
      <c r="AI29" s="30">
        <f t="shared" si="66"/>
        <v>0</v>
      </c>
      <c r="AJ29" s="30">
        <f t="shared" si="248"/>
        <v>0</v>
      </c>
      <c r="AK29" s="30">
        <f t="shared" ref="AK29" si="341">IF(AJ29=0,IF(VLOOKUP(AK$3,$A$3:$F$14,4,FALSE)&gt;=$G29,10,0),0)</f>
        <v>10</v>
      </c>
      <c r="AL29" s="30">
        <f t="shared" si="68"/>
        <v>0</v>
      </c>
      <c r="AM29" s="30">
        <f t="shared" si="69"/>
        <v>0</v>
      </c>
      <c r="AN29" s="30">
        <f t="shared" si="250"/>
        <v>0</v>
      </c>
      <c r="AO29" s="30">
        <f t="shared" ref="AO29" si="342">IF(AN29=0,IF(VLOOKUP(AO$3,$A$3:$F$14,4,FALSE)&gt;=$G29,10,0),0)</f>
        <v>0</v>
      </c>
      <c r="AP29" s="30">
        <f t="shared" si="71"/>
        <v>10</v>
      </c>
      <c r="AQ29" s="30">
        <f t="shared" si="72"/>
        <v>0</v>
      </c>
      <c r="AR29" s="30">
        <f t="shared" si="252"/>
        <v>0</v>
      </c>
      <c r="AS29" s="30">
        <f t="shared" ref="AS29" si="343">IF(AR29=0,IF(VLOOKUP(AS$3,$A$3:$F$14,4,FALSE)&gt;=$G29,10,0),0)</f>
        <v>10</v>
      </c>
      <c r="AT29" s="30">
        <f t="shared" si="74"/>
        <v>0</v>
      </c>
      <c r="AU29" s="30">
        <f t="shared" si="75"/>
        <v>0</v>
      </c>
      <c r="AV29" s="30">
        <f t="shared" si="254"/>
        <v>0</v>
      </c>
      <c r="AW29" s="30">
        <f t="shared" ref="AW29" si="344">IF(AV29=0,IF(VLOOKUP(AW$3,$A$3:$F$14,4,FALSE)&gt;=$G29,10,0),0)</f>
        <v>10</v>
      </c>
      <c r="AX29" s="30">
        <f t="shared" si="77"/>
        <v>0</v>
      </c>
      <c r="AY29" s="30">
        <f t="shared" si="78"/>
        <v>0</v>
      </c>
      <c r="AZ29" s="30">
        <f t="shared" si="256"/>
        <v>0</v>
      </c>
      <c r="BA29" s="30">
        <f t="shared" ref="BA29" si="345">IF(AZ29=0,IF(VLOOKUP(BA$3,$A$3:$F$14,4,FALSE)&gt;=$G29,10,0),0)</f>
        <v>0</v>
      </c>
      <c r="BB29" s="30">
        <f t="shared" si="80"/>
        <v>10</v>
      </c>
      <c r="BC29" s="30">
        <f t="shared" si="81"/>
        <v>0</v>
      </c>
    </row>
    <row r="30" spans="3:55" x14ac:dyDescent="0.2">
      <c r="G30" s="19">
        <v>26</v>
      </c>
      <c r="H30" s="21">
        <f t="shared" si="45"/>
        <v>0</v>
      </c>
      <c r="I30" s="28">
        <f t="shared" si="46"/>
        <v>0</v>
      </c>
      <c r="J30" s="28">
        <f t="shared" si="47"/>
        <v>0</v>
      </c>
      <c r="K30" s="30">
        <f t="shared" si="48"/>
        <v>10</v>
      </c>
      <c r="L30" s="30">
        <f t="shared" si="236"/>
        <v>0</v>
      </c>
      <c r="M30" s="30">
        <f t="shared" ref="M30" si="346">IF(L30=0,IF(VLOOKUP(M$3,$A$3:$F$14,4,FALSE)&gt;=$G30,10,0),0)</f>
        <v>0</v>
      </c>
      <c r="N30" s="30">
        <f t="shared" si="50"/>
        <v>0</v>
      </c>
      <c r="O30" s="30">
        <f t="shared" si="51"/>
        <v>10</v>
      </c>
      <c r="P30" s="30">
        <f t="shared" si="238"/>
        <v>0</v>
      </c>
      <c r="Q30" s="30">
        <f t="shared" ref="Q30" si="347">IF(P30=0,IF(VLOOKUP(Q$3,$A$3:$F$14,4,FALSE)&gt;=$G30,10,0),0)</f>
        <v>0</v>
      </c>
      <c r="R30" s="30">
        <f t="shared" si="53"/>
        <v>0</v>
      </c>
      <c r="S30" s="30">
        <f t="shared" si="54"/>
        <v>10</v>
      </c>
      <c r="T30" s="30">
        <f t="shared" si="240"/>
        <v>0</v>
      </c>
      <c r="U30" s="30">
        <f t="shared" ref="U30" si="348">IF(T30=0,IF(VLOOKUP(U$3,$A$3:$F$14,4,FALSE)&gt;=$G30,10,0),0)</f>
        <v>0</v>
      </c>
      <c r="V30" s="30">
        <f t="shared" si="56"/>
        <v>10</v>
      </c>
      <c r="W30" s="30">
        <f t="shared" si="57"/>
        <v>0</v>
      </c>
      <c r="X30" s="30">
        <f t="shared" si="242"/>
        <v>0</v>
      </c>
      <c r="Y30" s="30">
        <f t="shared" ref="Y30" si="349">IF(X30=0,IF(VLOOKUP(Y$3,$A$3:$F$14,4,FALSE)&gt;=$G30,10,0),0)</f>
        <v>0</v>
      </c>
      <c r="Z30" s="30">
        <f t="shared" si="59"/>
        <v>10</v>
      </c>
      <c r="AA30" s="30">
        <f t="shared" si="60"/>
        <v>0</v>
      </c>
      <c r="AB30" s="30">
        <f t="shared" si="244"/>
        <v>0</v>
      </c>
      <c r="AC30" s="30">
        <f t="shared" ref="AC30" si="350">IF(AB30=0,IF(VLOOKUP(AC$3,$A$3:$F$14,4,FALSE)&gt;=$G30,10,0),0)</f>
        <v>0</v>
      </c>
      <c r="AD30" s="30">
        <f t="shared" si="62"/>
        <v>10</v>
      </c>
      <c r="AE30" s="30">
        <f t="shared" si="63"/>
        <v>0</v>
      </c>
      <c r="AF30" s="30">
        <f t="shared" si="246"/>
        <v>0</v>
      </c>
      <c r="AG30" s="30">
        <f t="shared" ref="AG30" si="351">IF(AF30=0,IF(VLOOKUP(AG$3,$A$3:$F$14,4,FALSE)&gt;=$G30,10,0),0)</f>
        <v>0</v>
      </c>
      <c r="AH30" s="30">
        <f t="shared" si="65"/>
        <v>10</v>
      </c>
      <c r="AI30" s="30">
        <f t="shared" si="66"/>
        <v>0</v>
      </c>
      <c r="AJ30" s="30">
        <f t="shared" si="248"/>
        <v>0</v>
      </c>
      <c r="AK30" s="30">
        <f t="shared" ref="AK30" si="352">IF(AJ30=0,IF(VLOOKUP(AK$3,$A$3:$F$14,4,FALSE)&gt;=$G30,10,0),0)</f>
        <v>10</v>
      </c>
      <c r="AL30" s="30">
        <f t="shared" si="68"/>
        <v>0</v>
      </c>
      <c r="AM30" s="30">
        <f t="shared" si="69"/>
        <v>0</v>
      </c>
      <c r="AN30" s="30">
        <f t="shared" si="250"/>
        <v>0</v>
      </c>
      <c r="AO30" s="30">
        <f t="shared" ref="AO30" si="353">IF(AN30=0,IF(VLOOKUP(AO$3,$A$3:$F$14,4,FALSE)&gt;=$G30,10,0),0)</f>
        <v>0</v>
      </c>
      <c r="AP30" s="30">
        <f t="shared" si="71"/>
        <v>10</v>
      </c>
      <c r="AQ30" s="30">
        <f t="shared" si="72"/>
        <v>0</v>
      </c>
      <c r="AR30" s="30">
        <f t="shared" si="252"/>
        <v>0</v>
      </c>
      <c r="AS30" s="30">
        <f t="shared" ref="AS30" si="354">IF(AR30=0,IF(VLOOKUP(AS$3,$A$3:$F$14,4,FALSE)&gt;=$G30,10,0),0)</f>
        <v>10</v>
      </c>
      <c r="AT30" s="30">
        <f t="shared" si="74"/>
        <v>0</v>
      </c>
      <c r="AU30" s="30">
        <f t="shared" si="75"/>
        <v>0</v>
      </c>
      <c r="AV30" s="30">
        <f t="shared" si="254"/>
        <v>0</v>
      </c>
      <c r="AW30" s="30">
        <f t="shared" ref="AW30" si="355">IF(AV30=0,IF(VLOOKUP(AW$3,$A$3:$F$14,4,FALSE)&gt;=$G30,10,0),0)</f>
        <v>10</v>
      </c>
      <c r="AX30" s="30">
        <f t="shared" si="77"/>
        <v>0</v>
      </c>
      <c r="AY30" s="30">
        <f t="shared" si="78"/>
        <v>0</v>
      </c>
      <c r="AZ30" s="30">
        <f t="shared" si="256"/>
        <v>0</v>
      </c>
      <c r="BA30" s="30">
        <f t="shared" ref="BA30" si="356">IF(AZ30=0,IF(VLOOKUP(BA$3,$A$3:$F$14,4,FALSE)&gt;=$G30,10,0),0)</f>
        <v>0</v>
      </c>
      <c r="BB30" s="30">
        <f t="shared" si="80"/>
        <v>10</v>
      </c>
      <c r="BC30" s="30">
        <f t="shared" si="81"/>
        <v>0</v>
      </c>
    </row>
    <row r="31" spans="3:55" x14ac:dyDescent="0.2">
      <c r="G31" s="19">
        <v>27</v>
      </c>
      <c r="H31" s="21">
        <f t="shared" si="45"/>
        <v>0</v>
      </c>
      <c r="I31" s="28">
        <f t="shared" si="46"/>
        <v>0</v>
      </c>
      <c r="J31" s="28">
        <f t="shared" si="47"/>
        <v>0</v>
      </c>
      <c r="K31" s="30">
        <f t="shared" si="48"/>
        <v>10</v>
      </c>
      <c r="L31" s="30">
        <f t="shared" si="236"/>
        <v>0</v>
      </c>
      <c r="M31" s="30">
        <f t="shared" ref="M31" si="357">IF(L31=0,IF(VLOOKUP(M$3,$A$3:$F$14,4,FALSE)&gt;=$G31,10,0),0)</f>
        <v>0</v>
      </c>
      <c r="N31" s="30">
        <f t="shared" si="50"/>
        <v>0</v>
      </c>
      <c r="O31" s="30">
        <f t="shared" si="51"/>
        <v>10</v>
      </c>
      <c r="P31" s="30">
        <f t="shared" si="238"/>
        <v>0</v>
      </c>
      <c r="Q31" s="30">
        <f t="shared" ref="Q31" si="358">IF(P31=0,IF(VLOOKUP(Q$3,$A$3:$F$14,4,FALSE)&gt;=$G31,10,0),0)</f>
        <v>0</v>
      </c>
      <c r="R31" s="30">
        <f t="shared" si="53"/>
        <v>0</v>
      </c>
      <c r="S31" s="30">
        <f t="shared" si="54"/>
        <v>10</v>
      </c>
      <c r="T31" s="30">
        <f t="shared" si="240"/>
        <v>0</v>
      </c>
      <c r="U31" s="30">
        <f t="shared" ref="U31" si="359">IF(T31=0,IF(VLOOKUP(U$3,$A$3:$F$14,4,FALSE)&gt;=$G31,10,0),0)</f>
        <v>0</v>
      </c>
      <c r="V31" s="30">
        <f t="shared" si="56"/>
        <v>10</v>
      </c>
      <c r="W31" s="30">
        <f t="shared" si="57"/>
        <v>0</v>
      </c>
      <c r="X31" s="30">
        <f t="shared" si="242"/>
        <v>0</v>
      </c>
      <c r="Y31" s="30">
        <f t="shared" ref="Y31" si="360">IF(X31=0,IF(VLOOKUP(Y$3,$A$3:$F$14,4,FALSE)&gt;=$G31,10,0),0)</f>
        <v>0</v>
      </c>
      <c r="Z31" s="30">
        <f t="shared" si="59"/>
        <v>10</v>
      </c>
      <c r="AA31" s="30">
        <f t="shared" si="60"/>
        <v>0</v>
      </c>
      <c r="AB31" s="30">
        <f t="shared" si="244"/>
        <v>0</v>
      </c>
      <c r="AC31" s="30">
        <f t="shared" ref="AC31" si="361">IF(AB31=0,IF(VLOOKUP(AC$3,$A$3:$F$14,4,FALSE)&gt;=$G31,10,0),0)</f>
        <v>0</v>
      </c>
      <c r="AD31" s="30">
        <f t="shared" si="62"/>
        <v>10</v>
      </c>
      <c r="AE31" s="30">
        <f t="shared" si="63"/>
        <v>0</v>
      </c>
      <c r="AF31" s="30">
        <f t="shared" si="246"/>
        <v>0</v>
      </c>
      <c r="AG31" s="30">
        <f t="shared" ref="AG31" si="362">IF(AF31=0,IF(VLOOKUP(AG$3,$A$3:$F$14,4,FALSE)&gt;=$G31,10,0),0)</f>
        <v>0</v>
      </c>
      <c r="AH31" s="30">
        <f t="shared" si="65"/>
        <v>10</v>
      </c>
      <c r="AI31" s="30">
        <f t="shared" si="66"/>
        <v>0</v>
      </c>
      <c r="AJ31" s="30">
        <f t="shared" si="248"/>
        <v>0</v>
      </c>
      <c r="AK31" s="30">
        <f t="shared" ref="AK31" si="363">IF(AJ31=0,IF(VLOOKUP(AK$3,$A$3:$F$14,4,FALSE)&gt;=$G31,10,0),0)</f>
        <v>10</v>
      </c>
      <c r="AL31" s="30">
        <f t="shared" si="68"/>
        <v>0</v>
      </c>
      <c r="AM31" s="30">
        <f t="shared" si="69"/>
        <v>0</v>
      </c>
      <c r="AN31" s="30">
        <f t="shared" si="250"/>
        <v>0</v>
      </c>
      <c r="AO31" s="30">
        <f t="shared" ref="AO31" si="364">IF(AN31=0,IF(VLOOKUP(AO$3,$A$3:$F$14,4,FALSE)&gt;=$G31,10,0),0)</f>
        <v>0</v>
      </c>
      <c r="AP31" s="30">
        <f t="shared" si="71"/>
        <v>10</v>
      </c>
      <c r="AQ31" s="30">
        <f t="shared" si="72"/>
        <v>0</v>
      </c>
      <c r="AR31" s="30">
        <f t="shared" si="252"/>
        <v>0</v>
      </c>
      <c r="AS31" s="30">
        <f t="shared" ref="AS31" si="365">IF(AR31=0,IF(VLOOKUP(AS$3,$A$3:$F$14,4,FALSE)&gt;=$G31,10,0),0)</f>
        <v>10</v>
      </c>
      <c r="AT31" s="30">
        <f t="shared" si="74"/>
        <v>0</v>
      </c>
      <c r="AU31" s="30">
        <f t="shared" si="75"/>
        <v>0</v>
      </c>
      <c r="AV31" s="30">
        <f t="shared" si="254"/>
        <v>0</v>
      </c>
      <c r="AW31" s="30">
        <f t="shared" ref="AW31" si="366">IF(AV31=0,IF(VLOOKUP(AW$3,$A$3:$F$14,4,FALSE)&gt;=$G31,10,0),0)</f>
        <v>10</v>
      </c>
      <c r="AX31" s="30">
        <f t="shared" si="77"/>
        <v>0</v>
      </c>
      <c r="AY31" s="30">
        <f t="shared" si="78"/>
        <v>0</v>
      </c>
      <c r="AZ31" s="30">
        <f t="shared" si="256"/>
        <v>0</v>
      </c>
      <c r="BA31" s="30">
        <f t="shared" ref="BA31" si="367">IF(AZ31=0,IF(VLOOKUP(BA$3,$A$3:$F$14,4,FALSE)&gt;=$G31,10,0),0)</f>
        <v>0</v>
      </c>
      <c r="BB31" s="30">
        <f t="shared" si="80"/>
        <v>10</v>
      </c>
      <c r="BC31" s="30">
        <f t="shared" si="81"/>
        <v>0</v>
      </c>
    </row>
    <row r="32" spans="3:55" x14ac:dyDescent="0.2">
      <c r="G32" s="19">
        <v>28</v>
      </c>
      <c r="H32" s="21">
        <f t="shared" si="45"/>
        <v>0</v>
      </c>
      <c r="I32" s="28">
        <f t="shared" si="46"/>
        <v>0</v>
      </c>
      <c r="J32" s="28">
        <f t="shared" si="47"/>
        <v>0</v>
      </c>
      <c r="K32" s="30">
        <f t="shared" si="48"/>
        <v>10</v>
      </c>
      <c r="L32" s="30">
        <f t="shared" si="236"/>
        <v>0</v>
      </c>
      <c r="M32" s="30">
        <f t="shared" ref="M32" si="368">IF(L32=0,IF(VLOOKUP(M$3,$A$3:$F$14,4,FALSE)&gt;=$G32,10,0),0)</f>
        <v>0</v>
      </c>
      <c r="N32" s="30">
        <f t="shared" si="50"/>
        <v>0</v>
      </c>
      <c r="O32" s="30">
        <f t="shared" si="51"/>
        <v>10</v>
      </c>
      <c r="P32" s="30">
        <f t="shared" si="238"/>
        <v>0</v>
      </c>
      <c r="Q32" s="30">
        <f t="shared" ref="Q32" si="369">IF(P32=0,IF(VLOOKUP(Q$3,$A$3:$F$14,4,FALSE)&gt;=$G32,10,0),0)</f>
        <v>0</v>
      </c>
      <c r="R32" s="30">
        <f t="shared" si="53"/>
        <v>0</v>
      </c>
      <c r="S32" s="30">
        <f t="shared" si="54"/>
        <v>10</v>
      </c>
      <c r="T32" s="30">
        <f t="shared" si="240"/>
        <v>0</v>
      </c>
      <c r="U32" s="30">
        <f t="shared" ref="U32" si="370">IF(T32=0,IF(VLOOKUP(U$3,$A$3:$F$14,4,FALSE)&gt;=$G32,10,0),0)</f>
        <v>0</v>
      </c>
      <c r="V32" s="30">
        <f t="shared" si="56"/>
        <v>10</v>
      </c>
      <c r="W32" s="30">
        <f t="shared" si="57"/>
        <v>0</v>
      </c>
      <c r="X32" s="30">
        <f t="shared" si="242"/>
        <v>0</v>
      </c>
      <c r="Y32" s="30">
        <f t="shared" ref="Y32" si="371">IF(X32=0,IF(VLOOKUP(Y$3,$A$3:$F$14,4,FALSE)&gt;=$G32,10,0),0)</f>
        <v>0</v>
      </c>
      <c r="Z32" s="30">
        <f t="shared" si="59"/>
        <v>10</v>
      </c>
      <c r="AA32" s="30">
        <f t="shared" si="60"/>
        <v>0</v>
      </c>
      <c r="AB32" s="30">
        <f t="shared" si="244"/>
        <v>0</v>
      </c>
      <c r="AC32" s="30">
        <f t="shared" ref="AC32" si="372">IF(AB32=0,IF(VLOOKUP(AC$3,$A$3:$F$14,4,FALSE)&gt;=$G32,10,0),0)</f>
        <v>0</v>
      </c>
      <c r="AD32" s="30">
        <f t="shared" si="62"/>
        <v>10</v>
      </c>
      <c r="AE32" s="30">
        <f t="shared" si="63"/>
        <v>0</v>
      </c>
      <c r="AF32" s="30">
        <f t="shared" si="246"/>
        <v>0</v>
      </c>
      <c r="AG32" s="30">
        <f t="shared" ref="AG32" si="373">IF(AF32=0,IF(VLOOKUP(AG$3,$A$3:$F$14,4,FALSE)&gt;=$G32,10,0),0)</f>
        <v>0</v>
      </c>
      <c r="AH32" s="30">
        <f t="shared" si="65"/>
        <v>10</v>
      </c>
      <c r="AI32" s="30">
        <f t="shared" si="66"/>
        <v>0</v>
      </c>
      <c r="AJ32" s="30">
        <f t="shared" si="248"/>
        <v>0</v>
      </c>
      <c r="AK32" s="30">
        <f t="shared" ref="AK32" si="374">IF(AJ32=0,IF(VLOOKUP(AK$3,$A$3:$F$14,4,FALSE)&gt;=$G32,10,0),0)</f>
        <v>10</v>
      </c>
      <c r="AL32" s="30">
        <f t="shared" si="68"/>
        <v>0</v>
      </c>
      <c r="AM32" s="30">
        <f t="shared" si="69"/>
        <v>0</v>
      </c>
      <c r="AN32" s="30">
        <f t="shared" si="250"/>
        <v>0</v>
      </c>
      <c r="AO32" s="30">
        <f t="shared" ref="AO32" si="375">IF(AN32=0,IF(VLOOKUP(AO$3,$A$3:$F$14,4,FALSE)&gt;=$G32,10,0),0)</f>
        <v>0</v>
      </c>
      <c r="AP32" s="30">
        <f t="shared" si="71"/>
        <v>10</v>
      </c>
      <c r="AQ32" s="30">
        <f t="shared" si="72"/>
        <v>0</v>
      </c>
      <c r="AR32" s="30">
        <f t="shared" si="252"/>
        <v>0</v>
      </c>
      <c r="AS32" s="30">
        <f t="shared" ref="AS32" si="376">IF(AR32=0,IF(VLOOKUP(AS$3,$A$3:$F$14,4,FALSE)&gt;=$G32,10,0),0)</f>
        <v>10</v>
      </c>
      <c r="AT32" s="30">
        <f t="shared" si="74"/>
        <v>0</v>
      </c>
      <c r="AU32" s="30">
        <f t="shared" si="75"/>
        <v>0</v>
      </c>
      <c r="AV32" s="30">
        <f t="shared" si="254"/>
        <v>0</v>
      </c>
      <c r="AW32" s="30">
        <f t="shared" ref="AW32" si="377">IF(AV32=0,IF(VLOOKUP(AW$3,$A$3:$F$14,4,FALSE)&gt;=$G32,10,0),0)</f>
        <v>10</v>
      </c>
      <c r="AX32" s="30">
        <f t="shared" si="77"/>
        <v>0</v>
      </c>
      <c r="AY32" s="30">
        <f t="shared" si="78"/>
        <v>0</v>
      </c>
      <c r="AZ32" s="30">
        <f t="shared" si="256"/>
        <v>0</v>
      </c>
      <c r="BA32" s="30">
        <f t="shared" ref="BA32" si="378">IF(AZ32=0,IF(VLOOKUP(BA$3,$A$3:$F$14,4,FALSE)&gt;=$G32,10,0),0)</f>
        <v>0</v>
      </c>
      <c r="BB32" s="30">
        <f t="shared" si="80"/>
        <v>10</v>
      </c>
      <c r="BC32" s="30">
        <f t="shared" si="81"/>
        <v>0</v>
      </c>
    </row>
    <row r="33" spans="7:55" x14ac:dyDescent="0.2">
      <c r="G33" s="19">
        <v>29</v>
      </c>
      <c r="H33" s="21">
        <f t="shared" si="45"/>
        <v>0</v>
      </c>
      <c r="I33" s="28">
        <f t="shared" si="46"/>
        <v>0</v>
      </c>
      <c r="J33" s="28">
        <f t="shared" si="47"/>
        <v>0</v>
      </c>
      <c r="K33" s="30">
        <f t="shared" si="48"/>
        <v>10</v>
      </c>
      <c r="L33" s="30">
        <f t="shared" si="236"/>
        <v>0</v>
      </c>
      <c r="M33" s="30">
        <f t="shared" ref="M33" si="379">IF(L33=0,IF(VLOOKUP(M$3,$A$3:$F$14,4,FALSE)&gt;=$G33,10,0),0)</f>
        <v>0</v>
      </c>
      <c r="N33" s="30">
        <f t="shared" si="50"/>
        <v>0</v>
      </c>
      <c r="O33" s="30">
        <f t="shared" si="51"/>
        <v>10</v>
      </c>
      <c r="P33" s="30">
        <f t="shared" si="238"/>
        <v>0</v>
      </c>
      <c r="Q33" s="30">
        <f t="shared" ref="Q33" si="380">IF(P33=0,IF(VLOOKUP(Q$3,$A$3:$F$14,4,FALSE)&gt;=$G33,10,0),0)</f>
        <v>0</v>
      </c>
      <c r="R33" s="30">
        <f t="shared" si="53"/>
        <v>0</v>
      </c>
      <c r="S33" s="30">
        <f t="shared" si="54"/>
        <v>10</v>
      </c>
      <c r="T33" s="30">
        <f t="shared" si="240"/>
        <v>0</v>
      </c>
      <c r="U33" s="30">
        <f t="shared" ref="U33" si="381">IF(T33=0,IF(VLOOKUP(U$3,$A$3:$F$14,4,FALSE)&gt;=$G33,10,0),0)</f>
        <v>0</v>
      </c>
      <c r="V33" s="30">
        <f t="shared" si="56"/>
        <v>10</v>
      </c>
      <c r="W33" s="30">
        <f t="shared" si="57"/>
        <v>0</v>
      </c>
      <c r="X33" s="30">
        <f t="shared" si="242"/>
        <v>0</v>
      </c>
      <c r="Y33" s="30">
        <f t="shared" ref="Y33" si="382">IF(X33=0,IF(VLOOKUP(Y$3,$A$3:$F$14,4,FALSE)&gt;=$G33,10,0),0)</f>
        <v>0</v>
      </c>
      <c r="Z33" s="30">
        <f t="shared" si="59"/>
        <v>10</v>
      </c>
      <c r="AA33" s="30">
        <f t="shared" si="60"/>
        <v>0</v>
      </c>
      <c r="AB33" s="30">
        <f t="shared" si="244"/>
        <v>0</v>
      </c>
      <c r="AC33" s="30">
        <f t="shared" ref="AC33" si="383">IF(AB33=0,IF(VLOOKUP(AC$3,$A$3:$F$14,4,FALSE)&gt;=$G33,10,0),0)</f>
        <v>0</v>
      </c>
      <c r="AD33" s="30">
        <f t="shared" si="62"/>
        <v>10</v>
      </c>
      <c r="AE33" s="30">
        <f t="shared" si="63"/>
        <v>0</v>
      </c>
      <c r="AF33" s="30">
        <f t="shared" si="246"/>
        <v>0</v>
      </c>
      <c r="AG33" s="30">
        <f t="shared" ref="AG33" si="384">IF(AF33=0,IF(VLOOKUP(AG$3,$A$3:$F$14,4,FALSE)&gt;=$G33,10,0),0)</f>
        <v>0</v>
      </c>
      <c r="AH33" s="30">
        <f t="shared" si="65"/>
        <v>10</v>
      </c>
      <c r="AI33" s="30">
        <f t="shared" si="66"/>
        <v>0</v>
      </c>
      <c r="AJ33" s="30">
        <f t="shared" si="248"/>
        <v>0</v>
      </c>
      <c r="AK33" s="30">
        <f t="shared" ref="AK33" si="385">IF(AJ33=0,IF(VLOOKUP(AK$3,$A$3:$F$14,4,FALSE)&gt;=$G33,10,0),0)</f>
        <v>10</v>
      </c>
      <c r="AL33" s="30">
        <f t="shared" si="68"/>
        <v>0</v>
      </c>
      <c r="AM33" s="30">
        <f t="shared" si="69"/>
        <v>0</v>
      </c>
      <c r="AN33" s="30">
        <f t="shared" si="250"/>
        <v>0</v>
      </c>
      <c r="AO33" s="30">
        <f t="shared" ref="AO33" si="386">IF(AN33=0,IF(VLOOKUP(AO$3,$A$3:$F$14,4,FALSE)&gt;=$G33,10,0),0)</f>
        <v>0</v>
      </c>
      <c r="AP33" s="30">
        <f t="shared" si="71"/>
        <v>10</v>
      </c>
      <c r="AQ33" s="30">
        <f t="shared" si="72"/>
        <v>0</v>
      </c>
      <c r="AR33" s="30">
        <f t="shared" si="252"/>
        <v>0</v>
      </c>
      <c r="AS33" s="30">
        <f t="shared" ref="AS33" si="387">IF(AR33=0,IF(VLOOKUP(AS$3,$A$3:$F$14,4,FALSE)&gt;=$G33,10,0),0)</f>
        <v>10</v>
      </c>
      <c r="AT33" s="30">
        <f t="shared" si="74"/>
        <v>0</v>
      </c>
      <c r="AU33" s="30">
        <f t="shared" si="75"/>
        <v>0</v>
      </c>
      <c r="AV33" s="30">
        <f t="shared" si="254"/>
        <v>0</v>
      </c>
      <c r="AW33" s="30">
        <f t="shared" ref="AW33" si="388">IF(AV33=0,IF(VLOOKUP(AW$3,$A$3:$F$14,4,FALSE)&gt;=$G33,10,0),0)</f>
        <v>10</v>
      </c>
      <c r="AX33" s="30">
        <f t="shared" si="77"/>
        <v>0</v>
      </c>
      <c r="AY33" s="30">
        <f t="shared" si="78"/>
        <v>0</v>
      </c>
      <c r="AZ33" s="30">
        <f t="shared" si="256"/>
        <v>0</v>
      </c>
      <c r="BA33" s="30">
        <f t="shared" ref="BA33" si="389">IF(AZ33=0,IF(VLOOKUP(BA$3,$A$3:$F$14,4,FALSE)&gt;=$G33,10,0),0)</f>
        <v>0</v>
      </c>
      <c r="BB33" s="30">
        <f t="shared" si="80"/>
        <v>10</v>
      </c>
      <c r="BC33" s="30">
        <f t="shared" si="81"/>
        <v>0</v>
      </c>
    </row>
    <row r="34" spans="7:55" x14ac:dyDescent="0.2">
      <c r="G34" s="19">
        <v>30</v>
      </c>
      <c r="H34" s="21">
        <f t="shared" si="45"/>
        <v>0</v>
      </c>
      <c r="I34" s="28">
        <f t="shared" si="46"/>
        <v>0</v>
      </c>
      <c r="J34" s="28">
        <f t="shared" si="47"/>
        <v>0</v>
      </c>
      <c r="K34" s="30">
        <f t="shared" si="48"/>
        <v>10</v>
      </c>
      <c r="L34" s="30">
        <f t="shared" si="236"/>
        <v>0</v>
      </c>
      <c r="M34" s="30">
        <f t="shared" ref="M34" si="390">IF(L34=0,IF(VLOOKUP(M$3,$A$3:$F$14,4,FALSE)&gt;=$G34,10,0),0)</f>
        <v>0</v>
      </c>
      <c r="N34" s="30">
        <f t="shared" si="50"/>
        <v>0</v>
      </c>
      <c r="O34" s="30">
        <f t="shared" si="51"/>
        <v>10</v>
      </c>
      <c r="P34" s="30">
        <f t="shared" si="238"/>
        <v>0</v>
      </c>
      <c r="Q34" s="30">
        <f t="shared" ref="Q34" si="391">IF(P34=0,IF(VLOOKUP(Q$3,$A$3:$F$14,4,FALSE)&gt;=$G34,10,0),0)</f>
        <v>0</v>
      </c>
      <c r="R34" s="30">
        <f t="shared" si="53"/>
        <v>0</v>
      </c>
      <c r="S34" s="30">
        <f t="shared" si="54"/>
        <v>10</v>
      </c>
      <c r="T34" s="30">
        <f t="shared" si="240"/>
        <v>0</v>
      </c>
      <c r="U34" s="30">
        <f t="shared" ref="U34" si="392">IF(T34=0,IF(VLOOKUP(U$3,$A$3:$F$14,4,FALSE)&gt;=$G34,10,0),0)</f>
        <v>0</v>
      </c>
      <c r="V34" s="30">
        <f t="shared" si="56"/>
        <v>10</v>
      </c>
      <c r="W34" s="30">
        <f t="shared" si="57"/>
        <v>0</v>
      </c>
      <c r="X34" s="30">
        <f t="shared" si="242"/>
        <v>0</v>
      </c>
      <c r="Y34" s="30">
        <f t="shared" ref="Y34" si="393">IF(X34=0,IF(VLOOKUP(Y$3,$A$3:$F$14,4,FALSE)&gt;=$G34,10,0),0)</f>
        <v>0</v>
      </c>
      <c r="Z34" s="30">
        <f t="shared" si="59"/>
        <v>10</v>
      </c>
      <c r="AA34" s="30">
        <f t="shared" si="60"/>
        <v>0</v>
      </c>
      <c r="AB34" s="30">
        <f t="shared" si="244"/>
        <v>0</v>
      </c>
      <c r="AC34" s="30">
        <f t="shared" ref="AC34" si="394">IF(AB34=0,IF(VLOOKUP(AC$3,$A$3:$F$14,4,FALSE)&gt;=$G34,10,0),0)</f>
        <v>0</v>
      </c>
      <c r="AD34" s="30">
        <f t="shared" si="62"/>
        <v>10</v>
      </c>
      <c r="AE34" s="30">
        <f t="shared" si="63"/>
        <v>0</v>
      </c>
      <c r="AF34" s="30">
        <f t="shared" si="246"/>
        <v>0</v>
      </c>
      <c r="AG34" s="30">
        <f t="shared" ref="AG34" si="395">IF(AF34=0,IF(VLOOKUP(AG$3,$A$3:$F$14,4,FALSE)&gt;=$G34,10,0),0)</f>
        <v>0</v>
      </c>
      <c r="AH34" s="30">
        <f t="shared" si="65"/>
        <v>10</v>
      </c>
      <c r="AI34" s="30">
        <f t="shared" si="66"/>
        <v>0</v>
      </c>
      <c r="AJ34" s="30">
        <f t="shared" si="248"/>
        <v>0</v>
      </c>
      <c r="AK34" s="30">
        <f t="shared" ref="AK34" si="396">IF(AJ34=0,IF(VLOOKUP(AK$3,$A$3:$F$14,4,FALSE)&gt;=$G34,10,0),0)</f>
        <v>10</v>
      </c>
      <c r="AL34" s="30">
        <f t="shared" si="68"/>
        <v>0</v>
      </c>
      <c r="AM34" s="30">
        <f t="shared" si="69"/>
        <v>0</v>
      </c>
      <c r="AN34" s="30">
        <f t="shared" si="250"/>
        <v>0</v>
      </c>
      <c r="AO34" s="30">
        <f t="shared" ref="AO34" si="397">IF(AN34=0,IF(VLOOKUP(AO$3,$A$3:$F$14,4,FALSE)&gt;=$G34,10,0),0)</f>
        <v>0</v>
      </c>
      <c r="AP34" s="30">
        <f t="shared" si="71"/>
        <v>10</v>
      </c>
      <c r="AQ34" s="30">
        <f t="shared" si="72"/>
        <v>0</v>
      </c>
      <c r="AR34" s="30">
        <f t="shared" si="252"/>
        <v>0</v>
      </c>
      <c r="AS34" s="30">
        <f t="shared" ref="AS34" si="398">IF(AR34=0,IF(VLOOKUP(AS$3,$A$3:$F$14,4,FALSE)&gt;=$G34,10,0),0)</f>
        <v>10</v>
      </c>
      <c r="AT34" s="30">
        <f t="shared" si="74"/>
        <v>0</v>
      </c>
      <c r="AU34" s="30">
        <f t="shared" si="75"/>
        <v>0</v>
      </c>
      <c r="AV34" s="30">
        <f t="shared" si="254"/>
        <v>0</v>
      </c>
      <c r="AW34" s="30">
        <f t="shared" ref="AW34" si="399">IF(AV34=0,IF(VLOOKUP(AW$3,$A$3:$F$14,4,FALSE)&gt;=$G34,10,0),0)</f>
        <v>10</v>
      </c>
      <c r="AX34" s="30">
        <f t="shared" si="77"/>
        <v>0</v>
      </c>
      <c r="AY34" s="30">
        <f t="shared" si="78"/>
        <v>0</v>
      </c>
      <c r="AZ34" s="30">
        <f t="shared" si="256"/>
        <v>0</v>
      </c>
      <c r="BA34" s="30">
        <f t="shared" ref="BA34" si="400">IF(AZ34=0,IF(VLOOKUP(BA$3,$A$3:$F$14,4,FALSE)&gt;=$G34,10,0),0)</f>
        <v>0</v>
      </c>
      <c r="BB34" s="30">
        <f t="shared" si="80"/>
        <v>10</v>
      </c>
      <c r="BC34" s="30">
        <f t="shared" si="81"/>
        <v>0</v>
      </c>
    </row>
    <row r="35" spans="7:55" x14ac:dyDescent="0.2">
      <c r="G35" s="19">
        <v>31</v>
      </c>
      <c r="H35" s="21">
        <f t="shared" si="45"/>
        <v>0</v>
      </c>
      <c r="I35" s="28">
        <f t="shared" si="46"/>
        <v>0</v>
      </c>
      <c r="J35" s="28">
        <f t="shared" si="47"/>
        <v>0</v>
      </c>
      <c r="K35" s="30">
        <f t="shared" si="48"/>
        <v>10</v>
      </c>
      <c r="L35" s="30">
        <f t="shared" si="236"/>
        <v>0</v>
      </c>
      <c r="M35" s="30">
        <f t="shared" ref="M35" si="401">IF(L35=0,IF(VLOOKUP(M$3,$A$3:$F$14,4,FALSE)&gt;=$G35,10,0),0)</f>
        <v>0</v>
      </c>
      <c r="N35" s="30">
        <f t="shared" si="50"/>
        <v>0</v>
      </c>
      <c r="O35" s="30">
        <f t="shared" si="51"/>
        <v>10</v>
      </c>
      <c r="P35" s="30">
        <f t="shared" si="238"/>
        <v>0</v>
      </c>
      <c r="Q35" s="30">
        <f t="shared" ref="Q35" si="402">IF(P35=0,IF(VLOOKUP(Q$3,$A$3:$F$14,4,FALSE)&gt;=$G35,10,0),0)</f>
        <v>0</v>
      </c>
      <c r="R35" s="30">
        <f t="shared" si="53"/>
        <v>0</v>
      </c>
      <c r="S35" s="30">
        <f t="shared" si="54"/>
        <v>10</v>
      </c>
      <c r="T35" s="30">
        <f t="shared" si="240"/>
        <v>0</v>
      </c>
      <c r="U35" s="30">
        <f t="shared" ref="U35" si="403">IF(T35=0,IF(VLOOKUP(U$3,$A$3:$F$14,4,FALSE)&gt;=$G35,10,0),0)</f>
        <v>0</v>
      </c>
      <c r="V35" s="30">
        <f t="shared" si="56"/>
        <v>10</v>
      </c>
      <c r="W35" s="30">
        <f t="shared" si="57"/>
        <v>0</v>
      </c>
      <c r="X35" s="30">
        <f t="shared" si="242"/>
        <v>0</v>
      </c>
      <c r="Y35" s="30">
        <f t="shared" ref="Y35" si="404">IF(X35=0,IF(VLOOKUP(Y$3,$A$3:$F$14,4,FALSE)&gt;=$G35,10,0),0)</f>
        <v>0</v>
      </c>
      <c r="Z35" s="30">
        <f t="shared" si="59"/>
        <v>10</v>
      </c>
      <c r="AA35" s="30">
        <f t="shared" si="60"/>
        <v>0</v>
      </c>
      <c r="AB35" s="30">
        <f t="shared" si="244"/>
        <v>0</v>
      </c>
      <c r="AC35" s="30">
        <f t="shared" ref="AC35" si="405">IF(AB35=0,IF(VLOOKUP(AC$3,$A$3:$F$14,4,FALSE)&gt;=$G35,10,0),0)</f>
        <v>0</v>
      </c>
      <c r="AD35" s="30">
        <f t="shared" si="62"/>
        <v>10</v>
      </c>
      <c r="AE35" s="30">
        <f t="shared" si="63"/>
        <v>0</v>
      </c>
      <c r="AF35" s="30">
        <f t="shared" si="246"/>
        <v>0</v>
      </c>
      <c r="AG35" s="30">
        <f t="shared" ref="AG35" si="406">IF(AF35=0,IF(VLOOKUP(AG$3,$A$3:$F$14,4,FALSE)&gt;=$G35,10,0),0)</f>
        <v>0</v>
      </c>
      <c r="AH35" s="30">
        <f t="shared" si="65"/>
        <v>10</v>
      </c>
      <c r="AI35" s="30">
        <f t="shared" si="66"/>
        <v>0</v>
      </c>
      <c r="AJ35" s="30">
        <f t="shared" si="248"/>
        <v>0</v>
      </c>
      <c r="AK35" s="30">
        <f t="shared" ref="AK35" si="407">IF(AJ35=0,IF(VLOOKUP(AK$3,$A$3:$F$14,4,FALSE)&gt;=$G35,10,0),0)</f>
        <v>0</v>
      </c>
      <c r="AL35" s="30">
        <f t="shared" si="68"/>
        <v>10</v>
      </c>
      <c r="AM35" s="30">
        <f t="shared" si="69"/>
        <v>0</v>
      </c>
      <c r="AN35" s="30">
        <f t="shared" si="250"/>
        <v>0</v>
      </c>
      <c r="AO35" s="30">
        <f t="shared" ref="AO35" si="408">IF(AN35=0,IF(VLOOKUP(AO$3,$A$3:$F$14,4,FALSE)&gt;=$G35,10,0),0)</f>
        <v>0</v>
      </c>
      <c r="AP35" s="30">
        <f t="shared" si="71"/>
        <v>10</v>
      </c>
      <c r="AQ35" s="30">
        <f t="shared" si="72"/>
        <v>0</v>
      </c>
      <c r="AR35" s="30">
        <f t="shared" si="252"/>
        <v>0</v>
      </c>
      <c r="AS35" s="30">
        <f t="shared" ref="AS35" si="409">IF(AR35=0,IF(VLOOKUP(AS$3,$A$3:$F$14,4,FALSE)&gt;=$G35,10,0),0)</f>
        <v>0</v>
      </c>
      <c r="AT35" s="30">
        <f t="shared" si="74"/>
        <v>10</v>
      </c>
      <c r="AU35" s="30">
        <f t="shared" si="75"/>
        <v>0</v>
      </c>
      <c r="AV35" s="30">
        <f t="shared" si="254"/>
        <v>0</v>
      </c>
      <c r="AW35" s="30">
        <f t="shared" ref="AW35" si="410">IF(AV35=0,IF(VLOOKUP(AW$3,$A$3:$F$14,4,FALSE)&gt;=$G35,10,0),0)</f>
        <v>0</v>
      </c>
      <c r="AX35" s="30">
        <f t="shared" si="77"/>
        <v>10</v>
      </c>
      <c r="AY35" s="30">
        <f t="shared" si="78"/>
        <v>0</v>
      </c>
      <c r="AZ35" s="30">
        <f t="shared" si="256"/>
        <v>0</v>
      </c>
      <c r="BA35" s="30">
        <f t="shared" ref="BA35" si="411">IF(AZ35=0,IF(VLOOKUP(BA$3,$A$3:$F$14,4,FALSE)&gt;=$G35,10,0),0)</f>
        <v>0</v>
      </c>
      <c r="BB35" s="30">
        <f t="shared" si="80"/>
        <v>10</v>
      </c>
      <c r="BC35" s="30">
        <f t="shared" si="81"/>
        <v>0</v>
      </c>
    </row>
    <row r="36" spans="7:55" x14ac:dyDescent="0.2">
      <c r="G36" s="19">
        <v>32</v>
      </c>
      <c r="H36" s="21">
        <f t="shared" si="45"/>
        <v>0</v>
      </c>
      <c r="I36" s="28">
        <f t="shared" si="46"/>
        <v>0</v>
      </c>
      <c r="J36" s="28">
        <f t="shared" si="47"/>
        <v>0</v>
      </c>
      <c r="K36" s="30">
        <f t="shared" si="48"/>
        <v>10</v>
      </c>
      <c r="L36" s="30">
        <f t="shared" si="236"/>
        <v>0</v>
      </c>
      <c r="M36" s="30">
        <f t="shared" ref="M36" si="412">IF(L36=0,IF(VLOOKUP(M$3,$A$3:$F$14,4,FALSE)&gt;=$G36,10,0),0)</f>
        <v>0</v>
      </c>
      <c r="N36" s="30">
        <f t="shared" si="50"/>
        <v>0</v>
      </c>
      <c r="O36" s="30">
        <f t="shared" si="51"/>
        <v>10</v>
      </c>
      <c r="P36" s="30">
        <f t="shared" si="238"/>
        <v>0</v>
      </c>
      <c r="Q36" s="30">
        <f t="shared" ref="Q36" si="413">IF(P36=0,IF(VLOOKUP(Q$3,$A$3:$F$14,4,FALSE)&gt;=$G36,10,0),0)</f>
        <v>0</v>
      </c>
      <c r="R36" s="30">
        <f t="shared" si="53"/>
        <v>0</v>
      </c>
      <c r="S36" s="30">
        <f t="shared" si="54"/>
        <v>10</v>
      </c>
      <c r="T36" s="30">
        <f t="shared" si="240"/>
        <v>0</v>
      </c>
      <c r="U36" s="30">
        <f t="shared" ref="U36" si="414">IF(T36=0,IF(VLOOKUP(U$3,$A$3:$F$14,4,FALSE)&gt;=$G36,10,0),0)</f>
        <v>0</v>
      </c>
      <c r="V36" s="30">
        <f t="shared" si="56"/>
        <v>10</v>
      </c>
      <c r="W36" s="30">
        <f t="shared" si="57"/>
        <v>0</v>
      </c>
      <c r="X36" s="30">
        <f t="shared" si="242"/>
        <v>0</v>
      </c>
      <c r="Y36" s="30">
        <f t="shared" ref="Y36" si="415">IF(X36=0,IF(VLOOKUP(Y$3,$A$3:$F$14,4,FALSE)&gt;=$G36,10,0),0)</f>
        <v>0</v>
      </c>
      <c r="Z36" s="30">
        <f t="shared" si="59"/>
        <v>10</v>
      </c>
      <c r="AA36" s="30">
        <f t="shared" si="60"/>
        <v>0</v>
      </c>
      <c r="AB36" s="30">
        <f t="shared" si="244"/>
        <v>0</v>
      </c>
      <c r="AC36" s="30">
        <f t="shared" ref="AC36" si="416">IF(AB36=0,IF(VLOOKUP(AC$3,$A$3:$F$14,4,FALSE)&gt;=$G36,10,0),0)</f>
        <v>0</v>
      </c>
      <c r="AD36" s="30">
        <f t="shared" si="62"/>
        <v>10</v>
      </c>
      <c r="AE36" s="30">
        <f t="shared" si="63"/>
        <v>0</v>
      </c>
      <c r="AF36" s="30">
        <f t="shared" si="246"/>
        <v>0</v>
      </c>
      <c r="AG36" s="30">
        <f t="shared" ref="AG36" si="417">IF(AF36=0,IF(VLOOKUP(AG$3,$A$3:$F$14,4,FALSE)&gt;=$G36,10,0),0)</f>
        <v>0</v>
      </c>
      <c r="AH36" s="30">
        <f t="shared" si="65"/>
        <v>10</v>
      </c>
      <c r="AI36" s="30">
        <f t="shared" si="66"/>
        <v>0</v>
      </c>
      <c r="AJ36" s="30">
        <f t="shared" si="248"/>
        <v>0</v>
      </c>
      <c r="AK36" s="30">
        <f t="shared" ref="AK36" si="418">IF(AJ36=0,IF(VLOOKUP(AK$3,$A$3:$F$14,4,FALSE)&gt;=$G36,10,0),0)</f>
        <v>0</v>
      </c>
      <c r="AL36" s="30">
        <f t="shared" si="68"/>
        <v>10</v>
      </c>
      <c r="AM36" s="30">
        <f t="shared" si="69"/>
        <v>0</v>
      </c>
      <c r="AN36" s="30">
        <f t="shared" si="250"/>
        <v>0</v>
      </c>
      <c r="AO36" s="30">
        <f t="shared" ref="AO36" si="419">IF(AN36=0,IF(VLOOKUP(AO$3,$A$3:$F$14,4,FALSE)&gt;=$G36,10,0),0)</f>
        <v>0</v>
      </c>
      <c r="AP36" s="30">
        <f t="shared" si="71"/>
        <v>10</v>
      </c>
      <c r="AQ36" s="30">
        <f t="shared" si="72"/>
        <v>0</v>
      </c>
      <c r="AR36" s="30">
        <f t="shared" si="252"/>
        <v>0</v>
      </c>
      <c r="AS36" s="30">
        <f t="shared" ref="AS36" si="420">IF(AR36=0,IF(VLOOKUP(AS$3,$A$3:$F$14,4,FALSE)&gt;=$G36,10,0),0)</f>
        <v>0</v>
      </c>
      <c r="AT36" s="30">
        <f t="shared" si="74"/>
        <v>10</v>
      </c>
      <c r="AU36" s="30">
        <f t="shared" si="75"/>
        <v>0</v>
      </c>
      <c r="AV36" s="30">
        <f t="shared" si="254"/>
        <v>0</v>
      </c>
      <c r="AW36" s="30">
        <f t="shared" ref="AW36" si="421">IF(AV36=0,IF(VLOOKUP(AW$3,$A$3:$F$14,4,FALSE)&gt;=$G36,10,0),0)</f>
        <v>0</v>
      </c>
      <c r="AX36" s="30">
        <f t="shared" si="77"/>
        <v>10</v>
      </c>
      <c r="AY36" s="30">
        <f t="shared" si="78"/>
        <v>0</v>
      </c>
      <c r="AZ36" s="30">
        <f t="shared" si="256"/>
        <v>0</v>
      </c>
      <c r="BA36" s="30">
        <f t="shared" ref="BA36" si="422">IF(AZ36=0,IF(VLOOKUP(BA$3,$A$3:$F$14,4,FALSE)&gt;=$G36,10,0),0)</f>
        <v>0</v>
      </c>
      <c r="BB36" s="30">
        <f t="shared" si="80"/>
        <v>10</v>
      </c>
      <c r="BC36" s="30">
        <f t="shared" si="81"/>
        <v>0</v>
      </c>
    </row>
    <row r="37" spans="7:55" x14ac:dyDescent="0.2">
      <c r="G37" s="19">
        <v>33</v>
      </c>
      <c r="H37" s="21">
        <f t="shared" si="45"/>
        <v>0</v>
      </c>
      <c r="I37" s="28">
        <f t="shared" si="46"/>
        <v>0</v>
      </c>
      <c r="J37" s="28">
        <f t="shared" si="47"/>
        <v>0</v>
      </c>
      <c r="K37" s="30">
        <f t="shared" si="48"/>
        <v>10</v>
      </c>
      <c r="L37" s="30">
        <f t="shared" si="236"/>
        <v>0</v>
      </c>
      <c r="M37" s="30">
        <f t="shared" ref="M37" si="423">IF(L37=0,IF(VLOOKUP(M$3,$A$3:$F$14,4,FALSE)&gt;=$G37,10,0),0)</f>
        <v>0</v>
      </c>
      <c r="N37" s="30">
        <f t="shared" si="50"/>
        <v>0</v>
      </c>
      <c r="O37" s="30">
        <f t="shared" si="51"/>
        <v>10</v>
      </c>
      <c r="P37" s="30">
        <f t="shared" si="238"/>
        <v>0</v>
      </c>
      <c r="Q37" s="30">
        <f t="shared" ref="Q37" si="424">IF(P37=0,IF(VLOOKUP(Q$3,$A$3:$F$14,4,FALSE)&gt;=$G37,10,0),0)</f>
        <v>0</v>
      </c>
      <c r="R37" s="30">
        <f t="shared" si="53"/>
        <v>0</v>
      </c>
      <c r="S37" s="30">
        <f t="shared" si="54"/>
        <v>10</v>
      </c>
      <c r="T37" s="30">
        <f t="shared" si="240"/>
        <v>0</v>
      </c>
      <c r="U37" s="30">
        <f t="shared" ref="U37" si="425">IF(T37=0,IF(VLOOKUP(U$3,$A$3:$F$14,4,FALSE)&gt;=$G37,10,0),0)</f>
        <v>0</v>
      </c>
      <c r="V37" s="30">
        <f t="shared" si="56"/>
        <v>10</v>
      </c>
      <c r="W37" s="30">
        <f t="shared" si="57"/>
        <v>0</v>
      </c>
      <c r="X37" s="30">
        <f t="shared" si="242"/>
        <v>0</v>
      </c>
      <c r="Y37" s="30">
        <f t="shared" ref="Y37" si="426">IF(X37=0,IF(VLOOKUP(Y$3,$A$3:$F$14,4,FALSE)&gt;=$G37,10,0),0)</f>
        <v>0</v>
      </c>
      <c r="Z37" s="30">
        <f t="shared" si="59"/>
        <v>10</v>
      </c>
      <c r="AA37" s="30">
        <f t="shared" si="60"/>
        <v>0</v>
      </c>
      <c r="AB37" s="30">
        <f t="shared" si="244"/>
        <v>0</v>
      </c>
      <c r="AC37" s="30">
        <f t="shared" ref="AC37" si="427">IF(AB37=0,IF(VLOOKUP(AC$3,$A$3:$F$14,4,FALSE)&gt;=$G37,10,0),0)</f>
        <v>0</v>
      </c>
      <c r="AD37" s="30">
        <f t="shared" si="62"/>
        <v>10</v>
      </c>
      <c r="AE37" s="30">
        <f t="shared" si="63"/>
        <v>0</v>
      </c>
      <c r="AF37" s="30">
        <f t="shared" si="246"/>
        <v>0</v>
      </c>
      <c r="AG37" s="30">
        <f t="shared" ref="AG37" si="428">IF(AF37=0,IF(VLOOKUP(AG$3,$A$3:$F$14,4,FALSE)&gt;=$G37,10,0),0)</f>
        <v>0</v>
      </c>
      <c r="AH37" s="30">
        <f t="shared" si="65"/>
        <v>10</v>
      </c>
      <c r="AI37" s="30">
        <f t="shared" si="66"/>
        <v>0</v>
      </c>
      <c r="AJ37" s="30">
        <f t="shared" si="248"/>
        <v>0</v>
      </c>
      <c r="AK37" s="30">
        <f t="shared" ref="AK37" si="429">IF(AJ37=0,IF(VLOOKUP(AK$3,$A$3:$F$14,4,FALSE)&gt;=$G37,10,0),0)</f>
        <v>0</v>
      </c>
      <c r="AL37" s="30">
        <f t="shared" si="68"/>
        <v>10</v>
      </c>
      <c r="AM37" s="30">
        <f t="shared" si="69"/>
        <v>0</v>
      </c>
      <c r="AN37" s="30">
        <f t="shared" si="250"/>
        <v>0</v>
      </c>
      <c r="AO37" s="30">
        <f t="shared" ref="AO37" si="430">IF(AN37=0,IF(VLOOKUP(AO$3,$A$3:$F$14,4,FALSE)&gt;=$G37,10,0),0)</f>
        <v>0</v>
      </c>
      <c r="AP37" s="30">
        <f t="shared" si="71"/>
        <v>10</v>
      </c>
      <c r="AQ37" s="30">
        <f t="shared" si="72"/>
        <v>0</v>
      </c>
      <c r="AR37" s="30">
        <f t="shared" si="252"/>
        <v>0</v>
      </c>
      <c r="AS37" s="30">
        <f t="shared" ref="AS37" si="431">IF(AR37=0,IF(VLOOKUP(AS$3,$A$3:$F$14,4,FALSE)&gt;=$G37,10,0),0)</f>
        <v>0</v>
      </c>
      <c r="AT37" s="30">
        <f t="shared" si="74"/>
        <v>10</v>
      </c>
      <c r="AU37" s="30">
        <f t="shared" si="75"/>
        <v>0</v>
      </c>
      <c r="AV37" s="30">
        <f t="shared" si="254"/>
        <v>0</v>
      </c>
      <c r="AW37" s="30">
        <f t="shared" ref="AW37" si="432">IF(AV37=0,IF(VLOOKUP(AW$3,$A$3:$F$14,4,FALSE)&gt;=$G37,10,0),0)</f>
        <v>0</v>
      </c>
      <c r="AX37" s="30">
        <f t="shared" si="77"/>
        <v>10</v>
      </c>
      <c r="AY37" s="30">
        <f t="shared" si="78"/>
        <v>0</v>
      </c>
      <c r="AZ37" s="30">
        <f t="shared" si="256"/>
        <v>0</v>
      </c>
      <c r="BA37" s="30">
        <f t="shared" ref="BA37" si="433">IF(AZ37=0,IF(VLOOKUP(BA$3,$A$3:$F$14,4,FALSE)&gt;=$G37,10,0),0)</f>
        <v>0</v>
      </c>
      <c r="BB37" s="30">
        <f t="shared" si="80"/>
        <v>10</v>
      </c>
      <c r="BC37" s="30">
        <f t="shared" si="81"/>
        <v>0</v>
      </c>
    </row>
    <row r="38" spans="7:55" x14ac:dyDescent="0.2">
      <c r="G38" s="19">
        <v>34</v>
      </c>
      <c r="H38" s="21">
        <f t="shared" si="45"/>
        <v>0</v>
      </c>
      <c r="I38" s="28">
        <f t="shared" si="46"/>
        <v>0</v>
      </c>
      <c r="J38" s="28">
        <f t="shared" si="47"/>
        <v>0</v>
      </c>
      <c r="K38" s="30">
        <f t="shared" si="48"/>
        <v>10</v>
      </c>
      <c r="L38" s="30">
        <f t="shared" si="236"/>
        <v>0</v>
      </c>
      <c r="M38" s="30">
        <f t="shared" ref="M38" si="434">IF(L38=0,IF(VLOOKUP(M$3,$A$3:$F$14,4,FALSE)&gt;=$G38,10,0),0)</f>
        <v>0</v>
      </c>
      <c r="N38" s="30">
        <f t="shared" si="50"/>
        <v>0</v>
      </c>
      <c r="O38" s="30">
        <f t="shared" si="51"/>
        <v>10</v>
      </c>
      <c r="P38" s="30">
        <f t="shared" si="238"/>
        <v>0</v>
      </c>
      <c r="Q38" s="30">
        <f t="shared" ref="Q38" si="435">IF(P38=0,IF(VLOOKUP(Q$3,$A$3:$F$14,4,FALSE)&gt;=$G38,10,0),0)</f>
        <v>0</v>
      </c>
      <c r="R38" s="30">
        <f t="shared" si="53"/>
        <v>0</v>
      </c>
      <c r="S38" s="30">
        <f t="shared" si="54"/>
        <v>10</v>
      </c>
      <c r="T38" s="30">
        <f t="shared" si="240"/>
        <v>0</v>
      </c>
      <c r="U38" s="30">
        <f t="shared" ref="U38" si="436">IF(T38=0,IF(VLOOKUP(U$3,$A$3:$F$14,4,FALSE)&gt;=$G38,10,0),0)</f>
        <v>0</v>
      </c>
      <c r="V38" s="30">
        <f t="shared" si="56"/>
        <v>10</v>
      </c>
      <c r="W38" s="30">
        <f t="shared" si="57"/>
        <v>0</v>
      </c>
      <c r="X38" s="30">
        <f t="shared" si="242"/>
        <v>0</v>
      </c>
      <c r="Y38" s="30">
        <f t="shared" ref="Y38" si="437">IF(X38=0,IF(VLOOKUP(Y$3,$A$3:$F$14,4,FALSE)&gt;=$G38,10,0),0)</f>
        <v>0</v>
      </c>
      <c r="Z38" s="30">
        <f t="shared" si="59"/>
        <v>10</v>
      </c>
      <c r="AA38" s="30">
        <f t="shared" si="60"/>
        <v>0</v>
      </c>
      <c r="AB38" s="30">
        <f t="shared" si="244"/>
        <v>0</v>
      </c>
      <c r="AC38" s="30">
        <f t="shared" ref="AC38" si="438">IF(AB38=0,IF(VLOOKUP(AC$3,$A$3:$F$14,4,FALSE)&gt;=$G38,10,0),0)</f>
        <v>0</v>
      </c>
      <c r="AD38" s="30">
        <f t="shared" si="62"/>
        <v>10</v>
      </c>
      <c r="AE38" s="30">
        <f t="shared" si="63"/>
        <v>0</v>
      </c>
      <c r="AF38" s="30">
        <f t="shared" si="246"/>
        <v>0</v>
      </c>
      <c r="AG38" s="30">
        <f t="shared" ref="AG38" si="439">IF(AF38=0,IF(VLOOKUP(AG$3,$A$3:$F$14,4,FALSE)&gt;=$G38,10,0),0)</f>
        <v>0</v>
      </c>
      <c r="AH38" s="30">
        <f t="shared" si="65"/>
        <v>10</v>
      </c>
      <c r="AI38" s="30">
        <f t="shared" si="66"/>
        <v>0</v>
      </c>
      <c r="AJ38" s="30">
        <f t="shared" si="248"/>
        <v>0</v>
      </c>
      <c r="AK38" s="30">
        <f t="shared" ref="AK38" si="440">IF(AJ38=0,IF(VLOOKUP(AK$3,$A$3:$F$14,4,FALSE)&gt;=$G38,10,0),0)</f>
        <v>0</v>
      </c>
      <c r="AL38" s="30">
        <f t="shared" si="68"/>
        <v>10</v>
      </c>
      <c r="AM38" s="30">
        <f t="shared" si="69"/>
        <v>0</v>
      </c>
      <c r="AN38" s="30">
        <f t="shared" si="250"/>
        <v>0</v>
      </c>
      <c r="AO38" s="30">
        <f t="shared" ref="AO38" si="441">IF(AN38=0,IF(VLOOKUP(AO$3,$A$3:$F$14,4,FALSE)&gt;=$G38,10,0),0)</f>
        <v>0</v>
      </c>
      <c r="AP38" s="30">
        <f t="shared" si="71"/>
        <v>10</v>
      </c>
      <c r="AQ38" s="30">
        <f t="shared" si="72"/>
        <v>0</v>
      </c>
      <c r="AR38" s="30">
        <f t="shared" si="252"/>
        <v>0</v>
      </c>
      <c r="AS38" s="30">
        <f t="shared" ref="AS38" si="442">IF(AR38=0,IF(VLOOKUP(AS$3,$A$3:$F$14,4,FALSE)&gt;=$G38,10,0),0)</f>
        <v>0</v>
      </c>
      <c r="AT38" s="30">
        <f t="shared" si="74"/>
        <v>10</v>
      </c>
      <c r="AU38" s="30">
        <f t="shared" si="75"/>
        <v>0</v>
      </c>
      <c r="AV38" s="30">
        <f t="shared" si="254"/>
        <v>0</v>
      </c>
      <c r="AW38" s="30">
        <f t="shared" ref="AW38" si="443">IF(AV38=0,IF(VLOOKUP(AW$3,$A$3:$F$14,4,FALSE)&gt;=$G38,10,0),0)</f>
        <v>0</v>
      </c>
      <c r="AX38" s="30">
        <f t="shared" si="77"/>
        <v>10</v>
      </c>
      <c r="AY38" s="30">
        <f t="shared" si="78"/>
        <v>0</v>
      </c>
      <c r="AZ38" s="30">
        <f t="shared" si="256"/>
        <v>0</v>
      </c>
      <c r="BA38" s="30">
        <f t="shared" ref="BA38" si="444">IF(AZ38=0,IF(VLOOKUP(BA$3,$A$3:$F$14,4,FALSE)&gt;=$G38,10,0),0)</f>
        <v>0</v>
      </c>
      <c r="BB38" s="30">
        <f t="shared" si="80"/>
        <v>10</v>
      </c>
      <c r="BC38" s="30">
        <f t="shared" si="81"/>
        <v>0</v>
      </c>
    </row>
    <row r="39" spans="7:55" x14ac:dyDescent="0.2">
      <c r="G39" s="19">
        <v>35</v>
      </c>
      <c r="H39" s="21">
        <f t="shared" si="45"/>
        <v>0</v>
      </c>
      <c r="I39" s="28">
        <f t="shared" si="46"/>
        <v>0</v>
      </c>
      <c r="J39" s="28">
        <f t="shared" si="47"/>
        <v>0</v>
      </c>
      <c r="K39" s="30">
        <f t="shared" si="48"/>
        <v>10</v>
      </c>
      <c r="L39" s="30">
        <f t="shared" si="236"/>
        <v>0</v>
      </c>
      <c r="M39" s="30">
        <f t="shared" ref="M39" si="445">IF(L39=0,IF(VLOOKUP(M$3,$A$3:$F$14,4,FALSE)&gt;=$G39,10,0),0)</f>
        <v>0</v>
      </c>
      <c r="N39" s="30">
        <f t="shared" si="50"/>
        <v>0</v>
      </c>
      <c r="O39" s="30">
        <f t="shared" si="51"/>
        <v>10</v>
      </c>
      <c r="P39" s="30">
        <f t="shared" si="238"/>
        <v>0</v>
      </c>
      <c r="Q39" s="30">
        <f t="shared" ref="Q39" si="446">IF(P39=0,IF(VLOOKUP(Q$3,$A$3:$F$14,4,FALSE)&gt;=$G39,10,0),0)</f>
        <v>0</v>
      </c>
      <c r="R39" s="30">
        <f t="shared" si="53"/>
        <v>0</v>
      </c>
      <c r="S39" s="30">
        <f t="shared" si="54"/>
        <v>10</v>
      </c>
      <c r="T39" s="30">
        <f t="shared" si="240"/>
        <v>0</v>
      </c>
      <c r="U39" s="30">
        <f t="shared" ref="U39" si="447">IF(T39=0,IF(VLOOKUP(U$3,$A$3:$F$14,4,FALSE)&gt;=$G39,10,0),0)</f>
        <v>0</v>
      </c>
      <c r="V39" s="30">
        <f t="shared" si="56"/>
        <v>0</v>
      </c>
      <c r="W39" s="30">
        <f t="shared" si="57"/>
        <v>10</v>
      </c>
      <c r="X39" s="30">
        <f t="shared" si="242"/>
        <v>0</v>
      </c>
      <c r="Y39" s="30">
        <f t="shared" ref="Y39" si="448">IF(X39=0,IF(VLOOKUP(Y$3,$A$3:$F$14,4,FALSE)&gt;=$G39,10,0),0)</f>
        <v>0</v>
      </c>
      <c r="Z39" s="30">
        <f t="shared" si="59"/>
        <v>10</v>
      </c>
      <c r="AA39" s="30">
        <f t="shared" si="60"/>
        <v>0</v>
      </c>
      <c r="AB39" s="30">
        <f t="shared" si="244"/>
        <v>0</v>
      </c>
      <c r="AC39" s="30">
        <f t="shared" ref="AC39" si="449">IF(AB39=0,IF(VLOOKUP(AC$3,$A$3:$F$14,4,FALSE)&gt;=$G39,10,0),0)</f>
        <v>0</v>
      </c>
      <c r="AD39" s="30">
        <f t="shared" si="62"/>
        <v>10</v>
      </c>
      <c r="AE39" s="30">
        <f t="shared" si="63"/>
        <v>0</v>
      </c>
      <c r="AF39" s="30">
        <f t="shared" si="246"/>
        <v>0</v>
      </c>
      <c r="AG39" s="30">
        <f t="shared" ref="AG39" si="450">IF(AF39=0,IF(VLOOKUP(AG$3,$A$3:$F$14,4,FALSE)&gt;=$G39,10,0),0)</f>
        <v>0</v>
      </c>
      <c r="AH39" s="30">
        <f t="shared" si="65"/>
        <v>10</v>
      </c>
      <c r="AI39" s="30">
        <f t="shared" si="66"/>
        <v>0</v>
      </c>
      <c r="AJ39" s="30">
        <f t="shared" si="248"/>
        <v>0</v>
      </c>
      <c r="AK39" s="30">
        <f t="shared" ref="AK39" si="451">IF(AJ39=0,IF(VLOOKUP(AK$3,$A$3:$F$14,4,FALSE)&gt;=$G39,10,0),0)</f>
        <v>0</v>
      </c>
      <c r="AL39" s="30">
        <f t="shared" si="68"/>
        <v>10</v>
      </c>
      <c r="AM39" s="30">
        <f t="shared" si="69"/>
        <v>0</v>
      </c>
      <c r="AN39" s="30">
        <f t="shared" si="250"/>
        <v>0</v>
      </c>
      <c r="AO39" s="30">
        <f t="shared" ref="AO39" si="452">IF(AN39=0,IF(VLOOKUP(AO$3,$A$3:$F$14,4,FALSE)&gt;=$G39,10,0),0)</f>
        <v>0</v>
      </c>
      <c r="AP39" s="30">
        <f t="shared" si="71"/>
        <v>10</v>
      </c>
      <c r="AQ39" s="30">
        <f t="shared" si="72"/>
        <v>0</v>
      </c>
      <c r="AR39" s="30">
        <f t="shared" si="252"/>
        <v>0</v>
      </c>
      <c r="AS39" s="30">
        <f t="shared" ref="AS39" si="453">IF(AR39=0,IF(VLOOKUP(AS$3,$A$3:$F$14,4,FALSE)&gt;=$G39,10,0),0)</f>
        <v>0</v>
      </c>
      <c r="AT39" s="30">
        <f t="shared" si="74"/>
        <v>10</v>
      </c>
      <c r="AU39" s="30">
        <f t="shared" si="75"/>
        <v>0</v>
      </c>
      <c r="AV39" s="30">
        <f t="shared" si="254"/>
        <v>0</v>
      </c>
      <c r="AW39" s="30">
        <f t="shared" ref="AW39" si="454">IF(AV39=0,IF(VLOOKUP(AW$3,$A$3:$F$14,4,FALSE)&gt;=$G39,10,0),0)</f>
        <v>0</v>
      </c>
      <c r="AX39" s="30">
        <f t="shared" si="77"/>
        <v>10</v>
      </c>
      <c r="AY39" s="30">
        <f t="shared" si="78"/>
        <v>0</v>
      </c>
      <c r="AZ39" s="30">
        <f t="shared" si="256"/>
        <v>0</v>
      </c>
      <c r="BA39" s="30">
        <f t="shared" ref="BA39" si="455">IF(AZ39=0,IF(VLOOKUP(BA$3,$A$3:$F$14,4,FALSE)&gt;=$G39,10,0),0)</f>
        <v>0</v>
      </c>
      <c r="BB39" s="30">
        <f t="shared" si="80"/>
        <v>10</v>
      </c>
      <c r="BC39" s="30">
        <f t="shared" si="81"/>
        <v>0</v>
      </c>
    </row>
    <row r="40" spans="7:55" x14ac:dyDescent="0.2">
      <c r="G40" s="19">
        <v>36</v>
      </c>
      <c r="H40" s="21">
        <f t="shared" si="45"/>
        <v>0</v>
      </c>
      <c r="I40" s="28">
        <f t="shared" si="46"/>
        <v>0</v>
      </c>
      <c r="J40" s="28">
        <f t="shared" si="47"/>
        <v>0</v>
      </c>
      <c r="K40" s="30">
        <f t="shared" si="48"/>
        <v>10</v>
      </c>
      <c r="L40" s="30">
        <f t="shared" si="236"/>
        <v>0</v>
      </c>
      <c r="M40" s="30">
        <f t="shared" ref="M40" si="456">IF(L40=0,IF(VLOOKUP(M$3,$A$3:$F$14,4,FALSE)&gt;=$G40,10,0),0)</f>
        <v>0</v>
      </c>
      <c r="N40" s="30">
        <f t="shared" si="50"/>
        <v>0</v>
      </c>
      <c r="O40" s="30">
        <f t="shared" si="51"/>
        <v>10</v>
      </c>
      <c r="P40" s="30">
        <f t="shared" si="238"/>
        <v>0</v>
      </c>
      <c r="Q40" s="30">
        <f t="shared" ref="Q40" si="457">IF(P40=0,IF(VLOOKUP(Q$3,$A$3:$F$14,4,FALSE)&gt;=$G40,10,0),0)</f>
        <v>0</v>
      </c>
      <c r="R40" s="30">
        <f t="shared" si="53"/>
        <v>0</v>
      </c>
      <c r="S40" s="30">
        <f t="shared" si="54"/>
        <v>10</v>
      </c>
      <c r="T40" s="30">
        <f t="shared" si="240"/>
        <v>0</v>
      </c>
      <c r="U40" s="30">
        <f t="shared" ref="U40" si="458">IF(T40=0,IF(VLOOKUP(U$3,$A$3:$F$14,4,FALSE)&gt;=$G40,10,0),0)</f>
        <v>0</v>
      </c>
      <c r="V40" s="30">
        <f t="shared" si="56"/>
        <v>0</v>
      </c>
      <c r="W40" s="30">
        <f t="shared" si="57"/>
        <v>10</v>
      </c>
      <c r="X40" s="30">
        <f t="shared" si="242"/>
        <v>0</v>
      </c>
      <c r="Y40" s="30">
        <f t="shared" ref="Y40" si="459">IF(X40=0,IF(VLOOKUP(Y$3,$A$3:$F$14,4,FALSE)&gt;=$G40,10,0),0)</f>
        <v>0</v>
      </c>
      <c r="Z40" s="30">
        <f t="shared" si="59"/>
        <v>10</v>
      </c>
      <c r="AA40" s="30">
        <f t="shared" si="60"/>
        <v>0</v>
      </c>
      <c r="AB40" s="30">
        <f t="shared" si="244"/>
        <v>0</v>
      </c>
      <c r="AC40" s="30">
        <f t="shared" ref="AC40" si="460">IF(AB40=0,IF(VLOOKUP(AC$3,$A$3:$F$14,4,FALSE)&gt;=$G40,10,0),0)</f>
        <v>0</v>
      </c>
      <c r="AD40" s="30">
        <f t="shared" si="62"/>
        <v>10</v>
      </c>
      <c r="AE40" s="30">
        <f t="shared" si="63"/>
        <v>0</v>
      </c>
      <c r="AF40" s="30">
        <f t="shared" si="246"/>
        <v>0</v>
      </c>
      <c r="AG40" s="30">
        <f t="shared" ref="AG40" si="461">IF(AF40=0,IF(VLOOKUP(AG$3,$A$3:$F$14,4,FALSE)&gt;=$G40,10,0),0)</f>
        <v>0</v>
      </c>
      <c r="AH40" s="30">
        <f t="shared" si="65"/>
        <v>10</v>
      </c>
      <c r="AI40" s="30">
        <f t="shared" si="66"/>
        <v>0</v>
      </c>
      <c r="AJ40" s="30">
        <f t="shared" si="248"/>
        <v>0</v>
      </c>
      <c r="AK40" s="30">
        <f t="shared" ref="AK40" si="462">IF(AJ40=0,IF(VLOOKUP(AK$3,$A$3:$F$14,4,FALSE)&gt;=$G40,10,0),0)</f>
        <v>0</v>
      </c>
      <c r="AL40" s="30">
        <f t="shared" si="68"/>
        <v>10</v>
      </c>
      <c r="AM40" s="30">
        <f t="shared" si="69"/>
        <v>0</v>
      </c>
      <c r="AN40" s="30">
        <f t="shared" si="250"/>
        <v>0</v>
      </c>
      <c r="AO40" s="30">
        <f t="shared" ref="AO40" si="463">IF(AN40=0,IF(VLOOKUP(AO$3,$A$3:$F$14,4,FALSE)&gt;=$G40,10,0),0)</f>
        <v>0</v>
      </c>
      <c r="AP40" s="30">
        <f t="shared" si="71"/>
        <v>10</v>
      </c>
      <c r="AQ40" s="30">
        <f t="shared" si="72"/>
        <v>0</v>
      </c>
      <c r="AR40" s="30">
        <f t="shared" si="252"/>
        <v>0</v>
      </c>
      <c r="AS40" s="30">
        <f t="shared" ref="AS40" si="464">IF(AR40=0,IF(VLOOKUP(AS$3,$A$3:$F$14,4,FALSE)&gt;=$G40,10,0),0)</f>
        <v>0</v>
      </c>
      <c r="AT40" s="30">
        <f t="shared" si="74"/>
        <v>10</v>
      </c>
      <c r="AU40" s="30">
        <f t="shared" si="75"/>
        <v>0</v>
      </c>
      <c r="AV40" s="30">
        <f t="shared" si="254"/>
        <v>0</v>
      </c>
      <c r="AW40" s="30">
        <f t="shared" ref="AW40" si="465">IF(AV40=0,IF(VLOOKUP(AW$3,$A$3:$F$14,4,FALSE)&gt;=$G40,10,0),0)</f>
        <v>0</v>
      </c>
      <c r="AX40" s="30">
        <f t="shared" si="77"/>
        <v>10</v>
      </c>
      <c r="AY40" s="30">
        <f t="shared" si="78"/>
        <v>0</v>
      </c>
      <c r="AZ40" s="30">
        <f t="shared" si="256"/>
        <v>0</v>
      </c>
      <c r="BA40" s="30">
        <f t="shared" ref="BA40" si="466">IF(AZ40=0,IF(VLOOKUP(BA$3,$A$3:$F$14,4,FALSE)&gt;=$G40,10,0),0)</f>
        <v>0</v>
      </c>
      <c r="BB40" s="30">
        <f t="shared" si="80"/>
        <v>10</v>
      </c>
      <c r="BC40" s="30">
        <f t="shared" si="81"/>
        <v>0</v>
      </c>
    </row>
    <row r="41" spans="7:55" x14ac:dyDescent="0.2">
      <c r="G41" s="19">
        <v>37</v>
      </c>
      <c r="H41" s="21">
        <f t="shared" si="45"/>
        <v>0</v>
      </c>
      <c r="I41" s="28">
        <f t="shared" si="46"/>
        <v>0</v>
      </c>
      <c r="J41" s="28">
        <f t="shared" si="47"/>
        <v>0</v>
      </c>
      <c r="K41" s="30">
        <f t="shared" si="48"/>
        <v>10</v>
      </c>
      <c r="L41" s="30">
        <f t="shared" si="236"/>
        <v>0</v>
      </c>
      <c r="M41" s="30">
        <f t="shared" ref="M41" si="467">IF(L41=0,IF(VLOOKUP(M$3,$A$3:$F$14,4,FALSE)&gt;=$G41,10,0),0)</f>
        <v>0</v>
      </c>
      <c r="N41" s="30">
        <f t="shared" si="50"/>
        <v>0</v>
      </c>
      <c r="O41" s="30">
        <f t="shared" si="51"/>
        <v>10</v>
      </c>
      <c r="P41" s="30">
        <f t="shared" si="238"/>
        <v>0</v>
      </c>
      <c r="Q41" s="30">
        <f t="shared" ref="Q41" si="468">IF(P41=0,IF(VLOOKUP(Q$3,$A$3:$F$14,4,FALSE)&gt;=$G41,10,0),0)</f>
        <v>0</v>
      </c>
      <c r="R41" s="30">
        <f t="shared" si="53"/>
        <v>0</v>
      </c>
      <c r="S41" s="30">
        <f t="shared" si="54"/>
        <v>10</v>
      </c>
      <c r="T41" s="30">
        <f t="shared" si="240"/>
        <v>0</v>
      </c>
      <c r="U41" s="30">
        <f t="shared" ref="U41" si="469">IF(T41=0,IF(VLOOKUP(U$3,$A$3:$F$14,4,FALSE)&gt;=$G41,10,0),0)</f>
        <v>0</v>
      </c>
      <c r="V41" s="30">
        <f t="shared" si="56"/>
        <v>0</v>
      </c>
      <c r="W41" s="30">
        <f t="shared" si="57"/>
        <v>10</v>
      </c>
      <c r="X41" s="30">
        <f t="shared" si="242"/>
        <v>0</v>
      </c>
      <c r="Y41" s="30">
        <f t="shared" ref="Y41" si="470">IF(X41=0,IF(VLOOKUP(Y$3,$A$3:$F$14,4,FALSE)&gt;=$G41,10,0),0)</f>
        <v>0</v>
      </c>
      <c r="Z41" s="30">
        <f t="shared" si="59"/>
        <v>10</v>
      </c>
      <c r="AA41" s="30">
        <f t="shared" si="60"/>
        <v>0</v>
      </c>
      <c r="AB41" s="30">
        <f t="shared" si="244"/>
        <v>0</v>
      </c>
      <c r="AC41" s="30">
        <f t="shared" ref="AC41" si="471">IF(AB41=0,IF(VLOOKUP(AC$3,$A$3:$F$14,4,FALSE)&gt;=$G41,10,0),0)</f>
        <v>0</v>
      </c>
      <c r="AD41" s="30">
        <f t="shared" si="62"/>
        <v>10</v>
      </c>
      <c r="AE41" s="30">
        <f t="shared" si="63"/>
        <v>0</v>
      </c>
      <c r="AF41" s="30">
        <f t="shared" si="246"/>
        <v>0</v>
      </c>
      <c r="AG41" s="30">
        <f t="shared" ref="AG41" si="472">IF(AF41=0,IF(VLOOKUP(AG$3,$A$3:$F$14,4,FALSE)&gt;=$G41,10,0),0)</f>
        <v>0</v>
      </c>
      <c r="AH41" s="30">
        <f t="shared" si="65"/>
        <v>10</v>
      </c>
      <c r="AI41" s="30">
        <f t="shared" si="66"/>
        <v>0</v>
      </c>
      <c r="AJ41" s="30">
        <f t="shared" si="248"/>
        <v>0</v>
      </c>
      <c r="AK41" s="30">
        <f t="shared" ref="AK41" si="473">IF(AJ41=0,IF(VLOOKUP(AK$3,$A$3:$F$14,4,FALSE)&gt;=$G41,10,0),0)</f>
        <v>0</v>
      </c>
      <c r="AL41" s="30">
        <f t="shared" si="68"/>
        <v>10</v>
      </c>
      <c r="AM41" s="30">
        <f t="shared" si="69"/>
        <v>0</v>
      </c>
      <c r="AN41" s="30">
        <f t="shared" si="250"/>
        <v>0</v>
      </c>
      <c r="AO41" s="30">
        <f t="shared" ref="AO41" si="474">IF(AN41=0,IF(VLOOKUP(AO$3,$A$3:$F$14,4,FALSE)&gt;=$G41,10,0),0)</f>
        <v>0</v>
      </c>
      <c r="AP41" s="30">
        <f t="shared" si="71"/>
        <v>10</v>
      </c>
      <c r="AQ41" s="30">
        <f t="shared" si="72"/>
        <v>0</v>
      </c>
      <c r="AR41" s="30">
        <f t="shared" si="252"/>
        <v>0</v>
      </c>
      <c r="AS41" s="30">
        <f t="shared" ref="AS41" si="475">IF(AR41=0,IF(VLOOKUP(AS$3,$A$3:$F$14,4,FALSE)&gt;=$G41,10,0),0)</f>
        <v>0</v>
      </c>
      <c r="AT41" s="30">
        <f t="shared" si="74"/>
        <v>10</v>
      </c>
      <c r="AU41" s="30">
        <f t="shared" si="75"/>
        <v>0</v>
      </c>
      <c r="AV41" s="30">
        <f t="shared" si="254"/>
        <v>0</v>
      </c>
      <c r="AW41" s="30">
        <f t="shared" ref="AW41" si="476">IF(AV41=0,IF(VLOOKUP(AW$3,$A$3:$F$14,4,FALSE)&gt;=$G41,10,0),0)</f>
        <v>0</v>
      </c>
      <c r="AX41" s="30">
        <f t="shared" si="77"/>
        <v>10</v>
      </c>
      <c r="AY41" s="30">
        <f t="shared" si="78"/>
        <v>0</v>
      </c>
      <c r="AZ41" s="30">
        <f t="shared" si="256"/>
        <v>0</v>
      </c>
      <c r="BA41" s="30">
        <f t="shared" ref="BA41" si="477">IF(AZ41=0,IF(VLOOKUP(BA$3,$A$3:$F$14,4,FALSE)&gt;=$G41,10,0),0)</f>
        <v>0</v>
      </c>
      <c r="BB41" s="30">
        <f t="shared" si="80"/>
        <v>10</v>
      </c>
      <c r="BC41" s="30">
        <f t="shared" si="81"/>
        <v>0</v>
      </c>
    </row>
    <row r="42" spans="7:55" x14ac:dyDescent="0.2">
      <c r="G42" s="19">
        <v>38</v>
      </c>
      <c r="H42" s="21">
        <f t="shared" si="45"/>
        <v>0</v>
      </c>
      <c r="I42" s="28">
        <f t="shared" si="46"/>
        <v>0</v>
      </c>
      <c r="J42" s="28">
        <f t="shared" si="47"/>
        <v>0</v>
      </c>
      <c r="K42" s="30">
        <f t="shared" si="48"/>
        <v>10</v>
      </c>
      <c r="L42" s="30">
        <f t="shared" si="236"/>
        <v>0</v>
      </c>
      <c r="M42" s="30">
        <f t="shared" ref="M42" si="478">IF(L42=0,IF(VLOOKUP(M$3,$A$3:$F$14,4,FALSE)&gt;=$G42,10,0),0)</f>
        <v>0</v>
      </c>
      <c r="N42" s="30">
        <f t="shared" si="50"/>
        <v>0</v>
      </c>
      <c r="O42" s="30">
        <f t="shared" si="51"/>
        <v>10</v>
      </c>
      <c r="P42" s="30">
        <f t="shared" si="238"/>
        <v>0</v>
      </c>
      <c r="Q42" s="30">
        <f t="shared" ref="Q42" si="479">IF(P42=0,IF(VLOOKUP(Q$3,$A$3:$F$14,4,FALSE)&gt;=$G42,10,0),0)</f>
        <v>0</v>
      </c>
      <c r="R42" s="30">
        <f t="shared" si="53"/>
        <v>0</v>
      </c>
      <c r="S42" s="30">
        <f t="shared" si="54"/>
        <v>10</v>
      </c>
      <c r="T42" s="30">
        <f t="shared" si="240"/>
        <v>0</v>
      </c>
      <c r="U42" s="30">
        <f t="shared" ref="U42" si="480">IF(T42=0,IF(VLOOKUP(U$3,$A$3:$F$14,4,FALSE)&gt;=$G42,10,0),0)</f>
        <v>0</v>
      </c>
      <c r="V42" s="30">
        <f t="shared" si="56"/>
        <v>0</v>
      </c>
      <c r="W42" s="30">
        <f t="shared" si="57"/>
        <v>10</v>
      </c>
      <c r="X42" s="30">
        <f t="shared" si="242"/>
        <v>0</v>
      </c>
      <c r="Y42" s="30">
        <f t="shared" ref="Y42" si="481">IF(X42=0,IF(VLOOKUP(Y$3,$A$3:$F$14,4,FALSE)&gt;=$G42,10,0),0)</f>
        <v>0</v>
      </c>
      <c r="Z42" s="30">
        <f t="shared" si="59"/>
        <v>10</v>
      </c>
      <c r="AA42" s="30">
        <f t="shared" si="60"/>
        <v>0</v>
      </c>
      <c r="AB42" s="30">
        <f t="shared" si="244"/>
        <v>0</v>
      </c>
      <c r="AC42" s="30">
        <f t="shared" ref="AC42" si="482">IF(AB42=0,IF(VLOOKUP(AC$3,$A$3:$F$14,4,FALSE)&gt;=$G42,10,0),0)</f>
        <v>0</v>
      </c>
      <c r="AD42" s="30">
        <f t="shared" si="62"/>
        <v>10</v>
      </c>
      <c r="AE42" s="30">
        <f t="shared" si="63"/>
        <v>0</v>
      </c>
      <c r="AF42" s="30">
        <f t="shared" si="246"/>
        <v>0</v>
      </c>
      <c r="AG42" s="30">
        <f t="shared" ref="AG42" si="483">IF(AF42=0,IF(VLOOKUP(AG$3,$A$3:$F$14,4,FALSE)&gt;=$G42,10,0),0)</f>
        <v>0</v>
      </c>
      <c r="AH42" s="30">
        <f t="shared" si="65"/>
        <v>10</v>
      </c>
      <c r="AI42" s="30">
        <f t="shared" si="66"/>
        <v>0</v>
      </c>
      <c r="AJ42" s="30">
        <f t="shared" si="248"/>
        <v>0</v>
      </c>
      <c r="AK42" s="30">
        <f t="shared" ref="AK42" si="484">IF(AJ42=0,IF(VLOOKUP(AK$3,$A$3:$F$14,4,FALSE)&gt;=$G42,10,0),0)</f>
        <v>0</v>
      </c>
      <c r="AL42" s="30">
        <f t="shared" si="68"/>
        <v>10</v>
      </c>
      <c r="AM42" s="30">
        <f t="shared" si="69"/>
        <v>0</v>
      </c>
      <c r="AN42" s="30">
        <f t="shared" si="250"/>
        <v>0</v>
      </c>
      <c r="AO42" s="30">
        <f t="shared" ref="AO42" si="485">IF(AN42=0,IF(VLOOKUP(AO$3,$A$3:$F$14,4,FALSE)&gt;=$G42,10,0),0)</f>
        <v>0</v>
      </c>
      <c r="AP42" s="30">
        <f t="shared" si="71"/>
        <v>10</v>
      </c>
      <c r="AQ42" s="30">
        <f t="shared" si="72"/>
        <v>0</v>
      </c>
      <c r="AR42" s="30">
        <f t="shared" si="252"/>
        <v>0</v>
      </c>
      <c r="AS42" s="30">
        <f t="shared" ref="AS42" si="486">IF(AR42=0,IF(VLOOKUP(AS$3,$A$3:$F$14,4,FALSE)&gt;=$G42,10,0),0)</f>
        <v>0</v>
      </c>
      <c r="AT42" s="30">
        <f t="shared" si="74"/>
        <v>10</v>
      </c>
      <c r="AU42" s="30">
        <f t="shared" si="75"/>
        <v>0</v>
      </c>
      <c r="AV42" s="30">
        <f t="shared" si="254"/>
        <v>0</v>
      </c>
      <c r="AW42" s="30">
        <f t="shared" ref="AW42" si="487">IF(AV42=0,IF(VLOOKUP(AW$3,$A$3:$F$14,4,FALSE)&gt;=$G42,10,0),0)</f>
        <v>0</v>
      </c>
      <c r="AX42" s="30">
        <f t="shared" si="77"/>
        <v>10</v>
      </c>
      <c r="AY42" s="30">
        <f t="shared" si="78"/>
        <v>0</v>
      </c>
      <c r="AZ42" s="30">
        <f t="shared" si="256"/>
        <v>0</v>
      </c>
      <c r="BA42" s="30">
        <f t="shared" ref="BA42" si="488">IF(AZ42=0,IF(VLOOKUP(BA$3,$A$3:$F$14,4,FALSE)&gt;=$G42,10,0),0)</f>
        <v>0</v>
      </c>
      <c r="BB42" s="30">
        <f t="shared" si="80"/>
        <v>10</v>
      </c>
      <c r="BC42" s="30">
        <f t="shared" si="81"/>
        <v>0</v>
      </c>
    </row>
    <row r="43" spans="7:55" x14ac:dyDescent="0.2">
      <c r="G43" s="19">
        <v>39</v>
      </c>
      <c r="H43" s="21">
        <f t="shared" si="45"/>
        <v>0</v>
      </c>
      <c r="I43" s="28">
        <f t="shared" si="46"/>
        <v>0</v>
      </c>
      <c r="J43" s="28">
        <f t="shared" si="47"/>
        <v>0</v>
      </c>
      <c r="K43" s="30">
        <f t="shared" si="48"/>
        <v>10</v>
      </c>
      <c r="L43" s="30">
        <f t="shared" si="236"/>
        <v>0</v>
      </c>
      <c r="M43" s="30">
        <f t="shared" ref="M43" si="489">IF(L43=0,IF(VLOOKUP(M$3,$A$3:$F$14,4,FALSE)&gt;=$G43,10,0),0)</f>
        <v>0</v>
      </c>
      <c r="N43" s="30">
        <f t="shared" si="50"/>
        <v>0</v>
      </c>
      <c r="O43" s="30">
        <f t="shared" si="51"/>
        <v>10</v>
      </c>
      <c r="P43" s="30">
        <f t="shared" si="238"/>
        <v>0</v>
      </c>
      <c r="Q43" s="30">
        <f t="shared" ref="Q43" si="490">IF(P43=0,IF(VLOOKUP(Q$3,$A$3:$F$14,4,FALSE)&gt;=$G43,10,0),0)</f>
        <v>0</v>
      </c>
      <c r="R43" s="30">
        <f t="shared" si="53"/>
        <v>0</v>
      </c>
      <c r="S43" s="30">
        <f t="shared" si="54"/>
        <v>10</v>
      </c>
      <c r="T43" s="30">
        <f t="shared" si="240"/>
        <v>0</v>
      </c>
      <c r="U43" s="30">
        <f t="shared" ref="U43" si="491">IF(T43=0,IF(VLOOKUP(U$3,$A$3:$F$14,4,FALSE)&gt;=$G43,10,0),0)</f>
        <v>0</v>
      </c>
      <c r="V43" s="30">
        <f t="shared" si="56"/>
        <v>0</v>
      </c>
      <c r="W43" s="30">
        <f t="shared" si="57"/>
        <v>10</v>
      </c>
      <c r="X43" s="30">
        <f t="shared" si="242"/>
        <v>0</v>
      </c>
      <c r="Y43" s="30">
        <f t="shared" ref="Y43" si="492">IF(X43=0,IF(VLOOKUP(Y$3,$A$3:$F$14,4,FALSE)&gt;=$G43,10,0),0)</f>
        <v>0</v>
      </c>
      <c r="Z43" s="30">
        <f t="shared" si="59"/>
        <v>10</v>
      </c>
      <c r="AA43" s="30">
        <f t="shared" si="60"/>
        <v>0</v>
      </c>
      <c r="AB43" s="30">
        <f t="shared" si="244"/>
        <v>0</v>
      </c>
      <c r="AC43" s="30">
        <f t="shared" ref="AC43" si="493">IF(AB43=0,IF(VLOOKUP(AC$3,$A$3:$F$14,4,FALSE)&gt;=$G43,10,0),0)</f>
        <v>0</v>
      </c>
      <c r="AD43" s="30">
        <f t="shared" si="62"/>
        <v>10</v>
      </c>
      <c r="AE43" s="30">
        <f t="shared" si="63"/>
        <v>0</v>
      </c>
      <c r="AF43" s="30">
        <f t="shared" si="246"/>
        <v>0</v>
      </c>
      <c r="AG43" s="30">
        <f t="shared" ref="AG43" si="494">IF(AF43=0,IF(VLOOKUP(AG$3,$A$3:$F$14,4,FALSE)&gt;=$G43,10,0),0)</f>
        <v>0</v>
      </c>
      <c r="AH43" s="30">
        <f t="shared" si="65"/>
        <v>10</v>
      </c>
      <c r="AI43" s="30">
        <f t="shared" si="66"/>
        <v>0</v>
      </c>
      <c r="AJ43" s="30">
        <f t="shared" si="248"/>
        <v>0</v>
      </c>
      <c r="AK43" s="30">
        <f t="shared" ref="AK43" si="495">IF(AJ43=0,IF(VLOOKUP(AK$3,$A$3:$F$14,4,FALSE)&gt;=$G43,10,0),0)</f>
        <v>0</v>
      </c>
      <c r="AL43" s="30">
        <f t="shared" si="68"/>
        <v>10</v>
      </c>
      <c r="AM43" s="30">
        <f t="shared" si="69"/>
        <v>0</v>
      </c>
      <c r="AN43" s="30">
        <f t="shared" si="250"/>
        <v>0</v>
      </c>
      <c r="AO43" s="30">
        <f t="shared" ref="AO43" si="496">IF(AN43=0,IF(VLOOKUP(AO$3,$A$3:$F$14,4,FALSE)&gt;=$G43,10,0),0)</f>
        <v>0</v>
      </c>
      <c r="AP43" s="30">
        <f t="shared" si="71"/>
        <v>10</v>
      </c>
      <c r="AQ43" s="30">
        <f t="shared" si="72"/>
        <v>0</v>
      </c>
      <c r="AR43" s="30">
        <f t="shared" si="252"/>
        <v>0</v>
      </c>
      <c r="AS43" s="30">
        <f t="shared" ref="AS43" si="497">IF(AR43=0,IF(VLOOKUP(AS$3,$A$3:$F$14,4,FALSE)&gt;=$G43,10,0),0)</f>
        <v>0</v>
      </c>
      <c r="AT43" s="30">
        <f t="shared" si="74"/>
        <v>10</v>
      </c>
      <c r="AU43" s="30">
        <f t="shared" si="75"/>
        <v>0</v>
      </c>
      <c r="AV43" s="30">
        <f t="shared" si="254"/>
        <v>0</v>
      </c>
      <c r="AW43" s="30">
        <f t="shared" ref="AW43" si="498">IF(AV43=0,IF(VLOOKUP(AW$3,$A$3:$F$14,4,FALSE)&gt;=$G43,10,0),0)</f>
        <v>0</v>
      </c>
      <c r="AX43" s="30">
        <f t="shared" si="77"/>
        <v>10</v>
      </c>
      <c r="AY43" s="30">
        <f t="shared" si="78"/>
        <v>0</v>
      </c>
      <c r="AZ43" s="30">
        <f t="shared" si="256"/>
        <v>0</v>
      </c>
      <c r="BA43" s="30">
        <f t="shared" ref="BA43" si="499">IF(AZ43=0,IF(VLOOKUP(BA$3,$A$3:$F$14,4,FALSE)&gt;=$G43,10,0),0)</f>
        <v>0</v>
      </c>
      <c r="BB43" s="30">
        <f t="shared" si="80"/>
        <v>10</v>
      </c>
      <c r="BC43" s="30">
        <f t="shared" si="81"/>
        <v>0</v>
      </c>
    </row>
    <row r="44" spans="7:55" x14ac:dyDescent="0.2">
      <c r="G44" s="19">
        <v>40</v>
      </c>
      <c r="H44" s="21">
        <f t="shared" si="45"/>
        <v>0</v>
      </c>
      <c r="I44" s="28">
        <f t="shared" si="46"/>
        <v>0</v>
      </c>
      <c r="J44" s="28">
        <f t="shared" si="47"/>
        <v>0</v>
      </c>
      <c r="K44" s="30">
        <f t="shared" si="48"/>
        <v>10</v>
      </c>
      <c r="L44" s="30">
        <f t="shared" si="236"/>
        <v>0</v>
      </c>
      <c r="M44" s="30">
        <f t="shared" ref="M44" si="500">IF(L44=0,IF(VLOOKUP(M$3,$A$3:$F$14,4,FALSE)&gt;=$G44,10,0),0)</f>
        <v>0</v>
      </c>
      <c r="N44" s="30">
        <f t="shared" si="50"/>
        <v>0</v>
      </c>
      <c r="O44" s="30">
        <f t="shared" si="51"/>
        <v>10</v>
      </c>
      <c r="P44" s="30">
        <f t="shared" si="238"/>
        <v>0</v>
      </c>
      <c r="Q44" s="30">
        <f t="shared" ref="Q44" si="501">IF(P44=0,IF(VLOOKUP(Q$3,$A$3:$F$14,4,FALSE)&gt;=$G44,10,0),0)</f>
        <v>0</v>
      </c>
      <c r="R44" s="30">
        <f t="shared" si="53"/>
        <v>0</v>
      </c>
      <c r="S44" s="30">
        <f t="shared" si="54"/>
        <v>10</v>
      </c>
      <c r="T44" s="30">
        <f t="shared" si="240"/>
        <v>0</v>
      </c>
      <c r="U44" s="30">
        <f t="shared" ref="U44" si="502">IF(T44=0,IF(VLOOKUP(U$3,$A$3:$F$14,4,FALSE)&gt;=$G44,10,0),0)</f>
        <v>0</v>
      </c>
      <c r="V44" s="30">
        <f t="shared" si="56"/>
        <v>0</v>
      </c>
      <c r="W44" s="30">
        <f t="shared" si="57"/>
        <v>10</v>
      </c>
      <c r="X44" s="30">
        <f t="shared" si="242"/>
        <v>0</v>
      </c>
      <c r="Y44" s="30">
        <f t="shared" ref="Y44" si="503">IF(X44=0,IF(VLOOKUP(Y$3,$A$3:$F$14,4,FALSE)&gt;=$G44,10,0),0)</f>
        <v>0</v>
      </c>
      <c r="Z44" s="30">
        <f t="shared" si="59"/>
        <v>10</v>
      </c>
      <c r="AA44" s="30">
        <f t="shared" si="60"/>
        <v>0</v>
      </c>
      <c r="AB44" s="30">
        <f t="shared" si="244"/>
        <v>0</v>
      </c>
      <c r="AC44" s="30">
        <f t="shared" ref="AC44" si="504">IF(AB44=0,IF(VLOOKUP(AC$3,$A$3:$F$14,4,FALSE)&gt;=$G44,10,0),0)</f>
        <v>0</v>
      </c>
      <c r="AD44" s="30">
        <f t="shared" si="62"/>
        <v>10</v>
      </c>
      <c r="AE44" s="30">
        <f t="shared" si="63"/>
        <v>0</v>
      </c>
      <c r="AF44" s="30">
        <f t="shared" si="246"/>
        <v>0</v>
      </c>
      <c r="AG44" s="30">
        <f t="shared" ref="AG44" si="505">IF(AF44=0,IF(VLOOKUP(AG$3,$A$3:$F$14,4,FALSE)&gt;=$G44,10,0),0)</f>
        <v>0</v>
      </c>
      <c r="AH44" s="30">
        <f t="shared" si="65"/>
        <v>10</v>
      </c>
      <c r="AI44" s="30">
        <f t="shared" si="66"/>
        <v>0</v>
      </c>
      <c r="AJ44" s="30">
        <f t="shared" si="248"/>
        <v>0</v>
      </c>
      <c r="AK44" s="30">
        <f t="shared" ref="AK44" si="506">IF(AJ44=0,IF(VLOOKUP(AK$3,$A$3:$F$14,4,FALSE)&gt;=$G44,10,0),0)</f>
        <v>0</v>
      </c>
      <c r="AL44" s="30">
        <f t="shared" si="68"/>
        <v>10</v>
      </c>
      <c r="AM44" s="30">
        <f t="shared" si="69"/>
        <v>0</v>
      </c>
      <c r="AN44" s="30">
        <f t="shared" si="250"/>
        <v>0</v>
      </c>
      <c r="AO44" s="30">
        <f t="shared" ref="AO44" si="507">IF(AN44=0,IF(VLOOKUP(AO$3,$A$3:$F$14,4,FALSE)&gt;=$G44,10,0),0)</f>
        <v>0</v>
      </c>
      <c r="AP44" s="30">
        <f t="shared" si="71"/>
        <v>10</v>
      </c>
      <c r="AQ44" s="30">
        <f t="shared" si="72"/>
        <v>0</v>
      </c>
      <c r="AR44" s="30">
        <f t="shared" si="252"/>
        <v>0</v>
      </c>
      <c r="AS44" s="30">
        <f t="shared" ref="AS44" si="508">IF(AR44=0,IF(VLOOKUP(AS$3,$A$3:$F$14,4,FALSE)&gt;=$G44,10,0),0)</f>
        <v>0</v>
      </c>
      <c r="AT44" s="30">
        <f t="shared" si="74"/>
        <v>10</v>
      </c>
      <c r="AU44" s="30">
        <f t="shared" si="75"/>
        <v>0</v>
      </c>
      <c r="AV44" s="30">
        <f t="shared" si="254"/>
        <v>0</v>
      </c>
      <c r="AW44" s="30">
        <f t="shared" ref="AW44" si="509">IF(AV44=0,IF(VLOOKUP(AW$3,$A$3:$F$14,4,FALSE)&gt;=$G44,10,0),0)</f>
        <v>0</v>
      </c>
      <c r="AX44" s="30">
        <f t="shared" si="77"/>
        <v>10</v>
      </c>
      <c r="AY44" s="30">
        <f t="shared" si="78"/>
        <v>0</v>
      </c>
      <c r="AZ44" s="30">
        <f t="shared" si="256"/>
        <v>0</v>
      </c>
      <c r="BA44" s="30">
        <f t="shared" ref="BA44" si="510">IF(AZ44=0,IF(VLOOKUP(BA$3,$A$3:$F$14,4,FALSE)&gt;=$G44,10,0),0)</f>
        <v>0</v>
      </c>
      <c r="BB44" s="30">
        <f t="shared" si="80"/>
        <v>10</v>
      </c>
      <c r="BC44" s="30">
        <f t="shared" si="81"/>
        <v>0</v>
      </c>
    </row>
    <row r="45" spans="7:55" x14ac:dyDescent="0.2">
      <c r="G45" s="19">
        <v>41</v>
      </c>
      <c r="H45" s="21">
        <f t="shared" si="45"/>
        <v>0</v>
      </c>
      <c r="I45" s="28">
        <f t="shared" si="46"/>
        <v>0</v>
      </c>
      <c r="J45" s="28">
        <f t="shared" si="47"/>
        <v>0</v>
      </c>
      <c r="K45" s="30">
        <f t="shared" si="48"/>
        <v>10</v>
      </c>
      <c r="L45" s="30">
        <f t="shared" si="236"/>
        <v>0</v>
      </c>
      <c r="M45" s="30">
        <f t="shared" ref="M45" si="511">IF(L45=0,IF(VLOOKUP(M$3,$A$3:$F$14,4,FALSE)&gt;=$G45,10,0),0)</f>
        <v>0</v>
      </c>
      <c r="N45" s="30">
        <f t="shared" si="50"/>
        <v>0</v>
      </c>
      <c r="O45" s="30">
        <f t="shared" si="51"/>
        <v>10</v>
      </c>
      <c r="P45" s="30">
        <f t="shared" si="238"/>
        <v>0</v>
      </c>
      <c r="Q45" s="30">
        <f t="shared" ref="Q45" si="512">IF(P45=0,IF(VLOOKUP(Q$3,$A$3:$F$14,4,FALSE)&gt;=$G45,10,0),0)</f>
        <v>0</v>
      </c>
      <c r="R45" s="30">
        <f t="shared" si="53"/>
        <v>0</v>
      </c>
      <c r="S45" s="30">
        <f t="shared" si="54"/>
        <v>10</v>
      </c>
      <c r="T45" s="30">
        <f t="shared" si="240"/>
        <v>0</v>
      </c>
      <c r="U45" s="30">
        <f t="shared" ref="U45" si="513">IF(T45=0,IF(VLOOKUP(U$3,$A$3:$F$14,4,FALSE)&gt;=$G45,10,0),0)</f>
        <v>0</v>
      </c>
      <c r="V45" s="30">
        <f t="shared" si="56"/>
        <v>0</v>
      </c>
      <c r="W45" s="30">
        <f t="shared" si="57"/>
        <v>10</v>
      </c>
      <c r="X45" s="30">
        <f t="shared" si="242"/>
        <v>0</v>
      </c>
      <c r="Y45" s="30">
        <f t="shared" ref="Y45" si="514">IF(X45=0,IF(VLOOKUP(Y$3,$A$3:$F$14,4,FALSE)&gt;=$G45,10,0),0)</f>
        <v>0</v>
      </c>
      <c r="Z45" s="30">
        <f t="shared" si="59"/>
        <v>10</v>
      </c>
      <c r="AA45" s="30">
        <f t="shared" si="60"/>
        <v>0</v>
      </c>
      <c r="AB45" s="30">
        <f t="shared" si="244"/>
        <v>0</v>
      </c>
      <c r="AC45" s="30">
        <f t="shared" ref="AC45" si="515">IF(AB45=0,IF(VLOOKUP(AC$3,$A$3:$F$14,4,FALSE)&gt;=$G45,10,0),0)</f>
        <v>0</v>
      </c>
      <c r="AD45" s="30">
        <f t="shared" si="62"/>
        <v>10</v>
      </c>
      <c r="AE45" s="30">
        <f t="shared" si="63"/>
        <v>0</v>
      </c>
      <c r="AF45" s="30">
        <f t="shared" si="246"/>
        <v>0</v>
      </c>
      <c r="AG45" s="30">
        <f t="shared" ref="AG45" si="516">IF(AF45=0,IF(VLOOKUP(AG$3,$A$3:$F$14,4,FALSE)&gt;=$G45,10,0),0)</f>
        <v>0</v>
      </c>
      <c r="AH45" s="30">
        <f t="shared" si="65"/>
        <v>0</v>
      </c>
      <c r="AI45" s="30">
        <f t="shared" si="66"/>
        <v>10</v>
      </c>
      <c r="AJ45" s="30">
        <f t="shared" si="248"/>
        <v>0</v>
      </c>
      <c r="AK45" s="30">
        <f t="shared" ref="AK45" si="517">IF(AJ45=0,IF(VLOOKUP(AK$3,$A$3:$F$14,4,FALSE)&gt;=$G45,10,0),0)</f>
        <v>0</v>
      </c>
      <c r="AL45" s="30">
        <f t="shared" si="68"/>
        <v>10</v>
      </c>
      <c r="AM45" s="30">
        <f t="shared" si="69"/>
        <v>0</v>
      </c>
      <c r="AN45" s="30">
        <f t="shared" si="250"/>
        <v>0</v>
      </c>
      <c r="AO45" s="30">
        <f t="shared" ref="AO45" si="518">IF(AN45=0,IF(VLOOKUP(AO$3,$A$3:$F$14,4,FALSE)&gt;=$G45,10,0),0)</f>
        <v>0</v>
      </c>
      <c r="AP45" s="30">
        <f t="shared" si="71"/>
        <v>10</v>
      </c>
      <c r="AQ45" s="30">
        <f t="shared" si="72"/>
        <v>0</v>
      </c>
      <c r="AR45" s="30">
        <f t="shared" si="252"/>
        <v>0</v>
      </c>
      <c r="AS45" s="30">
        <f t="shared" ref="AS45" si="519">IF(AR45=0,IF(VLOOKUP(AS$3,$A$3:$F$14,4,FALSE)&gt;=$G45,10,0),0)</f>
        <v>0</v>
      </c>
      <c r="AT45" s="30">
        <f t="shared" si="74"/>
        <v>10</v>
      </c>
      <c r="AU45" s="30">
        <f t="shared" si="75"/>
        <v>0</v>
      </c>
      <c r="AV45" s="30">
        <f t="shared" si="254"/>
        <v>0</v>
      </c>
      <c r="AW45" s="30">
        <f t="shared" ref="AW45" si="520">IF(AV45=0,IF(VLOOKUP(AW$3,$A$3:$F$14,4,FALSE)&gt;=$G45,10,0),0)</f>
        <v>0</v>
      </c>
      <c r="AX45" s="30">
        <f t="shared" si="77"/>
        <v>10</v>
      </c>
      <c r="AY45" s="30">
        <f t="shared" si="78"/>
        <v>0</v>
      </c>
      <c r="AZ45" s="30">
        <f t="shared" si="256"/>
        <v>0</v>
      </c>
      <c r="BA45" s="30">
        <f t="shared" ref="BA45" si="521">IF(AZ45=0,IF(VLOOKUP(BA$3,$A$3:$F$14,4,FALSE)&gt;=$G45,10,0),0)</f>
        <v>0</v>
      </c>
      <c r="BB45" s="30">
        <f t="shared" si="80"/>
        <v>0</v>
      </c>
      <c r="BC45" s="30">
        <f t="shared" si="81"/>
        <v>10</v>
      </c>
    </row>
    <row r="46" spans="7:55" x14ac:dyDescent="0.2">
      <c r="G46" s="19">
        <v>42</v>
      </c>
      <c r="H46" s="21">
        <f t="shared" si="45"/>
        <v>0</v>
      </c>
      <c r="I46" s="28">
        <f t="shared" si="46"/>
        <v>0</v>
      </c>
      <c r="J46" s="28">
        <f t="shared" si="47"/>
        <v>0</v>
      </c>
      <c r="K46" s="30">
        <f t="shared" si="48"/>
        <v>10</v>
      </c>
      <c r="L46" s="30">
        <f t="shared" si="236"/>
        <v>0</v>
      </c>
      <c r="M46" s="30">
        <f t="shared" ref="M46" si="522">IF(L46=0,IF(VLOOKUP(M$3,$A$3:$F$14,4,FALSE)&gt;=$G46,10,0),0)</f>
        <v>0</v>
      </c>
      <c r="N46" s="30">
        <f t="shared" si="50"/>
        <v>0</v>
      </c>
      <c r="O46" s="30">
        <f t="shared" si="51"/>
        <v>10</v>
      </c>
      <c r="P46" s="30">
        <f t="shared" si="238"/>
        <v>0</v>
      </c>
      <c r="Q46" s="30">
        <f t="shared" ref="Q46" si="523">IF(P46=0,IF(VLOOKUP(Q$3,$A$3:$F$14,4,FALSE)&gt;=$G46,10,0),0)</f>
        <v>0</v>
      </c>
      <c r="R46" s="30">
        <f t="shared" si="53"/>
        <v>0</v>
      </c>
      <c r="S46" s="30">
        <f t="shared" si="54"/>
        <v>10</v>
      </c>
      <c r="T46" s="30">
        <f t="shared" si="240"/>
        <v>0</v>
      </c>
      <c r="U46" s="30">
        <f t="shared" ref="U46" si="524">IF(T46=0,IF(VLOOKUP(U$3,$A$3:$F$14,4,FALSE)&gt;=$G46,10,0),0)</f>
        <v>0</v>
      </c>
      <c r="V46" s="30">
        <f t="shared" si="56"/>
        <v>0</v>
      </c>
      <c r="W46" s="30">
        <f t="shared" si="57"/>
        <v>10</v>
      </c>
      <c r="X46" s="30">
        <f t="shared" si="242"/>
        <v>0</v>
      </c>
      <c r="Y46" s="30">
        <f t="shared" ref="Y46" si="525">IF(X46=0,IF(VLOOKUP(Y$3,$A$3:$F$14,4,FALSE)&gt;=$G46,10,0),0)</f>
        <v>0</v>
      </c>
      <c r="Z46" s="30">
        <f t="shared" si="59"/>
        <v>10</v>
      </c>
      <c r="AA46" s="30">
        <f t="shared" si="60"/>
        <v>0</v>
      </c>
      <c r="AB46" s="30">
        <f t="shared" si="244"/>
        <v>0</v>
      </c>
      <c r="AC46" s="30">
        <f t="shared" ref="AC46" si="526">IF(AB46=0,IF(VLOOKUP(AC$3,$A$3:$F$14,4,FALSE)&gt;=$G46,10,0),0)</f>
        <v>0</v>
      </c>
      <c r="AD46" s="30">
        <f t="shared" si="62"/>
        <v>10</v>
      </c>
      <c r="AE46" s="30">
        <f t="shared" si="63"/>
        <v>0</v>
      </c>
      <c r="AF46" s="30">
        <f t="shared" si="246"/>
        <v>0</v>
      </c>
      <c r="AG46" s="30">
        <f t="shared" ref="AG46" si="527">IF(AF46=0,IF(VLOOKUP(AG$3,$A$3:$F$14,4,FALSE)&gt;=$G46,10,0),0)</f>
        <v>0</v>
      </c>
      <c r="AH46" s="30">
        <f t="shared" si="65"/>
        <v>0</v>
      </c>
      <c r="AI46" s="30">
        <f t="shared" si="66"/>
        <v>10</v>
      </c>
      <c r="AJ46" s="30">
        <f t="shared" si="248"/>
        <v>0</v>
      </c>
      <c r="AK46" s="30">
        <f t="shared" ref="AK46" si="528">IF(AJ46=0,IF(VLOOKUP(AK$3,$A$3:$F$14,4,FALSE)&gt;=$G46,10,0),0)</f>
        <v>0</v>
      </c>
      <c r="AL46" s="30">
        <f t="shared" si="68"/>
        <v>10</v>
      </c>
      <c r="AM46" s="30">
        <f t="shared" si="69"/>
        <v>0</v>
      </c>
      <c r="AN46" s="30">
        <f t="shared" si="250"/>
        <v>0</v>
      </c>
      <c r="AO46" s="30">
        <f t="shared" ref="AO46" si="529">IF(AN46=0,IF(VLOOKUP(AO$3,$A$3:$F$14,4,FALSE)&gt;=$G46,10,0),0)</f>
        <v>0</v>
      </c>
      <c r="AP46" s="30">
        <f t="shared" si="71"/>
        <v>10</v>
      </c>
      <c r="AQ46" s="30">
        <f t="shared" si="72"/>
        <v>0</v>
      </c>
      <c r="AR46" s="30">
        <f t="shared" si="252"/>
        <v>0</v>
      </c>
      <c r="AS46" s="30">
        <f t="shared" ref="AS46" si="530">IF(AR46=0,IF(VLOOKUP(AS$3,$A$3:$F$14,4,FALSE)&gt;=$G46,10,0),0)</f>
        <v>0</v>
      </c>
      <c r="AT46" s="30">
        <f t="shared" si="74"/>
        <v>10</v>
      </c>
      <c r="AU46" s="30">
        <f t="shared" si="75"/>
        <v>0</v>
      </c>
      <c r="AV46" s="30">
        <f t="shared" si="254"/>
        <v>0</v>
      </c>
      <c r="AW46" s="30">
        <f t="shared" ref="AW46" si="531">IF(AV46=0,IF(VLOOKUP(AW$3,$A$3:$F$14,4,FALSE)&gt;=$G46,10,0),0)</f>
        <v>0</v>
      </c>
      <c r="AX46" s="30">
        <f t="shared" si="77"/>
        <v>10</v>
      </c>
      <c r="AY46" s="30">
        <f t="shared" si="78"/>
        <v>0</v>
      </c>
      <c r="AZ46" s="30">
        <f t="shared" si="256"/>
        <v>0</v>
      </c>
      <c r="BA46" s="30">
        <f t="shared" ref="BA46" si="532">IF(AZ46=0,IF(VLOOKUP(BA$3,$A$3:$F$14,4,FALSE)&gt;=$G46,10,0),0)</f>
        <v>0</v>
      </c>
      <c r="BB46" s="30">
        <f t="shared" si="80"/>
        <v>0</v>
      </c>
      <c r="BC46" s="30">
        <f t="shared" si="81"/>
        <v>10</v>
      </c>
    </row>
    <row r="47" spans="7:55" x14ac:dyDescent="0.2">
      <c r="G47" s="19">
        <v>43</v>
      </c>
      <c r="H47" s="21">
        <f t="shared" si="45"/>
        <v>0</v>
      </c>
      <c r="I47" s="28">
        <f t="shared" si="46"/>
        <v>0</v>
      </c>
      <c r="J47" s="28">
        <f t="shared" si="47"/>
        <v>0</v>
      </c>
      <c r="K47" s="30">
        <f t="shared" si="48"/>
        <v>10</v>
      </c>
      <c r="L47" s="30">
        <f t="shared" si="236"/>
        <v>0</v>
      </c>
      <c r="M47" s="30">
        <f t="shared" ref="M47" si="533">IF(L47=0,IF(VLOOKUP(M$3,$A$3:$F$14,4,FALSE)&gt;=$G47,10,0),0)</f>
        <v>0</v>
      </c>
      <c r="N47" s="30">
        <f t="shared" si="50"/>
        <v>0</v>
      </c>
      <c r="O47" s="30">
        <f t="shared" si="51"/>
        <v>10</v>
      </c>
      <c r="P47" s="30">
        <f t="shared" si="238"/>
        <v>0</v>
      </c>
      <c r="Q47" s="30">
        <f t="shared" ref="Q47" si="534">IF(P47=0,IF(VLOOKUP(Q$3,$A$3:$F$14,4,FALSE)&gt;=$G47,10,0),0)</f>
        <v>0</v>
      </c>
      <c r="R47" s="30">
        <f t="shared" si="53"/>
        <v>0</v>
      </c>
      <c r="S47" s="30">
        <f t="shared" si="54"/>
        <v>10</v>
      </c>
      <c r="T47" s="30">
        <f t="shared" si="240"/>
        <v>0</v>
      </c>
      <c r="U47" s="30">
        <f t="shared" ref="U47" si="535">IF(T47=0,IF(VLOOKUP(U$3,$A$3:$F$14,4,FALSE)&gt;=$G47,10,0),0)</f>
        <v>0</v>
      </c>
      <c r="V47" s="30">
        <f t="shared" si="56"/>
        <v>0</v>
      </c>
      <c r="W47" s="30">
        <f t="shared" si="57"/>
        <v>10</v>
      </c>
      <c r="X47" s="30">
        <f t="shared" si="242"/>
        <v>0</v>
      </c>
      <c r="Y47" s="30">
        <f t="shared" ref="Y47" si="536">IF(X47=0,IF(VLOOKUP(Y$3,$A$3:$F$14,4,FALSE)&gt;=$G47,10,0),0)</f>
        <v>0</v>
      </c>
      <c r="Z47" s="30">
        <f t="shared" si="59"/>
        <v>10</v>
      </c>
      <c r="AA47" s="30">
        <f t="shared" si="60"/>
        <v>0</v>
      </c>
      <c r="AB47" s="30">
        <f t="shared" si="244"/>
        <v>0</v>
      </c>
      <c r="AC47" s="30">
        <f t="shared" ref="AC47" si="537">IF(AB47=0,IF(VLOOKUP(AC$3,$A$3:$F$14,4,FALSE)&gt;=$G47,10,0),0)</f>
        <v>0</v>
      </c>
      <c r="AD47" s="30">
        <f t="shared" si="62"/>
        <v>10</v>
      </c>
      <c r="AE47" s="30">
        <f t="shared" si="63"/>
        <v>0</v>
      </c>
      <c r="AF47" s="30">
        <f t="shared" si="246"/>
        <v>0</v>
      </c>
      <c r="AG47" s="30">
        <f t="shared" ref="AG47" si="538">IF(AF47=0,IF(VLOOKUP(AG$3,$A$3:$F$14,4,FALSE)&gt;=$G47,10,0),0)</f>
        <v>0</v>
      </c>
      <c r="AH47" s="30">
        <f t="shared" si="65"/>
        <v>0</v>
      </c>
      <c r="AI47" s="30">
        <f t="shared" si="66"/>
        <v>10</v>
      </c>
      <c r="AJ47" s="30">
        <f t="shared" si="248"/>
        <v>0</v>
      </c>
      <c r="AK47" s="30">
        <f t="shared" ref="AK47" si="539">IF(AJ47=0,IF(VLOOKUP(AK$3,$A$3:$F$14,4,FALSE)&gt;=$G47,10,0),0)</f>
        <v>0</v>
      </c>
      <c r="AL47" s="30">
        <f t="shared" si="68"/>
        <v>10</v>
      </c>
      <c r="AM47" s="30">
        <f t="shared" si="69"/>
        <v>0</v>
      </c>
      <c r="AN47" s="30">
        <f t="shared" si="250"/>
        <v>0</v>
      </c>
      <c r="AO47" s="30">
        <f t="shared" ref="AO47" si="540">IF(AN47=0,IF(VLOOKUP(AO$3,$A$3:$F$14,4,FALSE)&gt;=$G47,10,0),0)</f>
        <v>0</v>
      </c>
      <c r="AP47" s="30">
        <f t="shared" si="71"/>
        <v>10</v>
      </c>
      <c r="AQ47" s="30">
        <f t="shared" si="72"/>
        <v>0</v>
      </c>
      <c r="AR47" s="30">
        <f t="shared" si="252"/>
        <v>0</v>
      </c>
      <c r="AS47" s="30">
        <f t="shared" ref="AS47" si="541">IF(AR47=0,IF(VLOOKUP(AS$3,$A$3:$F$14,4,FALSE)&gt;=$G47,10,0),0)</f>
        <v>0</v>
      </c>
      <c r="AT47" s="30">
        <f t="shared" si="74"/>
        <v>10</v>
      </c>
      <c r="AU47" s="30">
        <f t="shared" si="75"/>
        <v>0</v>
      </c>
      <c r="AV47" s="30">
        <f t="shared" si="254"/>
        <v>0</v>
      </c>
      <c r="AW47" s="30">
        <f t="shared" ref="AW47" si="542">IF(AV47=0,IF(VLOOKUP(AW$3,$A$3:$F$14,4,FALSE)&gt;=$G47,10,0),0)</f>
        <v>0</v>
      </c>
      <c r="AX47" s="30">
        <f t="shared" si="77"/>
        <v>10</v>
      </c>
      <c r="AY47" s="30">
        <f t="shared" si="78"/>
        <v>0</v>
      </c>
      <c r="AZ47" s="30">
        <f t="shared" si="256"/>
        <v>0</v>
      </c>
      <c r="BA47" s="30">
        <f t="shared" ref="BA47" si="543">IF(AZ47=0,IF(VLOOKUP(BA$3,$A$3:$F$14,4,FALSE)&gt;=$G47,10,0),0)</f>
        <v>0</v>
      </c>
      <c r="BB47" s="30">
        <f t="shared" si="80"/>
        <v>0</v>
      </c>
      <c r="BC47" s="30">
        <f t="shared" si="81"/>
        <v>10</v>
      </c>
    </row>
    <row r="48" spans="7:55" x14ac:dyDescent="0.2">
      <c r="G48" s="19">
        <v>44</v>
      </c>
      <c r="H48" s="21">
        <f t="shared" si="45"/>
        <v>0</v>
      </c>
      <c r="I48" s="28">
        <f t="shared" si="46"/>
        <v>0</v>
      </c>
      <c r="J48" s="28">
        <f t="shared" si="47"/>
        <v>0</v>
      </c>
      <c r="K48" s="30">
        <f t="shared" si="48"/>
        <v>10</v>
      </c>
      <c r="L48" s="30">
        <f t="shared" si="236"/>
        <v>0</v>
      </c>
      <c r="M48" s="30">
        <f t="shared" ref="M48" si="544">IF(L48=0,IF(VLOOKUP(M$3,$A$3:$F$14,4,FALSE)&gt;=$G48,10,0),0)</f>
        <v>0</v>
      </c>
      <c r="N48" s="30">
        <f t="shared" si="50"/>
        <v>0</v>
      </c>
      <c r="O48" s="30">
        <f t="shared" si="51"/>
        <v>10</v>
      </c>
      <c r="P48" s="30">
        <f t="shared" si="238"/>
        <v>0</v>
      </c>
      <c r="Q48" s="30">
        <f t="shared" ref="Q48" si="545">IF(P48=0,IF(VLOOKUP(Q$3,$A$3:$F$14,4,FALSE)&gt;=$G48,10,0),0)</f>
        <v>0</v>
      </c>
      <c r="R48" s="30">
        <f t="shared" si="53"/>
        <v>0</v>
      </c>
      <c r="S48" s="30">
        <f t="shared" si="54"/>
        <v>10</v>
      </c>
      <c r="T48" s="30">
        <f t="shared" si="240"/>
        <v>0</v>
      </c>
      <c r="U48" s="30">
        <f t="shared" ref="U48" si="546">IF(T48=0,IF(VLOOKUP(U$3,$A$3:$F$14,4,FALSE)&gt;=$G48,10,0),0)</f>
        <v>0</v>
      </c>
      <c r="V48" s="30">
        <f t="shared" si="56"/>
        <v>0</v>
      </c>
      <c r="W48" s="30">
        <f t="shared" si="57"/>
        <v>10</v>
      </c>
      <c r="X48" s="30">
        <f t="shared" si="242"/>
        <v>0</v>
      </c>
      <c r="Y48" s="30">
        <f t="shared" ref="Y48" si="547">IF(X48=0,IF(VLOOKUP(Y$3,$A$3:$F$14,4,FALSE)&gt;=$G48,10,0),0)</f>
        <v>0</v>
      </c>
      <c r="Z48" s="30">
        <f t="shared" si="59"/>
        <v>10</v>
      </c>
      <c r="AA48" s="30">
        <f t="shared" si="60"/>
        <v>0</v>
      </c>
      <c r="AB48" s="30">
        <f t="shared" si="244"/>
        <v>0</v>
      </c>
      <c r="AC48" s="30">
        <f t="shared" ref="AC48" si="548">IF(AB48=0,IF(VLOOKUP(AC$3,$A$3:$F$14,4,FALSE)&gt;=$G48,10,0),0)</f>
        <v>0</v>
      </c>
      <c r="AD48" s="30">
        <f t="shared" si="62"/>
        <v>10</v>
      </c>
      <c r="AE48" s="30">
        <f t="shared" si="63"/>
        <v>0</v>
      </c>
      <c r="AF48" s="30">
        <f t="shared" si="246"/>
        <v>0</v>
      </c>
      <c r="AG48" s="30">
        <f t="shared" ref="AG48" si="549">IF(AF48=0,IF(VLOOKUP(AG$3,$A$3:$F$14,4,FALSE)&gt;=$G48,10,0),0)</f>
        <v>0</v>
      </c>
      <c r="AH48" s="30">
        <f t="shared" si="65"/>
        <v>0</v>
      </c>
      <c r="AI48" s="30">
        <f t="shared" si="66"/>
        <v>10</v>
      </c>
      <c r="AJ48" s="30">
        <f t="shared" si="248"/>
        <v>0</v>
      </c>
      <c r="AK48" s="30">
        <f t="shared" ref="AK48" si="550">IF(AJ48=0,IF(VLOOKUP(AK$3,$A$3:$F$14,4,FALSE)&gt;=$G48,10,0),0)</f>
        <v>0</v>
      </c>
      <c r="AL48" s="30">
        <f t="shared" si="68"/>
        <v>10</v>
      </c>
      <c r="AM48" s="30">
        <f t="shared" si="69"/>
        <v>0</v>
      </c>
      <c r="AN48" s="30">
        <f t="shared" si="250"/>
        <v>0</v>
      </c>
      <c r="AO48" s="30">
        <f t="shared" ref="AO48" si="551">IF(AN48=0,IF(VLOOKUP(AO$3,$A$3:$F$14,4,FALSE)&gt;=$G48,10,0),0)</f>
        <v>0</v>
      </c>
      <c r="AP48" s="30">
        <f t="shared" si="71"/>
        <v>10</v>
      </c>
      <c r="AQ48" s="30">
        <f t="shared" si="72"/>
        <v>0</v>
      </c>
      <c r="AR48" s="30">
        <f t="shared" si="252"/>
        <v>0</v>
      </c>
      <c r="AS48" s="30">
        <f t="shared" ref="AS48" si="552">IF(AR48=0,IF(VLOOKUP(AS$3,$A$3:$F$14,4,FALSE)&gt;=$G48,10,0),0)</f>
        <v>0</v>
      </c>
      <c r="AT48" s="30">
        <f t="shared" si="74"/>
        <v>10</v>
      </c>
      <c r="AU48" s="30">
        <f t="shared" si="75"/>
        <v>0</v>
      </c>
      <c r="AV48" s="30">
        <f t="shared" si="254"/>
        <v>0</v>
      </c>
      <c r="AW48" s="30">
        <f t="shared" ref="AW48" si="553">IF(AV48=0,IF(VLOOKUP(AW$3,$A$3:$F$14,4,FALSE)&gt;=$G48,10,0),0)</f>
        <v>0</v>
      </c>
      <c r="AX48" s="30">
        <f t="shared" si="77"/>
        <v>10</v>
      </c>
      <c r="AY48" s="30">
        <f t="shared" si="78"/>
        <v>0</v>
      </c>
      <c r="AZ48" s="30">
        <f t="shared" si="256"/>
        <v>0</v>
      </c>
      <c r="BA48" s="30">
        <f t="shared" ref="BA48" si="554">IF(AZ48=0,IF(VLOOKUP(BA$3,$A$3:$F$14,4,FALSE)&gt;=$G48,10,0),0)</f>
        <v>0</v>
      </c>
      <c r="BB48" s="30">
        <f t="shared" si="80"/>
        <v>0</v>
      </c>
      <c r="BC48" s="30">
        <f t="shared" si="81"/>
        <v>10</v>
      </c>
    </row>
    <row r="49" spans="7:55" x14ac:dyDescent="0.2">
      <c r="G49" s="19">
        <v>45</v>
      </c>
      <c r="H49" s="21">
        <f t="shared" si="45"/>
        <v>0</v>
      </c>
      <c r="I49" s="28">
        <f t="shared" si="46"/>
        <v>0</v>
      </c>
      <c r="J49" s="28">
        <f t="shared" si="47"/>
        <v>0</v>
      </c>
      <c r="K49" s="30">
        <f t="shared" si="48"/>
        <v>10</v>
      </c>
      <c r="L49" s="30">
        <f t="shared" si="236"/>
        <v>0</v>
      </c>
      <c r="M49" s="30">
        <f t="shared" ref="M49" si="555">IF(L49=0,IF(VLOOKUP(M$3,$A$3:$F$14,4,FALSE)&gt;=$G49,10,0),0)</f>
        <v>0</v>
      </c>
      <c r="N49" s="30">
        <f t="shared" si="50"/>
        <v>0</v>
      </c>
      <c r="O49" s="30">
        <f t="shared" si="51"/>
        <v>10</v>
      </c>
      <c r="P49" s="30">
        <f t="shared" si="238"/>
        <v>0</v>
      </c>
      <c r="Q49" s="30">
        <f t="shared" ref="Q49" si="556">IF(P49=0,IF(VLOOKUP(Q$3,$A$3:$F$14,4,FALSE)&gt;=$G49,10,0),0)</f>
        <v>0</v>
      </c>
      <c r="R49" s="30">
        <f t="shared" si="53"/>
        <v>0</v>
      </c>
      <c r="S49" s="30">
        <f t="shared" si="54"/>
        <v>10</v>
      </c>
      <c r="T49" s="30">
        <f t="shared" si="240"/>
        <v>0</v>
      </c>
      <c r="U49" s="30">
        <f t="shared" ref="U49" si="557">IF(T49=0,IF(VLOOKUP(U$3,$A$3:$F$14,4,FALSE)&gt;=$G49,10,0),0)</f>
        <v>0</v>
      </c>
      <c r="V49" s="30">
        <f t="shared" si="56"/>
        <v>0</v>
      </c>
      <c r="W49" s="30">
        <f t="shared" si="57"/>
        <v>10</v>
      </c>
      <c r="X49" s="30">
        <f t="shared" si="242"/>
        <v>0</v>
      </c>
      <c r="Y49" s="30">
        <f t="shared" ref="Y49" si="558">IF(X49=0,IF(VLOOKUP(Y$3,$A$3:$F$14,4,FALSE)&gt;=$G49,10,0),0)</f>
        <v>0</v>
      </c>
      <c r="Z49" s="30">
        <f t="shared" si="59"/>
        <v>10</v>
      </c>
      <c r="AA49" s="30">
        <f t="shared" si="60"/>
        <v>0</v>
      </c>
      <c r="AB49" s="30">
        <f t="shared" si="244"/>
        <v>0</v>
      </c>
      <c r="AC49" s="30">
        <f t="shared" ref="AC49" si="559">IF(AB49=0,IF(VLOOKUP(AC$3,$A$3:$F$14,4,FALSE)&gt;=$G49,10,0),0)</f>
        <v>0</v>
      </c>
      <c r="AD49" s="30">
        <f t="shared" si="62"/>
        <v>10</v>
      </c>
      <c r="AE49" s="30">
        <f t="shared" si="63"/>
        <v>0</v>
      </c>
      <c r="AF49" s="30">
        <f t="shared" si="246"/>
        <v>0</v>
      </c>
      <c r="AG49" s="30">
        <f t="shared" ref="AG49" si="560">IF(AF49=0,IF(VLOOKUP(AG$3,$A$3:$F$14,4,FALSE)&gt;=$G49,10,0),0)</f>
        <v>0</v>
      </c>
      <c r="AH49" s="30">
        <f t="shared" si="65"/>
        <v>0</v>
      </c>
      <c r="AI49" s="30">
        <f t="shared" si="66"/>
        <v>10</v>
      </c>
      <c r="AJ49" s="30">
        <f t="shared" si="248"/>
        <v>0</v>
      </c>
      <c r="AK49" s="30">
        <f t="shared" ref="AK49" si="561">IF(AJ49=0,IF(VLOOKUP(AK$3,$A$3:$F$14,4,FALSE)&gt;=$G49,10,0),0)</f>
        <v>0</v>
      </c>
      <c r="AL49" s="30">
        <f t="shared" si="68"/>
        <v>10</v>
      </c>
      <c r="AM49" s="30">
        <f t="shared" si="69"/>
        <v>0</v>
      </c>
      <c r="AN49" s="30">
        <f t="shared" si="250"/>
        <v>0</v>
      </c>
      <c r="AO49" s="30">
        <f t="shared" ref="AO49" si="562">IF(AN49=0,IF(VLOOKUP(AO$3,$A$3:$F$14,4,FALSE)&gt;=$G49,10,0),0)</f>
        <v>0</v>
      </c>
      <c r="AP49" s="30">
        <f t="shared" si="71"/>
        <v>10</v>
      </c>
      <c r="AQ49" s="30">
        <f t="shared" si="72"/>
        <v>0</v>
      </c>
      <c r="AR49" s="30">
        <f t="shared" si="252"/>
        <v>0</v>
      </c>
      <c r="AS49" s="30">
        <f t="shared" ref="AS49" si="563">IF(AR49=0,IF(VLOOKUP(AS$3,$A$3:$F$14,4,FALSE)&gt;=$G49,10,0),0)</f>
        <v>0</v>
      </c>
      <c r="AT49" s="30">
        <f t="shared" si="74"/>
        <v>10</v>
      </c>
      <c r="AU49" s="30">
        <f t="shared" si="75"/>
        <v>0</v>
      </c>
      <c r="AV49" s="30">
        <f t="shared" si="254"/>
        <v>0</v>
      </c>
      <c r="AW49" s="30">
        <f t="shared" ref="AW49" si="564">IF(AV49=0,IF(VLOOKUP(AW$3,$A$3:$F$14,4,FALSE)&gt;=$G49,10,0),0)</f>
        <v>0</v>
      </c>
      <c r="AX49" s="30">
        <f t="shared" si="77"/>
        <v>10</v>
      </c>
      <c r="AY49" s="30">
        <f t="shared" si="78"/>
        <v>0</v>
      </c>
      <c r="AZ49" s="30">
        <f t="shared" si="256"/>
        <v>0</v>
      </c>
      <c r="BA49" s="30">
        <f t="shared" ref="BA49" si="565">IF(AZ49=0,IF(VLOOKUP(BA$3,$A$3:$F$14,4,FALSE)&gt;=$G49,10,0),0)</f>
        <v>0</v>
      </c>
      <c r="BB49" s="30">
        <f t="shared" si="80"/>
        <v>0</v>
      </c>
      <c r="BC49" s="30">
        <f t="shared" si="81"/>
        <v>10</v>
      </c>
    </row>
    <row r="50" spans="7:55" x14ac:dyDescent="0.2">
      <c r="G50" s="19">
        <v>46</v>
      </c>
      <c r="H50" s="21">
        <f t="shared" si="45"/>
        <v>0</v>
      </c>
      <c r="I50" s="28">
        <f t="shared" si="46"/>
        <v>0</v>
      </c>
      <c r="J50" s="28">
        <f t="shared" si="47"/>
        <v>0</v>
      </c>
      <c r="K50" s="30">
        <f t="shared" si="48"/>
        <v>10</v>
      </c>
      <c r="L50" s="30">
        <f t="shared" si="236"/>
        <v>0</v>
      </c>
      <c r="M50" s="30">
        <f t="shared" ref="M50" si="566">IF(L50=0,IF(VLOOKUP(M$3,$A$3:$F$14,4,FALSE)&gt;=$G50,10,0),0)</f>
        <v>0</v>
      </c>
      <c r="N50" s="30">
        <f t="shared" si="50"/>
        <v>0</v>
      </c>
      <c r="O50" s="30">
        <f t="shared" si="51"/>
        <v>10</v>
      </c>
      <c r="P50" s="30">
        <f t="shared" si="238"/>
        <v>0</v>
      </c>
      <c r="Q50" s="30">
        <f t="shared" ref="Q50" si="567">IF(P50=0,IF(VLOOKUP(Q$3,$A$3:$F$14,4,FALSE)&gt;=$G50,10,0),0)</f>
        <v>0</v>
      </c>
      <c r="R50" s="30">
        <f t="shared" si="53"/>
        <v>0</v>
      </c>
      <c r="S50" s="30">
        <f t="shared" si="54"/>
        <v>10</v>
      </c>
      <c r="T50" s="30">
        <f t="shared" si="240"/>
        <v>0</v>
      </c>
      <c r="U50" s="30">
        <f t="shared" ref="U50" si="568">IF(T50=0,IF(VLOOKUP(U$3,$A$3:$F$14,4,FALSE)&gt;=$G50,10,0),0)</f>
        <v>0</v>
      </c>
      <c r="V50" s="30">
        <f t="shared" si="56"/>
        <v>0</v>
      </c>
      <c r="W50" s="30">
        <f t="shared" si="57"/>
        <v>10</v>
      </c>
      <c r="X50" s="30">
        <f t="shared" si="242"/>
        <v>0</v>
      </c>
      <c r="Y50" s="30">
        <f t="shared" ref="Y50" si="569">IF(X50=0,IF(VLOOKUP(Y$3,$A$3:$F$14,4,FALSE)&gt;=$G50,10,0),0)</f>
        <v>0</v>
      </c>
      <c r="Z50" s="30">
        <f t="shared" si="59"/>
        <v>10</v>
      </c>
      <c r="AA50" s="30">
        <f t="shared" si="60"/>
        <v>0</v>
      </c>
      <c r="AB50" s="30">
        <f t="shared" si="244"/>
        <v>0</v>
      </c>
      <c r="AC50" s="30">
        <f t="shared" ref="AC50" si="570">IF(AB50=0,IF(VLOOKUP(AC$3,$A$3:$F$14,4,FALSE)&gt;=$G50,10,0),0)</f>
        <v>0</v>
      </c>
      <c r="AD50" s="30">
        <f t="shared" si="62"/>
        <v>10</v>
      </c>
      <c r="AE50" s="30">
        <f t="shared" si="63"/>
        <v>0</v>
      </c>
      <c r="AF50" s="30">
        <f t="shared" si="246"/>
        <v>0</v>
      </c>
      <c r="AG50" s="30">
        <f t="shared" ref="AG50" si="571">IF(AF50=0,IF(VLOOKUP(AG$3,$A$3:$F$14,4,FALSE)&gt;=$G50,10,0),0)</f>
        <v>0</v>
      </c>
      <c r="AH50" s="30">
        <f t="shared" si="65"/>
        <v>0</v>
      </c>
      <c r="AI50" s="30">
        <f t="shared" si="66"/>
        <v>10</v>
      </c>
      <c r="AJ50" s="30">
        <f t="shared" si="248"/>
        <v>0</v>
      </c>
      <c r="AK50" s="30">
        <f t="shared" ref="AK50" si="572">IF(AJ50=0,IF(VLOOKUP(AK$3,$A$3:$F$14,4,FALSE)&gt;=$G50,10,0),0)</f>
        <v>0</v>
      </c>
      <c r="AL50" s="30">
        <f t="shared" si="68"/>
        <v>10</v>
      </c>
      <c r="AM50" s="30">
        <f t="shared" si="69"/>
        <v>0</v>
      </c>
      <c r="AN50" s="30">
        <f t="shared" si="250"/>
        <v>0</v>
      </c>
      <c r="AO50" s="30">
        <f t="shared" ref="AO50" si="573">IF(AN50=0,IF(VLOOKUP(AO$3,$A$3:$F$14,4,FALSE)&gt;=$G50,10,0),0)</f>
        <v>0</v>
      </c>
      <c r="AP50" s="30">
        <f t="shared" si="71"/>
        <v>10</v>
      </c>
      <c r="AQ50" s="30">
        <f t="shared" si="72"/>
        <v>0</v>
      </c>
      <c r="AR50" s="30">
        <f t="shared" si="252"/>
        <v>0</v>
      </c>
      <c r="AS50" s="30">
        <f t="shared" ref="AS50" si="574">IF(AR50=0,IF(VLOOKUP(AS$3,$A$3:$F$14,4,FALSE)&gt;=$G50,10,0),0)</f>
        <v>0</v>
      </c>
      <c r="AT50" s="30">
        <f t="shared" si="74"/>
        <v>10</v>
      </c>
      <c r="AU50" s="30">
        <f t="shared" si="75"/>
        <v>0</v>
      </c>
      <c r="AV50" s="30">
        <f t="shared" si="254"/>
        <v>0</v>
      </c>
      <c r="AW50" s="30">
        <f t="shared" ref="AW50" si="575">IF(AV50=0,IF(VLOOKUP(AW$3,$A$3:$F$14,4,FALSE)&gt;=$G50,10,0),0)</f>
        <v>0</v>
      </c>
      <c r="AX50" s="30">
        <f t="shared" si="77"/>
        <v>10</v>
      </c>
      <c r="AY50" s="30">
        <f t="shared" si="78"/>
        <v>0</v>
      </c>
      <c r="AZ50" s="30">
        <f t="shared" si="256"/>
        <v>0</v>
      </c>
      <c r="BA50" s="30">
        <f t="shared" ref="BA50" si="576">IF(AZ50=0,IF(VLOOKUP(BA$3,$A$3:$F$14,4,FALSE)&gt;=$G50,10,0),0)</f>
        <v>0</v>
      </c>
      <c r="BB50" s="30">
        <f t="shared" si="80"/>
        <v>0</v>
      </c>
      <c r="BC50" s="30">
        <f t="shared" si="81"/>
        <v>10</v>
      </c>
    </row>
    <row r="51" spans="7:55" x14ac:dyDescent="0.2">
      <c r="G51" s="19">
        <v>47</v>
      </c>
      <c r="H51" s="21">
        <f t="shared" si="45"/>
        <v>0</v>
      </c>
      <c r="I51" s="28">
        <f t="shared" si="46"/>
        <v>0</v>
      </c>
      <c r="J51" s="28">
        <f t="shared" si="47"/>
        <v>0</v>
      </c>
      <c r="K51" s="30">
        <f t="shared" si="48"/>
        <v>10</v>
      </c>
      <c r="L51" s="30">
        <f t="shared" si="236"/>
        <v>0</v>
      </c>
      <c r="M51" s="30">
        <f t="shared" ref="M51" si="577">IF(L51=0,IF(VLOOKUP(M$3,$A$3:$F$14,4,FALSE)&gt;=$G51,10,0),0)</f>
        <v>0</v>
      </c>
      <c r="N51" s="30">
        <f t="shared" si="50"/>
        <v>0</v>
      </c>
      <c r="O51" s="30">
        <f t="shared" si="51"/>
        <v>10</v>
      </c>
      <c r="P51" s="30">
        <f t="shared" si="238"/>
        <v>0</v>
      </c>
      <c r="Q51" s="30">
        <f t="shared" ref="Q51" si="578">IF(P51=0,IF(VLOOKUP(Q$3,$A$3:$F$14,4,FALSE)&gt;=$G51,10,0),0)</f>
        <v>0</v>
      </c>
      <c r="R51" s="30">
        <f t="shared" si="53"/>
        <v>0</v>
      </c>
      <c r="S51" s="30">
        <f t="shared" si="54"/>
        <v>10</v>
      </c>
      <c r="T51" s="30">
        <f t="shared" si="240"/>
        <v>0</v>
      </c>
      <c r="U51" s="30">
        <f t="shared" ref="U51" si="579">IF(T51=0,IF(VLOOKUP(U$3,$A$3:$F$14,4,FALSE)&gt;=$G51,10,0),0)</f>
        <v>0</v>
      </c>
      <c r="V51" s="30">
        <f t="shared" si="56"/>
        <v>0</v>
      </c>
      <c r="W51" s="30">
        <f t="shared" si="57"/>
        <v>10</v>
      </c>
      <c r="X51" s="30">
        <f t="shared" si="242"/>
        <v>0</v>
      </c>
      <c r="Y51" s="30">
        <f t="shared" ref="Y51" si="580">IF(X51=0,IF(VLOOKUP(Y$3,$A$3:$F$14,4,FALSE)&gt;=$G51,10,0),0)</f>
        <v>0</v>
      </c>
      <c r="Z51" s="30">
        <f t="shared" si="59"/>
        <v>10</v>
      </c>
      <c r="AA51" s="30">
        <f t="shared" si="60"/>
        <v>0</v>
      </c>
      <c r="AB51" s="30">
        <f t="shared" si="244"/>
        <v>0</v>
      </c>
      <c r="AC51" s="30">
        <f t="shared" ref="AC51" si="581">IF(AB51=0,IF(VLOOKUP(AC$3,$A$3:$F$14,4,FALSE)&gt;=$G51,10,0),0)</f>
        <v>0</v>
      </c>
      <c r="AD51" s="30">
        <f t="shared" si="62"/>
        <v>10</v>
      </c>
      <c r="AE51" s="30">
        <f t="shared" si="63"/>
        <v>0</v>
      </c>
      <c r="AF51" s="30">
        <f t="shared" si="246"/>
        <v>0</v>
      </c>
      <c r="AG51" s="30">
        <f t="shared" ref="AG51" si="582">IF(AF51=0,IF(VLOOKUP(AG$3,$A$3:$F$14,4,FALSE)&gt;=$G51,10,0),0)</f>
        <v>0</v>
      </c>
      <c r="AH51" s="30">
        <f t="shared" si="65"/>
        <v>0</v>
      </c>
      <c r="AI51" s="30">
        <f t="shared" si="66"/>
        <v>10</v>
      </c>
      <c r="AJ51" s="30">
        <f t="shared" si="248"/>
        <v>0</v>
      </c>
      <c r="AK51" s="30">
        <f t="shared" ref="AK51" si="583">IF(AJ51=0,IF(VLOOKUP(AK$3,$A$3:$F$14,4,FALSE)&gt;=$G51,10,0),0)</f>
        <v>0</v>
      </c>
      <c r="AL51" s="30">
        <f t="shared" si="68"/>
        <v>10</v>
      </c>
      <c r="AM51" s="30">
        <f t="shared" si="69"/>
        <v>0</v>
      </c>
      <c r="AN51" s="30">
        <f t="shared" si="250"/>
        <v>0</v>
      </c>
      <c r="AO51" s="30">
        <f t="shared" ref="AO51" si="584">IF(AN51=0,IF(VLOOKUP(AO$3,$A$3:$F$14,4,FALSE)&gt;=$G51,10,0),0)</f>
        <v>0</v>
      </c>
      <c r="AP51" s="30">
        <f t="shared" si="71"/>
        <v>10</v>
      </c>
      <c r="AQ51" s="30">
        <f t="shared" si="72"/>
        <v>0</v>
      </c>
      <c r="AR51" s="30">
        <f t="shared" si="252"/>
        <v>0</v>
      </c>
      <c r="AS51" s="30">
        <f t="shared" ref="AS51" si="585">IF(AR51=0,IF(VLOOKUP(AS$3,$A$3:$F$14,4,FALSE)&gt;=$G51,10,0),0)</f>
        <v>0</v>
      </c>
      <c r="AT51" s="30">
        <f t="shared" si="74"/>
        <v>10</v>
      </c>
      <c r="AU51" s="30">
        <f t="shared" si="75"/>
        <v>0</v>
      </c>
      <c r="AV51" s="30">
        <f t="shared" si="254"/>
        <v>0</v>
      </c>
      <c r="AW51" s="30">
        <f t="shared" ref="AW51" si="586">IF(AV51=0,IF(VLOOKUP(AW$3,$A$3:$F$14,4,FALSE)&gt;=$G51,10,0),0)</f>
        <v>0</v>
      </c>
      <c r="AX51" s="30">
        <f t="shared" si="77"/>
        <v>10</v>
      </c>
      <c r="AY51" s="30">
        <f t="shared" si="78"/>
        <v>0</v>
      </c>
      <c r="AZ51" s="30">
        <f t="shared" si="256"/>
        <v>0</v>
      </c>
      <c r="BA51" s="30">
        <f t="shared" ref="BA51" si="587">IF(AZ51=0,IF(VLOOKUP(BA$3,$A$3:$F$14,4,FALSE)&gt;=$G51,10,0),0)</f>
        <v>0</v>
      </c>
      <c r="BB51" s="30">
        <f t="shared" si="80"/>
        <v>0</v>
      </c>
      <c r="BC51" s="30">
        <f t="shared" si="81"/>
        <v>10</v>
      </c>
    </row>
    <row r="52" spans="7:55" x14ac:dyDescent="0.2">
      <c r="G52" s="19">
        <v>48</v>
      </c>
      <c r="H52" s="21">
        <f t="shared" si="45"/>
        <v>0</v>
      </c>
      <c r="I52" s="28">
        <f t="shared" si="46"/>
        <v>0</v>
      </c>
      <c r="J52" s="28">
        <f t="shared" si="47"/>
        <v>0</v>
      </c>
      <c r="K52" s="30">
        <f t="shared" si="48"/>
        <v>10</v>
      </c>
      <c r="L52" s="30">
        <f t="shared" si="236"/>
        <v>0</v>
      </c>
      <c r="M52" s="30">
        <f t="shared" ref="M52" si="588">IF(L52=0,IF(VLOOKUP(M$3,$A$3:$F$14,4,FALSE)&gt;=$G52,10,0),0)</f>
        <v>0</v>
      </c>
      <c r="N52" s="30">
        <f t="shared" si="50"/>
        <v>0</v>
      </c>
      <c r="O52" s="30">
        <f t="shared" si="51"/>
        <v>10</v>
      </c>
      <c r="P52" s="30">
        <f t="shared" si="238"/>
        <v>0</v>
      </c>
      <c r="Q52" s="30">
        <f t="shared" ref="Q52" si="589">IF(P52=0,IF(VLOOKUP(Q$3,$A$3:$F$14,4,FALSE)&gt;=$G52,10,0),0)</f>
        <v>0</v>
      </c>
      <c r="R52" s="30">
        <f t="shared" si="53"/>
        <v>0</v>
      </c>
      <c r="S52" s="30">
        <f t="shared" si="54"/>
        <v>10</v>
      </c>
      <c r="T52" s="30">
        <f t="shared" si="240"/>
        <v>0</v>
      </c>
      <c r="U52" s="30">
        <f t="shared" ref="U52" si="590">IF(T52=0,IF(VLOOKUP(U$3,$A$3:$F$14,4,FALSE)&gt;=$G52,10,0),0)</f>
        <v>0</v>
      </c>
      <c r="V52" s="30">
        <f t="shared" si="56"/>
        <v>0</v>
      </c>
      <c r="W52" s="30">
        <f t="shared" si="57"/>
        <v>10</v>
      </c>
      <c r="X52" s="30">
        <f t="shared" si="242"/>
        <v>0</v>
      </c>
      <c r="Y52" s="30">
        <f t="shared" ref="Y52" si="591">IF(X52=0,IF(VLOOKUP(Y$3,$A$3:$F$14,4,FALSE)&gt;=$G52,10,0),0)</f>
        <v>0</v>
      </c>
      <c r="Z52" s="30">
        <f t="shared" si="59"/>
        <v>10</v>
      </c>
      <c r="AA52" s="30">
        <f t="shared" si="60"/>
        <v>0</v>
      </c>
      <c r="AB52" s="30">
        <f t="shared" si="244"/>
        <v>0</v>
      </c>
      <c r="AC52" s="30">
        <f t="shared" ref="AC52" si="592">IF(AB52=0,IF(VLOOKUP(AC$3,$A$3:$F$14,4,FALSE)&gt;=$G52,10,0),0)</f>
        <v>0</v>
      </c>
      <c r="AD52" s="30">
        <f t="shared" si="62"/>
        <v>10</v>
      </c>
      <c r="AE52" s="30">
        <f t="shared" si="63"/>
        <v>0</v>
      </c>
      <c r="AF52" s="30">
        <f t="shared" si="246"/>
        <v>0</v>
      </c>
      <c r="AG52" s="30">
        <f t="shared" ref="AG52" si="593">IF(AF52=0,IF(VLOOKUP(AG$3,$A$3:$F$14,4,FALSE)&gt;=$G52,10,0),0)</f>
        <v>0</v>
      </c>
      <c r="AH52" s="30">
        <f t="shared" si="65"/>
        <v>0</v>
      </c>
      <c r="AI52" s="30">
        <f t="shared" si="66"/>
        <v>10</v>
      </c>
      <c r="AJ52" s="30">
        <f t="shared" si="248"/>
        <v>0</v>
      </c>
      <c r="AK52" s="30">
        <f t="shared" ref="AK52" si="594">IF(AJ52=0,IF(VLOOKUP(AK$3,$A$3:$F$14,4,FALSE)&gt;=$G52,10,0),0)</f>
        <v>0</v>
      </c>
      <c r="AL52" s="30">
        <f t="shared" si="68"/>
        <v>10</v>
      </c>
      <c r="AM52" s="30">
        <f t="shared" si="69"/>
        <v>0</v>
      </c>
      <c r="AN52" s="30">
        <f t="shared" si="250"/>
        <v>0</v>
      </c>
      <c r="AO52" s="30">
        <f t="shared" ref="AO52" si="595">IF(AN52=0,IF(VLOOKUP(AO$3,$A$3:$F$14,4,FALSE)&gt;=$G52,10,0),0)</f>
        <v>0</v>
      </c>
      <c r="AP52" s="30">
        <f t="shared" si="71"/>
        <v>10</v>
      </c>
      <c r="AQ52" s="30">
        <f t="shared" si="72"/>
        <v>0</v>
      </c>
      <c r="AR52" s="30">
        <f t="shared" si="252"/>
        <v>0</v>
      </c>
      <c r="AS52" s="30">
        <f t="shared" ref="AS52" si="596">IF(AR52=0,IF(VLOOKUP(AS$3,$A$3:$F$14,4,FALSE)&gt;=$G52,10,0),0)</f>
        <v>0</v>
      </c>
      <c r="AT52" s="30">
        <f t="shared" si="74"/>
        <v>10</v>
      </c>
      <c r="AU52" s="30">
        <f t="shared" si="75"/>
        <v>0</v>
      </c>
      <c r="AV52" s="30">
        <f t="shared" si="254"/>
        <v>0</v>
      </c>
      <c r="AW52" s="30">
        <f t="shared" ref="AW52" si="597">IF(AV52=0,IF(VLOOKUP(AW$3,$A$3:$F$14,4,FALSE)&gt;=$G52,10,0),0)</f>
        <v>0</v>
      </c>
      <c r="AX52" s="30">
        <f t="shared" si="77"/>
        <v>10</v>
      </c>
      <c r="AY52" s="30">
        <f t="shared" si="78"/>
        <v>0</v>
      </c>
      <c r="AZ52" s="30">
        <f t="shared" si="256"/>
        <v>0</v>
      </c>
      <c r="BA52" s="30">
        <f t="shared" ref="BA52" si="598">IF(AZ52=0,IF(VLOOKUP(BA$3,$A$3:$F$14,4,FALSE)&gt;=$G52,10,0),0)</f>
        <v>0</v>
      </c>
      <c r="BB52" s="30">
        <f t="shared" si="80"/>
        <v>0</v>
      </c>
      <c r="BC52" s="30">
        <f t="shared" si="81"/>
        <v>10</v>
      </c>
    </row>
    <row r="53" spans="7:55" x14ac:dyDescent="0.2">
      <c r="G53" s="19">
        <v>49</v>
      </c>
      <c r="H53" s="21">
        <f t="shared" si="45"/>
        <v>0</v>
      </c>
      <c r="I53" s="28">
        <f t="shared" si="46"/>
        <v>0</v>
      </c>
      <c r="J53" s="28">
        <f t="shared" si="47"/>
        <v>0</v>
      </c>
      <c r="K53" s="30">
        <f t="shared" si="48"/>
        <v>10</v>
      </c>
      <c r="L53" s="30">
        <f t="shared" si="236"/>
        <v>0</v>
      </c>
      <c r="M53" s="30">
        <f t="shared" ref="M53" si="599">IF(L53=0,IF(VLOOKUP(M$3,$A$3:$F$14,4,FALSE)&gt;=$G53,10,0),0)</f>
        <v>0</v>
      </c>
      <c r="N53" s="30">
        <f t="shared" si="50"/>
        <v>0</v>
      </c>
      <c r="O53" s="30">
        <f t="shared" si="51"/>
        <v>10</v>
      </c>
      <c r="P53" s="30">
        <f t="shared" si="238"/>
        <v>0</v>
      </c>
      <c r="Q53" s="30">
        <f t="shared" ref="Q53" si="600">IF(P53=0,IF(VLOOKUP(Q$3,$A$3:$F$14,4,FALSE)&gt;=$G53,10,0),0)</f>
        <v>0</v>
      </c>
      <c r="R53" s="30">
        <f t="shared" si="53"/>
        <v>0</v>
      </c>
      <c r="S53" s="30">
        <f t="shared" si="54"/>
        <v>10</v>
      </c>
      <c r="T53" s="30">
        <f t="shared" si="240"/>
        <v>0</v>
      </c>
      <c r="U53" s="30">
        <f t="shared" ref="U53" si="601">IF(T53=0,IF(VLOOKUP(U$3,$A$3:$F$14,4,FALSE)&gt;=$G53,10,0),0)</f>
        <v>0</v>
      </c>
      <c r="V53" s="30">
        <f t="shared" si="56"/>
        <v>0</v>
      </c>
      <c r="W53" s="30">
        <f t="shared" si="57"/>
        <v>10</v>
      </c>
      <c r="X53" s="30">
        <f t="shared" si="242"/>
        <v>0</v>
      </c>
      <c r="Y53" s="30">
        <f t="shared" ref="Y53" si="602">IF(X53=0,IF(VLOOKUP(Y$3,$A$3:$F$14,4,FALSE)&gt;=$G53,10,0),0)</f>
        <v>0</v>
      </c>
      <c r="Z53" s="30">
        <f t="shared" si="59"/>
        <v>10</v>
      </c>
      <c r="AA53" s="30">
        <f t="shared" si="60"/>
        <v>0</v>
      </c>
      <c r="AB53" s="30">
        <f t="shared" si="244"/>
        <v>0</v>
      </c>
      <c r="AC53" s="30">
        <f t="shared" ref="AC53" si="603">IF(AB53=0,IF(VLOOKUP(AC$3,$A$3:$F$14,4,FALSE)&gt;=$G53,10,0),0)</f>
        <v>0</v>
      </c>
      <c r="AD53" s="30">
        <f t="shared" si="62"/>
        <v>0</v>
      </c>
      <c r="AE53" s="30">
        <f t="shared" si="63"/>
        <v>10</v>
      </c>
      <c r="AF53" s="30">
        <f t="shared" si="246"/>
        <v>0</v>
      </c>
      <c r="AG53" s="30">
        <f t="shared" ref="AG53" si="604">IF(AF53=0,IF(VLOOKUP(AG$3,$A$3:$F$14,4,FALSE)&gt;=$G53,10,0),0)</f>
        <v>0</v>
      </c>
      <c r="AH53" s="30">
        <f t="shared" si="65"/>
        <v>0</v>
      </c>
      <c r="AI53" s="30">
        <f t="shared" si="66"/>
        <v>10</v>
      </c>
      <c r="AJ53" s="30">
        <f t="shared" si="248"/>
        <v>0</v>
      </c>
      <c r="AK53" s="30">
        <f t="shared" ref="AK53" si="605">IF(AJ53=0,IF(VLOOKUP(AK$3,$A$3:$F$14,4,FALSE)&gt;=$G53,10,0),0)</f>
        <v>0</v>
      </c>
      <c r="AL53" s="30">
        <f t="shared" si="68"/>
        <v>10</v>
      </c>
      <c r="AM53" s="30">
        <f t="shared" si="69"/>
        <v>0</v>
      </c>
      <c r="AN53" s="30">
        <f t="shared" si="250"/>
        <v>0</v>
      </c>
      <c r="AO53" s="30">
        <f t="shared" ref="AO53" si="606">IF(AN53=0,IF(VLOOKUP(AO$3,$A$3:$F$14,4,FALSE)&gt;=$G53,10,0),0)</f>
        <v>0</v>
      </c>
      <c r="AP53" s="30">
        <f t="shared" si="71"/>
        <v>10</v>
      </c>
      <c r="AQ53" s="30">
        <f t="shared" si="72"/>
        <v>0</v>
      </c>
      <c r="AR53" s="30">
        <f t="shared" si="252"/>
        <v>0</v>
      </c>
      <c r="AS53" s="30">
        <f t="shared" ref="AS53" si="607">IF(AR53=0,IF(VLOOKUP(AS$3,$A$3:$F$14,4,FALSE)&gt;=$G53,10,0),0)</f>
        <v>0</v>
      </c>
      <c r="AT53" s="30">
        <f t="shared" si="74"/>
        <v>10</v>
      </c>
      <c r="AU53" s="30">
        <f t="shared" si="75"/>
        <v>0</v>
      </c>
      <c r="AV53" s="30">
        <f t="shared" si="254"/>
        <v>0</v>
      </c>
      <c r="AW53" s="30">
        <f t="shared" ref="AW53" si="608">IF(AV53=0,IF(VLOOKUP(AW$3,$A$3:$F$14,4,FALSE)&gt;=$G53,10,0),0)</f>
        <v>0</v>
      </c>
      <c r="AX53" s="30">
        <f t="shared" si="77"/>
        <v>10</v>
      </c>
      <c r="AY53" s="30">
        <f t="shared" si="78"/>
        <v>0</v>
      </c>
      <c r="AZ53" s="30">
        <f t="shared" si="256"/>
        <v>0</v>
      </c>
      <c r="BA53" s="30">
        <f t="shared" ref="BA53" si="609">IF(AZ53=0,IF(VLOOKUP(BA$3,$A$3:$F$14,4,FALSE)&gt;=$G53,10,0),0)</f>
        <v>0</v>
      </c>
      <c r="BB53" s="30">
        <f t="shared" si="80"/>
        <v>0</v>
      </c>
      <c r="BC53" s="30">
        <f t="shared" si="81"/>
        <v>10</v>
      </c>
    </row>
    <row r="54" spans="7:55" x14ac:dyDescent="0.2">
      <c r="G54" s="19">
        <v>50</v>
      </c>
      <c r="H54" s="21">
        <f t="shared" si="45"/>
        <v>0</v>
      </c>
      <c r="I54" s="28">
        <f t="shared" si="46"/>
        <v>0</v>
      </c>
      <c r="J54" s="28">
        <f t="shared" si="47"/>
        <v>0</v>
      </c>
      <c r="K54" s="30">
        <f t="shared" si="48"/>
        <v>10</v>
      </c>
      <c r="L54" s="30">
        <f t="shared" si="236"/>
        <v>0</v>
      </c>
      <c r="M54" s="30">
        <f t="shared" ref="M54" si="610">IF(L54=0,IF(VLOOKUP(M$3,$A$3:$F$14,4,FALSE)&gt;=$G54,10,0),0)</f>
        <v>0</v>
      </c>
      <c r="N54" s="30">
        <f t="shared" si="50"/>
        <v>0</v>
      </c>
      <c r="O54" s="30">
        <f t="shared" si="51"/>
        <v>10</v>
      </c>
      <c r="P54" s="30">
        <f t="shared" si="238"/>
        <v>0</v>
      </c>
      <c r="Q54" s="30">
        <f t="shared" ref="Q54" si="611">IF(P54=0,IF(VLOOKUP(Q$3,$A$3:$F$14,4,FALSE)&gt;=$G54,10,0),0)</f>
        <v>0</v>
      </c>
      <c r="R54" s="30">
        <f t="shared" si="53"/>
        <v>0</v>
      </c>
      <c r="S54" s="30">
        <f t="shared" si="54"/>
        <v>10</v>
      </c>
      <c r="T54" s="30">
        <f t="shared" si="240"/>
        <v>0</v>
      </c>
      <c r="U54" s="30">
        <f t="shared" ref="U54" si="612">IF(T54=0,IF(VLOOKUP(U$3,$A$3:$F$14,4,FALSE)&gt;=$G54,10,0),0)</f>
        <v>0</v>
      </c>
      <c r="V54" s="30">
        <f t="shared" si="56"/>
        <v>0</v>
      </c>
      <c r="W54" s="30">
        <f t="shared" si="57"/>
        <v>10</v>
      </c>
      <c r="X54" s="30">
        <f t="shared" si="242"/>
        <v>0</v>
      </c>
      <c r="Y54" s="30">
        <f t="shared" ref="Y54" si="613">IF(X54=0,IF(VLOOKUP(Y$3,$A$3:$F$14,4,FALSE)&gt;=$G54,10,0),0)</f>
        <v>0</v>
      </c>
      <c r="Z54" s="30">
        <f t="shared" si="59"/>
        <v>10</v>
      </c>
      <c r="AA54" s="30">
        <f t="shared" si="60"/>
        <v>0</v>
      </c>
      <c r="AB54" s="30">
        <f t="shared" si="244"/>
        <v>0</v>
      </c>
      <c r="AC54" s="30">
        <f t="shared" ref="AC54" si="614">IF(AB54=0,IF(VLOOKUP(AC$3,$A$3:$F$14,4,FALSE)&gt;=$G54,10,0),0)</f>
        <v>0</v>
      </c>
      <c r="AD54" s="30">
        <f t="shared" si="62"/>
        <v>0</v>
      </c>
      <c r="AE54" s="30">
        <f t="shared" si="63"/>
        <v>10</v>
      </c>
      <c r="AF54" s="30">
        <f t="shared" si="246"/>
        <v>0</v>
      </c>
      <c r="AG54" s="30">
        <f t="shared" ref="AG54" si="615">IF(AF54=0,IF(VLOOKUP(AG$3,$A$3:$F$14,4,FALSE)&gt;=$G54,10,0),0)</f>
        <v>0</v>
      </c>
      <c r="AH54" s="30">
        <f t="shared" si="65"/>
        <v>0</v>
      </c>
      <c r="AI54" s="30">
        <f t="shared" si="66"/>
        <v>10</v>
      </c>
      <c r="AJ54" s="30">
        <f t="shared" si="248"/>
        <v>0</v>
      </c>
      <c r="AK54" s="30">
        <f t="shared" ref="AK54" si="616">IF(AJ54=0,IF(VLOOKUP(AK$3,$A$3:$F$14,4,FALSE)&gt;=$G54,10,0),0)</f>
        <v>0</v>
      </c>
      <c r="AL54" s="30">
        <f t="shared" si="68"/>
        <v>10</v>
      </c>
      <c r="AM54" s="30">
        <f t="shared" si="69"/>
        <v>0</v>
      </c>
      <c r="AN54" s="30">
        <f t="shared" si="250"/>
        <v>0</v>
      </c>
      <c r="AO54" s="30">
        <f t="shared" ref="AO54" si="617">IF(AN54=0,IF(VLOOKUP(AO$3,$A$3:$F$14,4,FALSE)&gt;=$G54,10,0),0)</f>
        <v>0</v>
      </c>
      <c r="AP54" s="30">
        <f t="shared" si="71"/>
        <v>10</v>
      </c>
      <c r="AQ54" s="30">
        <f t="shared" si="72"/>
        <v>0</v>
      </c>
      <c r="AR54" s="30">
        <f t="shared" si="252"/>
        <v>0</v>
      </c>
      <c r="AS54" s="30">
        <f t="shared" ref="AS54" si="618">IF(AR54=0,IF(VLOOKUP(AS$3,$A$3:$F$14,4,FALSE)&gt;=$G54,10,0),0)</f>
        <v>0</v>
      </c>
      <c r="AT54" s="30">
        <f t="shared" si="74"/>
        <v>10</v>
      </c>
      <c r="AU54" s="30">
        <f t="shared" si="75"/>
        <v>0</v>
      </c>
      <c r="AV54" s="30">
        <f t="shared" si="254"/>
        <v>0</v>
      </c>
      <c r="AW54" s="30">
        <f t="shared" ref="AW54" si="619">IF(AV54=0,IF(VLOOKUP(AW$3,$A$3:$F$14,4,FALSE)&gt;=$G54,10,0),0)</f>
        <v>0</v>
      </c>
      <c r="AX54" s="30">
        <f t="shared" si="77"/>
        <v>10</v>
      </c>
      <c r="AY54" s="30">
        <f t="shared" si="78"/>
        <v>0</v>
      </c>
      <c r="AZ54" s="30">
        <f t="shared" si="256"/>
        <v>0</v>
      </c>
      <c r="BA54" s="30">
        <f t="shared" ref="BA54" si="620">IF(AZ54=0,IF(VLOOKUP(BA$3,$A$3:$F$14,4,FALSE)&gt;=$G54,10,0),0)</f>
        <v>0</v>
      </c>
      <c r="BB54" s="30">
        <f t="shared" si="80"/>
        <v>0</v>
      </c>
      <c r="BC54" s="30">
        <f t="shared" si="81"/>
        <v>10</v>
      </c>
    </row>
    <row r="55" spans="7:55" x14ac:dyDescent="0.2">
      <c r="G55" s="19">
        <v>51</v>
      </c>
      <c r="H55" s="21">
        <f t="shared" si="45"/>
        <v>0</v>
      </c>
      <c r="I55" s="28">
        <f t="shared" si="46"/>
        <v>0</v>
      </c>
      <c r="J55" s="28">
        <f t="shared" si="47"/>
        <v>0</v>
      </c>
      <c r="K55" s="30">
        <f t="shared" si="48"/>
        <v>10</v>
      </c>
      <c r="L55" s="30">
        <f t="shared" si="236"/>
        <v>0</v>
      </c>
      <c r="M55" s="30">
        <f t="shared" ref="M55" si="621">IF(L55=0,IF(VLOOKUP(M$3,$A$3:$F$14,4,FALSE)&gt;=$G55,10,0),0)</f>
        <v>0</v>
      </c>
      <c r="N55" s="30">
        <f t="shared" si="50"/>
        <v>0</v>
      </c>
      <c r="O55" s="30">
        <f t="shared" si="51"/>
        <v>10</v>
      </c>
      <c r="P55" s="30">
        <f t="shared" si="238"/>
        <v>0</v>
      </c>
      <c r="Q55" s="30">
        <f t="shared" ref="Q55" si="622">IF(P55=0,IF(VLOOKUP(Q$3,$A$3:$F$14,4,FALSE)&gt;=$G55,10,0),0)</f>
        <v>0</v>
      </c>
      <c r="R55" s="30">
        <f t="shared" si="53"/>
        <v>0</v>
      </c>
      <c r="S55" s="30">
        <f t="shared" si="54"/>
        <v>10</v>
      </c>
      <c r="T55" s="30">
        <f t="shared" si="240"/>
        <v>0</v>
      </c>
      <c r="U55" s="30">
        <f t="shared" ref="U55" si="623">IF(T55=0,IF(VLOOKUP(U$3,$A$3:$F$14,4,FALSE)&gt;=$G55,10,0),0)</f>
        <v>0</v>
      </c>
      <c r="V55" s="30">
        <f t="shared" si="56"/>
        <v>0</v>
      </c>
      <c r="W55" s="30">
        <f t="shared" si="57"/>
        <v>10</v>
      </c>
      <c r="X55" s="30">
        <f t="shared" si="242"/>
        <v>0</v>
      </c>
      <c r="Y55" s="30">
        <f t="shared" ref="Y55" si="624">IF(X55=0,IF(VLOOKUP(Y$3,$A$3:$F$14,4,FALSE)&gt;=$G55,10,0),0)</f>
        <v>0</v>
      </c>
      <c r="Z55" s="30">
        <f t="shared" si="59"/>
        <v>0</v>
      </c>
      <c r="AA55" s="30">
        <f t="shared" si="60"/>
        <v>10</v>
      </c>
      <c r="AB55" s="30">
        <f t="shared" si="244"/>
        <v>0</v>
      </c>
      <c r="AC55" s="30">
        <f t="shared" ref="AC55" si="625">IF(AB55=0,IF(VLOOKUP(AC$3,$A$3:$F$14,4,FALSE)&gt;=$G55,10,0),0)</f>
        <v>0</v>
      </c>
      <c r="AD55" s="30">
        <f t="shared" si="62"/>
        <v>0</v>
      </c>
      <c r="AE55" s="30">
        <f t="shared" si="63"/>
        <v>10</v>
      </c>
      <c r="AF55" s="30">
        <f t="shared" si="246"/>
        <v>0</v>
      </c>
      <c r="AG55" s="30">
        <f t="shared" ref="AG55" si="626">IF(AF55=0,IF(VLOOKUP(AG$3,$A$3:$F$14,4,FALSE)&gt;=$G55,10,0),0)</f>
        <v>0</v>
      </c>
      <c r="AH55" s="30">
        <f t="shared" si="65"/>
        <v>0</v>
      </c>
      <c r="AI55" s="30">
        <f t="shared" si="66"/>
        <v>10</v>
      </c>
      <c r="AJ55" s="30">
        <f t="shared" si="248"/>
        <v>0</v>
      </c>
      <c r="AK55" s="30">
        <f t="shared" ref="AK55" si="627">IF(AJ55=0,IF(VLOOKUP(AK$3,$A$3:$F$14,4,FALSE)&gt;=$G55,10,0),0)</f>
        <v>0</v>
      </c>
      <c r="AL55" s="30">
        <f t="shared" si="68"/>
        <v>0</v>
      </c>
      <c r="AM55" s="30">
        <f t="shared" si="69"/>
        <v>10</v>
      </c>
      <c r="AN55" s="30">
        <f t="shared" si="250"/>
        <v>0</v>
      </c>
      <c r="AO55" s="30">
        <f t="shared" ref="AO55" si="628">IF(AN55=0,IF(VLOOKUP(AO$3,$A$3:$F$14,4,FALSE)&gt;=$G55,10,0),0)</f>
        <v>0</v>
      </c>
      <c r="AP55" s="30">
        <f t="shared" si="71"/>
        <v>10</v>
      </c>
      <c r="AQ55" s="30">
        <f t="shared" si="72"/>
        <v>0</v>
      </c>
      <c r="AR55" s="30">
        <f t="shared" si="252"/>
        <v>0</v>
      </c>
      <c r="AS55" s="30">
        <f t="shared" ref="AS55" si="629">IF(AR55=0,IF(VLOOKUP(AS$3,$A$3:$F$14,4,FALSE)&gt;=$G55,10,0),0)</f>
        <v>0</v>
      </c>
      <c r="AT55" s="30">
        <f t="shared" si="74"/>
        <v>10</v>
      </c>
      <c r="AU55" s="30">
        <f t="shared" si="75"/>
        <v>0</v>
      </c>
      <c r="AV55" s="30">
        <f t="shared" si="254"/>
        <v>0</v>
      </c>
      <c r="AW55" s="30">
        <f t="shared" ref="AW55" si="630">IF(AV55=0,IF(VLOOKUP(AW$3,$A$3:$F$14,4,FALSE)&gt;=$G55,10,0),0)</f>
        <v>0</v>
      </c>
      <c r="AX55" s="30">
        <f t="shared" si="77"/>
        <v>10</v>
      </c>
      <c r="AY55" s="30">
        <f t="shared" si="78"/>
        <v>0</v>
      </c>
      <c r="AZ55" s="30">
        <f t="shared" si="256"/>
        <v>0</v>
      </c>
      <c r="BA55" s="30">
        <f t="shared" ref="BA55" si="631">IF(AZ55=0,IF(VLOOKUP(BA$3,$A$3:$F$14,4,FALSE)&gt;=$G55,10,0),0)</f>
        <v>0</v>
      </c>
      <c r="BB55" s="30">
        <f t="shared" si="80"/>
        <v>0</v>
      </c>
      <c r="BC55" s="30">
        <f t="shared" si="81"/>
        <v>10</v>
      </c>
    </row>
    <row r="56" spans="7:55" x14ac:dyDescent="0.2">
      <c r="G56" s="19">
        <v>52</v>
      </c>
      <c r="H56" s="21">
        <f t="shared" si="45"/>
        <v>0</v>
      </c>
      <c r="I56" s="28">
        <f t="shared" si="46"/>
        <v>0</v>
      </c>
      <c r="J56" s="28">
        <f t="shared" si="47"/>
        <v>0</v>
      </c>
      <c r="K56" s="30">
        <f t="shared" si="48"/>
        <v>10</v>
      </c>
      <c r="L56" s="30">
        <f t="shared" si="236"/>
        <v>0</v>
      </c>
      <c r="M56" s="30">
        <f t="shared" ref="M56" si="632">IF(L56=0,IF(VLOOKUP(M$3,$A$3:$F$14,4,FALSE)&gt;=$G56,10,0),0)</f>
        <v>0</v>
      </c>
      <c r="N56" s="30">
        <f t="shared" si="50"/>
        <v>0</v>
      </c>
      <c r="O56" s="30">
        <f t="shared" si="51"/>
        <v>10</v>
      </c>
      <c r="P56" s="30">
        <f t="shared" si="238"/>
        <v>0</v>
      </c>
      <c r="Q56" s="30">
        <f t="shared" ref="Q56" si="633">IF(P56=0,IF(VLOOKUP(Q$3,$A$3:$F$14,4,FALSE)&gt;=$G56,10,0),0)</f>
        <v>0</v>
      </c>
      <c r="R56" s="30">
        <f t="shared" si="53"/>
        <v>0</v>
      </c>
      <c r="S56" s="30">
        <f t="shared" si="54"/>
        <v>10</v>
      </c>
      <c r="T56" s="30">
        <f t="shared" si="240"/>
        <v>0</v>
      </c>
      <c r="U56" s="30">
        <f t="shared" ref="U56" si="634">IF(T56=0,IF(VLOOKUP(U$3,$A$3:$F$14,4,FALSE)&gt;=$G56,10,0),0)</f>
        <v>0</v>
      </c>
      <c r="V56" s="30">
        <f t="shared" si="56"/>
        <v>0</v>
      </c>
      <c r="W56" s="30">
        <f t="shared" si="57"/>
        <v>10</v>
      </c>
      <c r="X56" s="30">
        <f t="shared" si="242"/>
        <v>0</v>
      </c>
      <c r="Y56" s="30">
        <f t="shared" ref="Y56" si="635">IF(X56=0,IF(VLOOKUP(Y$3,$A$3:$F$14,4,FALSE)&gt;=$G56,10,0),0)</f>
        <v>0</v>
      </c>
      <c r="Z56" s="30">
        <f t="shared" si="59"/>
        <v>0</v>
      </c>
      <c r="AA56" s="30">
        <f t="shared" si="60"/>
        <v>10</v>
      </c>
      <c r="AB56" s="30">
        <f t="shared" si="244"/>
        <v>0</v>
      </c>
      <c r="AC56" s="30">
        <f t="shared" ref="AC56" si="636">IF(AB56=0,IF(VLOOKUP(AC$3,$A$3:$F$14,4,FALSE)&gt;=$G56,10,0),0)</f>
        <v>0</v>
      </c>
      <c r="AD56" s="30">
        <f t="shared" si="62"/>
        <v>0</v>
      </c>
      <c r="AE56" s="30">
        <f t="shared" si="63"/>
        <v>10</v>
      </c>
      <c r="AF56" s="30">
        <f t="shared" si="246"/>
        <v>0</v>
      </c>
      <c r="AG56" s="30">
        <f t="shared" ref="AG56" si="637">IF(AF56=0,IF(VLOOKUP(AG$3,$A$3:$F$14,4,FALSE)&gt;=$G56,10,0),0)</f>
        <v>0</v>
      </c>
      <c r="AH56" s="30">
        <f t="shared" si="65"/>
        <v>0</v>
      </c>
      <c r="AI56" s="30">
        <f t="shared" si="66"/>
        <v>10</v>
      </c>
      <c r="AJ56" s="30">
        <f t="shared" si="248"/>
        <v>0</v>
      </c>
      <c r="AK56" s="30">
        <f t="shared" ref="AK56" si="638">IF(AJ56=0,IF(VLOOKUP(AK$3,$A$3:$F$14,4,FALSE)&gt;=$G56,10,0),0)</f>
        <v>0</v>
      </c>
      <c r="AL56" s="30">
        <f t="shared" si="68"/>
        <v>0</v>
      </c>
      <c r="AM56" s="30">
        <f t="shared" si="69"/>
        <v>10</v>
      </c>
      <c r="AN56" s="30">
        <f t="shared" si="250"/>
        <v>0</v>
      </c>
      <c r="AO56" s="30">
        <f t="shared" ref="AO56" si="639">IF(AN56=0,IF(VLOOKUP(AO$3,$A$3:$F$14,4,FALSE)&gt;=$G56,10,0),0)</f>
        <v>0</v>
      </c>
      <c r="AP56" s="30">
        <f t="shared" si="71"/>
        <v>10</v>
      </c>
      <c r="AQ56" s="30">
        <f t="shared" si="72"/>
        <v>0</v>
      </c>
      <c r="AR56" s="30">
        <f t="shared" si="252"/>
        <v>0</v>
      </c>
      <c r="AS56" s="30">
        <f t="shared" ref="AS56" si="640">IF(AR56=0,IF(VLOOKUP(AS$3,$A$3:$F$14,4,FALSE)&gt;=$G56,10,0),0)</f>
        <v>0</v>
      </c>
      <c r="AT56" s="30">
        <f t="shared" si="74"/>
        <v>10</v>
      </c>
      <c r="AU56" s="30">
        <f t="shared" si="75"/>
        <v>0</v>
      </c>
      <c r="AV56" s="30">
        <f t="shared" si="254"/>
        <v>0</v>
      </c>
      <c r="AW56" s="30">
        <f t="shared" ref="AW56" si="641">IF(AV56=0,IF(VLOOKUP(AW$3,$A$3:$F$14,4,FALSE)&gt;=$G56,10,0),0)</f>
        <v>0</v>
      </c>
      <c r="AX56" s="30">
        <f t="shared" si="77"/>
        <v>10</v>
      </c>
      <c r="AY56" s="30">
        <f t="shared" si="78"/>
        <v>0</v>
      </c>
      <c r="AZ56" s="30">
        <f t="shared" si="256"/>
        <v>0</v>
      </c>
      <c r="BA56" s="30">
        <f t="shared" ref="BA56" si="642">IF(AZ56=0,IF(VLOOKUP(BA$3,$A$3:$F$14,4,FALSE)&gt;=$G56,10,0),0)</f>
        <v>0</v>
      </c>
      <c r="BB56" s="30">
        <f t="shared" si="80"/>
        <v>0</v>
      </c>
      <c r="BC56" s="30">
        <f t="shared" si="81"/>
        <v>10</v>
      </c>
    </row>
    <row r="57" spans="7:55" x14ac:dyDescent="0.2">
      <c r="G57" s="19">
        <v>53</v>
      </c>
      <c r="H57" s="21">
        <f t="shared" si="45"/>
        <v>0</v>
      </c>
      <c r="I57" s="28">
        <f t="shared" si="46"/>
        <v>0</v>
      </c>
      <c r="J57" s="28">
        <f t="shared" si="47"/>
        <v>0</v>
      </c>
      <c r="K57" s="30">
        <f t="shared" si="48"/>
        <v>10</v>
      </c>
      <c r="L57" s="30">
        <f t="shared" si="236"/>
        <v>0</v>
      </c>
      <c r="M57" s="30">
        <f t="shared" ref="M57" si="643">IF(L57=0,IF(VLOOKUP(M$3,$A$3:$F$14,4,FALSE)&gt;=$G57,10,0),0)</f>
        <v>0</v>
      </c>
      <c r="N57" s="30">
        <f t="shared" si="50"/>
        <v>0</v>
      </c>
      <c r="O57" s="30">
        <f t="shared" si="51"/>
        <v>10</v>
      </c>
      <c r="P57" s="30">
        <f t="shared" si="238"/>
        <v>0</v>
      </c>
      <c r="Q57" s="30">
        <f t="shared" ref="Q57" si="644">IF(P57=0,IF(VLOOKUP(Q$3,$A$3:$F$14,4,FALSE)&gt;=$G57,10,0),0)</f>
        <v>0</v>
      </c>
      <c r="R57" s="30">
        <f t="shared" si="53"/>
        <v>0</v>
      </c>
      <c r="S57" s="30">
        <f t="shared" si="54"/>
        <v>10</v>
      </c>
      <c r="T57" s="30">
        <f t="shared" si="240"/>
        <v>0</v>
      </c>
      <c r="U57" s="30">
        <f t="shared" ref="U57" si="645">IF(T57=0,IF(VLOOKUP(U$3,$A$3:$F$14,4,FALSE)&gt;=$G57,10,0),0)</f>
        <v>0</v>
      </c>
      <c r="V57" s="30">
        <f t="shared" si="56"/>
        <v>0</v>
      </c>
      <c r="W57" s="30">
        <f t="shared" si="57"/>
        <v>10</v>
      </c>
      <c r="X57" s="30">
        <f t="shared" si="242"/>
        <v>0</v>
      </c>
      <c r="Y57" s="30">
        <f t="shared" ref="Y57" si="646">IF(X57=0,IF(VLOOKUP(Y$3,$A$3:$F$14,4,FALSE)&gt;=$G57,10,0),0)</f>
        <v>0</v>
      </c>
      <c r="Z57" s="30">
        <f t="shared" si="59"/>
        <v>0</v>
      </c>
      <c r="AA57" s="30">
        <f t="shared" si="60"/>
        <v>10</v>
      </c>
      <c r="AB57" s="30">
        <f t="shared" si="244"/>
        <v>0</v>
      </c>
      <c r="AC57" s="30">
        <f t="shared" ref="AC57" si="647">IF(AB57=0,IF(VLOOKUP(AC$3,$A$3:$F$14,4,FALSE)&gt;=$G57,10,0),0)</f>
        <v>0</v>
      </c>
      <c r="AD57" s="30">
        <f t="shared" si="62"/>
        <v>0</v>
      </c>
      <c r="AE57" s="30">
        <f t="shared" si="63"/>
        <v>10</v>
      </c>
      <c r="AF57" s="30">
        <f t="shared" si="246"/>
        <v>0</v>
      </c>
      <c r="AG57" s="30">
        <f t="shared" ref="AG57" si="648">IF(AF57=0,IF(VLOOKUP(AG$3,$A$3:$F$14,4,FALSE)&gt;=$G57,10,0),0)</f>
        <v>0</v>
      </c>
      <c r="AH57" s="30">
        <f t="shared" si="65"/>
        <v>0</v>
      </c>
      <c r="AI57" s="30">
        <f t="shared" si="66"/>
        <v>10</v>
      </c>
      <c r="AJ57" s="30">
        <f t="shared" si="248"/>
        <v>0</v>
      </c>
      <c r="AK57" s="30">
        <f t="shared" ref="AK57" si="649">IF(AJ57=0,IF(VLOOKUP(AK$3,$A$3:$F$14,4,FALSE)&gt;=$G57,10,0),0)</f>
        <v>0</v>
      </c>
      <c r="AL57" s="30">
        <f t="shared" si="68"/>
        <v>0</v>
      </c>
      <c r="AM57" s="30">
        <f t="shared" si="69"/>
        <v>10</v>
      </c>
      <c r="AN57" s="30">
        <f t="shared" si="250"/>
        <v>0</v>
      </c>
      <c r="AO57" s="30">
        <f t="shared" ref="AO57" si="650">IF(AN57=0,IF(VLOOKUP(AO$3,$A$3:$F$14,4,FALSE)&gt;=$G57,10,0),0)</f>
        <v>0</v>
      </c>
      <c r="AP57" s="30">
        <f t="shared" si="71"/>
        <v>10</v>
      </c>
      <c r="AQ57" s="30">
        <f t="shared" si="72"/>
        <v>0</v>
      </c>
      <c r="AR57" s="30">
        <f t="shared" si="252"/>
        <v>0</v>
      </c>
      <c r="AS57" s="30">
        <f t="shared" ref="AS57" si="651">IF(AR57=0,IF(VLOOKUP(AS$3,$A$3:$F$14,4,FALSE)&gt;=$G57,10,0),0)</f>
        <v>0</v>
      </c>
      <c r="AT57" s="30">
        <f t="shared" si="74"/>
        <v>10</v>
      </c>
      <c r="AU57" s="30">
        <f t="shared" si="75"/>
        <v>0</v>
      </c>
      <c r="AV57" s="30">
        <f t="shared" si="254"/>
        <v>0</v>
      </c>
      <c r="AW57" s="30">
        <f t="shared" ref="AW57" si="652">IF(AV57=0,IF(VLOOKUP(AW$3,$A$3:$F$14,4,FALSE)&gt;=$G57,10,0),0)</f>
        <v>0</v>
      </c>
      <c r="AX57" s="30">
        <f t="shared" si="77"/>
        <v>10</v>
      </c>
      <c r="AY57" s="30">
        <f t="shared" si="78"/>
        <v>0</v>
      </c>
      <c r="AZ57" s="30">
        <f t="shared" si="256"/>
        <v>0</v>
      </c>
      <c r="BA57" s="30">
        <f t="shared" ref="BA57" si="653">IF(AZ57=0,IF(VLOOKUP(BA$3,$A$3:$F$14,4,FALSE)&gt;=$G57,10,0),0)</f>
        <v>0</v>
      </c>
      <c r="BB57" s="30">
        <f t="shared" si="80"/>
        <v>0</v>
      </c>
      <c r="BC57" s="30">
        <f t="shared" si="81"/>
        <v>10</v>
      </c>
    </row>
    <row r="58" spans="7:55" x14ac:dyDescent="0.2">
      <c r="G58" s="19">
        <v>54</v>
      </c>
      <c r="H58" s="21">
        <f t="shared" si="45"/>
        <v>0</v>
      </c>
      <c r="I58" s="28">
        <f t="shared" si="46"/>
        <v>0</v>
      </c>
      <c r="J58" s="28">
        <f t="shared" si="47"/>
        <v>0</v>
      </c>
      <c r="K58" s="30">
        <f t="shared" si="48"/>
        <v>10</v>
      </c>
      <c r="L58" s="30">
        <f t="shared" si="236"/>
        <v>0</v>
      </c>
      <c r="M58" s="30">
        <f t="shared" ref="M58" si="654">IF(L58=0,IF(VLOOKUP(M$3,$A$3:$F$14,4,FALSE)&gt;=$G58,10,0),0)</f>
        <v>0</v>
      </c>
      <c r="N58" s="30">
        <f t="shared" si="50"/>
        <v>0</v>
      </c>
      <c r="O58" s="30">
        <f t="shared" si="51"/>
        <v>10</v>
      </c>
      <c r="P58" s="30">
        <f t="shared" si="238"/>
        <v>0</v>
      </c>
      <c r="Q58" s="30">
        <f t="shared" ref="Q58" si="655">IF(P58=0,IF(VLOOKUP(Q$3,$A$3:$F$14,4,FALSE)&gt;=$G58,10,0),0)</f>
        <v>0</v>
      </c>
      <c r="R58" s="30">
        <f t="shared" si="53"/>
        <v>0</v>
      </c>
      <c r="S58" s="30">
        <f t="shared" si="54"/>
        <v>10</v>
      </c>
      <c r="T58" s="30">
        <f t="shared" si="240"/>
        <v>0</v>
      </c>
      <c r="U58" s="30">
        <f t="shared" ref="U58" si="656">IF(T58=0,IF(VLOOKUP(U$3,$A$3:$F$14,4,FALSE)&gt;=$G58,10,0),0)</f>
        <v>0</v>
      </c>
      <c r="V58" s="30">
        <f t="shared" si="56"/>
        <v>0</v>
      </c>
      <c r="W58" s="30">
        <f t="shared" si="57"/>
        <v>10</v>
      </c>
      <c r="X58" s="30">
        <f t="shared" si="242"/>
        <v>0</v>
      </c>
      <c r="Y58" s="30">
        <f t="shared" ref="Y58" si="657">IF(X58=0,IF(VLOOKUP(Y$3,$A$3:$F$14,4,FALSE)&gt;=$G58,10,0),0)</f>
        <v>0</v>
      </c>
      <c r="Z58" s="30">
        <f t="shared" si="59"/>
        <v>0</v>
      </c>
      <c r="AA58" s="30">
        <f t="shared" si="60"/>
        <v>10</v>
      </c>
      <c r="AB58" s="30">
        <f t="shared" si="244"/>
        <v>0</v>
      </c>
      <c r="AC58" s="30">
        <f t="shared" ref="AC58" si="658">IF(AB58=0,IF(VLOOKUP(AC$3,$A$3:$F$14,4,FALSE)&gt;=$G58,10,0),0)</f>
        <v>0</v>
      </c>
      <c r="AD58" s="30">
        <f t="shared" si="62"/>
        <v>0</v>
      </c>
      <c r="AE58" s="30">
        <f t="shared" si="63"/>
        <v>10</v>
      </c>
      <c r="AF58" s="30">
        <f t="shared" si="246"/>
        <v>0</v>
      </c>
      <c r="AG58" s="30">
        <f t="shared" ref="AG58" si="659">IF(AF58=0,IF(VLOOKUP(AG$3,$A$3:$F$14,4,FALSE)&gt;=$G58,10,0),0)</f>
        <v>0</v>
      </c>
      <c r="AH58" s="30">
        <f t="shared" si="65"/>
        <v>0</v>
      </c>
      <c r="AI58" s="30">
        <f t="shared" si="66"/>
        <v>10</v>
      </c>
      <c r="AJ58" s="30">
        <f t="shared" si="248"/>
        <v>0</v>
      </c>
      <c r="AK58" s="30">
        <f t="shared" ref="AK58" si="660">IF(AJ58=0,IF(VLOOKUP(AK$3,$A$3:$F$14,4,FALSE)&gt;=$G58,10,0),0)</f>
        <v>0</v>
      </c>
      <c r="AL58" s="30">
        <f t="shared" si="68"/>
        <v>0</v>
      </c>
      <c r="AM58" s="30">
        <f t="shared" si="69"/>
        <v>10</v>
      </c>
      <c r="AN58" s="30">
        <f t="shared" si="250"/>
        <v>0</v>
      </c>
      <c r="AO58" s="30">
        <f t="shared" ref="AO58" si="661">IF(AN58=0,IF(VLOOKUP(AO$3,$A$3:$F$14,4,FALSE)&gt;=$G58,10,0),0)</f>
        <v>0</v>
      </c>
      <c r="AP58" s="30">
        <f t="shared" si="71"/>
        <v>10</v>
      </c>
      <c r="AQ58" s="30">
        <f t="shared" si="72"/>
        <v>0</v>
      </c>
      <c r="AR58" s="30">
        <f t="shared" si="252"/>
        <v>0</v>
      </c>
      <c r="AS58" s="30">
        <f t="shared" ref="AS58" si="662">IF(AR58=0,IF(VLOOKUP(AS$3,$A$3:$F$14,4,FALSE)&gt;=$G58,10,0),0)</f>
        <v>0</v>
      </c>
      <c r="AT58" s="30">
        <f t="shared" si="74"/>
        <v>10</v>
      </c>
      <c r="AU58" s="30">
        <f t="shared" si="75"/>
        <v>0</v>
      </c>
      <c r="AV58" s="30">
        <f t="shared" si="254"/>
        <v>0</v>
      </c>
      <c r="AW58" s="30">
        <f t="shared" ref="AW58" si="663">IF(AV58=0,IF(VLOOKUP(AW$3,$A$3:$F$14,4,FALSE)&gt;=$G58,10,0),0)</f>
        <v>0</v>
      </c>
      <c r="AX58" s="30">
        <f t="shared" si="77"/>
        <v>10</v>
      </c>
      <c r="AY58" s="30">
        <f t="shared" si="78"/>
        <v>0</v>
      </c>
      <c r="AZ58" s="30">
        <f t="shared" si="256"/>
        <v>0</v>
      </c>
      <c r="BA58" s="30">
        <f t="shared" ref="BA58" si="664">IF(AZ58=0,IF(VLOOKUP(BA$3,$A$3:$F$14,4,FALSE)&gt;=$G58,10,0),0)</f>
        <v>0</v>
      </c>
      <c r="BB58" s="30">
        <f t="shared" si="80"/>
        <v>0</v>
      </c>
      <c r="BC58" s="30">
        <f t="shared" si="81"/>
        <v>10</v>
      </c>
    </row>
    <row r="59" spans="7:55" x14ac:dyDescent="0.2">
      <c r="G59" s="19">
        <v>55</v>
      </c>
      <c r="H59" s="21">
        <f t="shared" si="45"/>
        <v>0</v>
      </c>
      <c r="I59" s="28">
        <f t="shared" si="46"/>
        <v>0</v>
      </c>
      <c r="J59" s="28">
        <f t="shared" si="47"/>
        <v>0</v>
      </c>
      <c r="K59" s="30">
        <f t="shared" si="48"/>
        <v>10</v>
      </c>
      <c r="L59" s="30">
        <f t="shared" si="236"/>
        <v>0</v>
      </c>
      <c r="M59" s="30">
        <f t="shared" ref="M59" si="665">IF(L59=0,IF(VLOOKUP(M$3,$A$3:$F$14,4,FALSE)&gt;=$G59,10,0),0)</f>
        <v>0</v>
      </c>
      <c r="N59" s="30">
        <f t="shared" si="50"/>
        <v>0</v>
      </c>
      <c r="O59" s="30">
        <f t="shared" si="51"/>
        <v>10</v>
      </c>
      <c r="P59" s="30">
        <f t="shared" si="238"/>
        <v>0</v>
      </c>
      <c r="Q59" s="30">
        <f t="shared" ref="Q59" si="666">IF(P59=0,IF(VLOOKUP(Q$3,$A$3:$F$14,4,FALSE)&gt;=$G59,10,0),0)</f>
        <v>0</v>
      </c>
      <c r="R59" s="30">
        <f t="shared" si="53"/>
        <v>0</v>
      </c>
      <c r="S59" s="30">
        <f t="shared" si="54"/>
        <v>10</v>
      </c>
      <c r="T59" s="30">
        <f t="shared" si="240"/>
        <v>0</v>
      </c>
      <c r="U59" s="30">
        <f t="shared" ref="U59" si="667">IF(T59=0,IF(VLOOKUP(U$3,$A$3:$F$14,4,FALSE)&gt;=$G59,10,0),0)</f>
        <v>0</v>
      </c>
      <c r="V59" s="30">
        <f t="shared" si="56"/>
        <v>0</v>
      </c>
      <c r="W59" s="30">
        <f t="shared" si="57"/>
        <v>10</v>
      </c>
      <c r="X59" s="30">
        <f t="shared" si="242"/>
        <v>0</v>
      </c>
      <c r="Y59" s="30">
        <f t="shared" ref="Y59" si="668">IF(X59=0,IF(VLOOKUP(Y$3,$A$3:$F$14,4,FALSE)&gt;=$G59,10,0),0)</f>
        <v>0</v>
      </c>
      <c r="Z59" s="30">
        <f t="shared" si="59"/>
        <v>0</v>
      </c>
      <c r="AA59" s="30">
        <f t="shared" si="60"/>
        <v>10</v>
      </c>
      <c r="AB59" s="30">
        <f t="shared" si="244"/>
        <v>0</v>
      </c>
      <c r="AC59" s="30">
        <f t="shared" ref="AC59" si="669">IF(AB59=0,IF(VLOOKUP(AC$3,$A$3:$F$14,4,FALSE)&gt;=$G59,10,0),0)</f>
        <v>0</v>
      </c>
      <c r="AD59" s="30">
        <f t="shared" si="62"/>
        <v>0</v>
      </c>
      <c r="AE59" s="30">
        <f t="shared" si="63"/>
        <v>10</v>
      </c>
      <c r="AF59" s="30">
        <f t="shared" si="246"/>
        <v>0</v>
      </c>
      <c r="AG59" s="30">
        <f t="shared" ref="AG59" si="670">IF(AF59=0,IF(VLOOKUP(AG$3,$A$3:$F$14,4,FALSE)&gt;=$G59,10,0),0)</f>
        <v>0</v>
      </c>
      <c r="AH59" s="30">
        <f t="shared" si="65"/>
        <v>0</v>
      </c>
      <c r="AI59" s="30">
        <f t="shared" si="66"/>
        <v>10</v>
      </c>
      <c r="AJ59" s="30">
        <f t="shared" si="248"/>
        <v>0</v>
      </c>
      <c r="AK59" s="30">
        <f t="shared" ref="AK59" si="671">IF(AJ59=0,IF(VLOOKUP(AK$3,$A$3:$F$14,4,FALSE)&gt;=$G59,10,0),0)</f>
        <v>0</v>
      </c>
      <c r="AL59" s="30">
        <f t="shared" si="68"/>
        <v>0</v>
      </c>
      <c r="AM59" s="30">
        <f t="shared" si="69"/>
        <v>10</v>
      </c>
      <c r="AN59" s="30">
        <f t="shared" si="250"/>
        <v>0</v>
      </c>
      <c r="AO59" s="30">
        <f t="shared" ref="AO59" si="672">IF(AN59=0,IF(VLOOKUP(AO$3,$A$3:$F$14,4,FALSE)&gt;=$G59,10,0),0)</f>
        <v>0</v>
      </c>
      <c r="AP59" s="30">
        <f t="shared" si="71"/>
        <v>10</v>
      </c>
      <c r="AQ59" s="30">
        <f t="shared" si="72"/>
        <v>0</v>
      </c>
      <c r="AR59" s="30">
        <f t="shared" si="252"/>
        <v>0</v>
      </c>
      <c r="AS59" s="30">
        <f t="shared" ref="AS59" si="673">IF(AR59=0,IF(VLOOKUP(AS$3,$A$3:$F$14,4,FALSE)&gt;=$G59,10,0),0)</f>
        <v>0</v>
      </c>
      <c r="AT59" s="30">
        <f t="shared" si="74"/>
        <v>10</v>
      </c>
      <c r="AU59" s="30">
        <f t="shared" si="75"/>
        <v>0</v>
      </c>
      <c r="AV59" s="30">
        <f t="shared" si="254"/>
        <v>0</v>
      </c>
      <c r="AW59" s="30">
        <f t="shared" ref="AW59" si="674">IF(AV59=0,IF(VLOOKUP(AW$3,$A$3:$F$14,4,FALSE)&gt;=$G59,10,0),0)</f>
        <v>0</v>
      </c>
      <c r="AX59" s="30">
        <f t="shared" si="77"/>
        <v>10</v>
      </c>
      <c r="AY59" s="30">
        <f t="shared" si="78"/>
        <v>0</v>
      </c>
      <c r="AZ59" s="30">
        <f t="shared" si="256"/>
        <v>0</v>
      </c>
      <c r="BA59" s="30">
        <f t="shared" ref="BA59" si="675">IF(AZ59=0,IF(VLOOKUP(BA$3,$A$3:$F$14,4,FALSE)&gt;=$G59,10,0),0)</f>
        <v>0</v>
      </c>
      <c r="BB59" s="30">
        <f t="shared" si="80"/>
        <v>0</v>
      </c>
      <c r="BC59" s="30">
        <f t="shared" si="81"/>
        <v>10</v>
      </c>
    </row>
    <row r="60" spans="7:55" x14ac:dyDescent="0.2">
      <c r="G60" s="19">
        <v>56</v>
      </c>
      <c r="H60" s="21">
        <f t="shared" si="45"/>
        <v>0</v>
      </c>
      <c r="I60" s="28">
        <f t="shared" si="46"/>
        <v>0</v>
      </c>
      <c r="J60" s="28">
        <f t="shared" si="47"/>
        <v>0</v>
      </c>
      <c r="K60" s="30">
        <f t="shared" si="48"/>
        <v>10</v>
      </c>
      <c r="L60" s="30">
        <f t="shared" si="236"/>
        <v>0</v>
      </c>
      <c r="M60" s="30">
        <f t="shared" ref="M60" si="676">IF(L60=0,IF(VLOOKUP(M$3,$A$3:$F$14,4,FALSE)&gt;=$G60,10,0),0)</f>
        <v>0</v>
      </c>
      <c r="N60" s="30">
        <f t="shared" si="50"/>
        <v>0</v>
      </c>
      <c r="O60" s="30">
        <f t="shared" si="51"/>
        <v>10</v>
      </c>
      <c r="P60" s="30">
        <f t="shared" si="238"/>
        <v>0</v>
      </c>
      <c r="Q60" s="30">
        <f t="shared" ref="Q60" si="677">IF(P60=0,IF(VLOOKUP(Q$3,$A$3:$F$14,4,FALSE)&gt;=$G60,10,0),0)</f>
        <v>0</v>
      </c>
      <c r="R60" s="30">
        <f t="shared" si="53"/>
        <v>0</v>
      </c>
      <c r="S60" s="30">
        <f t="shared" si="54"/>
        <v>10</v>
      </c>
      <c r="T60" s="30">
        <f t="shared" si="240"/>
        <v>0</v>
      </c>
      <c r="U60" s="30">
        <f t="shared" ref="U60" si="678">IF(T60=0,IF(VLOOKUP(U$3,$A$3:$F$14,4,FALSE)&gt;=$G60,10,0),0)</f>
        <v>0</v>
      </c>
      <c r="V60" s="30">
        <f t="shared" si="56"/>
        <v>0</v>
      </c>
      <c r="W60" s="30">
        <f t="shared" si="57"/>
        <v>10</v>
      </c>
      <c r="X60" s="30">
        <f t="shared" si="242"/>
        <v>0</v>
      </c>
      <c r="Y60" s="30">
        <f t="shared" ref="Y60" si="679">IF(X60=0,IF(VLOOKUP(Y$3,$A$3:$F$14,4,FALSE)&gt;=$G60,10,0),0)</f>
        <v>0</v>
      </c>
      <c r="Z60" s="30">
        <f t="shared" si="59"/>
        <v>0</v>
      </c>
      <c r="AA60" s="30">
        <f t="shared" si="60"/>
        <v>10</v>
      </c>
      <c r="AB60" s="30">
        <f t="shared" si="244"/>
        <v>0</v>
      </c>
      <c r="AC60" s="30">
        <f t="shared" ref="AC60" si="680">IF(AB60=0,IF(VLOOKUP(AC$3,$A$3:$F$14,4,FALSE)&gt;=$G60,10,0),0)</f>
        <v>0</v>
      </c>
      <c r="AD60" s="30">
        <f t="shared" si="62"/>
        <v>0</v>
      </c>
      <c r="AE60" s="30">
        <f t="shared" si="63"/>
        <v>10</v>
      </c>
      <c r="AF60" s="30">
        <f t="shared" si="246"/>
        <v>0</v>
      </c>
      <c r="AG60" s="30">
        <f t="shared" ref="AG60" si="681">IF(AF60=0,IF(VLOOKUP(AG$3,$A$3:$F$14,4,FALSE)&gt;=$G60,10,0),0)</f>
        <v>0</v>
      </c>
      <c r="AH60" s="30">
        <f t="shared" si="65"/>
        <v>0</v>
      </c>
      <c r="AI60" s="30">
        <f t="shared" si="66"/>
        <v>10</v>
      </c>
      <c r="AJ60" s="30">
        <f t="shared" si="248"/>
        <v>0</v>
      </c>
      <c r="AK60" s="30">
        <f t="shared" ref="AK60" si="682">IF(AJ60=0,IF(VLOOKUP(AK$3,$A$3:$F$14,4,FALSE)&gt;=$G60,10,0),0)</f>
        <v>0</v>
      </c>
      <c r="AL60" s="30">
        <f t="shared" si="68"/>
        <v>0</v>
      </c>
      <c r="AM60" s="30">
        <f t="shared" si="69"/>
        <v>10</v>
      </c>
      <c r="AN60" s="30">
        <f t="shared" si="250"/>
        <v>0</v>
      </c>
      <c r="AO60" s="30">
        <f t="shared" ref="AO60" si="683">IF(AN60=0,IF(VLOOKUP(AO$3,$A$3:$F$14,4,FALSE)&gt;=$G60,10,0),0)</f>
        <v>0</v>
      </c>
      <c r="AP60" s="30">
        <f t="shared" si="71"/>
        <v>10</v>
      </c>
      <c r="AQ60" s="30">
        <f t="shared" si="72"/>
        <v>0</v>
      </c>
      <c r="AR60" s="30">
        <f t="shared" si="252"/>
        <v>0</v>
      </c>
      <c r="AS60" s="30">
        <f t="shared" ref="AS60" si="684">IF(AR60=0,IF(VLOOKUP(AS$3,$A$3:$F$14,4,FALSE)&gt;=$G60,10,0),0)</f>
        <v>0</v>
      </c>
      <c r="AT60" s="30">
        <f t="shared" si="74"/>
        <v>10</v>
      </c>
      <c r="AU60" s="30">
        <f t="shared" si="75"/>
        <v>0</v>
      </c>
      <c r="AV60" s="30">
        <f t="shared" si="254"/>
        <v>0</v>
      </c>
      <c r="AW60" s="30">
        <f t="shared" ref="AW60" si="685">IF(AV60=0,IF(VLOOKUP(AW$3,$A$3:$F$14,4,FALSE)&gt;=$G60,10,0),0)</f>
        <v>0</v>
      </c>
      <c r="AX60" s="30">
        <f t="shared" si="77"/>
        <v>10</v>
      </c>
      <c r="AY60" s="30">
        <f t="shared" si="78"/>
        <v>0</v>
      </c>
      <c r="AZ60" s="30">
        <f t="shared" si="256"/>
        <v>0</v>
      </c>
      <c r="BA60" s="30">
        <f t="shared" ref="BA60" si="686">IF(AZ60=0,IF(VLOOKUP(BA$3,$A$3:$F$14,4,FALSE)&gt;=$G60,10,0),0)</f>
        <v>0</v>
      </c>
      <c r="BB60" s="30">
        <f t="shared" si="80"/>
        <v>0</v>
      </c>
      <c r="BC60" s="30">
        <f t="shared" si="81"/>
        <v>10</v>
      </c>
    </row>
    <row r="61" spans="7:55" x14ac:dyDescent="0.2">
      <c r="G61" s="19">
        <v>57</v>
      </c>
      <c r="H61" s="21">
        <f t="shared" si="45"/>
        <v>0</v>
      </c>
      <c r="I61" s="28">
        <f t="shared" si="46"/>
        <v>0</v>
      </c>
      <c r="J61" s="28">
        <f t="shared" si="47"/>
        <v>0</v>
      </c>
      <c r="K61" s="30">
        <f t="shared" si="48"/>
        <v>10</v>
      </c>
      <c r="L61" s="30">
        <f t="shared" si="236"/>
        <v>0</v>
      </c>
      <c r="M61" s="30">
        <f t="shared" ref="M61" si="687">IF(L61=0,IF(VLOOKUP(M$3,$A$3:$F$14,4,FALSE)&gt;=$G61,10,0),0)</f>
        <v>0</v>
      </c>
      <c r="N61" s="30">
        <f t="shared" si="50"/>
        <v>0</v>
      </c>
      <c r="O61" s="30">
        <f t="shared" si="51"/>
        <v>10</v>
      </c>
      <c r="P61" s="30">
        <f t="shared" si="238"/>
        <v>0</v>
      </c>
      <c r="Q61" s="30">
        <f t="shared" ref="Q61" si="688">IF(P61=0,IF(VLOOKUP(Q$3,$A$3:$F$14,4,FALSE)&gt;=$G61,10,0),0)</f>
        <v>0</v>
      </c>
      <c r="R61" s="30">
        <f t="shared" si="53"/>
        <v>0</v>
      </c>
      <c r="S61" s="30">
        <f t="shared" si="54"/>
        <v>10</v>
      </c>
      <c r="T61" s="30">
        <f t="shared" si="240"/>
        <v>0</v>
      </c>
      <c r="U61" s="30">
        <f t="shared" ref="U61" si="689">IF(T61=0,IF(VLOOKUP(U$3,$A$3:$F$14,4,FALSE)&gt;=$G61,10,0),0)</f>
        <v>0</v>
      </c>
      <c r="V61" s="30">
        <f t="shared" si="56"/>
        <v>0</v>
      </c>
      <c r="W61" s="30">
        <f t="shared" si="57"/>
        <v>10</v>
      </c>
      <c r="X61" s="30">
        <f t="shared" si="242"/>
        <v>0</v>
      </c>
      <c r="Y61" s="30">
        <f t="shared" ref="Y61" si="690">IF(X61=0,IF(VLOOKUP(Y$3,$A$3:$F$14,4,FALSE)&gt;=$G61,10,0),0)</f>
        <v>0</v>
      </c>
      <c r="Z61" s="30">
        <f t="shared" si="59"/>
        <v>0</v>
      </c>
      <c r="AA61" s="30">
        <f t="shared" si="60"/>
        <v>10</v>
      </c>
      <c r="AB61" s="30">
        <f t="shared" si="244"/>
        <v>0</v>
      </c>
      <c r="AC61" s="30">
        <f t="shared" ref="AC61" si="691">IF(AB61=0,IF(VLOOKUP(AC$3,$A$3:$F$14,4,FALSE)&gt;=$G61,10,0),0)</f>
        <v>0</v>
      </c>
      <c r="AD61" s="30">
        <f t="shared" si="62"/>
        <v>0</v>
      </c>
      <c r="AE61" s="30">
        <f t="shared" si="63"/>
        <v>10</v>
      </c>
      <c r="AF61" s="30">
        <f t="shared" si="246"/>
        <v>0</v>
      </c>
      <c r="AG61" s="30">
        <f t="shared" ref="AG61" si="692">IF(AF61=0,IF(VLOOKUP(AG$3,$A$3:$F$14,4,FALSE)&gt;=$G61,10,0),0)</f>
        <v>0</v>
      </c>
      <c r="AH61" s="30">
        <f t="shared" si="65"/>
        <v>0</v>
      </c>
      <c r="AI61" s="30">
        <f t="shared" si="66"/>
        <v>10</v>
      </c>
      <c r="AJ61" s="30">
        <f t="shared" si="248"/>
        <v>0</v>
      </c>
      <c r="AK61" s="30">
        <f t="shared" ref="AK61" si="693">IF(AJ61=0,IF(VLOOKUP(AK$3,$A$3:$F$14,4,FALSE)&gt;=$G61,10,0),0)</f>
        <v>0</v>
      </c>
      <c r="AL61" s="30">
        <f t="shared" si="68"/>
        <v>0</v>
      </c>
      <c r="AM61" s="30">
        <f t="shared" si="69"/>
        <v>10</v>
      </c>
      <c r="AN61" s="30">
        <f t="shared" si="250"/>
        <v>0</v>
      </c>
      <c r="AO61" s="30">
        <f t="shared" ref="AO61" si="694">IF(AN61=0,IF(VLOOKUP(AO$3,$A$3:$F$14,4,FALSE)&gt;=$G61,10,0),0)</f>
        <v>0</v>
      </c>
      <c r="AP61" s="30">
        <f t="shared" si="71"/>
        <v>10</v>
      </c>
      <c r="AQ61" s="30">
        <f t="shared" si="72"/>
        <v>0</v>
      </c>
      <c r="AR61" s="30">
        <f t="shared" si="252"/>
        <v>0</v>
      </c>
      <c r="AS61" s="30">
        <f t="shared" ref="AS61" si="695">IF(AR61=0,IF(VLOOKUP(AS$3,$A$3:$F$14,4,FALSE)&gt;=$G61,10,0),0)</f>
        <v>0</v>
      </c>
      <c r="AT61" s="30">
        <f t="shared" si="74"/>
        <v>10</v>
      </c>
      <c r="AU61" s="30">
        <f t="shared" si="75"/>
        <v>0</v>
      </c>
      <c r="AV61" s="30">
        <f t="shared" si="254"/>
        <v>0</v>
      </c>
      <c r="AW61" s="30">
        <f t="shared" ref="AW61" si="696">IF(AV61=0,IF(VLOOKUP(AW$3,$A$3:$F$14,4,FALSE)&gt;=$G61,10,0),0)</f>
        <v>0</v>
      </c>
      <c r="AX61" s="30">
        <f t="shared" si="77"/>
        <v>10</v>
      </c>
      <c r="AY61" s="30">
        <f t="shared" si="78"/>
        <v>0</v>
      </c>
      <c r="AZ61" s="30">
        <f t="shared" si="256"/>
        <v>0</v>
      </c>
      <c r="BA61" s="30">
        <f t="shared" ref="BA61" si="697">IF(AZ61=0,IF(VLOOKUP(BA$3,$A$3:$F$14,4,FALSE)&gt;=$G61,10,0),0)</f>
        <v>0</v>
      </c>
      <c r="BB61" s="30">
        <f t="shared" si="80"/>
        <v>0</v>
      </c>
      <c r="BC61" s="30">
        <f t="shared" si="81"/>
        <v>10</v>
      </c>
    </row>
    <row r="62" spans="7:55" x14ac:dyDescent="0.2">
      <c r="G62" s="19">
        <v>58</v>
      </c>
      <c r="H62" s="21">
        <f t="shared" si="45"/>
        <v>0</v>
      </c>
      <c r="I62" s="28">
        <f t="shared" si="46"/>
        <v>0</v>
      </c>
      <c r="J62" s="28">
        <f t="shared" si="47"/>
        <v>0</v>
      </c>
      <c r="K62" s="30">
        <f t="shared" si="48"/>
        <v>10</v>
      </c>
      <c r="L62" s="30">
        <f t="shared" si="236"/>
        <v>0</v>
      </c>
      <c r="M62" s="30">
        <f t="shared" ref="M62" si="698">IF(L62=0,IF(VLOOKUP(M$3,$A$3:$F$14,4,FALSE)&gt;=$G62,10,0),0)</f>
        <v>0</v>
      </c>
      <c r="N62" s="30">
        <f t="shared" si="50"/>
        <v>0</v>
      </c>
      <c r="O62" s="30">
        <f t="shared" si="51"/>
        <v>10</v>
      </c>
      <c r="P62" s="30">
        <f t="shared" si="238"/>
        <v>0</v>
      </c>
      <c r="Q62" s="30">
        <f t="shared" ref="Q62" si="699">IF(P62=0,IF(VLOOKUP(Q$3,$A$3:$F$14,4,FALSE)&gt;=$G62,10,0),0)</f>
        <v>0</v>
      </c>
      <c r="R62" s="30">
        <f t="shared" si="53"/>
        <v>0</v>
      </c>
      <c r="S62" s="30">
        <f t="shared" si="54"/>
        <v>10</v>
      </c>
      <c r="T62" s="30">
        <f t="shared" si="240"/>
        <v>0</v>
      </c>
      <c r="U62" s="30">
        <f t="shared" ref="U62" si="700">IF(T62=0,IF(VLOOKUP(U$3,$A$3:$F$14,4,FALSE)&gt;=$G62,10,0),0)</f>
        <v>0</v>
      </c>
      <c r="V62" s="30">
        <f t="shared" si="56"/>
        <v>0</v>
      </c>
      <c r="W62" s="30">
        <f t="shared" si="57"/>
        <v>10</v>
      </c>
      <c r="X62" s="30">
        <f t="shared" si="242"/>
        <v>0</v>
      </c>
      <c r="Y62" s="30">
        <f t="shared" ref="Y62" si="701">IF(X62=0,IF(VLOOKUP(Y$3,$A$3:$F$14,4,FALSE)&gt;=$G62,10,0),0)</f>
        <v>0</v>
      </c>
      <c r="Z62" s="30">
        <f t="shared" si="59"/>
        <v>0</v>
      </c>
      <c r="AA62" s="30">
        <f t="shared" si="60"/>
        <v>10</v>
      </c>
      <c r="AB62" s="30">
        <f t="shared" si="244"/>
        <v>0</v>
      </c>
      <c r="AC62" s="30">
        <f t="shared" ref="AC62" si="702">IF(AB62=0,IF(VLOOKUP(AC$3,$A$3:$F$14,4,FALSE)&gt;=$G62,10,0),0)</f>
        <v>0</v>
      </c>
      <c r="AD62" s="30">
        <f t="shared" si="62"/>
        <v>0</v>
      </c>
      <c r="AE62" s="30">
        <f t="shared" si="63"/>
        <v>10</v>
      </c>
      <c r="AF62" s="30">
        <f t="shared" si="246"/>
        <v>0</v>
      </c>
      <c r="AG62" s="30">
        <f t="shared" ref="AG62" si="703">IF(AF62=0,IF(VLOOKUP(AG$3,$A$3:$F$14,4,FALSE)&gt;=$G62,10,0),0)</f>
        <v>0</v>
      </c>
      <c r="AH62" s="30">
        <f t="shared" si="65"/>
        <v>0</v>
      </c>
      <c r="AI62" s="30">
        <f t="shared" si="66"/>
        <v>10</v>
      </c>
      <c r="AJ62" s="30">
        <f t="shared" si="248"/>
        <v>0</v>
      </c>
      <c r="AK62" s="30">
        <f t="shared" ref="AK62" si="704">IF(AJ62=0,IF(VLOOKUP(AK$3,$A$3:$F$14,4,FALSE)&gt;=$G62,10,0),0)</f>
        <v>0</v>
      </c>
      <c r="AL62" s="30">
        <f t="shared" si="68"/>
        <v>0</v>
      </c>
      <c r="AM62" s="30">
        <f t="shared" si="69"/>
        <v>10</v>
      </c>
      <c r="AN62" s="30">
        <f t="shared" si="250"/>
        <v>0</v>
      </c>
      <c r="AO62" s="30">
        <f t="shared" ref="AO62" si="705">IF(AN62=0,IF(VLOOKUP(AO$3,$A$3:$F$14,4,FALSE)&gt;=$G62,10,0),0)</f>
        <v>0</v>
      </c>
      <c r="AP62" s="30">
        <f t="shared" si="71"/>
        <v>10</v>
      </c>
      <c r="AQ62" s="30">
        <f t="shared" si="72"/>
        <v>0</v>
      </c>
      <c r="AR62" s="30">
        <f t="shared" si="252"/>
        <v>0</v>
      </c>
      <c r="AS62" s="30">
        <f t="shared" ref="AS62" si="706">IF(AR62=0,IF(VLOOKUP(AS$3,$A$3:$F$14,4,FALSE)&gt;=$G62,10,0),0)</f>
        <v>0</v>
      </c>
      <c r="AT62" s="30">
        <f t="shared" si="74"/>
        <v>10</v>
      </c>
      <c r="AU62" s="30">
        <f t="shared" si="75"/>
        <v>0</v>
      </c>
      <c r="AV62" s="30">
        <f t="shared" si="254"/>
        <v>0</v>
      </c>
      <c r="AW62" s="30">
        <f t="shared" ref="AW62" si="707">IF(AV62=0,IF(VLOOKUP(AW$3,$A$3:$F$14,4,FALSE)&gt;=$G62,10,0),0)</f>
        <v>0</v>
      </c>
      <c r="AX62" s="30">
        <f t="shared" si="77"/>
        <v>10</v>
      </c>
      <c r="AY62" s="30">
        <f t="shared" si="78"/>
        <v>0</v>
      </c>
      <c r="AZ62" s="30">
        <f t="shared" si="256"/>
        <v>0</v>
      </c>
      <c r="BA62" s="30">
        <f t="shared" ref="BA62" si="708">IF(AZ62=0,IF(VLOOKUP(BA$3,$A$3:$F$14,4,FALSE)&gt;=$G62,10,0),0)</f>
        <v>0</v>
      </c>
      <c r="BB62" s="30">
        <f t="shared" si="80"/>
        <v>0</v>
      </c>
      <c r="BC62" s="30">
        <f t="shared" si="81"/>
        <v>10</v>
      </c>
    </row>
    <row r="63" spans="7:55" x14ac:dyDescent="0.2">
      <c r="G63" s="19">
        <v>59</v>
      </c>
      <c r="H63" s="21">
        <f t="shared" si="45"/>
        <v>0</v>
      </c>
      <c r="I63" s="28">
        <f t="shared" si="46"/>
        <v>0</v>
      </c>
      <c r="J63" s="28">
        <f t="shared" si="47"/>
        <v>0</v>
      </c>
      <c r="K63" s="30">
        <f t="shared" si="48"/>
        <v>10</v>
      </c>
      <c r="L63" s="30">
        <f t="shared" si="236"/>
        <v>0</v>
      </c>
      <c r="M63" s="30">
        <f t="shared" ref="M63" si="709">IF(L63=0,IF(VLOOKUP(M$3,$A$3:$F$14,4,FALSE)&gt;=$G63,10,0),0)</f>
        <v>0</v>
      </c>
      <c r="N63" s="30">
        <f t="shared" si="50"/>
        <v>0</v>
      </c>
      <c r="O63" s="30">
        <f t="shared" si="51"/>
        <v>10</v>
      </c>
      <c r="P63" s="30">
        <f t="shared" si="238"/>
        <v>0</v>
      </c>
      <c r="Q63" s="30">
        <f t="shared" ref="Q63" si="710">IF(P63=0,IF(VLOOKUP(Q$3,$A$3:$F$14,4,FALSE)&gt;=$G63,10,0),0)</f>
        <v>0</v>
      </c>
      <c r="R63" s="30">
        <f t="shared" si="53"/>
        <v>0</v>
      </c>
      <c r="S63" s="30">
        <f t="shared" si="54"/>
        <v>10</v>
      </c>
      <c r="T63" s="30">
        <f t="shared" si="240"/>
        <v>0</v>
      </c>
      <c r="U63" s="30">
        <f t="shared" ref="U63" si="711">IF(T63=0,IF(VLOOKUP(U$3,$A$3:$F$14,4,FALSE)&gt;=$G63,10,0),0)</f>
        <v>0</v>
      </c>
      <c r="V63" s="30">
        <f t="shared" si="56"/>
        <v>0</v>
      </c>
      <c r="W63" s="30">
        <f t="shared" si="57"/>
        <v>10</v>
      </c>
      <c r="X63" s="30">
        <f t="shared" si="242"/>
        <v>0</v>
      </c>
      <c r="Y63" s="30">
        <f t="shared" ref="Y63" si="712">IF(X63=0,IF(VLOOKUP(Y$3,$A$3:$F$14,4,FALSE)&gt;=$G63,10,0),0)</f>
        <v>0</v>
      </c>
      <c r="Z63" s="30">
        <f t="shared" si="59"/>
        <v>0</v>
      </c>
      <c r="AA63" s="30">
        <f t="shared" si="60"/>
        <v>10</v>
      </c>
      <c r="AB63" s="30">
        <f t="shared" si="244"/>
        <v>0</v>
      </c>
      <c r="AC63" s="30">
        <f t="shared" ref="AC63" si="713">IF(AB63=0,IF(VLOOKUP(AC$3,$A$3:$F$14,4,FALSE)&gt;=$G63,10,0),0)</f>
        <v>0</v>
      </c>
      <c r="AD63" s="30">
        <f t="shared" si="62"/>
        <v>0</v>
      </c>
      <c r="AE63" s="30">
        <f t="shared" si="63"/>
        <v>10</v>
      </c>
      <c r="AF63" s="30">
        <f t="shared" si="246"/>
        <v>0</v>
      </c>
      <c r="AG63" s="30">
        <f t="shared" ref="AG63" si="714">IF(AF63=0,IF(VLOOKUP(AG$3,$A$3:$F$14,4,FALSE)&gt;=$G63,10,0),0)</f>
        <v>0</v>
      </c>
      <c r="AH63" s="30">
        <f t="shared" si="65"/>
        <v>0</v>
      </c>
      <c r="AI63" s="30">
        <f t="shared" si="66"/>
        <v>10</v>
      </c>
      <c r="AJ63" s="30">
        <f t="shared" si="248"/>
        <v>0</v>
      </c>
      <c r="AK63" s="30">
        <f t="shared" ref="AK63" si="715">IF(AJ63=0,IF(VLOOKUP(AK$3,$A$3:$F$14,4,FALSE)&gt;=$G63,10,0),0)</f>
        <v>0</v>
      </c>
      <c r="AL63" s="30">
        <f t="shared" si="68"/>
        <v>0</v>
      </c>
      <c r="AM63" s="30">
        <f t="shared" si="69"/>
        <v>10</v>
      </c>
      <c r="AN63" s="30">
        <f t="shared" si="250"/>
        <v>0</v>
      </c>
      <c r="AO63" s="30">
        <f t="shared" ref="AO63" si="716">IF(AN63=0,IF(VLOOKUP(AO$3,$A$3:$F$14,4,FALSE)&gt;=$G63,10,0),0)</f>
        <v>0</v>
      </c>
      <c r="AP63" s="30">
        <f t="shared" si="71"/>
        <v>10</v>
      </c>
      <c r="AQ63" s="30">
        <f t="shared" si="72"/>
        <v>0</v>
      </c>
      <c r="AR63" s="30">
        <f t="shared" si="252"/>
        <v>0</v>
      </c>
      <c r="AS63" s="30">
        <f t="shared" ref="AS63" si="717">IF(AR63=0,IF(VLOOKUP(AS$3,$A$3:$F$14,4,FALSE)&gt;=$G63,10,0),0)</f>
        <v>0</v>
      </c>
      <c r="AT63" s="30">
        <f t="shared" si="74"/>
        <v>10</v>
      </c>
      <c r="AU63" s="30">
        <f t="shared" si="75"/>
        <v>0</v>
      </c>
      <c r="AV63" s="30">
        <f t="shared" si="254"/>
        <v>0</v>
      </c>
      <c r="AW63" s="30">
        <f t="shared" ref="AW63" si="718">IF(AV63=0,IF(VLOOKUP(AW$3,$A$3:$F$14,4,FALSE)&gt;=$G63,10,0),0)</f>
        <v>0</v>
      </c>
      <c r="AX63" s="30">
        <f t="shared" si="77"/>
        <v>10</v>
      </c>
      <c r="AY63" s="30">
        <f t="shared" si="78"/>
        <v>0</v>
      </c>
      <c r="AZ63" s="30">
        <f t="shared" si="256"/>
        <v>0</v>
      </c>
      <c r="BA63" s="30">
        <f t="shared" ref="BA63" si="719">IF(AZ63=0,IF(VLOOKUP(BA$3,$A$3:$F$14,4,FALSE)&gt;=$G63,10,0),0)</f>
        <v>0</v>
      </c>
      <c r="BB63" s="30">
        <f t="shared" si="80"/>
        <v>0</v>
      </c>
      <c r="BC63" s="30">
        <f t="shared" si="81"/>
        <v>10</v>
      </c>
    </row>
    <row r="64" spans="7:55" x14ac:dyDescent="0.2">
      <c r="G64" s="19">
        <v>60</v>
      </c>
      <c r="H64" s="21">
        <f t="shared" si="45"/>
        <v>0</v>
      </c>
      <c r="I64" s="28">
        <f t="shared" si="46"/>
        <v>0</v>
      </c>
      <c r="J64" s="28">
        <f t="shared" si="47"/>
        <v>0</v>
      </c>
      <c r="K64" s="30">
        <f t="shared" si="48"/>
        <v>10</v>
      </c>
      <c r="L64" s="30">
        <f t="shared" si="236"/>
        <v>0</v>
      </c>
      <c r="M64" s="30">
        <f t="shared" ref="M64" si="720">IF(L64=0,IF(VLOOKUP(M$3,$A$3:$F$14,4,FALSE)&gt;=$G64,10,0),0)</f>
        <v>0</v>
      </c>
      <c r="N64" s="30">
        <f t="shared" si="50"/>
        <v>0</v>
      </c>
      <c r="O64" s="30">
        <f t="shared" si="51"/>
        <v>10</v>
      </c>
      <c r="P64" s="30">
        <f t="shared" si="238"/>
        <v>0</v>
      </c>
      <c r="Q64" s="30">
        <f t="shared" ref="Q64" si="721">IF(P64=0,IF(VLOOKUP(Q$3,$A$3:$F$14,4,FALSE)&gt;=$G64,10,0),0)</f>
        <v>0</v>
      </c>
      <c r="R64" s="30">
        <f t="shared" si="53"/>
        <v>0</v>
      </c>
      <c r="S64" s="30">
        <f t="shared" si="54"/>
        <v>10</v>
      </c>
      <c r="T64" s="30">
        <f t="shared" si="240"/>
        <v>0</v>
      </c>
      <c r="U64" s="30">
        <f t="shared" ref="U64" si="722">IF(T64=0,IF(VLOOKUP(U$3,$A$3:$F$14,4,FALSE)&gt;=$G64,10,0),0)</f>
        <v>0</v>
      </c>
      <c r="V64" s="30">
        <f t="shared" si="56"/>
        <v>0</v>
      </c>
      <c r="W64" s="30">
        <f t="shared" si="57"/>
        <v>10</v>
      </c>
      <c r="X64" s="30">
        <f t="shared" si="242"/>
        <v>0</v>
      </c>
      <c r="Y64" s="30">
        <f t="shared" ref="Y64" si="723">IF(X64=0,IF(VLOOKUP(Y$3,$A$3:$F$14,4,FALSE)&gt;=$G64,10,0),0)</f>
        <v>0</v>
      </c>
      <c r="Z64" s="30">
        <f t="shared" si="59"/>
        <v>0</v>
      </c>
      <c r="AA64" s="30">
        <f t="shared" si="60"/>
        <v>10</v>
      </c>
      <c r="AB64" s="30">
        <f t="shared" si="244"/>
        <v>0</v>
      </c>
      <c r="AC64" s="30">
        <f t="shared" ref="AC64" si="724">IF(AB64=0,IF(VLOOKUP(AC$3,$A$3:$F$14,4,FALSE)&gt;=$G64,10,0),0)</f>
        <v>0</v>
      </c>
      <c r="AD64" s="30">
        <f t="shared" si="62"/>
        <v>0</v>
      </c>
      <c r="AE64" s="30">
        <f t="shared" si="63"/>
        <v>10</v>
      </c>
      <c r="AF64" s="30">
        <f t="shared" si="246"/>
        <v>0</v>
      </c>
      <c r="AG64" s="30">
        <f t="shared" ref="AG64" si="725">IF(AF64=0,IF(VLOOKUP(AG$3,$A$3:$F$14,4,FALSE)&gt;=$G64,10,0),0)</f>
        <v>0</v>
      </c>
      <c r="AH64" s="30">
        <f t="shared" si="65"/>
        <v>0</v>
      </c>
      <c r="AI64" s="30">
        <f t="shared" si="66"/>
        <v>10</v>
      </c>
      <c r="AJ64" s="30">
        <f t="shared" si="248"/>
        <v>0</v>
      </c>
      <c r="AK64" s="30">
        <f t="shared" ref="AK64" si="726">IF(AJ64=0,IF(VLOOKUP(AK$3,$A$3:$F$14,4,FALSE)&gt;=$G64,10,0),0)</f>
        <v>0</v>
      </c>
      <c r="AL64" s="30">
        <f t="shared" si="68"/>
        <v>0</v>
      </c>
      <c r="AM64" s="30">
        <f t="shared" si="69"/>
        <v>10</v>
      </c>
      <c r="AN64" s="30">
        <f t="shared" si="250"/>
        <v>0</v>
      </c>
      <c r="AO64" s="30">
        <f t="shared" ref="AO64" si="727">IF(AN64=0,IF(VLOOKUP(AO$3,$A$3:$F$14,4,FALSE)&gt;=$G64,10,0),0)</f>
        <v>0</v>
      </c>
      <c r="AP64" s="30">
        <f t="shared" si="71"/>
        <v>10</v>
      </c>
      <c r="AQ64" s="30">
        <f t="shared" si="72"/>
        <v>0</v>
      </c>
      <c r="AR64" s="30">
        <f t="shared" si="252"/>
        <v>0</v>
      </c>
      <c r="AS64" s="30">
        <f t="shared" ref="AS64" si="728">IF(AR64=0,IF(VLOOKUP(AS$3,$A$3:$F$14,4,FALSE)&gt;=$G64,10,0),0)</f>
        <v>0</v>
      </c>
      <c r="AT64" s="30">
        <f t="shared" si="74"/>
        <v>10</v>
      </c>
      <c r="AU64" s="30">
        <f t="shared" si="75"/>
        <v>0</v>
      </c>
      <c r="AV64" s="30">
        <f t="shared" si="254"/>
        <v>0</v>
      </c>
      <c r="AW64" s="30">
        <f t="shared" ref="AW64" si="729">IF(AV64=0,IF(VLOOKUP(AW$3,$A$3:$F$14,4,FALSE)&gt;=$G64,10,0),0)</f>
        <v>0</v>
      </c>
      <c r="AX64" s="30">
        <f t="shared" si="77"/>
        <v>10</v>
      </c>
      <c r="AY64" s="30">
        <f t="shared" si="78"/>
        <v>0</v>
      </c>
      <c r="AZ64" s="30">
        <f t="shared" si="256"/>
        <v>0</v>
      </c>
      <c r="BA64" s="30">
        <f t="shared" ref="BA64" si="730">IF(AZ64=0,IF(VLOOKUP(BA$3,$A$3:$F$14,4,FALSE)&gt;=$G64,10,0),0)</f>
        <v>0</v>
      </c>
      <c r="BB64" s="30">
        <f t="shared" si="80"/>
        <v>0</v>
      </c>
      <c r="BC64" s="30">
        <f t="shared" si="81"/>
        <v>10</v>
      </c>
    </row>
    <row r="65" spans="7:55" x14ac:dyDescent="0.2">
      <c r="G65" s="19">
        <v>61</v>
      </c>
      <c r="H65" s="21">
        <f t="shared" si="45"/>
        <v>0</v>
      </c>
      <c r="I65" s="28">
        <f t="shared" si="46"/>
        <v>0</v>
      </c>
      <c r="J65" s="28">
        <f t="shared" si="47"/>
        <v>0</v>
      </c>
      <c r="K65" s="30">
        <f t="shared" si="48"/>
        <v>10</v>
      </c>
      <c r="L65" s="30">
        <f t="shared" si="236"/>
        <v>0</v>
      </c>
      <c r="M65" s="30">
        <f t="shared" ref="M65" si="731">IF(L65=0,IF(VLOOKUP(M$3,$A$3:$F$14,4,FALSE)&gt;=$G65,10,0),0)</f>
        <v>0</v>
      </c>
      <c r="N65" s="30">
        <f t="shared" si="50"/>
        <v>0</v>
      </c>
      <c r="O65" s="30">
        <f t="shared" si="51"/>
        <v>10</v>
      </c>
      <c r="P65" s="30">
        <f t="shared" si="238"/>
        <v>0</v>
      </c>
      <c r="Q65" s="30">
        <f t="shared" ref="Q65" si="732">IF(P65=0,IF(VLOOKUP(Q$3,$A$3:$F$14,4,FALSE)&gt;=$G65,10,0),0)</f>
        <v>0</v>
      </c>
      <c r="R65" s="30">
        <f t="shared" si="53"/>
        <v>0</v>
      </c>
      <c r="S65" s="30">
        <f t="shared" si="54"/>
        <v>10</v>
      </c>
      <c r="T65" s="30">
        <f t="shared" si="240"/>
        <v>0</v>
      </c>
      <c r="U65" s="30">
        <f t="shared" ref="U65" si="733">IF(T65=0,IF(VLOOKUP(U$3,$A$3:$F$14,4,FALSE)&gt;=$G65,10,0),0)</f>
        <v>0</v>
      </c>
      <c r="V65" s="30">
        <f t="shared" si="56"/>
        <v>0</v>
      </c>
      <c r="W65" s="30">
        <f t="shared" si="57"/>
        <v>10</v>
      </c>
      <c r="X65" s="30">
        <f t="shared" si="242"/>
        <v>0</v>
      </c>
      <c r="Y65" s="30">
        <f t="shared" ref="Y65" si="734">IF(X65=0,IF(VLOOKUP(Y$3,$A$3:$F$14,4,FALSE)&gt;=$G65,10,0),0)</f>
        <v>0</v>
      </c>
      <c r="Z65" s="30">
        <f t="shared" si="59"/>
        <v>0</v>
      </c>
      <c r="AA65" s="30">
        <f t="shared" si="60"/>
        <v>10</v>
      </c>
      <c r="AB65" s="30">
        <f t="shared" si="244"/>
        <v>0</v>
      </c>
      <c r="AC65" s="30">
        <f t="shared" ref="AC65" si="735">IF(AB65=0,IF(VLOOKUP(AC$3,$A$3:$F$14,4,FALSE)&gt;=$G65,10,0),0)</f>
        <v>0</v>
      </c>
      <c r="AD65" s="30">
        <f t="shared" si="62"/>
        <v>0</v>
      </c>
      <c r="AE65" s="30">
        <f t="shared" si="63"/>
        <v>10</v>
      </c>
      <c r="AF65" s="30">
        <f t="shared" si="246"/>
        <v>0</v>
      </c>
      <c r="AG65" s="30">
        <f t="shared" ref="AG65" si="736">IF(AF65=0,IF(VLOOKUP(AG$3,$A$3:$F$14,4,FALSE)&gt;=$G65,10,0),0)</f>
        <v>0</v>
      </c>
      <c r="AH65" s="30">
        <f t="shared" si="65"/>
        <v>0</v>
      </c>
      <c r="AI65" s="30">
        <f t="shared" si="66"/>
        <v>10</v>
      </c>
      <c r="AJ65" s="30">
        <f t="shared" si="248"/>
        <v>0</v>
      </c>
      <c r="AK65" s="30">
        <f t="shared" ref="AK65" si="737">IF(AJ65=0,IF(VLOOKUP(AK$3,$A$3:$F$14,4,FALSE)&gt;=$G65,10,0),0)</f>
        <v>0</v>
      </c>
      <c r="AL65" s="30">
        <f t="shared" si="68"/>
        <v>0</v>
      </c>
      <c r="AM65" s="30">
        <f t="shared" si="69"/>
        <v>10</v>
      </c>
      <c r="AN65" s="30">
        <f t="shared" si="250"/>
        <v>0</v>
      </c>
      <c r="AO65" s="30">
        <f t="shared" ref="AO65" si="738">IF(AN65=0,IF(VLOOKUP(AO$3,$A$3:$F$14,4,FALSE)&gt;=$G65,10,0),0)</f>
        <v>0</v>
      </c>
      <c r="AP65" s="30">
        <f t="shared" si="71"/>
        <v>10</v>
      </c>
      <c r="AQ65" s="30">
        <f t="shared" si="72"/>
        <v>0</v>
      </c>
      <c r="AR65" s="30">
        <f t="shared" si="252"/>
        <v>0</v>
      </c>
      <c r="AS65" s="30">
        <f t="shared" ref="AS65" si="739">IF(AR65=0,IF(VLOOKUP(AS$3,$A$3:$F$14,4,FALSE)&gt;=$G65,10,0),0)</f>
        <v>0</v>
      </c>
      <c r="AT65" s="30">
        <f t="shared" si="74"/>
        <v>10</v>
      </c>
      <c r="AU65" s="30">
        <f t="shared" si="75"/>
        <v>0</v>
      </c>
      <c r="AV65" s="30">
        <f t="shared" si="254"/>
        <v>0</v>
      </c>
      <c r="AW65" s="30">
        <f t="shared" ref="AW65" si="740">IF(AV65=0,IF(VLOOKUP(AW$3,$A$3:$F$14,4,FALSE)&gt;=$G65,10,0),0)</f>
        <v>0</v>
      </c>
      <c r="AX65" s="30">
        <f t="shared" si="77"/>
        <v>10</v>
      </c>
      <c r="AY65" s="30">
        <f t="shared" si="78"/>
        <v>0</v>
      </c>
      <c r="AZ65" s="30">
        <f t="shared" si="256"/>
        <v>0</v>
      </c>
      <c r="BA65" s="30">
        <f t="shared" ref="BA65" si="741">IF(AZ65=0,IF(VLOOKUP(BA$3,$A$3:$F$14,4,FALSE)&gt;=$G65,10,0),0)</f>
        <v>0</v>
      </c>
      <c r="BB65" s="30">
        <f t="shared" si="80"/>
        <v>0</v>
      </c>
      <c r="BC65" s="30">
        <f t="shared" si="81"/>
        <v>10</v>
      </c>
    </row>
    <row r="66" spans="7:55" x14ac:dyDescent="0.2">
      <c r="G66" s="19">
        <v>62</v>
      </c>
      <c r="H66" s="21">
        <f t="shared" si="45"/>
        <v>0</v>
      </c>
      <c r="I66" s="28">
        <f t="shared" si="46"/>
        <v>0</v>
      </c>
      <c r="J66" s="28">
        <f t="shared" si="47"/>
        <v>0</v>
      </c>
      <c r="K66" s="30">
        <f t="shared" si="48"/>
        <v>10</v>
      </c>
      <c r="L66" s="30">
        <f t="shared" si="236"/>
        <v>0</v>
      </c>
      <c r="M66" s="30">
        <f t="shared" ref="M66" si="742">IF(L66=0,IF(VLOOKUP(M$3,$A$3:$F$14,4,FALSE)&gt;=$G66,10,0),0)</f>
        <v>0</v>
      </c>
      <c r="N66" s="30">
        <f t="shared" si="50"/>
        <v>0</v>
      </c>
      <c r="O66" s="30">
        <f t="shared" si="51"/>
        <v>10</v>
      </c>
      <c r="P66" s="30">
        <f t="shared" si="238"/>
        <v>0</v>
      </c>
      <c r="Q66" s="30">
        <f t="shared" ref="Q66" si="743">IF(P66=0,IF(VLOOKUP(Q$3,$A$3:$F$14,4,FALSE)&gt;=$G66,10,0),0)</f>
        <v>0</v>
      </c>
      <c r="R66" s="30">
        <f t="shared" si="53"/>
        <v>0</v>
      </c>
      <c r="S66" s="30">
        <f t="shared" si="54"/>
        <v>10</v>
      </c>
      <c r="T66" s="30">
        <f t="shared" si="240"/>
        <v>0</v>
      </c>
      <c r="U66" s="30">
        <f t="shared" ref="U66" si="744">IF(T66=0,IF(VLOOKUP(U$3,$A$3:$F$14,4,FALSE)&gt;=$G66,10,0),0)</f>
        <v>0</v>
      </c>
      <c r="V66" s="30">
        <f t="shared" si="56"/>
        <v>0</v>
      </c>
      <c r="W66" s="30">
        <f t="shared" si="57"/>
        <v>10</v>
      </c>
      <c r="X66" s="30">
        <f t="shared" si="242"/>
        <v>0</v>
      </c>
      <c r="Y66" s="30">
        <f t="shared" ref="Y66" si="745">IF(X66=0,IF(VLOOKUP(Y$3,$A$3:$F$14,4,FALSE)&gt;=$G66,10,0),0)</f>
        <v>0</v>
      </c>
      <c r="Z66" s="30">
        <f t="shared" si="59"/>
        <v>0</v>
      </c>
      <c r="AA66" s="30">
        <f t="shared" si="60"/>
        <v>10</v>
      </c>
      <c r="AB66" s="30">
        <f t="shared" si="244"/>
        <v>0</v>
      </c>
      <c r="AC66" s="30">
        <f t="shared" ref="AC66" si="746">IF(AB66=0,IF(VLOOKUP(AC$3,$A$3:$F$14,4,FALSE)&gt;=$G66,10,0),0)</f>
        <v>0</v>
      </c>
      <c r="AD66" s="30">
        <f t="shared" si="62"/>
        <v>0</v>
      </c>
      <c r="AE66" s="30">
        <f t="shared" si="63"/>
        <v>10</v>
      </c>
      <c r="AF66" s="30">
        <f t="shared" si="246"/>
        <v>0</v>
      </c>
      <c r="AG66" s="30">
        <f t="shared" ref="AG66" si="747">IF(AF66=0,IF(VLOOKUP(AG$3,$A$3:$F$14,4,FALSE)&gt;=$G66,10,0),0)</f>
        <v>0</v>
      </c>
      <c r="AH66" s="30">
        <f t="shared" si="65"/>
        <v>0</v>
      </c>
      <c r="AI66" s="30">
        <f t="shared" si="66"/>
        <v>10</v>
      </c>
      <c r="AJ66" s="30">
        <f t="shared" si="248"/>
        <v>0</v>
      </c>
      <c r="AK66" s="30">
        <f t="shared" ref="AK66" si="748">IF(AJ66=0,IF(VLOOKUP(AK$3,$A$3:$F$14,4,FALSE)&gt;=$G66,10,0),0)</f>
        <v>0</v>
      </c>
      <c r="AL66" s="30">
        <f t="shared" si="68"/>
        <v>0</v>
      </c>
      <c r="AM66" s="30">
        <f t="shared" si="69"/>
        <v>10</v>
      </c>
      <c r="AN66" s="30">
        <f t="shared" si="250"/>
        <v>0</v>
      </c>
      <c r="AO66" s="30">
        <f t="shared" ref="AO66" si="749">IF(AN66=0,IF(VLOOKUP(AO$3,$A$3:$F$14,4,FALSE)&gt;=$G66,10,0),0)</f>
        <v>0</v>
      </c>
      <c r="AP66" s="30">
        <f t="shared" si="71"/>
        <v>10</v>
      </c>
      <c r="AQ66" s="30">
        <f t="shared" si="72"/>
        <v>0</v>
      </c>
      <c r="AR66" s="30">
        <f t="shared" si="252"/>
        <v>0</v>
      </c>
      <c r="AS66" s="30">
        <f t="shared" ref="AS66" si="750">IF(AR66=0,IF(VLOOKUP(AS$3,$A$3:$F$14,4,FALSE)&gt;=$G66,10,0),0)</f>
        <v>0</v>
      </c>
      <c r="AT66" s="30">
        <f t="shared" si="74"/>
        <v>10</v>
      </c>
      <c r="AU66" s="30">
        <f t="shared" si="75"/>
        <v>0</v>
      </c>
      <c r="AV66" s="30">
        <f t="shared" si="254"/>
        <v>0</v>
      </c>
      <c r="AW66" s="30">
        <f t="shared" ref="AW66" si="751">IF(AV66=0,IF(VLOOKUP(AW$3,$A$3:$F$14,4,FALSE)&gt;=$G66,10,0),0)</f>
        <v>0</v>
      </c>
      <c r="AX66" s="30">
        <f t="shared" si="77"/>
        <v>10</v>
      </c>
      <c r="AY66" s="30">
        <f t="shared" si="78"/>
        <v>0</v>
      </c>
      <c r="AZ66" s="30">
        <f t="shared" si="256"/>
        <v>0</v>
      </c>
      <c r="BA66" s="30">
        <f t="shared" ref="BA66" si="752">IF(AZ66=0,IF(VLOOKUP(BA$3,$A$3:$F$14,4,FALSE)&gt;=$G66,10,0),0)</f>
        <v>0</v>
      </c>
      <c r="BB66" s="30">
        <f t="shared" si="80"/>
        <v>0</v>
      </c>
      <c r="BC66" s="30">
        <f t="shared" si="81"/>
        <v>10</v>
      </c>
    </row>
    <row r="67" spans="7:55" x14ac:dyDescent="0.2">
      <c r="G67" s="19">
        <v>63</v>
      </c>
      <c r="H67" s="21">
        <f t="shared" si="45"/>
        <v>0</v>
      </c>
      <c r="I67" s="28">
        <f t="shared" si="46"/>
        <v>0</v>
      </c>
      <c r="J67" s="28">
        <f t="shared" si="47"/>
        <v>0</v>
      </c>
      <c r="K67" s="30">
        <f t="shared" si="48"/>
        <v>10</v>
      </c>
      <c r="L67" s="30">
        <f t="shared" si="236"/>
        <v>0</v>
      </c>
      <c r="M67" s="30">
        <f t="shared" ref="M67" si="753">IF(L67=0,IF(VLOOKUP(M$3,$A$3:$F$14,4,FALSE)&gt;=$G67,10,0),0)</f>
        <v>0</v>
      </c>
      <c r="N67" s="30">
        <f t="shared" si="50"/>
        <v>0</v>
      </c>
      <c r="O67" s="30">
        <f t="shared" si="51"/>
        <v>10</v>
      </c>
      <c r="P67" s="30">
        <f t="shared" si="238"/>
        <v>0</v>
      </c>
      <c r="Q67" s="30">
        <f t="shared" ref="Q67" si="754">IF(P67=0,IF(VLOOKUP(Q$3,$A$3:$F$14,4,FALSE)&gt;=$G67,10,0),0)</f>
        <v>0</v>
      </c>
      <c r="R67" s="30">
        <f t="shared" si="53"/>
        <v>0</v>
      </c>
      <c r="S67" s="30">
        <f t="shared" si="54"/>
        <v>10</v>
      </c>
      <c r="T67" s="30">
        <f t="shared" si="240"/>
        <v>0</v>
      </c>
      <c r="U67" s="30">
        <f t="shared" ref="U67" si="755">IF(T67=0,IF(VLOOKUP(U$3,$A$3:$F$14,4,FALSE)&gt;=$G67,10,0),0)</f>
        <v>0</v>
      </c>
      <c r="V67" s="30">
        <f t="shared" si="56"/>
        <v>0</v>
      </c>
      <c r="W67" s="30">
        <f t="shared" si="57"/>
        <v>10</v>
      </c>
      <c r="X67" s="30">
        <f t="shared" si="242"/>
        <v>0</v>
      </c>
      <c r="Y67" s="30">
        <f t="shared" ref="Y67" si="756">IF(X67=0,IF(VLOOKUP(Y$3,$A$3:$F$14,4,FALSE)&gt;=$G67,10,0),0)</f>
        <v>0</v>
      </c>
      <c r="Z67" s="30">
        <f t="shared" si="59"/>
        <v>0</v>
      </c>
      <c r="AA67" s="30">
        <f t="shared" si="60"/>
        <v>10</v>
      </c>
      <c r="AB67" s="30">
        <f t="shared" si="244"/>
        <v>0</v>
      </c>
      <c r="AC67" s="30">
        <f t="shared" ref="AC67" si="757">IF(AB67=0,IF(VLOOKUP(AC$3,$A$3:$F$14,4,FALSE)&gt;=$G67,10,0),0)</f>
        <v>0</v>
      </c>
      <c r="AD67" s="30">
        <f t="shared" si="62"/>
        <v>0</v>
      </c>
      <c r="AE67" s="30">
        <f t="shared" si="63"/>
        <v>10</v>
      </c>
      <c r="AF67" s="30">
        <f t="shared" si="246"/>
        <v>0</v>
      </c>
      <c r="AG67" s="30">
        <f t="shared" ref="AG67" si="758">IF(AF67=0,IF(VLOOKUP(AG$3,$A$3:$F$14,4,FALSE)&gt;=$G67,10,0),0)</f>
        <v>0</v>
      </c>
      <c r="AH67" s="30">
        <f t="shared" si="65"/>
        <v>0</v>
      </c>
      <c r="AI67" s="30">
        <f t="shared" si="66"/>
        <v>10</v>
      </c>
      <c r="AJ67" s="30">
        <f t="shared" si="248"/>
        <v>0</v>
      </c>
      <c r="AK67" s="30">
        <f t="shared" ref="AK67" si="759">IF(AJ67=0,IF(VLOOKUP(AK$3,$A$3:$F$14,4,FALSE)&gt;=$G67,10,0),0)</f>
        <v>0</v>
      </c>
      <c r="AL67" s="30">
        <f t="shared" si="68"/>
        <v>0</v>
      </c>
      <c r="AM67" s="30">
        <f t="shared" si="69"/>
        <v>10</v>
      </c>
      <c r="AN67" s="30">
        <f t="shared" si="250"/>
        <v>0</v>
      </c>
      <c r="AO67" s="30">
        <f t="shared" ref="AO67" si="760">IF(AN67=0,IF(VLOOKUP(AO$3,$A$3:$F$14,4,FALSE)&gt;=$G67,10,0),0)</f>
        <v>0</v>
      </c>
      <c r="AP67" s="30">
        <f t="shared" si="71"/>
        <v>10</v>
      </c>
      <c r="AQ67" s="30">
        <f t="shared" si="72"/>
        <v>0</v>
      </c>
      <c r="AR67" s="30">
        <f t="shared" si="252"/>
        <v>0</v>
      </c>
      <c r="AS67" s="30">
        <f t="shared" ref="AS67" si="761">IF(AR67=0,IF(VLOOKUP(AS$3,$A$3:$F$14,4,FALSE)&gt;=$G67,10,0),0)</f>
        <v>0</v>
      </c>
      <c r="AT67" s="30">
        <f t="shared" si="74"/>
        <v>10</v>
      </c>
      <c r="AU67" s="30">
        <f t="shared" si="75"/>
        <v>0</v>
      </c>
      <c r="AV67" s="30">
        <f t="shared" si="254"/>
        <v>0</v>
      </c>
      <c r="AW67" s="30">
        <f t="shared" ref="AW67" si="762">IF(AV67=0,IF(VLOOKUP(AW$3,$A$3:$F$14,4,FALSE)&gt;=$G67,10,0),0)</f>
        <v>0</v>
      </c>
      <c r="AX67" s="30">
        <f t="shared" si="77"/>
        <v>10</v>
      </c>
      <c r="AY67" s="30">
        <f t="shared" si="78"/>
        <v>0</v>
      </c>
      <c r="AZ67" s="30">
        <f t="shared" si="256"/>
        <v>0</v>
      </c>
      <c r="BA67" s="30">
        <f t="shared" ref="BA67" si="763">IF(AZ67=0,IF(VLOOKUP(BA$3,$A$3:$F$14,4,FALSE)&gt;=$G67,10,0),0)</f>
        <v>0</v>
      </c>
      <c r="BB67" s="30">
        <f t="shared" si="80"/>
        <v>0</v>
      </c>
      <c r="BC67" s="30">
        <f t="shared" si="81"/>
        <v>10</v>
      </c>
    </row>
    <row r="68" spans="7:55" x14ac:dyDescent="0.2">
      <c r="G68" s="19">
        <v>64</v>
      </c>
      <c r="H68" s="21">
        <f t="shared" si="45"/>
        <v>0</v>
      </c>
      <c r="I68" s="28">
        <f t="shared" si="46"/>
        <v>0</v>
      </c>
      <c r="J68" s="28">
        <f t="shared" si="47"/>
        <v>0</v>
      </c>
      <c r="K68" s="30">
        <f t="shared" si="48"/>
        <v>10</v>
      </c>
      <c r="L68" s="30">
        <f t="shared" si="236"/>
        <v>0</v>
      </c>
      <c r="M68" s="30">
        <f t="shared" ref="M68" si="764">IF(L68=0,IF(VLOOKUP(M$3,$A$3:$F$14,4,FALSE)&gt;=$G68,10,0),0)</f>
        <v>0</v>
      </c>
      <c r="N68" s="30">
        <f t="shared" si="50"/>
        <v>0</v>
      </c>
      <c r="O68" s="30">
        <f t="shared" si="51"/>
        <v>10</v>
      </c>
      <c r="P68" s="30">
        <f t="shared" si="238"/>
        <v>0</v>
      </c>
      <c r="Q68" s="30">
        <f t="shared" ref="Q68" si="765">IF(P68=0,IF(VLOOKUP(Q$3,$A$3:$F$14,4,FALSE)&gt;=$G68,10,0),0)</f>
        <v>0</v>
      </c>
      <c r="R68" s="30">
        <f t="shared" si="53"/>
        <v>0</v>
      </c>
      <c r="S68" s="30">
        <f t="shared" si="54"/>
        <v>10</v>
      </c>
      <c r="T68" s="30">
        <f t="shared" si="240"/>
        <v>0</v>
      </c>
      <c r="U68" s="30">
        <f t="shared" ref="U68" si="766">IF(T68=0,IF(VLOOKUP(U$3,$A$3:$F$14,4,FALSE)&gt;=$G68,10,0),0)</f>
        <v>0</v>
      </c>
      <c r="V68" s="30">
        <f t="shared" si="56"/>
        <v>0</v>
      </c>
      <c r="W68" s="30">
        <f t="shared" si="57"/>
        <v>10</v>
      </c>
      <c r="X68" s="30">
        <f t="shared" si="242"/>
        <v>0</v>
      </c>
      <c r="Y68" s="30">
        <f t="shared" ref="Y68" si="767">IF(X68=0,IF(VLOOKUP(Y$3,$A$3:$F$14,4,FALSE)&gt;=$G68,10,0),0)</f>
        <v>0</v>
      </c>
      <c r="Z68" s="30">
        <f t="shared" si="59"/>
        <v>0</v>
      </c>
      <c r="AA68" s="30">
        <f t="shared" si="60"/>
        <v>10</v>
      </c>
      <c r="AB68" s="30">
        <f t="shared" si="244"/>
        <v>0</v>
      </c>
      <c r="AC68" s="30">
        <f t="shared" ref="AC68" si="768">IF(AB68=0,IF(VLOOKUP(AC$3,$A$3:$F$14,4,FALSE)&gt;=$G68,10,0),0)</f>
        <v>0</v>
      </c>
      <c r="AD68" s="30">
        <f t="shared" si="62"/>
        <v>0</v>
      </c>
      <c r="AE68" s="30">
        <f t="shared" si="63"/>
        <v>10</v>
      </c>
      <c r="AF68" s="30">
        <f t="shared" si="246"/>
        <v>0</v>
      </c>
      <c r="AG68" s="30">
        <f t="shared" ref="AG68" si="769">IF(AF68=0,IF(VLOOKUP(AG$3,$A$3:$F$14,4,FALSE)&gt;=$G68,10,0),0)</f>
        <v>0</v>
      </c>
      <c r="AH68" s="30">
        <f t="shared" si="65"/>
        <v>0</v>
      </c>
      <c r="AI68" s="30">
        <f t="shared" si="66"/>
        <v>10</v>
      </c>
      <c r="AJ68" s="30">
        <f t="shared" si="248"/>
        <v>0</v>
      </c>
      <c r="AK68" s="30">
        <f t="shared" ref="AK68" si="770">IF(AJ68=0,IF(VLOOKUP(AK$3,$A$3:$F$14,4,FALSE)&gt;=$G68,10,0),0)</f>
        <v>0</v>
      </c>
      <c r="AL68" s="30">
        <f t="shared" si="68"/>
        <v>0</v>
      </c>
      <c r="AM68" s="30">
        <f t="shared" si="69"/>
        <v>10</v>
      </c>
      <c r="AN68" s="30">
        <f t="shared" si="250"/>
        <v>0</v>
      </c>
      <c r="AO68" s="30">
        <f t="shared" ref="AO68" si="771">IF(AN68=0,IF(VLOOKUP(AO$3,$A$3:$F$14,4,FALSE)&gt;=$G68,10,0),0)</f>
        <v>0</v>
      </c>
      <c r="AP68" s="30">
        <f t="shared" si="71"/>
        <v>10</v>
      </c>
      <c r="AQ68" s="30">
        <f t="shared" si="72"/>
        <v>0</v>
      </c>
      <c r="AR68" s="30">
        <f t="shared" si="252"/>
        <v>0</v>
      </c>
      <c r="AS68" s="30">
        <f t="shared" ref="AS68" si="772">IF(AR68=0,IF(VLOOKUP(AS$3,$A$3:$F$14,4,FALSE)&gt;=$G68,10,0),0)</f>
        <v>0</v>
      </c>
      <c r="AT68" s="30">
        <f t="shared" si="74"/>
        <v>10</v>
      </c>
      <c r="AU68" s="30">
        <f t="shared" si="75"/>
        <v>0</v>
      </c>
      <c r="AV68" s="30">
        <f t="shared" si="254"/>
        <v>0</v>
      </c>
      <c r="AW68" s="30">
        <f t="shared" ref="AW68" si="773">IF(AV68=0,IF(VLOOKUP(AW$3,$A$3:$F$14,4,FALSE)&gt;=$G68,10,0),0)</f>
        <v>0</v>
      </c>
      <c r="AX68" s="30">
        <f t="shared" si="77"/>
        <v>10</v>
      </c>
      <c r="AY68" s="30">
        <f t="shared" si="78"/>
        <v>0</v>
      </c>
      <c r="AZ68" s="30">
        <f t="shared" si="256"/>
        <v>0</v>
      </c>
      <c r="BA68" s="30">
        <f t="shared" ref="BA68" si="774">IF(AZ68=0,IF(VLOOKUP(BA$3,$A$3:$F$14,4,FALSE)&gt;=$G68,10,0),0)</f>
        <v>0</v>
      </c>
      <c r="BB68" s="30">
        <f t="shared" si="80"/>
        <v>0</v>
      </c>
      <c r="BC68" s="30">
        <f t="shared" si="81"/>
        <v>10</v>
      </c>
    </row>
    <row r="69" spans="7:55" x14ac:dyDescent="0.2">
      <c r="G69" s="19">
        <v>65</v>
      </c>
      <c r="H69" s="21">
        <f t="shared" si="45"/>
        <v>0</v>
      </c>
      <c r="I69" s="28">
        <f t="shared" si="46"/>
        <v>0</v>
      </c>
      <c r="J69" s="28">
        <f t="shared" si="47"/>
        <v>0</v>
      </c>
      <c r="K69" s="30">
        <f t="shared" si="48"/>
        <v>10</v>
      </c>
      <c r="L69" s="30">
        <f t="shared" si="236"/>
        <v>0</v>
      </c>
      <c r="M69" s="30">
        <f t="shared" ref="M69" si="775">IF(L69=0,IF(VLOOKUP(M$3,$A$3:$F$14,4,FALSE)&gt;=$G69,10,0),0)</f>
        <v>0</v>
      </c>
      <c r="N69" s="30">
        <f t="shared" si="50"/>
        <v>0</v>
      </c>
      <c r="O69" s="30">
        <f t="shared" si="51"/>
        <v>10</v>
      </c>
      <c r="P69" s="30">
        <f t="shared" si="238"/>
        <v>0</v>
      </c>
      <c r="Q69" s="30">
        <f t="shared" ref="Q69" si="776">IF(P69=0,IF(VLOOKUP(Q$3,$A$3:$F$14,4,FALSE)&gt;=$G69,10,0),0)</f>
        <v>0</v>
      </c>
      <c r="R69" s="30">
        <f t="shared" si="53"/>
        <v>0</v>
      </c>
      <c r="S69" s="30">
        <f t="shared" si="54"/>
        <v>10</v>
      </c>
      <c r="T69" s="30">
        <f t="shared" si="240"/>
        <v>0</v>
      </c>
      <c r="U69" s="30">
        <f t="shared" ref="U69" si="777">IF(T69=0,IF(VLOOKUP(U$3,$A$3:$F$14,4,FALSE)&gt;=$G69,10,0),0)</f>
        <v>0</v>
      </c>
      <c r="V69" s="30">
        <f t="shared" si="56"/>
        <v>0</v>
      </c>
      <c r="W69" s="30">
        <f t="shared" si="57"/>
        <v>10</v>
      </c>
      <c r="X69" s="30">
        <f t="shared" si="242"/>
        <v>0</v>
      </c>
      <c r="Y69" s="30">
        <f t="shared" ref="Y69" si="778">IF(X69=0,IF(VLOOKUP(Y$3,$A$3:$F$14,4,FALSE)&gt;=$G69,10,0),0)</f>
        <v>0</v>
      </c>
      <c r="Z69" s="30">
        <f t="shared" si="59"/>
        <v>0</v>
      </c>
      <c r="AA69" s="30">
        <f t="shared" si="60"/>
        <v>10</v>
      </c>
      <c r="AB69" s="30">
        <f t="shared" si="244"/>
        <v>0</v>
      </c>
      <c r="AC69" s="30">
        <f t="shared" ref="AC69" si="779">IF(AB69=0,IF(VLOOKUP(AC$3,$A$3:$F$14,4,FALSE)&gt;=$G69,10,0),0)</f>
        <v>0</v>
      </c>
      <c r="AD69" s="30">
        <f t="shared" si="62"/>
        <v>0</v>
      </c>
      <c r="AE69" s="30">
        <f t="shared" si="63"/>
        <v>10</v>
      </c>
      <c r="AF69" s="30">
        <f t="shared" si="246"/>
        <v>0</v>
      </c>
      <c r="AG69" s="30">
        <f t="shared" ref="AG69" si="780">IF(AF69=0,IF(VLOOKUP(AG$3,$A$3:$F$14,4,FALSE)&gt;=$G69,10,0),0)</f>
        <v>0</v>
      </c>
      <c r="AH69" s="30">
        <f t="shared" si="65"/>
        <v>0</v>
      </c>
      <c r="AI69" s="30">
        <f t="shared" si="66"/>
        <v>10</v>
      </c>
      <c r="AJ69" s="30">
        <f t="shared" si="248"/>
        <v>0</v>
      </c>
      <c r="AK69" s="30">
        <f t="shared" ref="AK69" si="781">IF(AJ69=0,IF(VLOOKUP(AK$3,$A$3:$F$14,4,FALSE)&gt;=$G69,10,0),0)</f>
        <v>0</v>
      </c>
      <c r="AL69" s="30">
        <f t="shared" si="68"/>
        <v>0</v>
      </c>
      <c r="AM69" s="30">
        <f t="shared" si="69"/>
        <v>10</v>
      </c>
      <c r="AN69" s="30">
        <f t="shared" si="250"/>
        <v>0</v>
      </c>
      <c r="AO69" s="30">
        <f t="shared" ref="AO69" si="782">IF(AN69=0,IF(VLOOKUP(AO$3,$A$3:$F$14,4,FALSE)&gt;=$G69,10,0),0)</f>
        <v>0</v>
      </c>
      <c r="AP69" s="30">
        <f t="shared" si="71"/>
        <v>10</v>
      </c>
      <c r="AQ69" s="30">
        <f t="shared" si="72"/>
        <v>0</v>
      </c>
      <c r="AR69" s="30">
        <f t="shared" si="252"/>
        <v>0</v>
      </c>
      <c r="AS69" s="30">
        <f t="shared" ref="AS69" si="783">IF(AR69=0,IF(VLOOKUP(AS$3,$A$3:$F$14,4,FALSE)&gt;=$G69,10,0),0)</f>
        <v>0</v>
      </c>
      <c r="AT69" s="30">
        <f t="shared" si="74"/>
        <v>10</v>
      </c>
      <c r="AU69" s="30">
        <f t="shared" si="75"/>
        <v>0</v>
      </c>
      <c r="AV69" s="30">
        <f t="shared" si="254"/>
        <v>0</v>
      </c>
      <c r="AW69" s="30">
        <f t="shared" ref="AW69" si="784">IF(AV69=0,IF(VLOOKUP(AW$3,$A$3:$F$14,4,FALSE)&gt;=$G69,10,0),0)</f>
        <v>0</v>
      </c>
      <c r="AX69" s="30">
        <f t="shared" si="77"/>
        <v>10</v>
      </c>
      <c r="AY69" s="30">
        <f t="shared" si="78"/>
        <v>0</v>
      </c>
      <c r="AZ69" s="30">
        <f t="shared" si="256"/>
        <v>0</v>
      </c>
      <c r="BA69" s="30">
        <f t="shared" ref="BA69" si="785">IF(AZ69=0,IF(VLOOKUP(BA$3,$A$3:$F$14,4,FALSE)&gt;=$G69,10,0),0)</f>
        <v>0</v>
      </c>
      <c r="BB69" s="30">
        <f t="shared" si="80"/>
        <v>0</v>
      </c>
      <c r="BC69" s="30">
        <f t="shared" si="81"/>
        <v>10</v>
      </c>
    </row>
    <row r="70" spans="7:55" x14ac:dyDescent="0.2">
      <c r="G70" s="19">
        <v>66</v>
      </c>
      <c r="H70" s="21">
        <f t="shared" ref="H70:H104" si="786">IF(VLOOKUP(H$3,$A$3:$F$14,3,FALSE)&gt;=$G70,10,0)</f>
        <v>0</v>
      </c>
      <c r="I70" s="28">
        <f t="shared" ref="I70:I104" si="787">IF($H70=0,IF(VLOOKUP(I$3,$A$3:$F$14,4,FALSE)&gt;=$G70,10,0),0)</f>
        <v>0</v>
      </c>
      <c r="J70" s="28">
        <f t="shared" ref="J70:J104" si="788">IF(AND($H70=0,$I70=0),IF(VLOOKUP(J$3,$A$3:$F$14,5,FALSE)&gt;=$G70,10,0),0)</f>
        <v>0</v>
      </c>
      <c r="K70" s="30">
        <f t="shared" ref="K70:K104" si="789">IF(OR($H70=10,$I70=10,$J70=10),0,10)</f>
        <v>10</v>
      </c>
      <c r="L70" s="30">
        <f t="shared" si="236"/>
        <v>0</v>
      </c>
      <c r="M70" s="30">
        <f t="shared" ref="M70" si="790">IF(L70=0,IF(VLOOKUP(M$3,$A$3:$F$14,4,FALSE)&gt;=$G70,10,0),0)</f>
        <v>0</v>
      </c>
      <c r="N70" s="30">
        <f t="shared" ref="N70:N104" si="791">IF(AND(L70=0,M70=0),IF(VLOOKUP(N$3,$A$3:$F$14,5,FALSE)&gt;=$G70,10,0),0)</f>
        <v>0</v>
      </c>
      <c r="O70" s="30">
        <f t="shared" ref="O70:O104" si="792">IF(OR(L70=10,M70=10,N70=10),0,10)</f>
        <v>10</v>
      </c>
      <c r="P70" s="30">
        <f t="shared" si="238"/>
        <v>0</v>
      </c>
      <c r="Q70" s="30">
        <f t="shared" ref="Q70" si="793">IF(P70=0,IF(VLOOKUP(Q$3,$A$3:$F$14,4,FALSE)&gt;=$G70,10,0),0)</f>
        <v>0</v>
      </c>
      <c r="R70" s="30">
        <f t="shared" ref="R70:R104" si="794">IF(AND(P70=0,Q70=0),IF(VLOOKUP(R$3,$A$3:$F$14,5,FALSE)&gt;=$G70,10,0),0)</f>
        <v>0</v>
      </c>
      <c r="S70" s="30">
        <f t="shared" ref="S70:S104" si="795">IF(OR(P70=10,Q70=10,R70=10),0,10)</f>
        <v>10</v>
      </c>
      <c r="T70" s="30">
        <f t="shared" si="240"/>
        <v>0</v>
      </c>
      <c r="U70" s="30">
        <f t="shared" ref="U70" si="796">IF(T70=0,IF(VLOOKUP(U$3,$A$3:$F$14,4,FALSE)&gt;=$G70,10,0),0)</f>
        <v>0</v>
      </c>
      <c r="V70" s="30">
        <f t="shared" ref="V70:V104" si="797">IF(AND(T70=0,U70=0),IF(VLOOKUP(V$3,$A$3:$F$14,5,FALSE)&gt;=$G70,10,0),0)</f>
        <v>0</v>
      </c>
      <c r="W70" s="30">
        <f t="shared" ref="W70:W104" si="798">IF(OR(T70=10,U70=10,V70=10),0,10)</f>
        <v>10</v>
      </c>
      <c r="X70" s="30">
        <f t="shared" si="242"/>
        <v>0</v>
      </c>
      <c r="Y70" s="30">
        <f t="shared" ref="Y70" si="799">IF(X70=0,IF(VLOOKUP(Y$3,$A$3:$F$14,4,FALSE)&gt;=$G70,10,0),0)</f>
        <v>0</v>
      </c>
      <c r="Z70" s="30">
        <f t="shared" ref="Z70:Z104" si="800">IF(AND(X70=0,Y70=0),IF(VLOOKUP(Z$3,$A$3:$F$14,5,FALSE)&gt;=$G70,10,0),0)</f>
        <v>0</v>
      </c>
      <c r="AA70" s="30">
        <f t="shared" ref="AA70:AA104" si="801">IF(OR(X70=10,Y70=10,Z70=10),0,10)</f>
        <v>10</v>
      </c>
      <c r="AB70" s="30">
        <f t="shared" si="244"/>
        <v>0</v>
      </c>
      <c r="AC70" s="30">
        <f t="shared" ref="AC70" si="802">IF(AB70=0,IF(VLOOKUP(AC$3,$A$3:$F$14,4,FALSE)&gt;=$G70,10,0),0)</f>
        <v>0</v>
      </c>
      <c r="AD70" s="30">
        <f t="shared" ref="AD70:AD104" si="803">IF(AND(AB70=0,AC70=0),IF(VLOOKUP(AD$3,$A$3:$F$14,5,FALSE)&gt;=$G70,10,0),0)</f>
        <v>0</v>
      </c>
      <c r="AE70" s="30">
        <f t="shared" ref="AE70:AE104" si="804">IF(OR(AB70=10,AC70=10,AD70=10),0,10)</f>
        <v>10</v>
      </c>
      <c r="AF70" s="30">
        <f t="shared" si="246"/>
        <v>0</v>
      </c>
      <c r="AG70" s="30">
        <f t="shared" ref="AG70" si="805">IF(AF70=0,IF(VLOOKUP(AG$3,$A$3:$F$14,4,FALSE)&gt;=$G70,10,0),0)</f>
        <v>0</v>
      </c>
      <c r="AH70" s="30">
        <f t="shared" ref="AH70:AH104" si="806">IF(AND(AF70=0,AG70=0),IF(VLOOKUP(AH$3,$A$3:$F$14,5,FALSE)&gt;=$G70,10,0),0)</f>
        <v>0</v>
      </c>
      <c r="AI70" s="30">
        <f t="shared" ref="AI70:AI104" si="807">IF(OR(AF70=10,AG70=10,AH70=10),0,10)</f>
        <v>10</v>
      </c>
      <c r="AJ70" s="30">
        <f t="shared" si="248"/>
        <v>0</v>
      </c>
      <c r="AK70" s="30">
        <f t="shared" ref="AK70" si="808">IF(AJ70=0,IF(VLOOKUP(AK$3,$A$3:$F$14,4,FALSE)&gt;=$G70,10,0),0)</f>
        <v>0</v>
      </c>
      <c r="AL70" s="30">
        <f t="shared" ref="AL70:AL104" si="809">IF(AND(AJ70=0,AK70=0),IF(VLOOKUP(AL$3,$A$3:$F$14,5,FALSE)&gt;=$G70,10,0),0)</f>
        <v>0</v>
      </c>
      <c r="AM70" s="30">
        <f t="shared" ref="AM70:AM104" si="810">IF(OR(AJ70=10,AK70=10,AL70=10),0,10)</f>
        <v>10</v>
      </c>
      <c r="AN70" s="30">
        <f t="shared" si="250"/>
        <v>0</v>
      </c>
      <c r="AO70" s="30">
        <f t="shared" ref="AO70" si="811">IF(AN70=0,IF(VLOOKUP(AO$3,$A$3:$F$14,4,FALSE)&gt;=$G70,10,0),0)</f>
        <v>0</v>
      </c>
      <c r="AP70" s="30">
        <f t="shared" ref="AP70:AP104" si="812">IF(AND(AN70=0,AO70=0),IF(VLOOKUP(AP$3,$A$3:$F$14,5,FALSE)&gt;=$G70,10,0),0)</f>
        <v>10</v>
      </c>
      <c r="AQ70" s="30">
        <f t="shared" ref="AQ70:AQ104" si="813">IF(OR(AN70=10,AO70=10,AP70=10),0,10)</f>
        <v>0</v>
      </c>
      <c r="AR70" s="30">
        <f t="shared" si="252"/>
        <v>0</v>
      </c>
      <c r="AS70" s="30">
        <f t="shared" ref="AS70" si="814">IF(AR70=0,IF(VLOOKUP(AS$3,$A$3:$F$14,4,FALSE)&gt;=$G70,10,0),0)</f>
        <v>0</v>
      </c>
      <c r="AT70" s="30">
        <f t="shared" ref="AT70:AT104" si="815">IF(AND(AR70=0,AS70=0),IF(VLOOKUP(AT$3,$A$3:$F$14,5,FALSE)&gt;=$G70,10,0),0)</f>
        <v>10</v>
      </c>
      <c r="AU70" s="30">
        <f t="shared" ref="AU70:AU104" si="816">IF(OR(AR70=10,AS70=10,AT70=10),0,10)</f>
        <v>0</v>
      </c>
      <c r="AV70" s="30">
        <f t="shared" si="254"/>
        <v>0</v>
      </c>
      <c r="AW70" s="30">
        <f t="shared" ref="AW70" si="817">IF(AV70=0,IF(VLOOKUP(AW$3,$A$3:$F$14,4,FALSE)&gt;=$G70,10,0),0)</f>
        <v>0</v>
      </c>
      <c r="AX70" s="30">
        <f t="shared" ref="AX70:AX104" si="818">IF(AND(AV70=0,AW70=0),IF(VLOOKUP(AX$3,$A$3:$F$14,5,FALSE)&gt;=$G70,10,0),0)</f>
        <v>10</v>
      </c>
      <c r="AY70" s="30">
        <f t="shared" ref="AY70:AY104" si="819">IF(OR(AV70=10,AW70=10,AX70=10),0,10)</f>
        <v>0</v>
      </c>
      <c r="AZ70" s="30">
        <f t="shared" si="256"/>
        <v>0</v>
      </c>
      <c r="BA70" s="30">
        <f t="shared" ref="BA70" si="820">IF(AZ70=0,IF(VLOOKUP(BA$3,$A$3:$F$14,4,FALSE)&gt;=$G70,10,0),0)</f>
        <v>0</v>
      </c>
      <c r="BB70" s="30">
        <f t="shared" ref="BB70:BB104" si="821">IF(AND(AZ70=0,BA70=0),IF(VLOOKUP(BB$3,$A$3:$F$14,5,FALSE)&gt;=$G70,10,0),0)</f>
        <v>0</v>
      </c>
      <c r="BC70" s="30">
        <f t="shared" ref="BC70:BC104" si="822">IF(OR(AZ70=10,BA70=10,BB70=10),0,10)</f>
        <v>10</v>
      </c>
    </row>
    <row r="71" spans="7:55" x14ac:dyDescent="0.2">
      <c r="G71" s="19">
        <v>67</v>
      </c>
      <c r="H71" s="21">
        <f t="shared" si="786"/>
        <v>0</v>
      </c>
      <c r="I71" s="28">
        <f t="shared" si="787"/>
        <v>0</v>
      </c>
      <c r="J71" s="28">
        <f t="shared" si="788"/>
        <v>0</v>
      </c>
      <c r="K71" s="30">
        <f t="shared" si="789"/>
        <v>10</v>
      </c>
      <c r="L71" s="30">
        <f t="shared" si="236"/>
        <v>0</v>
      </c>
      <c r="M71" s="30">
        <f t="shared" ref="M71" si="823">IF(L71=0,IF(VLOOKUP(M$3,$A$3:$F$14,4,FALSE)&gt;=$G71,10,0),0)</f>
        <v>0</v>
      </c>
      <c r="N71" s="30">
        <f t="shared" si="791"/>
        <v>0</v>
      </c>
      <c r="O71" s="30">
        <f t="shared" si="792"/>
        <v>10</v>
      </c>
      <c r="P71" s="30">
        <f t="shared" si="238"/>
        <v>0</v>
      </c>
      <c r="Q71" s="30">
        <f t="shared" ref="Q71" si="824">IF(P71=0,IF(VLOOKUP(Q$3,$A$3:$F$14,4,FALSE)&gt;=$G71,10,0),0)</f>
        <v>0</v>
      </c>
      <c r="R71" s="30">
        <f t="shared" si="794"/>
        <v>0</v>
      </c>
      <c r="S71" s="30">
        <f t="shared" si="795"/>
        <v>10</v>
      </c>
      <c r="T71" s="30">
        <f t="shared" si="240"/>
        <v>0</v>
      </c>
      <c r="U71" s="30">
        <f t="shared" ref="U71" si="825">IF(T71=0,IF(VLOOKUP(U$3,$A$3:$F$14,4,FALSE)&gt;=$G71,10,0),0)</f>
        <v>0</v>
      </c>
      <c r="V71" s="30">
        <f t="shared" si="797"/>
        <v>0</v>
      </c>
      <c r="W71" s="30">
        <f t="shared" si="798"/>
        <v>10</v>
      </c>
      <c r="X71" s="30">
        <f t="shared" si="242"/>
        <v>0</v>
      </c>
      <c r="Y71" s="30">
        <f t="shared" ref="Y71" si="826">IF(X71=0,IF(VLOOKUP(Y$3,$A$3:$F$14,4,FALSE)&gt;=$G71,10,0),0)</f>
        <v>0</v>
      </c>
      <c r="Z71" s="30">
        <f t="shared" si="800"/>
        <v>0</v>
      </c>
      <c r="AA71" s="30">
        <f t="shared" si="801"/>
        <v>10</v>
      </c>
      <c r="AB71" s="30">
        <f t="shared" si="244"/>
        <v>0</v>
      </c>
      <c r="AC71" s="30">
        <f t="shared" ref="AC71" si="827">IF(AB71=0,IF(VLOOKUP(AC$3,$A$3:$F$14,4,FALSE)&gt;=$G71,10,0),0)</f>
        <v>0</v>
      </c>
      <c r="AD71" s="30">
        <f t="shared" si="803"/>
        <v>0</v>
      </c>
      <c r="AE71" s="30">
        <f t="shared" si="804"/>
        <v>10</v>
      </c>
      <c r="AF71" s="30">
        <f t="shared" si="246"/>
        <v>0</v>
      </c>
      <c r="AG71" s="30">
        <f t="shared" ref="AG71" si="828">IF(AF71=0,IF(VLOOKUP(AG$3,$A$3:$F$14,4,FALSE)&gt;=$G71,10,0),0)</f>
        <v>0</v>
      </c>
      <c r="AH71" s="30">
        <f t="shared" si="806"/>
        <v>0</v>
      </c>
      <c r="AI71" s="30">
        <f t="shared" si="807"/>
        <v>10</v>
      </c>
      <c r="AJ71" s="30">
        <f t="shared" si="248"/>
        <v>0</v>
      </c>
      <c r="AK71" s="30">
        <f t="shared" ref="AK71" si="829">IF(AJ71=0,IF(VLOOKUP(AK$3,$A$3:$F$14,4,FALSE)&gt;=$G71,10,0),0)</f>
        <v>0</v>
      </c>
      <c r="AL71" s="30">
        <f t="shared" si="809"/>
        <v>0</v>
      </c>
      <c r="AM71" s="30">
        <f t="shared" si="810"/>
        <v>10</v>
      </c>
      <c r="AN71" s="30">
        <f t="shared" si="250"/>
        <v>0</v>
      </c>
      <c r="AO71" s="30">
        <f t="shared" ref="AO71" si="830">IF(AN71=0,IF(VLOOKUP(AO$3,$A$3:$F$14,4,FALSE)&gt;=$G71,10,0),0)</f>
        <v>0</v>
      </c>
      <c r="AP71" s="30">
        <f t="shared" si="812"/>
        <v>10</v>
      </c>
      <c r="AQ71" s="30">
        <f t="shared" si="813"/>
        <v>0</v>
      </c>
      <c r="AR71" s="30">
        <f t="shared" si="252"/>
        <v>0</v>
      </c>
      <c r="AS71" s="30">
        <f t="shared" ref="AS71" si="831">IF(AR71=0,IF(VLOOKUP(AS$3,$A$3:$F$14,4,FALSE)&gt;=$G71,10,0),0)</f>
        <v>0</v>
      </c>
      <c r="AT71" s="30">
        <f t="shared" si="815"/>
        <v>10</v>
      </c>
      <c r="AU71" s="30">
        <f t="shared" si="816"/>
        <v>0</v>
      </c>
      <c r="AV71" s="30">
        <f t="shared" si="254"/>
        <v>0</v>
      </c>
      <c r="AW71" s="30">
        <f t="shared" ref="AW71" si="832">IF(AV71=0,IF(VLOOKUP(AW$3,$A$3:$F$14,4,FALSE)&gt;=$G71,10,0),0)</f>
        <v>0</v>
      </c>
      <c r="AX71" s="30">
        <f t="shared" si="818"/>
        <v>10</v>
      </c>
      <c r="AY71" s="30">
        <f t="shared" si="819"/>
        <v>0</v>
      </c>
      <c r="AZ71" s="30">
        <f t="shared" si="256"/>
        <v>0</v>
      </c>
      <c r="BA71" s="30">
        <f t="shared" ref="BA71" si="833">IF(AZ71=0,IF(VLOOKUP(BA$3,$A$3:$F$14,4,FALSE)&gt;=$G71,10,0),0)</f>
        <v>0</v>
      </c>
      <c r="BB71" s="30">
        <f t="shared" si="821"/>
        <v>0</v>
      </c>
      <c r="BC71" s="30">
        <f t="shared" si="822"/>
        <v>10</v>
      </c>
    </row>
    <row r="72" spans="7:55" x14ac:dyDescent="0.2">
      <c r="G72" s="19">
        <v>68</v>
      </c>
      <c r="H72" s="21">
        <f t="shared" si="786"/>
        <v>0</v>
      </c>
      <c r="I72" s="28">
        <f t="shared" si="787"/>
        <v>0</v>
      </c>
      <c r="J72" s="28">
        <f t="shared" si="788"/>
        <v>0</v>
      </c>
      <c r="K72" s="30">
        <f t="shared" si="789"/>
        <v>10</v>
      </c>
      <c r="L72" s="30">
        <f t="shared" si="236"/>
        <v>0</v>
      </c>
      <c r="M72" s="30">
        <f t="shared" ref="M72" si="834">IF(L72=0,IF(VLOOKUP(M$3,$A$3:$F$14,4,FALSE)&gt;=$G72,10,0),0)</f>
        <v>0</v>
      </c>
      <c r="N72" s="30">
        <f t="shared" si="791"/>
        <v>0</v>
      </c>
      <c r="O72" s="30">
        <f t="shared" si="792"/>
        <v>10</v>
      </c>
      <c r="P72" s="30">
        <f t="shared" si="238"/>
        <v>0</v>
      </c>
      <c r="Q72" s="30">
        <f t="shared" ref="Q72" si="835">IF(P72=0,IF(VLOOKUP(Q$3,$A$3:$F$14,4,FALSE)&gt;=$G72,10,0),0)</f>
        <v>0</v>
      </c>
      <c r="R72" s="30">
        <f t="shared" si="794"/>
        <v>0</v>
      </c>
      <c r="S72" s="30">
        <f t="shared" si="795"/>
        <v>10</v>
      </c>
      <c r="T72" s="30">
        <f t="shared" si="240"/>
        <v>0</v>
      </c>
      <c r="U72" s="30">
        <f t="shared" ref="U72" si="836">IF(T72=0,IF(VLOOKUP(U$3,$A$3:$F$14,4,FALSE)&gt;=$G72,10,0),0)</f>
        <v>0</v>
      </c>
      <c r="V72" s="30">
        <f t="shared" si="797"/>
        <v>0</v>
      </c>
      <c r="W72" s="30">
        <f t="shared" si="798"/>
        <v>10</v>
      </c>
      <c r="X72" s="30">
        <f t="shared" si="242"/>
        <v>0</v>
      </c>
      <c r="Y72" s="30">
        <f t="shared" ref="Y72" si="837">IF(X72=0,IF(VLOOKUP(Y$3,$A$3:$F$14,4,FALSE)&gt;=$G72,10,0),0)</f>
        <v>0</v>
      </c>
      <c r="Z72" s="30">
        <f t="shared" si="800"/>
        <v>0</v>
      </c>
      <c r="AA72" s="30">
        <f t="shared" si="801"/>
        <v>10</v>
      </c>
      <c r="AB72" s="30">
        <f t="shared" si="244"/>
        <v>0</v>
      </c>
      <c r="AC72" s="30">
        <f t="shared" ref="AC72" si="838">IF(AB72=0,IF(VLOOKUP(AC$3,$A$3:$F$14,4,FALSE)&gt;=$G72,10,0),0)</f>
        <v>0</v>
      </c>
      <c r="AD72" s="30">
        <f t="shared" si="803"/>
        <v>0</v>
      </c>
      <c r="AE72" s="30">
        <f t="shared" si="804"/>
        <v>10</v>
      </c>
      <c r="AF72" s="30">
        <f t="shared" si="246"/>
        <v>0</v>
      </c>
      <c r="AG72" s="30">
        <f t="shared" ref="AG72" si="839">IF(AF72=0,IF(VLOOKUP(AG$3,$A$3:$F$14,4,FALSE)&gt;=$G72,10,0),0)</f>
        <v>0</v>
      </c>
      <c r="AH72" s="30">
        <f t="shared" si="806"/>
        <v>0</v>
      </c>
      <c r="AI72" s="30">
        <f t="shared" si="807"/>
        <v>10</v>
      </c>
      <c r="AJ72" s="30">
        <f t="shared" si="248"/>
        <v>0</v>
      </c>
      <c r="AK72" s="30">
        <f t="shared" ref="AK72" si="840">IF(AJ72=0,IF(VLOOKUP(AK$3,$A$3:$F$14,4,FALSE)&gt;=$G72,10,0),0)</f>
        <v>0</v>
      </c>
      <c r="AL72" s="30">
        <f t="shared" si="809"/>
        <v>0</v>
      </c>
      <c r="AM72" s="30">
        <f t="shared" si="810"/>
        <v>10</v>
      </c>
      <c r="AN72" s="30">
        <f t="shared" si="250"/>
        <v>0</v>
      </c>
      <c r="AO72" s="30">
        <f t="shared" ref="AO72" si="841">IF(AN72=0,IF(VLOOKUP(AO$3,$A$3:$F$14,4,FALSE)&gt;=$G72,10,0),0)</f>
        <v>0</v>
      </c>
      <c r="AP72" s="30">
        <f t="shared" si="812"/>
        <v>10</v>
      </c>
      <c r="AQ72" s="30">
        <f t="shared" si="813"/>
        <v>0</v>
      </c>
      <c r="AR72" s="30">
        <f t="shared" si="252"/>
        <v>0</v>
      </c>
      <c r="AS72" s="30">
        <f t="shared" ref="AS72" si="842">IF(AR72=0,IF(VLOOKUP(AS$3,$A$3:$F$14,4,FALSE)&gt;=$G72,10,0),0)</f>
        <v>0</v>
      </c>
      <c r="AT72" s="30">
        <f t="shared" si="815"/>
        <v>10</v>
      </c>
      <c r="AU72" s="30">
        <f t="shared" si="816"/>
        <v>0</v>
      </c>
      <c r="AV72" s="30">
        <f t="shared" si="254"/>
        <v>0</v>
      </c>
      <c r="AW72" s="30">
        <f t="shared" ref="AW72" si="843">IF(AV72=0,IF(VLOOKUP(AW$3,$A$3:$F$14,4,FALSE)&gt;=$G72,10,0),0)</f>
        <v>0</v>
      </c>
      <c r="AX72" s="30">
        <f t="shared" si="818"/>
        <v>10</v>
      </c>
      <c r="AY72" s="30">
        <f t="shared" si="819"/>
        <v>0</v>
      </c>
      <c r="AZ72" s="30">
        <f t="shared" si="256"/>
        <v>0</v>
      </c>
      <c r="BA72" s="30">
        <f t="shared" ref="BA72" si="844">IF(AZ72=0,IF(VLOOKUP(BA$3,$A$3:$F$14,4,FALSE)&gt;=$G72,10,0),0)</f>
        <v>0</v>
      </c>
      <c r="BB72" s="30">
        <f t="shared" si="821"/>
        <v>0</v>
      </c>
      <c r="BC72" s="30">
        <f t="shared" si="822"/>
        <v>10</v>
      </c>
    </row>
    <row r="73" spans="7:55" x14ac:dyDescent="0.2">
      <c r="G73" s="19">
        <v>69</v>
      </c>
      <c r="H73" s="21">
        <f t="shared" si="786"/>
        <v>0</v>
      </c>
      <c r="I73" s="28">
        <f t="shared" si="787"/>
        <v>0</v>
      </c>
      <c r="J73" s="28">
        <f t="shared" si="788"/>
        <v>0</v>
      </c>
      <c r="K73" s="30">
        <f t="shared" si="789"/>
        <v>10</v>
      </c>
      <c r="L73" s="30">
        <f t="shared" si="236"/>
        <v>0</v>
      </c>
      <c r="M73" s="30">
        <f t="shared" ref="M73" si="845">IF(L73=0,IF(VLOOKUP(M$3,$A$3:$F$14,4,FALSE)&gt;=$G73,10,0),0)</f>
        <v>0</v>
      </c>
      <c r="N73" s="30">
        <f t="shared" si="791"/>
        <v>0</v>
      </c>
      <c r="O73" s="30">
        <f t="shared" si="792"/>
        <v>10</v>
      </c>
      <c r="P73" s="30">
        <f t="shared" si="238"/>
        <v>0</v>
      </c>
      <c r="Q73" s="30">
        <f t="shared" ref="Q73" si="846">IF(P73=0,IF(VLOOKUP(Q$3,$A$3:$F$14,4,FALSE)&gt;=$G73,10,0),0)</f>
        <v>0</v>
      </c>
      <c r="R73" s="30">
        <f t="shared" si="794"/>
        <v>0</v>
      </c>
      <c r="S73" s="30">
        <f t="shared" si="795"/>
        <v>10</v>
      </c>
      <c r="T73" s="30">
        <f t="shared" si="240"/>
        <v>0</v>
      </c>
      <c r="U73" s="30">
        <f t="shared" ref="U73" si="847">IF(T73=0,IF(VLOOKUP(U$3,$A$3:$F$14,4,FALSE)&gt;=$G73,10,0),0)</f>
        <v>0</v>
      </c>
      <c r="V73" s="30">
        <f t="shared" si="797"/>
        <v>0</v>
      </c>
      <c r="W73" s="30">
        <f t="shared" si="798"/>
        <v>10</v>
      </c>
      <c r="X73" s="30">
        <f t="shared" si="242"/>
        <v>0</v>
      </c>
      <c r="Y73" s="30">
        <f t="shared" ref="Y73" si="848">IF(X73=0,IF(VLOOKUP(Y$3,$A$3:$F$14,4,FALSE)&gt;=$G73,10,0),0)</f>
        <v>0</v>
      </c>
      <c r="Z73" s="30">
        <f t="shared" si="800"/>
        <v>0</v>
      </c>
      <c r="AA73" s="30">
        <f t="shared" si="801"/>
        <v>10</v>
      </c>
      <c r="AB73" s="30">
        <f t="shared" si="244"/>
        <v>0</v>
      </c>
      <c r="AC73" s="30">
        <f t="shared" ref="AC73" si="849">IF(AB73=0,IF(VLOOKUP(AC$3,$A$3:$F$14,4,FALSE)&gt;=$G73,10,0),0)</f>
        <v>0</v>
      </c>
      <c r="AD73" s="30">
        <f t="shared" si="803"/>
        <v>0</v>
      </c>
      <c r="AE73" s="30">
        <f t="shared" si="804"/>
        <v>10</v>
      </c>
      <c r="AF73" s="30">
        <f t="shared" si="246"/>
        <v>0</v>
      </c>
      <c r="AG73" s="30">
        <f t="shared" ref="AG73" si="850">IF(AF73=0,IF(VLOOKUP(AG$3,$A$3:$F$14,4,FALSE)&gt;=$G73,10,0),0)</f>
        <v>0</v>
      </c>
      <c r="AH73" s="30">
        <f t="shared" si="806"/>
        <v>0</v>
      </c>
      <c r="AI73" s="30">
        <f t="shared" si="807"/>
        <v>10</v>
      </c>
      <c r="AJ73" s="30">
        <f t="shared" si="248"/>
        <v>0</v>
      </c>
      <c r="AK73" s="30">
        <f t="shared" ref="AK73" si="851">IF(AJ73=0,IF(VLOOKUP(AK$3,$A$3:$F$14,4,FALSE)&gt;=$G73,10,0),0)</f>
        <v>0</v>
      </c>
      <c r="AL73" s="30">
        <f t="shared" si="809"/>
        <v>0</v>
      </c>
      <c r="AM73" s="30">
        <f t="shared" si="810"/>
        <v>10</v>
      </c>
      <c r="AN73" s="30">
        <f t="shared" si="250"/>
        <v>0</v>
      </c>
      <c r="AO73" s="30">
        <f t="shared" ref="AO73" si="852">IF(AN73=0,IF(VLOOKUP(AO$3,$A$3:$F$14,4,FALSE)&gt;=$G73,10,0),0)</f>
        <v>0</v>
      </c>
      <c r="AP73" s="30">
        <f t="shared" si="812"/>
        <v>10</v>
      </c>
      <c r="AQ73" s="30">
        <f t="shared" si="813"/>
        <v>0</v>
      </c>
      <c r="AR73" s="30">
        <f t="shared" si="252"/>
        <v>0</v>
      </c>
      <c r="AS73" s="30">
        <f t="shared" ref="AS73" si="853">IF(AR73=0,IF(VLOOKUP(AS$3,$A$3:$F$14,4,FALSE)&gt;=$G73,10,0),0)</f>
        <v>0</v>
      </c>
      <c r="AT73" s="30">
        <f t="shared" si="815"/>
        <v>10</v>
      </c>
      <c r="AU73" s="30">
        <f t="shared" si="816"/>
        <v>0</v>
      </c>
      <c r="AV73" s="30">
        <f t="shared" si="254"/>
        <v>0</v>
      </c>
      <c r="AW73" s="30">
        <f t="shared" ref="AW73" si="854">IF(AV73=0,IF(VLOOKUP(AW$3,$A$3:$F$14,4,FALSE)&gt;=$G73,10,0),0)</f>
        <v>0</v>
      </c>
      <c r="AX73" s="30">
        <f t="shared" si="818"/>
        <v>10</v>
      </c>
      <c r="AY73" s="30">
        <f t="shared" si="819"/>
        <v>0</v>
      </c>
      <c r="AZ73" s="30">
        <f t="shared" si="256"/>
        <v>0</v>
      </c>
      <c r="BA73" s="30">
        <f t="shared" ref="BA73" si="855">IF(AZ73=0,IF(VLOOKUP(BA$3,$A$3:$F$14,4,FALSE)&gt;=$G73,10,0),0)</f>
        <v>0</v>
      </c>
      <c r="BB73" s="30">
        <f t="shared" si="821"/>
        <v>0</v>
      </c>
      <c r="BC73" s="30">
        <f t="shared" si="822"/>
        <v>10</v>
      </c>
    </row>
    <row r="74" spans="7:55" x14ac:dyDescent="0.2">
      <c r="G74" s="19">
        <v>70</v>
      </c>
      <c r="H74" s="21">
        <f t="shared" si="786"/>
        <v>0</v>
      </c>
      <c r="I74" s="28">
        <f t="shared" si="787"/>
        <v>0</v>
      </c>
      <c r="J74" s="28">
        <f t="shared" si="788"/>
        <v>0</v>
      </c>
      <c r="K74" s="30">
        <f t="shared" si="789"/>
        <v>10</v>
      </c>
      <c r="L74" s="30">
        <f t="shared" si="236"/>
        <v>0</v>
      </c>
      <c r="M74" s="30">
        <f t="shared" ref="M74" si="856">IF(L74=0,IF(VLOOKUP(M$3,$A$3:$F$14,4,FALSE)&gt;=$G74,10,0),0)</f>
        <v>0</v>
      </c>
      <c r="N74" s="30">
        <f t="shared" si="791"/>
        <v>0</v>
      </c>
      <c r="O74" s="30">
        <f t="shared" si="792"/>
        <v>10</v>
      </c>
      <c r="P74" s="30">
        <f t="shared" si="238"/>
        <v>0</v>
      </c>
      <c r="Q74" s="30">
        <f t="shared" ref="Q74" si="857">IF(P74=0,IF(VLOOKUP(Q$3,$A$3:$F$14,4,FALSE)&gt;=$G74,10,0),0)</f>
        <v>0</v>
      </c>
      <c r="R74" s="30">
        <f t="shared" si="794"/>
        <v>0</v>
      </c>
      <c r="S74" s="30">
        <f t="shared" si="795"/>
        <v>10</v>
      </c>
      <c r="T74" s="30">
        <f t="shared" si="240"/>
        <v>0</v>
      </c>
      <c r="U74" s="30">
        <f t="shared" ref="U74" si="858">IF(T74=0,IF(VLOOKUP(U$3,$A$3:$F$14,4,FALSE)&gt;=$G74,10,0),0)</f>
        <v>0</v>
      </c>
      <c r="V74" s="30">
        <f t="shared" si="797"/>
        <v>0</v>
      </c>
      <c r="W74" s="30">
        <f t="shared" si="798"/>
        <v>10</v>
      </c>
      <c r="X74" s="30">
        <f t="shared" si="242"/>
        <v>0</v>
      </c>
      <c r="Y74" s="30">
        <f t="shared" ref="Y74" si="859">IF(X74=0,IF(VLOOKUP(Y$3,$A$3:$F$14,4,FALSE)&gt;=$G74,10,0),0)</f>
        <v>0</v>
      </c>
      <c r="Z74" s="30">
        <f t="shared" si="800"/>
        <v>0</v>
      </c>
      <c r="AA74" s="30">
        <f t="shared" si="801"/>
        <v>10</v>
      </c>
      <c r="AB74" s="30">
        <f t="shared" si="244"/>
        <v>0</v>
      </c>
      <c r="AC74" s="30">
        <f t="shared" ref="AC74" si="860">IF(AB74=0,IF(VLOOKUP(AC$3,$A$3:$F$14,4,FALSE)&gt;=$G74,10,0),0)</f>
        <v>0</v>
      </c>
      <c r="AD74" s="30">
        <f t="shared" si="803"/>
        <v>0</v>
      </c>
      <c r="AE74" s="30">
        <f t="shared" si="804"/>
        <v>10</v>
      </c>
      <c r="AF74" s="30">
        <f t="shared" si="246"/>
        <v>0</v>
      </c>
      <c r="AG74" s="30">
        <f t="shared" ref="AG74" si="861">IF(AF74=0,IF(VLOOKUP(AG$3,$A$3:$F$14,4,FALSE)&gt;=$G74,10,0),0)</f>
        <v>0</v>
      </c>
      <c r="AH74" s="30">
        <f t="shared" si="806"/>
        <v>0</v>
      </c>
      <c r="AI74" s="30">
        <f t="shared" si="807"/>
        <v>10</v>
      </c>
      <c r="AJ74" s="30">
        <f t="shared" si="248"/>
        <v>0</v>
      </c>
      <c r="AK74" s="30">
        <f t="shared" ref="AK74" si="862">IF(AJ74=0,IF(VLOOKUP(AK$3,$A$3:$F$14,4,FALSE)&gt;=$G74,10,0),0)</f>
        <v>0</v>
      </c>
      <c r="AL74" s="30">
        <f t="shared" si="809"/>
        <v>0</v>
      </c>
      <c r="AM74" s="30">
        <f t="shared" si="810"/>
        <v>10</v>
      </c>
      <c r="AN74" s="30">
        <f t="shared" si="250"/>
        <v>0</v>
      </c>
      <c r="AO74" s="30">
        <f t="shared" ref="AO74" si="863">IF(AN74=0,IF(VLOOKUP(AO$3,$A$3:$F$14,4,FALSE)&gt;=$G74,10,0),0)</f>
        <v>0</v>
      </c>
      <c r="AP74" s="30">
        <f t="shared" si="812"/>
        <v>10</v>
      </c>
      <c r="AQ74" s="30">
        <f t="shared" si="813"/>
        <v>0</v>
      </c>
      <c r="AR74" s="30">
        <f t="shared" si="252"/>
        <v>0</v>
      </c>
      <c r="AS74" s="30">
        <f t="shared" ref="AS74" si="864">IF(AR74=0,IF(VLOOKUP(AS$3,$A$3:$F$14,4,FALSE)&gt;=$G74,10,0),0)</f>
        <v>0</v>
      </c>
      <c r="AT74" s="30">
        <f t="shared" si="815"/>
        <v>10</v>
      </c>
      <c r="AU74" s="30">
        <f t="shared" si="816"/>
        <v>0</v>
      </c>
      <c r="AV74" s="30">
        <f t="shared" si="254"/>
        <v>0</v>
      </c>
      <c r="AW74" s="30">
        <f t="shared" ref="AW74" si="865">IF(AV74=0,IF(VLOOKUP(AW$3,$A$3:$F$14,4,FALSE)&gt;=$G74,10,0),0)</f>
        <v>0</v>
      </c>
      <c r="AX74" s="30">
        <f t="shared" si="818"/>
        <v>10</v>
      </c>
      <c r="AY74" s="30">
        <f t="shared" si="819"/>
        <v>0</v>
      </c>
      <c r="AZ74" s="30">
        <f t="shared" si="256"/>
        <v>0</v>
      </c>
      <c r="BA74" s="30">
        <f t="shared" ref="BA74" si="866">IF(AZ74=0,IF(VLOOKUP(BA$3,$A$3:$F$14,4,FALSE)&gt;=$G74,10,0),0)</f>
        <v>0</v>
      </c>
      <c r="BB74" s="30">
        <f t="shared" si="821"/>
        <v>0</v>
      </c>
      <c r="BC74" s="30">
        <f t="shared" si="822"/>
        <v>10</v>
      </c>
    </row>
    <row r="75" spans="7:55" x14ac:dyDescent="0.2">
      <c r="G75" s="19">
        <v>71</v>
      </c>
      <c r="H75" s="21">
        <f t="shared" si="786"/>
        <v>0</v>
      </c>
      <c r="I75" s="28">
        <f t="shared" si="787"/>
        <v>0</v>
      </c>
      <c r="J75" s="28">
        <f t="shared" si="788"/>
        <v>0</v>
      </c>
      <c r="K75" s="30">
        <f t="shared" si="789"/>
        <v>10</v>
      </c>
      <c r="L75" s="30">
        <f t="shared" si="236"/>
        <v>0</v>
      </c>
      <c r="M75" s="30">
        <f t="shared" ref="M75" si="867">IF(L75=0,IF(VLOOKUP(M$3,$A$3:$F$14,4,FALSE)&gt;=$G75,10,0),0)</f>
        <v>0</v>
      </c>
      <c r="N75" s="30">
        <f t="shared" si="791"/>
        <v>0</v>
      </c>
      <c r="O75" s="30">
        <f t="shared" si="792"/>
        <v>10</v>
      </c>
      <c r="P75" s="30">
        <f t="shared" si="238"/>
        <v>0</v>
      </c>
      <c r="Q75" s="30">
        <f t="shared" ref="Q75" si="868">IF(P75=0,IF(VLOOKUP(Q$3,$A$3:$F$14,4,FALSE)&gt;=$G75,10,0),0)</f>
        <v>0</v>
      </c>
      <c r="R75" s="30">
        <f t="shared" si="794"/>
        <v>0</v>
      </c>
      <c r="S75" s="30">
        <f t="shared" si="795"/>
        <v>10</v>
      </c>
      <c r="T75" s="30">
        <f t="shared" si="240"/>
        <v>0</v>
      </c>
      <c r="U75" s="30">
        <f t="shared" ref="U75" si="869">IF(T75=0,IF(VLOOKUP(U$3,$A$3:$F$14,4,FALSE)&gt;=$G75,10,0),0)</f>
        <v>0</v>
      </c>
      <c r="V75" s="30">
        <f t="shared" si="797"/>
        <v>0</v>
      </c>
      <c r="W75" s="30">
        <f t="shared" si="798"/>
        <v>10</v>
      </c>
      <c r="X75" s="30">
        <f t="shared" si="242"/>
        <v>0</v>
      </c>
      <c r="Y75" s="30">
        <f t="shared" ref="Y75" si="870">IF(X75=0,IF(VLOOKUP(Y$3,$A$3:$F$14,4,FALSE)&gt;=$G75,10,0),0)</f>
        <v>0</v>
      </c>
      <c r="Z75" s="30">
        <f t="shared" si="800"/>
        <v>0</v>
      </c>
      <c r="AA75" s="30">
        <f t="shared" si="801"/>
        <v>10</v>
      </c>
      <c r="AB75" s="30">
        <f t="shared" si="244"/>
        <v>0</v>
      </c>
      <c r="AC75" s="30">
        <f t="shared" ref="AC75" si="871">IF(AB75=0,IF(VLOOKUP(AC$3,$A$3:$F$14,4,FALSE)&gt;=$G75,10,0),0)</f>
        <v>0</v>
      </c>
      <c r="AD75" s="30">
        <f t="shared" si="803"/>
        <v>0</v>
      </c>
      <c r="AE75" s="30">
        <f t="shared" si="804"/>
        <v>10</v>
      </c>
      <c r="AF75" s="30">
        <f t="shared" si="246"/>
        <v>0</v>
      </c>
      <c r="AG75" s="30">
        <f t="shared" ref="AG75" si="872">IF(AF75=0,IF(VLOOKUP(AG$3,$A$3:$F$14,4,FALSE)&gt;=$G75,10,0),0)</f>
        <v>0</v>
      </c>
      <c r="AH75" s="30">
        <f t="shared" si="806"/>
        <v>0</v>
      </c>
      <c r="AI75" s="30">
        <f t="shared" si="807"/>
        <v>10</v>
      </c>
      <c r="AJ75" s="30">
        <f t="shared" si="248"/>
        <v>0</v>
      </c>
      <c r="AK75" s="30">
        <f t="shared" ref="AK75" si="873">IF(AJ75=0,IF(VLOOKUP(AK$3,$A$3:$F$14,4,FALSE)&gt;=$G75,10,0),0)</f>
        <v>0</v>
      </c>
      <c r="AL75" s="30">
        <f t="shared" si="809"/>
        <v>0</v>
      </c>
      <c r="AM75" s="30">
        <f t="shared" si="810"/>
        <v>10</v>
      </c>
      <c r="AN75" s="30">
        <f t="shared" si="250"/>
        <v>0</v>
      </c>
      <c r="AO75" s="30">
        <f t="shared" ref="AO75" si="874">IF(AN75=0,IF(VLOOKUP(AO$3,$A$3:$F$14,4,FALSE)&gt;=$G75,10,0),0)</f>
        <v>0</v>
      </c>
      <c r="AP75" s="30">
        <f t="shared" si="812"/>
        <v>0</v>
      </c>
      <c r="AQ75" s="30">
        <f t="shared" si="813"/>
        <v>10</v>
      </c>
      <c r="AR75" s="30">
        <f t="shared" si="252"/>
        <v>0</v>
      </c>
      <c r="AS75" s="30">
        <f t="shared" ref="AS75" si="875">IF(AR75=0,IF(VLOOKUP(AS$3,$A$3:$F$14,4,FALSE)&gt;=$G75,10,0),0)</f>
        <v>0</v>
      </c>
      <c r="AT75" s="30">
        <f t="shared" si="815"/>
        <v>10</v>
      </c>
      <c r="AU75" s="30">
        <f t="shared" si="816"/>
        <v>0</v>
      </c>
      <c r="AV75" s="30">
        <f t="shared" si="254"/>
        <v>0</v>
      </c>
      <c r="AW75" s="30">
        <f t="shared" ref="AW75" si="876">IF(AV75=0,IF(VLOOKUP(AW$3,$A$3:$F$14,4,FALSE)&gt;=$G75,10,0),0)</f>
        <v>0</v>
      </c>
      <c r="AX75" s="30">
        <f t="shared" si="818"/>
        <v>10</v>
      </c>
      <c r="AY75" s="30">
        <f t="shared" si="819"/>
        <v>0</v>
      </c>
      <c r="AZ75" s="30">
        <f t="shared" si="256"/>
        <v>0</v>
      </c>
      <c r="BA75" s="30">
        <f t="shared" ref="BA75" si="877">IF(AZ75=0,IF(VLOOKUP(BA$3,$A$3:$F$14,4,FALSE)&gt;=$G75,10,0),0)</f>
        <v>0</v>
      </c>
      <c r="BB75" s="30">
        <f t="shared" si="821"/>
        <v>0</v>
      </c>
      <c r="BC75" s="30">
        <f t="shared" si="822"/>
        <v>10</v>
      </c>
    </row>
    <row r="76" spans="7:55" x14ac:dyDescent="0.2">
      <c r="G76" s="19">
        <v>72</v>
      </c>
      <c r="H76" s="21">
        <f t="shared" si="786"/>
        <v>0</v>
      </c>
      <c r="I76" s="28">
        <f t="shared" si="787"/>
        <v>0</v>
      </c>
      <c r="J76" s="28">
        <f t="shared" si="788"/>
        <v>0</v>
      </c>
      <c r="K76" s="30">
        <f t="shared" si="789"/>
        <v>10</v>
      </c>
      <c r="L76" s="30">
        <f t="shared" si="236"/>
        <v>0</v>
      </c>
      <c r="M76" s="30">
        <f t="shared" ref="M76" si="878">IF(L76=0,IF(VLOOKUP(M$3,$A$3:$F$14,4,FALSE)&gt;=$G76,10,0),0)</f>
        <v>0</v>
      </c>
      <c r="N76" s="30">
        <f t="shared" si="791"/>
        <v>0</v>
      </c>
      <c r="O76" s="30">
        <f t="shared" si="792"/>
        <v>10</v>
      </c>
      <c r="P76" s="30">
        <f t="shared" si="238"/>
        <v>0</v>
      </c>
      <c r="Q76" s="30">
        <f t="shared" ref="Q76" si="879">IF(P76=0,IF(VLOOKUP(Q$3,$A$3:$F$14,4,FALSE)&gt;=$G76,10,0),0)</f>
        <v>0</v>
      </c>
      <c r="R76" s="30">
        <f t="shared" si="794"/>
        <v>0</v>
      </c>
      <c r="S76" s="30">
        <f t="shared" si="795"/>
        <v>10</v>
      </c>
      <c r="T76" s="30">
        <f t="shared" si="240"/>
        <v>0</v>
      </c>
      <c r="U76" s="30">
        <f t="shared" ref="U76" si="880">IF(T76=0,IF(VLOOKUP(U$3,$A$3:$F$14,4,FALSE)&gt;=$G76,10,0),0)</f>
        <v>0</v>
      </c>
      <c r="V76" s="30">
        <f t="shared" si="797"/>
        <v>0</v>
      </c>
      <c r="W76" s="30">
        <f t="shared" si="798"/>
        <v>10</v>
      </c>
      <c r="X76" s="30">
        <f t="shared" si="242"/>
        <v>0</v>
      </c>
      <c r="Y76" s="30">
        <f t="shared" ref="Y76" si="881">IF(X76=0,IF(VLOOKUP(Y$3,$A$3:$F$14,4,FALSE)&gt;=$G76,10,0),0)</f>
        <v>0</v>
      </c>
      <c r="Z76" s="30">
        <f t="shared" si="800"/>
        <v>0</v>
      </c>
      <c r="AA76" s="30">
        <f t="shared" si="801"/>
        <v>10</v>
      </c>
      <c r="AB76" s="30">
        <f t="shared" si="244"/>
        <v>0</v>
      </c>
      <c r="AC76" s="30">
        <f t="shared" ref="AC76" si="882">IF(AB76=0,IF(VLOOKUP(AC$3,$A$3:$F$14,4,FALSE)&gt;=$G76,10,0),0)</f>
        <v>0</v>
      </c>
      <c r="AD76" s="30">
        <f t="shared" si="803"/>
        <v>0</v>
      </c>
      <c r="AE76" s="30">
        <f t="shared" si="804"/>
        <v>10</v>
      </c>
      <c r="AF76" s="30">
        <f t="shared" si="246"/>
        <v>0</v>
      </c>
      <c r="AG76" s="30">
        <f t="shared" ref="AG76" si="883">IF(AF76=0,IF(VLOOKUP(AG$3,$A$3:$F$14,4,FALSE)&gt;=$G76,10,0),0)</f>
        <v>0</v>
      </c>
      <c r="AH76" s="30">
        <f t="shared" si="806"/>
        <v>0</v>
      </c>
      <c r="AI76" s="30">
        <f t="shared" si="807"/>
        <v>10</v>
      </c>
      <c r="AJ76" s="30">
        <f t="shared" si="248"/>
        <v>0</v>
      </c>
      <c r="AK76" s="30">
        <f t="shared" ref="AK76" si="884">IF(AJ76=0,IF(VLOOKUP(AK$3,$A$3:$F$14,4,FALSE)&gt;=$G76,10,0),0)</f>
        <v>0</v>
      </c>
      <c r="AL76" s="30">
        <f t="shared" si="809"/>
        <v>0</v>
      </c>
      <c r="AM76" s="30">
        <f t="shared" si="810"/>
        <v>10</v>
      </c>
      <c r="AN76" s="30">
        <f t="shared" si="250"/>
        <v>0</v>
      </c>
      <c r="AO76" s="30">
        <f t="shared" ref="AO76" si="885">IF(AN76=0,IF(VLOOKUP(AO$3,$A$3:$F$14,4,FALSE)&gt;=$G76,10,0),0)</f>
        <v>0</v>
      </c>
      <c r="AP76" s="30">
        <f t="shared" si="812"/>
        <v>0</v>
      </c>
      <c r="AQ76" s="30">
        <f t="shared" si="813"/>
        <v>10</v>
      </c>
      <c r="AR76" s="30">
        <f t="shared" si="252"/>
        <v>0</v>
      </c>
      <c r="AS76" s="30">
        <f t="shared" ref="AS76" si="886">IF(AR76=0,IF(VLOOKUP(AS$3,$A$3:$F$14,4,FALSE)&gt;=$G76,10,0),0)</f>
        <v>0</v>
      </c>
      <c r="AT76" s="30">
        <f t="shared" si="815"/>
        <v>10</v>
      </c>
      <c r="AU76" s="30">
        <f t="shared" si="816"/>
        <v>0</v>
      </c>
      <c r="AV76" s="30">
        <f t="shared" si="254"/>
        <v>0</v>
      </c>
      <c r="AW76" s="30">
        <f t="shared" ref="AW76" si="887">IF(AV76=0,IF(VLOOKUP(AW$3,$A$3:$F$14,4,FALSE)&gt;=$G76,10,0),0)</f>
        <v>0</v>
      </c>
      <c r="AX76" s="30">
        <f t="shared" si="818"/>
        <v>10</v>
      </c>
      <c r="AY76" s="30">
        <f t="shared" si="819"/>
        <v>0</v>
      </c>
      <c r="AZ76" s="30">
        <f t="shared" si="256"/>
        <v>0</v>
      </c>
      <c r="BA76" s="30">
        <f t="shared" ref="BA76" si="888">IF(AZ76=0,IF(VLOOKUP(BA$3,$A$3:$F$14,4,FALSE)&gt;=$G76,10,0),0)</f>
        <v>0</v>
      </c>
      <c r="BB76" s="30">
        <f t="shared" si="821"/>
        <v>0</v>
      </c>
      <c r="BC76" s="30">
        <f t="shared" si="822"/>
        <v>10</v>
      </c>
    </row>
    <row r="77" spans="7:55" x14ac:dyDescent="0.2">
      <c r="G77" s="19">
        <v>73</v>
      </c>
      <c r="H77" s="21">
        <f t="shared" si="786"/>
        <v>0</v>
      </c>
      <c r="I77" s="28">
        <f t="shared" si="787"/>
        <v>0</v>
      </c>
      <c r="J77" s="28">
        <f t="shared" si="788"/>
        <v>0</v>
      </c>
      <c r="K77" s="30">
        <f t="shared" si="789"/>
        <v>10</v>
      </c>
      <c r="L77" s="30">
        <f t="shared" si="236"/>
        <v>0</v>
      </c>
      <c r="M77" s="30">
        <f t="shared" ref="M77" si="889">IF(L77=0,IF(VLOOKUP(M$3,$A$3:$F$14,4,FALSE)&gt;=$G77,10,0),0)</f>
        <v>0</v>
      </c>
      <c r="N77" s="30">
        <f t="shared" si="791"/>
        <v>0</v>
      </c>
      <c r="O77" s="30">
        <f t="shared" si="792"/>
        <v>10</v>
      </c>
      <c r="P77" s="30">
        <f t="shared" si="238"/>
        <v>0</v>
      </c>
      <c r="Q77" s="30">
        <f t="shared" ref="Q77" si="890">IF(P77=0,IF(VLOOKUP(Q$3,$A$3:$F$14,4,FALSE)&gt;=$G77,10,0),0)</f>
        <v>0</v>
      </c>
      <c r="R77" s="30">
        <f t="shared" si="794"/>
        <v>0</v>
      </c>
      <c r="S77" s="30">
        <f t="shared" si="795"/>
        <v>10</v>
      </c>
      <c r="T77" s="30">
        <f t="shared" si="240"/>
        <v>0</v>
      </c>
      <c r="U77" s="30">
        <f t="shared" ref="U77" si="891">IF(T77=0,IF(VLOOKUP(U$3,$A$3:$F$14,4,FALSE)&gt;=$G77,10,0),0)</f>
        <v>0</v>
      </c>
      <c r="V77" s="30">
        <f t="shared" si="797"/>
        <v>0</v>
      </c>
      <c r="W77" s="30">
        <f t="shared" si="798"/>
        <v>10</v>
      </c>
      <c r="X77" s="30">
        <f t="shared" si="242"/>
        <v>0</v>
      </c>
      <c r="Y77" s="30">
        <f t="shared" ref="Y77" si="892">IF(X77=0,IF(VLOOKUP(Y$3,$A$3:$F$14,4,FALSE)&gt;=$G77,10,0),0)</f>
        <v>0</v>
      </c>
      <c r="Z77" s="30">
        <f t="shared" si="800"/>
        <v>0</v>
      </c>
      <c r="AA77" s="30">
        <f t="shared" si="801"/>
        <v>10</v>
      </c>
      <c r="AB77" s="30">
        <f t="shared" si="244"/>
        <v>0</v>
      </c>
      <c r="AC77" s="30">
        <f t="shared" ref="AC77" si="893">IF(AB77=0,IF(VLOOKUP(AC$3,$A$3:$F$14,4,FALSE)&gt;=$G77,10,0),0)</f>
        <v>0</v>
      </c>
      <c r="AD77" s="30">
        <f t="shared" si="803"/>
        <v>0</v>
      </c>
      <c r="AE77" s="30">
        <f t="shared" si="804"/>
        <v>10</v>
      </c>
      <c r="AF77" s="30">
        <f t="shared" si="246"/>
        <v>0</v>
      </c>
      <c r="AG77" s="30">
        <f t="shared" ref="AG77" si="894">IF(AF77=0,IF(VLOOKUP(AG$3,$A$3:$F$14,4,FALSE)&gt;=$G77,10,0),0)</f>
        <v>0</v>
      </c>
      <c r="AH77" s="30">
        <f t="shared" si="806"/>
        <v>0</v>
      </c>
      <c r="AI77" s="30">
        <f t="shared" si="807"/>
        <v>10</v>
      </c>
      <c r="AJ77" s="30">
        <f t="shared" si="248"/>
        <v>0</v>
      </c>
      <c r="AK77" s="30">
        <f t="shared" ref="AK77" si="895">IF(AJ77=0,IF(VLOOKUP(AK$3,$A$3:$F$14,4,FALSE)&gt;=$G77,10,0),0)</f>
        <v>0</v>
      </c>
      <c r="AL77" s="30">
        <f t="shared" si="809"/>
        <v>0</v>
      </c>
      <c r="AM77" s="30">
        <f t="shared" si="810"/>
        <v>10</v>
      </c>
      <c r="AN77" s="30">
        <f t="shared" si="250"/>
        <v>0</v>
      </c>
      <c r="AO77" s="30">
        <f t="shared" ref="AO77" si="896">IF(AN77=0,IF(VLOOKUP(AO$3,$A$3:$F$14,4,FALSE)&gt;=$G77,10,0),0)</f>
        <v>0</v>
      </c>
      <c r="AP77" s="30">
        <f t="shared" si="812"/>
        <v>0</v>
      </c>
      <c r="AQ77" s="30">
        <f t="shared" si="813"/>
        <v>10</v>
      </c>
      <c r="AR77" s="30">
        <f t="shared" si="252"/>
        <v>0</v>
      </c>
      <c r="AS77" s="30">
        <f t="shared" ref="AS77" si="897">IF(AR77=0,IF(VLOOKUP(AS$3,$A$3:$F$14,4,FALSE)&gt;=$G77,10,0),0)</f>
        <v>0</v>
      </c>
      <c r="AT77" s="30">
        <f t="shared" si="815"/>
        <v>10</v>
      </c>
      <c r="AU77" s="30">
        <f t="shared" si="816"/>
        <v>0</v>
      </c>
      <c r="AV77" s="30">
        <f t="shared" si="254"/>
        <v>0</v>
      </c>
      <c r="AW77" s="30">
        <f t="shared" ref="AW77" si="898">IF(AV77=0,IF(VLOOKUP(AW$3,$A$3:$F$14,4,FALSE)&gt;=$G77,10,0),0)</f>
        <v>0</v>
      </c>
      <c r="AX77" s="30">
        <f t="shared" si="818"/>
        <v>10</v>
      </c>
      <c r="AY77" s="30">
        <f t="shared" si="819"/>
        <v>0</v>
      </c>
      <c r="AZ77" s="30">
        <f t="shared" si="256"/>
        <v>0</v>
      </c>
      <c r="BA77" s="30">
        <f t="shared" ref="BA77" si="899">IF(AZ77=0,IF(VLOOKUP(BA$3,$A$3:$F$14,4,FALSE)&gt;=$G77,10,0),0)</f>
        <v>0</v>
      </c>
      <c r="BB77" s="30">
        <f t="shared" si="821"/>
        <v>0</v>
      </c>
      <c r="BC77" s="30">
        <f t="shared" si="822"/>
        <v>10</v>
      </c>
    </row>
    <row r="78" spans="7:55" x14ac:dyDescent="0.2">
      <c r="G78" s="19">
        <v>74</v>
      </c>
      <c r="H78" s="21">
        <f t="shared" si="786"/>
        <v>0</v>
      </c>
      <c r="I78" s="28">
        <f t="shared" si="787"/>
        <v>0</v>
      </c>
      <c r="J78" s="28">
        <f t="shared" si="788"/>
        <v>0</v>
      </c>
      <c r="K78" s="30">
        <f t="shared" si="789"/>
        <v>10</v>
      </c>
      <c r="L78" s="30">
        <f t="shared" si="236"/>
        <v>0</v>
      </c>
      <c r="M78" s="30">
        <f t="shared" ref="M78" si="900">IF(L78=0,IF(VLOOKUP(M$3,$A$3:$F$14,4,FALSE)&gt;=$G78,10,0),0)</f>
        <v>0</v>
      </c>
      <c r="N78" s="30">
        <f t="shared" si="791"/>
        <v>0</v>
      </c>
      <c r="O78" s="30">
        <f t="shared" si="792"/>
        <v>10</v>
      </c>
      <c r="P78" s="30">
        <f t="shared" si="238"/>
        <v>0</v>
      </c>
      <c r="Q78" s="30">
        <f t="shared" ref="Q78" si="901">IF(P78=0,IF(VLOOKUP(Q$3,$A$3:$F$14,4,FALSE)&gt;=$G78,10,0),0)</f>
        <v>0</v>
      </c>
      <c r="R78" s="30">
        <f t="shared" si="794"/>
        <v>0</v>
      </c>
      <c r="S78" s="30">
        <f t="shared" si="795"/>
        <v>10</v>
      </c>
      <c r="T78" s="30">
        <f t="shared" si="240"/>
        <v>0</v>
      </c>
      <c r="U78" s="30">
        <f t="shared" ref="U78" si="902">IF(T78=0,IF(VLOOKUP(U$3,$A$3:$F$14,4,FALSE)&gt;=$G78,10,0),0)</f>
        <v>0</v>
      </c>
      <c r="V78" s="30">
        <f t="shared" si="797"/>
        <v>0</v>
      </c>
      <c r="W78" s="30">
        <f t="shared" si="798"/>
        <v>10</v>
      </c>
      <c r="X78" s="30">
        <f t="shared" si="242"/>
        <v>0</v>
      </c>
      <c r="Y78" s="30">
        <f t="shared" ref="Y78" si="903">IF(X78=0,IF(VLOOKUP(Y$3,$A$3:$F$14,4,FALSE)&gt;=$G78,10,0),0)</f>
        <v>0</v>
      </c>
      <c r="Z78" s="30">
        <f t="shared" si="800"/>
        <v>0</v>
      </c>
      <c r="AA78" s="30">
        <f t="shared" si="801"/>
        <v>10</v>
      </c>
      <c r="AB78" s="30">
        <f t="shared" si="244"/>
        <v>0</v>
      </c>
      <c r="AC78" s="30">
        <f t="shared" ref="AC78" si="904">IF(AB78=0,IF(VLOOKUP(AC$3,$A$3:$F$14,4,FALSE)&gt;=$G78,10,0),0)</f>
        <v>0</v>
      </c>
      <c r="AD78" s="30">
        <f t="shared" si="803"/>
        <v>0</v>
      </c>
      <c r="AE78" s="30">
        <f t="shared" si="804"/>
        <v>10</v>
      </c>
      <c r="AF78" s="30">
        <f t="shared" si="246"/>
        <v>0</v>
      </c>
      <c r="AG78" s="30">
        <f t="shared" ref="AG78" si="905">IF(AF78=0,IF(VLOOKUP(AG$3,$A$3:$F$14,4,FALSE)&gt;=$G78,10,0),0)</f>
        <v>0</v>
      </c>
      <c r="AH78" s="30">
        <f t="shared" si="806"/>
        <v>0</v>
      </c>
      <c r="AI78" s="30">
        <f t="shared" si="807"/>
        <v>10</v>
      </c>
      <c r="AJ78" s="30">
        <f t="shared" si="248"/>
        <v>0</v>
      </c>
      <c r="AK78" s="30">
        <f t="shared" ref="AK78" si="906">IF(AJ78=0,IF(VLOOKUP(AK$3,$A$3:$F$14,4,FALSE)&gt;=$G78,10,0),0)</f>
        <v>0</v>
      </c>
      <c r="AL78" s="30">
        <f t="shared" si="809"/>
        <v>0</v>
      </c>
      <c r="AM78" s="30">
        <f t="shared" si="810"/>
        <v>10</v>
      </c>
      <c r="AN78" s="30">
        <f t="shared" si="250"/>
        <v>0</v>
      </c>
      <c r="AO78" s="30">
        <f t="shared" ref="AO78" si="907">IF(AN78=0,IF(VLOOKUP(AO$3,$A$3:$F$14,4,FALSE)&gt;=$G78,10,0),0)</f>
        <v>0</v>
      </c>
      <c r="AP78" s="30">
        <f t="shared" si="812"/>
        <v>0</v>
      </c>
      <c r="AQ78" s="30">
        <f t="shared" si="813"/>
        <v>10</v>
      </c>
      <c r="AR78" s="30">
        <f t="shared" si="252"/>
        <v>0</v>
      </c>
      <c r="AS78" s="30">
        <f t="shared" ref="AS78" si="908">IF(AR78=0,IF(VLOOKUP(AS$3,$A$3:$F$14,4,FALSE)&gt;=$G78,10,0),0)</f>
        <v>0</v>
      </c>
      <c r="AT78" s="30">
        <f t="shared" si="815"/>
        <v>10</v>
      </c>
      <c r="AU78" s="30">
        <f t="shared" si="816"/>
        <v>0</v>
      </c>
      <c r="AV78" s="30">
        <f t="shared" si="254"/>
        <v>0</v>
      </c>
      <c r="AW78" s="30">
        <f t="shared" ref="AW78" si="909">IF(AV78=0,IF(VLOOKUP(AW$3,$A$3:$F$14,4,FALSE)&gt;=$G78,10,0),0)</f>
        <v>0</v>
      </c>
      <c r="AX78" s="30">
        <f t="shared" si="818"/>
        <v>10</v>
      </c>
      <c r="AY78" s="30">
        <f t="shared" si="819"/>
        <v>0</v>
      </c>
      <c r="AZ78" s="30">
        <f t="shared" si="256"/>
        <v>0</v>
      </c>
      <c r="BA78" s="30">
        <f t="shared" ref="BA78" si="910">IF(AZ78=0,IF(VLOOKUP(BA$3,$A$3:$F$14,4,FALSE)&gt;=$G78,10,0),0)</f>
        <v>0</v>
      </c>
      <c r="BB78" s="30">
        <f t="shared" si="821"/>
        <v>0</v>
      </c>
      <c r="BC78" s="30">
        <f t="shared" si="822"/>
        <v>10</v>
      </c>
    </row>
    <row r="79" spans="7:55" x14ac:dyDescent="0.2">
      <c r="G79" s="19">
        <v>75</v>
      </c>
      <c r="H79" s="21">
        <f t="shared" si="786"/>
        <v>0</v>
      </c>
      <c r="I79" s="28">
        <f t="shared" si="787"/>
        <v>0</v>
      </c>
      <c r="J79" s="28">
        <f t="shared" si="788"/>
        <v>0</v>
      </c>
      <c r="K79" s="30">
        <f t="shared" si="789"/>
        <v>10</v>
      </c>
      <c r="L79" s="30">
        <f t="shared" si="236"/>
        <v>0</v>
      </c>
      <c r="M79" s="30">
        <f t="shared" ref="M79" si="911">IF(L79=0,IF(VLOOKUP(M$3,$A$3:$F$14,4,FALSE)&gt;=$G79,10,0),0)</f>
        <v>0</v>
      </c>
      <c r="N79" s="30">
        <f t="shared" si="791"/>
        <v>0</v>
      </c>
      <c r="O79" s="30">
        <f t="shared" si="792"/>
        <v>10</v>
      </c>
      <c r="P79" s="30">
        <f t="shared" si="238"/>
        <v>0</v>
      </c>
      <c r="Q79" s="30">
        <f t="shared" ref="Q79" si="912">IF(P79=0,IF(VLOOKUP(Q$3,$A$3:$F$14,4,FALSE)&gt;=$G79,10,0),0)</f>
        <v>0</v>
      </c>
      <c r="R79" s="30">
        <f t="shared" si="794"/>
        <v>0</v>
      </c>
      <c r="S79" s="30">
        <f t="shared" si="795"/>
        <v>10</v>
      </c>
      <c r="T79" s="30">
        <f t="shared" si="240"/>
        <v>0</v>
      </c>
      <c r="U79" s="30">
        <f t="shared" ref="U79" si="913">IF(T79=0,IF(VLOOKUP(U$3,$A$3:$F$14,4,FALSE)&gt;=$G79,10,0),0)</f>
        <v>0</v>
      </c>
      <c r="V79" s="30">
        <f t="shared" si="797"/>
        <v>0</v>
      </c>
      <c r="W79" s="30">
        <f t="shared" si="798"/>
        <v>10</v>
      </c>
      <c r="X79" s="30">
        <f t="shared" si="242"/>
        <v>0</v>
      </c>
      <c r="Y79" s="30">
        <f t="shared" ref="Y79" si="914">IF(X79=0,IF(VLOOKUP(Y$3,$A$3:$F$14,4,FALSE)&gt;=$G79,10,0),0)</f>
        <v>0</v>
      </c>
      <c r="Z79" s="30">
        <f t="shared" si="800"/>
        <v>0</v>
      </c>
      <c r="AA79" s="30">
        <f t="shared" si="801"/>
        <v>10</v>
      </c>
      <c r="AB79" s="30">
        <f t="shared" si="244"/>
        <v>0</v>
      </c>
      <c r="AC79" s="30">
        <f t="shared" ref="AC79" si="915">IF(AB79=0,IF(VLOOKUP(AC$3,$A$3:$F$14,4,FALSE)&gt;=$G79,10,0),0)</f>
        <v>0</v>
      </c>
      <c r="AD79" s="30">
        <f t="shared" si="803"/>
        <v>0</v>
      </c>
      <c r="AE79" s="30">
        <f t="shared" si="804"/>
        <v>10</v>
      </c>
      <c r="AF79" s="30">
        <f t="shared" si="246"/>
        <v>0</v>
      </c>
      <c r="AG79" s="30">
        <f t="shared" ref="AG79" si="916">IF(AF79=0,IF(VLOOKUP(AG$3,$A$3:$F$14,4,FALSE)&gt;=$G79,10,0),0)</f>
        <v>0</v>
      </c>
      <c r="AH79" s="30">
        <f t="shared" si="806"/>
        <v>0</v>
      </c>
      <c r="AI79" s="30">
        <f t="shared" si="807"/>
        <v>10</v>
      </c>
      <c r="AJ79" s="30">
        <f t="shared" si="248"/>
        <v>0</v>
      </c>
      <c r="AK79" s="30">
        <f t="shared" ref="AK79" si="917">IF(AJ79=0,IF(VLOOKUP(AK$3,$A$3:$F$14,4,FALSE)&gt;=$G79,10,0),0)</f>
        <v>0</v>
      </c>
      <c r="AL79" s="30">
        <f t="shared" si="809"/>
        <v>0</v>
      </c>
      <c r="AM79" s="30">
        <f t="shared" si="810"/>
        <v>10</v>
      </c>
      <c r="AN79" s="30">
        <f t="shared" si="250"/>
        <v>0</v>
      </c>
      <c r="AO79" s="30">
        <f t="shared" ref="AO79" si="918">IF(AN79=0,IF(VLOOKUP(AO$3,$A$3:$F$14,4,FALSE)&gt;=$G79,10,0),0)</f>
        <v>0</v>
      </c>
      <c r="AP79" s="30">
        <f t="shared" si="812"/>
        <v>0</v>
      </c>
      <c r="AQ79" s="30">
        <f t="shared" si="813"/>
        <v>10</v>
      </c>
      <c r="AR79" s="30">
        <f t="shared" si="252"/>
        <v>0</v>
      </c>
      <c r="AS79" s="30">
        <f t="shared" ref="AS79" si="919">IF(AR79=0,IF(VLOOKUP(AS$3,$A$3:$F$14,4,FALSE)&gt;=$G79,10,0),0)</f>
        <v>0</v>
      </c>
      <c r="AT79" s="30">
        <f t="shared" si="815"/>
        <v>10</v>
      </c>
      <c r="AU79" s="30">
        <f t="shared" si="816"/>
        <v>0</v>
      </c>
      <c r="AV79" s="30">
        <f t="shared" si="254"/>
        <v>0</v>
      </c>
      <c r="AW79" s="30">
        <f t="shared" ref="AW79" si="920">IF(AV79=0,IF(VLOOKUP(AW$3,$A$3:$F$14,4,FALSE)&gt;=$G79,10,0),0)</f>
        <v>0</v>
      </c>
      <c r="AX79" s="30">
        <f t="shared" si="818"/>
        <v>10</v>
      </c>
      <c r="AY79" s="30">
        <f t="shared" si="819"/>
        <v>0</v>
      </c>
      <c r="AZ79" s="30">
        <f t="shared" si="256"/>
        <v>0</v>
      </c>
      <c r="BA79" s="30">
        <f t="shared" ref="BA79" si="921">IF(AZ79=0,IF(VLOOKUP(BA$3,$A$3:$F$14,4,FALSE)&gt;=$G79,10,0),0)</f>
        <v>0</v>
      </c>
      <c r="BB79" s="30">
        <f t="shared" si="821"/>
        <v>0</v>
      </c>
      <c r="BC79" s="30">
        <f t="shared" si="822"/>
        <v>10</v>
      </c>
    </row>
    <row r="80" spans="7:55" x14ac:dyDescent="0.2">
      <c r="G80" s="19">
        <v>76</v>
      </c>
      <c r="H80" s="21">
        <f t="shared" si="786"/>
        <v>0</v>
      </c>
      <c r="I80" s="28">
        <f t="shared" si="787"/>
        <v>0</v>
      </c>
      <c r="J80" s="28">
        <f t="shared" si="788"/>
        <v>0</v>
      </c>
      <c r="K80" s="30">
        <f t="shared" si="789"/>
        <v>10</v>
      </c>
      <c r="L80" s="30">
        <f t="shared" si="236"/>
        <v>0</v>
      </c>
      <c r="M80" s="30">
        <f t="shared" ref="M80" si="922">IF(L80=0,IF(VLOOKUP(M$3,$A$3:$F$14,4,FALSE)&gt;=$G80,10,0),0)</f>
        <v>0</v>
      </c>
      <c r="N80" s="30">
        <f t="shared" si="791"/>
        <v>0</v>
      </c>
      <c r="O80" s="30">
        <f t="shared" si="792"/>
        <v>10</v>
      </c>
      <c r="P80" s="30">
        <f t="shared" si="238"/>
        <v>0</v>
      </c>
      <c r="Q80" s="30">
        <f t="shared" ref="Q80" si="923">IF(P80=0,IF(VLOOKUP(Q$3,$A$3:$F$14,4,FALSE)&gt;=$G80,10,0),0)</f>
        <v>0</v>
      </c>
      <c r="R80" s="30">
        <f t="shared" si="794"/>
        <v>0</v>
      </c>
      <c r="S80" s="30">
        <f t="shared" si="795"/>
        <v>10</v>
      </c>
      <c r="T80" s="30">
        <f t="shared" si="240"/>
        <v>0</v>
      </c>
      <c r="U80" s="30">
        <f t="shared" ref="U80" si="924">IF(T80=0,IF(VLOOKUP(U$3,$A$3:$F$14,4,FALSE)&gt;=$G80,10,0),0)</f>
        <v>0</v>
      </c>
      <c r="V80" s="30">
        <f t="shared" si="797"/>
        <v>0</v>
      </c>
      <c r="W80" s="30">
        <f t="shared" si="798"/>
        <v>10</v>
      </c>
      <c r="X80" s="30">
        <f t="shared" si="242"/>
        <v>0</v>
      </c>
      <c r="Y80" s="30">
        <f t="shared" ref="Y80" si="925">IF(X80=0,IF(VLOOKUP(Y$3,$A$3:$F$14,4,FALSE)&gt;=$G80,10,0),0)</f>
        <v>0</v>
      </c>
      <c r="Z80" s="30">
        <f t="shared" si="800"/>
        <v>0</v>
      </c>
      <c r="AA80" s="30">
        <f t="shared" si="801"/>
        <v>10</v>
      </c>
      <c r="AB80" s="30">
        <f t="shared" si="244"/>
        <v>0</v>
      </c>
      <c r="AC80" s="30">
        <f t="shared" ref="AC80" si="926">IF(AB80=0,IF(VLOOKUP(AC$3,$A$3:$F$14,4,FALSE)&gt;=$G80,10,0),0)</f>
        <v>0</v>
      </c>
      <c r="AD80" s="30">
        <f t="shared" si="803"/>
        <v>0</v>
      </c>
      <c r="AE80" s="30">
        <f t="shared" si="804"/>
        <v>10</v>
      </c>
      <c r="AF80" s="30">
        <f t="shared" si="246"/>
        <v>0</v>
      </c>
      <c r="AG80" s="30">
        <f t="shared" ref="AG80" si="927">IF(AF80=0,IF(VLOOKUP(AG$3,$A$3:$F$14,4,FALSE)&gt;=$G80,10,0),0)</f>
        <v>0</v>
      </c>
      <c r="AH80" s="30">
        <f t="shared" si="806"/>
        <v>0</v>
      </c>
      <c r="AI80" s="30">
        <f t="shared" si="807"/>
        <v>10</v>
      </c>
      <c r="AJ80" s="30">
        <f t="shared" si="248"/>
        <v>0</v>
      </c>
      <c r="AK80" s="30">
        <f t="shared" ref="AK80" si="928">IF(AJ80=0,IF(VLOOKUP(AK$3,$A$3:$F$14,4,FALSE)&gt;=$G80,10,0),0)</f>
        <v>0</v>
      </c>
      <c r="AL80" s="30">
        <f t="shared" si="809"/>
        <v>0</v>
      </c>
      <c r="AM80" s="30">
        <f t="shared" si="810"/>
        <v>10</v>
      </c>
      <c r="AN80" s="30">
        <f t="shared" si="250"/>
        <v>0</v>
      </c>
      <c r="AO80" s="30">
        <f t="shared" ref="AO80" si="929">IF(AN80=0,IF(VLOOKUP(AO$3,$A$3:$F$14,4,FALSE)&gt;=$G80,10,0),0)</f>
        <v>0</v>
      </c>
      <c r="AP80" s="30">
        <f t="shared" si="812"/>
        <v>0</v>
      </c>
      <c r="AQ80" s="30">
        <f t="shared" si="813"/>
        <v>10</v>
      </c>
      <c r="AR80" s="30">
        <f t="shared" si="252"/>
        <v>0</v>
      </c>
      <c r="AS80" s="30">
        <f t="shared" ref="AS80" si="930">IF(AR80=0,IF(VLOOKUP(AS$3,$A$3:$F$14,4,FALSE)&gt;=$G80,10,0),0)</f>
        <v>0</v>
      </c>
      <c r="AT80" s="30">
        <f t="shared" si="815"/>
        <v>10</v>
      </c>
      <c r="AU80" s="30">
        <f t="shared" si="816"/>
        <v>0</v>
      </c>
      <c r="AV80" s="30">
        <f t="shared" si="254"/>
        <v>0</v>
      </c>
      <c r="AW80" s="30">
        <f t="shared" ref="AW80" si="931">IF(AV80=0,IF(VLOOKUP(AW$3,$A$3:$F$14,4,FALSE)&gt;=$G80,10,0),0)</f>
        <v>0</v>
      </c>
      <c r="AX80" s="30">
        <f t="shared" si="818"/>
        <v>10</v>
      </c>
      <c r="AY80" s="30">
        <f t="shared" si="819"/>
        <v>0</v>
      </c>
      <c r="AZ80" s="30">
        <f t="shared" si="256"/>
        <v>0</v>
      </c>
      <c r="BA80" s="30">
        <f t="shared" ref="BA80" si="932">IF(AZ80=0,IF(VLOOKUP(BA$3,$A$3:$F$14,4,FALSE)&gt;=$G80,10,0),0)</f>
        <v>0</v>
      </c>
      <c r="BB80" s="30">
        <f t="shared" si="821"/>
        <v>0</v>
      </c>
      <c r="BC80" s="30">
        <f t="shared" si="822"/>
        <v>10</v>
      </c>
    </row>
    <row r="81" spans="7:55" x14ac:dyDescent="0.2">
      <c r="G81" s="19">
        <v>77</v>
      </c>
      <c r="H81" s="21">
        <f t="shared" si="786"/>
        <v>0</v>
      </c>
      <c r="I81" s="28">
        <f t="shared" si="787"/>
        <v>0</v>
      </c>
      <c r="J81" s="28">
        <f t="shared" si="788"/>
        <v>0</v>
      </c>
      <c r="K81" s="30">
        <f t="shared" si="789"/>
        <v>10</v>
      </c>
      <c r="L81" s="30">
        <f t="shared" si="236"/>
        <v>0</v>
      </c>
      <c r="M81" s="30">
        <f t="shared" ref="M81" si="933">IF(L81=0,IF(VLOOKUP(M$3,$A$3:$F$14,4,FALSE)&gt;=$G81,10,0),0)</f>
        <v>0</v>
      </c>
      <c r="N81" s="30">
        <f t="shared" si="791"/>
        <v>0</v>
      </c>
      <c r="O81" s="30">
        <f t="shared" si="792"/>
        <v>10</v>
      </c>
      <c r="P81" s="30">
        <f t="shared" si="238"/>
        <v>0</v>
      </c>
      <c r="Q81" s="30">
        <f t="shared" ref="Q81" si="934">IF(P81=0,IF(VLOOKUP(Q$3,$A$3:$F$14,4,FALSE)&gt;=$G81,10,0),0)</f>
        <v>0</v>
      </c>
      <c r="R81" s="30">
        <f t="shared" si="794"/>
        <v>0</v>
      </c>
      <c r="S81" s="30">
        <f t="shared" si="795"/>
        <v>10</v>
      </c>
      <c r="T81" s="30">
        <f t="shared" si="240"/>
        <v>0</v>
      </c>
      <c r="U81" s="30">
        <f t="shared" ref="U81" si="935">IF(T81=0,IF(VLOOKUP(U$3,$A$3:$F$14,4,FALSE)&gt;=$G81,10,0),0)</f>
        <v>0</v>
      </c>
      <c r="V81" s="30">
        <f t="shared" si="797"/>
        <v>0</v>
      </c>
      <c r="W81" s="30">
        <f t="shared" si="798"/>
        <v>10</v>
      </c>
      <c r="X81" s="30">
        <f t="shared" si="242"/>
        <v>0</v>
      </c>
      <c r="Y81" s="30">
        <f t="shared" ref="Y81" si="936">IF(X81=0,IF(VLOOKUP(Y$3,$A$3:$F$14,4,FALSE)&gt;=$G81,10,0),0)</f>
        <v>0</v>
      </c>
      <c r="Z81" s="30">
        <f t="shared" si="800"/>
        <v>0</v>
      </c>
      <c r="AA81" s="30">
        <f t="shared" si="801"/>
        <v>10</v>
      </c>
      <c r="AB81" s="30">
        <f t="shared" si="244"/>
        <v>0</v>
      </c>
      <c r="AC81" s="30">
        <f t="shared" ref="AC81" si="937">IF(AB81=0,IF(VLOOKUP(AC$3,$A$3:$F$14,4,FALSE)&gt;=$G81,10,0),0)</f>
        <v>0</v>
      </c>
      <c r="AD81" s="30">
        <f t="shared" si="803"/>
        <v>0</v>
      </c>
      <c r="AE81" s="30">
        <f t="shared" si="804"/>
        <v>10</v>
      </c>
      <c r="AF81" s="30">
        <f t="shared" si="246"/>
        <v>0</v>
      </c>
      <c r="AG81" s="30">
        <f t="shared" ref="AG81" si="938">IF(AF81=0,IF(VLOOKUP(AG$3,$A$3:$F$14,4,FALSE)&gt;=$G81,10,0),0)</f>
        <v>0</v>
      </c>
      <c r="AH81" s="30">
        <f t="shared" si="806"/>
        <v>0</v>
      </c>
      <c r="AI81" s="30">
        <f t="shared" si="807"/>
        <v>10</v>
      </c>
      <c r="AJ81" s="30">
        <f t="shared" si="248"/>
        <v>0</v>
      </c>
      <c r="AK81" s="30">
        <f t="shared" ref="AK81" si="939">IF(AJ81=0,IF(VLOOKUP(AK$3,$A$3:$F$14,4,FALSE)&gt;=$G81,10,0),0)</f>
        <v>0</v>
      </c>
      <c r="AL81" s="30">
        <f t="shared" si="809"/>
        <v>0</v>
      </c>
      <c r="AM81" s="30">
        <f t="shared" si="810"/>
        <v>10</v>
      </c>
      <c r="AN81" s="30">
        <f t="shared" si="250"/>
        <v>0</v>
      </c>
      <c r="AO81" s="30">
        <f t="shared" ref="AO81" si="940">IF(AN81=0,IF(VLOOKUP(AO$3,$A$3:$F$14,4,FALSE)&gt;=$G81,10,0),0)</f>
        <v>0</v>
      </c>
      <c r="AP81" s="30">
        <f t="shared" si="812"/>
        <v>0</v>
      </c>
      <c r="AQ81" s="30">
        <f t="shared" si="813"/>
        <v>10</v>
      </c>
      <c r="AR81" s="30">
        <f t="shared" si="252"/>
        <v>0</v>
      </c>
      <c r="AS81" s="30">
        <f t="shared" ref="AS81" si="941">IF(AR81=0,IF(VLOOKUP(AS$3,$A$3:$F$14,4,FALSE)&gt;=$G81,10,0),0)</f>
        <v>0</v>
      </c>
      <c r="AT81" s="30">
        <f t="shared" si="815"/>
        <v>10</v>
      </c>
      <c r="AU81" s="30">
        <f t="shared" si="816"/>
        <v>0</v>
      </c>
      <c r="AV81" s="30">
        <f t="shared" si="254"/>
        <v>0</v>
      </c>
      <c r="AW81" s="30">
        <f t="shared" ref="AW81" si="942">IF(AV81=0,IF(VLOOKUP(AW$3,$A$3:$F$14,4,FALSE)&gt;=$G81,10,0),0)</f>
        <v>0</v>
      </c>
      <c r="AX81" s="30">
        <f t="shared" si="818"/>
        <v>10</v>
      </c>
      <c r="AY81" s="30">
        <f t="shared" si="819"/>
        <v>0</v>
      </c>
      <c r="AZ81" s="30">
        <f t="shared" si="256"/>
        <v>0</v>
      </c>
      <c r="BA81" s="30">
        <f t="shared" ref="BA81" si="943">IF(AZ81=0,IF(VLOOKUP(BA$3,$A$3:$F$14,4,FALSE)&gt;=$G81,10,0),0)</f>
        <v>0</v>
      </c>
      <c r="BB81" s="30">
        <f t="shared" si="821"/>
        <v>0</v>
      </c>
      <c r="BC81" s="30">
        <f t="shared" si="822"/>
        <v>10</v>
      </c>
    </row>
    <row r="82" spans="7:55" x14ac:dyDescent="0.2">
      <c r="G82" s="19">
        <v>78</v>
      </c>
      <c r="H82" s="21">
        <f t="shared" si="786"/>
        <v>0</v>
      </c>
      <c r="I82" s="28">
        <f t="shared" si="787"/>
        <v>0</v>
      </c>
      <c r="J82" s="28">
        <f t="shared" si="788"/>
        <v>0</v>
      </c>
      <c r="K82" s="30">
        <f t="shared" si="789"/>
        <v>10</v>
      </c>
      <c r="L82" s="30">
        <f t="shared" si="236"/>
        <v>0</v>
      </c>
      <c r="M82" s="30">
        <f t="shared" ref="M82" si="944">IF(L82=0,IF(VLOOKUP(M$3,$A$3:$F$14,4,FALSE)&gt;=$G82,10,0),0)</f>
        <v>0</v>
      </c>
      <c r="N82" s="30">
        <f t="shared" si="791"/>
        <v>0</v>
      </c>
      <c r="O82" s="30">
        <f t="shared" si="792"/>
        <v>10</v>
      </c>
      <c r="P82" s="30">
        <f t="shared" si="238"/>
        <v>0</v>
      </c>
      <c r="Q82" s="30">
        <f t="shared" ref="Q82" si="945">IF(P82=0,IF(VLOOKUP(Q$3,$A$3:$F$14,4,FALSE)&gt;=$G82,10,0),0)</f>
        <v>0</v>
      </c>
      <c r="R82" s="30">
        <f t="shared" si="794"/>
        <v>0</v>
      </c>
      <c r="S82" s="30">
        <f t="shared" si="795"/>
        <v>10</v>
      </c>
      <c r="T82" s="30">
        <f t="shared" si="240"/>
        <v>0</v>
      </c>
      <c r="U82" s="30">
        <f t="shared" ref="U82" si="946">IF(T82=0,IF(VLOOKUP(U$3,$A$3:$F$14,4,FALSE)&gt;=$G82,10,0),0)</f>
        <v>0</v>
      </c>
      <c r="V82" s="30">
        <f t="shared" si="797"/>
        <v>0</v>
      </c>
      <c r="W82" s="30">
        <f t="shared" si="798"/>
        <v>10</v>
      </c>
      <c r="X82" s="30">
        <f t="shared" si="242"/>
        <v>0</v>
      </c>
      <c r="Y82" s="30">
        <f t="shared" ref="Y82" si="947">IF(X82=0,IF(VLOOKUP(Y$3,$A$3:$F$14,4,FALSE)&gt;=$G82,10,0),0)</f>
        <v>0</v>
      </c>
      <c r="Z82" s="30">
        <f t="shared" si="800"/>
        <v>0</v>
      </c>
      <c r="AA82" s="30">
        <f t="shared" si="801"/>
        <v>10</v>
      </c>
      <c r="AB82" s="30">
        <f t="shared" si="244"/>
        <v>0</v>
      </c>
      <c r="AC82" s="30">
        <f t="shared" ref="AC82" si="948">IF(AB82=0,IF(VLOOKUP(AC$3,$A$3:$F$14,4,FALSE)&gt;=$G82,10,0),0)</f>
        <v>0</v>
      </c>
      <c r="AD82" s="30">
        <f t="shared" si="803"/>
        <v>0</v>
      </c>
      <c r="AE82" s="30">
        <f t="shared" si="804"/>
        <v>10</v>
      </c>
      <c r="AF82" s="30">
        <f t="shared" si="246"/>
        <v>0</v>
      </c>
      <c r="AG82" s="30">
        <f t="shared" ref="AG82" si="949">IF(AF82=0,IF(VLOOKUP(AG$3,$A$3:$F$14,4,FALSE)&gt;=$G82,10,0),0)</f>
        <v>0</v>
      </c>
      <c r="AH82" s="30">
        <f t="shared" si="806"/>
        <v>0</v>
      </c>
      <c r="AI82" s="30">
        <f t="shared" si="807"/>
        <v>10</v>
      </c>
      <c r="AJ82" s="30">
        <f t="shared" si="248"/>
        <v>0</v>
      </c>
      <c r="AK82" s="30">
        <f t="shared" ref="AK82" si="950">IF(AJ82=0,IF(VLOOKUP(AK$3,$A$3:$F$14,4,FALSE)&gt;=$G82,10,0),0)</f>
        <v>0</v>
      </c>
      <c r="AL82" s="30">
        <f t="shared" si="809"/>
        <v>0</v>
      </c>
      <c r="AM82" s="30">
        <f t="shared" si="810"/>
        <v>10</v>
      </c>
      <c r="AN82" s="30">
        <f t="shared" si="250"/>
        <v>0</v>
      </c>
      <c r="AO82" s="30">
        <f t="shared" ref="AO82" si="951">IF(AN82=0,IF(VLOOKUP(AO$3,$A$3:$F$14,4,FALSE)&gt;=$G82,10,0),0)</f>
        <v>0</v>
      </c>
      <c r="AP82" s="30">
        <f t="shared" si="812"/>
        <v>0</v>
      </c>
      <c r="AQ82" s="30">
        <f t="shared" si="813"/>
        <v>10</v>
      </c>
      <c r="AR82" s="30">
        <f t="shared" si="252"/>
        <v>0</v>
      </c>
      <c r="AS82" s="30">
        <f t="shared" ref="AS82" si="952">IF(AR82=0,IF(VLOOKUP(AS$3,$A$3:$F$14,4,FALSE)&gt;=$G82,10,0),0)</f>
        <v>0</v>
      </c>
      <c r="AT82" s="30">
        <f t="shared" si="815"/>
        <v>10</v>
      </c>
      <c r="AU82" s="30">
        <f t="shared" si="816"/>
        <v>0</v>
      </c>
      <c r="AV82" s="30">
        <f t="shared" si="254"/>
        <v>0</v>
      </c>
      <c r="AW82" s="30">
        <f t="shared" ref="AW82" si="953">IF(AV82=0,IF(VLOOKUP(AW$3,$A$3:$F$14,4,FALSE)&gt;=$G82,10,0),0)</f>
        <v>0</v>
      </c>
      <c r="AX82" s="30">
        <f t="shared" si="818"/>
        <v>10</v>
      </c>
      <c r="AY82" s="30">
        <f t="shared" si="819"/>
        <v>0</v>
      </c>
      <c r="AZ82" s="30">
        <f t="shared" si="256"/>
        <v>0</v>
      </c>
      <c r="BA82" s="30">
        <f t="shared" ref="BA82" si="954">IF(AZ82=0,IF(VLOOKUP(BA$3,$A$3:$F$14,4,FALSE)&gt;=$G82,10,0),0)</f>
        <v>0</v>
      </c>
      <c r="BB82" s="30">
        <f t="shared" si="821"/>
        <v>0</v>
      </c>
      <c r="BC82" s="30">
        <f t="shared" si="822"/>
        <v>10</v>
      </c>
    </row>
    <row r="83" spans="7:55" x14ac:dyDescent="0.2">
      <c r="G83" s="19">
        <v>79</v>
      </c>
      <c r="H83" s="21">
        <f t="shared" si="786"/>
        <v>0</v>
      </c>
      <c r="I83" s="28">
        <f t="shared" si="787"/>
        <v>0</v>
      </c>
      <c r="J83" s="28">
        <f t="shared" si="788"/>
        <v>0</v>
      </c>
      <c r="K83" s="30">
        <f t="shared" si="789"/>
        <v>10</v>
      </c>
      <c r="L83" s="30">
        <f t="shared" si="236"/>
        <v>0</v>
      </c>
      <c r="M83" s="30">
        <f t="shared" ref="M83" si="955">IF(L83=0,IF(VLOOKUP(M$3,$A$3:$F$14,4,FALSE)&gt;=$G83,10,0),0)</f>
        <v>0</v>
      </c>
      <c r="N83" s="30">
        <f t="shared" si="791"/>
        <v>0</v>
      </c>
      <c r="O83" s="30">
        <f t="shared" si="792"/>
        <v>10</v>
      </c>
      <c r="P83" s="30">
        <f t="shared" si="238"/>
        <v>0</v>
      </c>
      <c r="Q83" s="30">
        <f t="shared" ref="Q83" si="956">IF(P83=0,IF(VLOOKUP(Q$3,$A$3:$F$14,4,FALSE)&gt;=$G83,10,0),0)</f>
        <v>0</v>
      </c>
      <c r="R83" s="30">
        <f t="shared" si="794"/>
        <v>0</v>
      </c>
      <c r="S83" s="30">
        <f t="shared" si="795"/>
        <v>10</v>
      </c>
      <c r="T83" s="30">
        <f t="shared" si="240"/>
        <v>0</v>
      </c>
      <c r="U83" s="30">
        <f t="shared" ref="U83" si="957">IF(T83=0,IF(VLOOKUP(U$3,$A$3:$F$14,4,FALSE)&gt;=$G83,10,0),0)</f>
        <v>0</v>
      </c>
      <c r="V83" s="30">
        <f t="shared" si="797"/>
        <v>0</v>
      </c>
      <c r="W83" s="30">
        <f t="shared" si="798"/>
        <v>10</v>
      </c>
      <c r="X83" s="30">
        <f t="shared" si="242"/>
        <v>0</v>
      </c>
      <c r="Y83" s="30">
        <f t="shared" ref="Y83" si="958">IF(X83=0,IF(VLOOKUP(Y$3,$A$3:$F$14,4,FALSE)&gt;=$G83,10,0),0)</f>
        <v>0</v>
      </c>
      <c r="Z83" s="30">
        <f t="shared" si="800"/>
        <v>0</v>
      </c>
      <c r="AA83" s="30">
        <f t="shared" si="801"/>
        <v>10</v>
      </c>
      <c r="AB83" s="30">
        <f t="shared" si="244"/>
        <v>0</v>
      </c>
      <c r="AC83" s="30">
        <f t="shared" ref="AC83" si="959">IF(AB83=0,IF(VLOOKUP(AC$3,$A$3:$F$14,4,FALSE)&gt;=$G83,10,0),0)</f>
        <v>0</v>
      </c>
      <c r="AD83" s="30">
        <f t="shared" si="803"/>
        <v>0</v>
      </c>
      <c r="AE83" s="30">
        <f t="shared" si="804"/>
        <v>10</v>
      </c>
      <c r="AF83" s="30">
        <f t="shared" si="246"/>
        <v>0</v>
      </c>
      <c r="AG83" s="30">
        <f t="shared" ref="AG83" si="960">IF(AF83=0,IF(VLOOKUP(AG$3,$A$3:$F$14,4,FALSE)&gt;=$G83,10,0),0)</f>
        <v>0</v>
      </c>
      <c r="AH83" s="30">
        <f t="shared" si="806"/>
        <v>0</v>
      </c>
      <c r="AI83" s="30">
        <f t="shared" si="807"/>
        <v>10</v>
      </c>
      <c r="AJ83" s="30">
        <f t="shared" si="248"/>
        <v>0</v>
      </c>
      <c r="AK83" s="30">
        <f t="shared" ref="AK83" si="961">IF(AJ83=0,IF(VLOOKUP(AK$3,$A$3:$F$14,4,FALSE)&gt;=$G83,10,0),0)</f>
        <v>0</v>
      </c>
      <c r="AL83" s="30">
        <f t="shared" si="809"/>
        <v>0</v>
      </c>
      <c r="AM83" s="30">
        <f t="shared" si="810"/>
        <v>10</v>
      </c>
      <c r="AN83" s="30">
        <f t="shared" si="250"/>
        <v>0</v>
      </c>
      <c r="AO83" s="30">
        <f t="shared" ref="AO83" si="962">IF(AN83=0,IF(VLOOKUP(AO$3,$A$3:$F$14,4,FALSE)&gt;=$G83,10,0),0)</f>
        <v>0</v>
      </c>
      <c r="AP83" s="30">
        <f t="shared" si="812"/>
        <v>0</v>
      </c>
      <c r="AQ83" s="30">
        <f t="shared" si="813"/>
        <v>10</v>
      </c>
      <c r="AR83" s="30">
        <f t="shared" si="252"/>
        <v>0</v>
      </c>
      <c r="AS83" s="30">
        <f t="shared" ref="AS83" si="963">IF(AR83=0,IF(VLOOKUP(AS$3,$A$3:$F$14,4,FALSE)&gt;=$G83,10,0),0)</f>
        <v>0</v>
      </c>
      <c r="AT83" s="30">
        <f t="shared" si="815"/>
        <v>10</v>
      </c>
      <c r="AU83" s="30">
        <f t="shared" si="816"/>
        <v>0</v>
      </c>
      <c r="AV83" s="30">
        <f t="shared" si="254"/>
        <v>0</v>
      </c>
      <c r="AW83" s="30">
        <f t="shared" ref="AW83" si="964">IF(AV83=0,IF(VLOOKUP(AW$3,$A$3:$F$14,4,FALSE)&gt;=$G83,10,0),0)</f>
        <v>0</v>
      </c>
      <c r="AX83" s="30">
        <f t="shared" si="818"/>
        <v>10</v>
      </c>
      <c r="AY83" s="30">
        <f t="shared" si="819"/>
        <v>0</v>
      </c>
      <c r="AZ83" s="30">
        <f t="shared" si="256"/>
        <v>0</v>
      </c>
      <c r="BA83" s="30">
        <f t="shared" ref="BA83" si="965">IF(AZ83=0,IF(VLOOKUP(BA$3,$A$3:$F$14,4,FALSE)&gt;=$G83,10,0),0)</f>
        <v>0</v>
      </c>
      <c r="BB83" s="30">
        <f t="shared" si="821"/>
        <v>0</v>
      </c>
      <c r="BC83" s="30">
        <f t="shared" si="822"/>
        <v>10</v>
      </c>
    </row>
    <row r="84" spans="7:55" x14ac:dyDescent="0.2">
      <c r="G84" s="19">
        <v>80</v>
      </c>
      <c r="H84" s="21">
        <f t="shared" si="786"/>
        <v>0</v>
      </c>
      <c r="I84" s="28">
        <f t="shared" si="787"/>
        <v>0</v>
      </c>
      <c r="J84" s="28">
        <f t="shared" si="788"/>
        <v>0</v>
      </c>
      <c r="K84" s="30">
        <f t="shared" si="789"/>
        <v>10</v>
      </c>
      <c r="L84" s="30">
        <f t="shared" si="236"/>
        <v>0</v>
      </c>
      <c r="M84" s="30">
        <f t="shared" ref="M84" si="966">IF(L84=0,IF(VLOOKUP(M$3,$A$3:$F$14,4,FALSE)&gt;=$G84,10,0),0)</f>
        <v>0</v>
      </c>
      <c r="N84" s="30">
        <f t="shared" si="791"/>
        <v>0</v>
      </c>
      <c r="O84" s="30">
        <f t="shared" si="792"/>
        <v>10</v>
      </c>
      <c r="P84" s="30">
        <f t="shared" si="238"/>
        <v>0</v>
      </c>
      <c r="Q84" s="30">
        <f t="shared" ref="Q84" si="967">IF(P84=0,IF(VLOOKUP(Q$3,$A$3:$F$14,4,FALSE)&gt;=$G84,10,0),0)</f>
        <v>0</v>
      </c>
      <c r="R84" s="30">
        <f t="shared" si="794"/>
        <v>0</v>
      </c>
      <c r="S84" s="30">
        <f t="shared" si="795"/>
        <v>10</v>
      </c>
      <c r="T84" s="30">
        <f t="shared" si="240"/>
        <v>0</v>
      </c>
      <c r="U84" s="30">
        <f t="shared" ref="U84" si="968">IF(T84=0,IF(VLOOKUP(U$3,$A$3:$F$14,4,FALSE)&gt;=$G84,10,0),0)</f>
        <v>0</v>
      </c>
      <c r="V84" s="30">
        <f t="shared" si="797"/>
        <v>0</v>
      </c>
      <c r="W84" s="30">
        <f t="shared" si="798"/>
        <v>10</v>
      </c>
      <c r="X84" s="30">
        <f t="shared" si="242"/>
        <v>0</v>
      </c>
      <c r="Y84" s="30">
        <f t="shared" ref="Y84" si="969">IF(X84=0,IF(VLOOKUP(Y$3,$A$3:$F$14,4,FALSE)&gt;=$G84,10,0),0)</f>
        <v>0</v>
      </c>
      <c r="Z84" s="30">
        <f t="shared" si="800"/>
        <v>0</v>
      </c>
      <c r="AA84" s="30">
        <f t="shared" si="801"/>
        <v>10</v>
      </c>
      <c r="AB84" s="30">
        <f t="shared" si="244"/>
        <v>0</v>
      </c>
      <c r="AC84" s="30">
        <f t="shared" ref="AC84" si="970">IF(AB84=0,IF(VLOOKUP(AC$3,$A$3:$F$14,4,FALSE)&gt;=$G84,10,0),0)</f>
        <v>0</v>
      </c>
      <c r="AD84" s="30">
        <f t="shared" si="803"/>
        <v>0</v>
      </c>
      <c r="AE84" s="30">
        <f t="shared" si="804"/>
        <v>10</v>
      </c>
      <c r="AF84" s="30">
        <f t="shared" si="246"/>
        <v>0</v>
      </c>
      <c r="AG84" s="30">
        <f t="shared" ref="AG84" si="971">IF(AF84=0,IF(VLOOKUP(AG$3,$A$3:$F$14,4,FALSE)&gt;=$G84,10,0),0)</f>
        <v>0</v>
      </c>
      <c r="AH84" s="30">
        <f t="shared" si="806"/>
        <v>0</v>
      </c>
      <c r="AI84" s="30">
        <f t="shared" si="807"/>
        <v>10</v>
      </c>
      <c r="AJ84" s="30">
        <f t="shared" si="248"/>
        <v>0</v>
      </c>
      <c r="AK84" s="30">
        <f t="shared" ref="AK84" si="972">IF(AJ84=0,IF(VLOOKUP(AK$3,$A$3:$F$14,4,FALSE)&gt;=$G84,10,0),0)</f>
        <v>0</v>
      </c>
      <c r="AL84" s="30">
        <f t="shared" si="809"/>
        <v>0</v>
      </c>
      <c r="AM84" s="30">
        <f t="shared" si="810"/>
        <v>10</v>
      </c>
      <c r="AN84" s="30">
        <f t="shared" si="250"/>
        <v>0</v>
      </c>
      <c r="AO84" s="30">
        <f t="shared" ref="AO84" si="973">IF(AN84=0,IF(VLOOKUP(AO$3,$A$3:$F$14,4,FALSE)&gt;=$G84,10,0),0)</f>
        <v>0</v>
      </c>
      <c r="AP84" s="30">
        <f t="shared" si="812"/>
        <v>0</v>
      </c>
      <c r="AQ84" s="30">
        <f t="shared" si="813"/>
        <v>10</v>
      </c>
      <c r="AR84" s="30">
        <f t="shared" si="252"/>
        <v>0</v>
      </c>
      <c r="AS84" s="30">
        <f t="shared" ref="AS84" si="974">IF(AR84=0,IF(VLOOKUP(AS$3,$A$3:$F$14,4,FALSE)&gt;=$G84,10,0),0)</f>
        <v>0</v>
      </c>
      <c r="AT84" s="30">
        <f t="shared" si="815"/>
        <v>10</v>
      </c>
      <c r="AU84" s="30">
        <f t="shared" si="816"/>
        <v>0</v>
      </c>
      <c r="AV84" s="30">
        <f t="shared" si="254"/>
        <v>0</v>
      </c>
      <c r="AW84" s="30">
        <f t="shared" ref="AW84" si="975">IF(AV84=0,IF(VLOOKUP(AW$3,$A$3:$F$14,4,FALSE)&gt;=$G84,10,0),0)</f>
        <v>0</v>
      </c>
      <c r="AX84" s="30">
        <f t="shared" si="818"/>
        <v>10</v>
      </c>
      <c r="AY84" s="30">
        <f t="shared" si="819"/>
        <v>0</v>
      </c>
      <c r="AZ84" s="30">
        <f t="shared" si="256"/>
        <v>0</v>
      </c>
      <c r="BA84" s="30">
        <f t="shared" ref="BA84" si="976">IF(AZ84=0,IF(VLOOKUP(BA$3,$A$3:$F$14,4,FALSE)&gt;=$G84,10,0),0)</f>
        <v>0</v>
      </c>
      <c r="BB84" s="30">
        <f t="shared" si="821"/>
        <v>0</v>
      </c>
      <c r="BC84" s="30">
        <f t="shared" si="822"/>
        <v>10</v>
      </c>
    </row>
    <row r="85" spans="7:55" x14ac:dyDescent="0.2">
      <c r="G85" s="19">
        <v>81</v>
      </c>
      <c r="H85" s="21">
        <f t="shared" si="786"/>
        <v>0</v>
      </c>
      <c r="I85" s="28">
        <f t="shared" si="787"/>
        <v>0</v>
      </c>
      <c r="J85" s="28">
        <f t="shared" si="788"/>
        <v>0</v>
      </c>
      <c r="K85" s="30">
        <f t="shared" si="789"/>
        <v>10</v>
      </c>
      <c r="L85" s="30">
        <f t="shared" ref="L85:L104" si="977">IF(VLOOKUP(L$3,$A$3:$F$14,3,FALSE)&gt;=$G85,10,0)</f>
        <v>0</v>
      </c>
      <c r="M85" s="30">
        <f t="shared" ref="M85" si="978">IF(L85=0,IF(VLOOKUP(M$3,$A$3:$F$14,4,FALSE)&gt;=$G85,10,0),0)</f>
        <v>0</v>
      </c>
      <c r="N85" s="30">
        <f t="shared" si="791"/>
        <v>0</v>
      </c>
      <c r="O85" s="30">
        <f t="shared" si="792"/>
        <v>10</v>
      </c>
      <c r="P85" s="30">
        <f t="shared" ref="P85:P104" si="979">IF(VLOOKUP(P$3,$A$3:$F$14,3,FALSE)&gt;=$G85,10,0)</f>
        <v>0</v>
      </c>
      <c r="Q85" s="30">
        <f t="shared" ref="Q85" si="980">IF(P85=0,IF(VLOOKUP(Q$3,$A$3:$F$14,4,FALSE)&gt;=$G85,10,0),0)</f>
        <v>0</v>
      </c>
      <c r="R85" s="30">
        <f t="shared" si="794"/>
        <v>0</v>
      </c>
      <c r="S85" s="30">
        <f t="shared" si="795"/>
        <v>10</v>
      </c>
      <c r="T85" s="30">
        <f t="shared" ref="T85:T104" si="981">IF(VLOOKUP(T$3,$A$3:$F$14,3,FALSE)&gt;=$G85,10,0)</f>
        <v>0</v>
      </c>
      <c r="U85" s="30">
        <f t="shared" ref="U85" si="982">IF(T85=0,IF(VLOOKUP(U$3,$A$3:$F$14,4,FALSE)&gt;=$G85,10,0),0)</f>
        <v>0</v>
      </c>
      <c r="V85" s="30">
        <f t="shared" si="797"/>
        <v>0</v>
      </c>
      <c r="W85" s="30">
        <f t="shared" si="798"/>
        <v>10</v>
      </c>
      <c r="X85" s="30">
        <f t="shared" ref="X85:X104" si="983">IF(VLOOKUP(X$3,$A$3:$F$14,3,FALSE)&gt;=$G85,10,0)</f>
        <v>0</v>
      </c>
      <c r="Y85" s="30">
        <f t="shared" ref="Y85" si="984">IF(X85=0,IF(VLOOKUP(Y$3,$A$3:$F$14,4,FALSE)&gt;=$G85,10,0),0)</f>
        <v>0</v>
      </c>
      <c r="Z85" s="30">
        <f t="shared" si="800"/>
        <v>0</v>
      </c>
      <c r="AA85" s="30">
        <f t="shared" si="801"/>
        <v>10</v>
      </c>
      <c r="AB85" s="30">
        <f t="shared" ref="AB85:AB104" si="985">IF(VLOOKUP(AB$3,$A$3:$F$14,3,FALSE)&gt;=$G85,10,0)</f>
        <v>0</v>
      </c>
      <c r="AC85" s="30">
        <f t="shared" ref="AC85" si="986">IF(AB85=0,IF(VLOOKUP(AC$3,$A$3:$F$14,4,FALSE)&gt;=$G85,10,0),0)</f>
        <v>0</v>
      </c>
      <c r="AD85" s="30">
        <f t="shared" si="803"/>
        <v>0</v>
      </c>
      <c r="AE85" s="30">
        <f t="shared" si="804"/>
        <v>10</v>
      </c>
      <c r="AF85" s="30">
        <f t="shared" ref="AF85:AF104" si="987">IF(VLOOKUP(AF$3,$A$3:$F$14,3,FALSE)&gt;=$G85,10,0)</f>
        <v>0</v>
      </c>
      <c r="AG85" s="30">
        <f t="shared" ref="AG85" si="988">IF(AF85=0,IF(VLOOKUP(AG$3,$A$3:$F$14,4,FALSE)&gt;=$G85,10,0),0)</f>
        <v>0</v>
      </c>
      <c r="AH85" s="30">
        <f t="shared" si="806"/>
        <v>0</v>
      </c>
      <c r="AI85" s="30">
        <f t="shared" si="807"/>
        <v>10</v>
      </c>
      <c r="AJ85" s="30">
        <f t="shared" ref="AJ85:AJ104" si="989">IF(VLOOKUP(AJ$3,$A$3:$F$14,3,FALSE)&gt;=$G85,10,0)</f>
        <v>0</v>
      </c>
      <c r="AK85" s="30">
        <f t="shared" ref="AK85" si="990">IF(AJ85=0,IF(VLOOKUP(AK$3,$A$3:$F$14,4,FALSE)&gt;=$G85,10,0),0)</f>
        <v>0</v>
      </c>
      <c r="AL85" s="30">
        <f t="shared" si="809"/>
        <v>0</v>
      </c>
      <c r="AM85" s="30">
        <f t="shared" si="810"/>
        <v>10</v>
      </c>
      <c r="AN85" s="30">
        <f t="shared" ref="AN85:AN104" si="991">IF(VLOOKUP(AN$3,$A$3:$F$14,3,FALSE)&gt;=$G85,10,0)</f>
        <v>0</v>
      </c>
      <c r="AO85" s="30">
        <f t="shared" ref="AO85" si="992">IF(AN85=0,IF(VLOOKUP(AO$3,$A$3:$F$14,4,FALSE)&gt;=$G85,10,0),0)</f>
        <v>0</v>
      </c>
      <c r="AP85" s="30">
        <f t="shared" si="812"/>
        <v>0</v>
      </c>
      <c r="AQ85" s="30">
        <f t="shared" si="813"/>
        <v>10</v>
      </c>
      <c r="AR85" s="30">
        <f t="shared" ref="AR85:AR104" si="993">IF(VLOOKUP(AR$3,$A$3:$F$14,3,FALSE)&gt;=$G85,10,0)</f>
        <v>0</v>
      </c>
      <c r="AS85" s="30">
        <f t="shared" ref="AS85" si="994">IF(AR85=0,IF(VLOOKUP(AS$3,$A$3:$F$14,4,FALSE)&gt;=$G85,10,0),0)</f>
        <v>0</v>
      </c>
      <c r="AT85" s="30">
        <f t="shared" si="815"/>
        <v>10</v>
      </c>
      <c r="AU85" s="30">
        <f t="shared" si="816"/>
        <v>0</v>
      </c>
      <c r="AV85" s="30">
        <f t="shared" ref="AV85:AV104" si="995">IF(VLOOKUP(AV$3,$A$3:$F$14,3,FALSE)&gt;=$G85,10,0)</f>
        <v>0</v>
      </c>
      <c r="AW85" s="30">
        <f t="shared" ref="AW85" si="996">IF(AV85=0,IF(VLOOKUP(AW$3,$A$3:$F$14,4,FALSE)&gt;=$G85,10,0),0)</f>
        <v>0</v>
      </c>
      <c r="AX85" s="30">
        <f t="shared" si="818"/>
        <v>0</v>
      </c>
      <c r="AY85" s="30">
        <f t="shared" si="819"/>
        <v>10</v>
      </c>
      <c r="AZ85" s="30">
        <f t="shared" ref="AZ85:AZ104" si="997">IF(VLOOKUP(AZ$3,$A$3:$F$14,3,FALSE)&gt;=$G85,10,0)</f>
        <v>0</v>
      </c>
      <c r="BA85" s="30">
        <f t="shared" ref="BA85" si="998">IF(AZ85=0,IF(VLOOKUP(BA$3,$A$3:$F$14,4,FALSE)&gt;=$G85,10,0),0)</f>
        <v>0</v>
      </c>
      <c r="BB85" s="30">
        <f t="shared" si="821"/>
        <v>0</v>
      </c>
      <c r="BC85" s="30">
        <f t="shared" si="822"/>
        <v>10</v>
      </c>
    </row>
    <row r="86" spans="7:55" x14ac:dyDescent="0.2">
      <c r="G86" s="19">
        <v>82</v>
      </c>
      <c r="H86" s="21">
        <f t="shared" si="786"/>
        <v>0</v>
      </c>
      <c r="I86" s="28">
        <f t="shared" si="787"/>
        <v>0</v>
      </c>
      <c r="J86" s="28">
        <f t="shared" si="788"/>
        <v>0</v>
      </c>
      <c r="K86" s="30">
        <f t="shared" si="789"/>
        <v>10</v>
      </c>
      <c r="L86" s="30">
        <f t="shared" si="977"/>
        <v>0</v>
      </c>
      <c r="M86" s="30">
        <f t="shared" ref="M86" si="999">IF(L86=0,IF(VLOOKUP(M$3,$A$3:$F$14,4,FALSE)&gt;=$G86,10,0),0)</f>
        <v>0</v>
      </c>
      <c r="N86" s="30">
        <f t="shared" si="791"/>
        <v>0</v>
      </c>
      <c r="O86" s="30">
        <f t="shared" si="792"/>
        <v>10</v>
      </c>
      <c r="P86" s="30">
        <f t="shared" si="979"/>
        <v>0</v>
      </c>
      <c r="Q86" s="30">
        <f t="shared" ref="Q86" si="1000">IF(P86=0,IF(VLOOKUP(Q$3,$A$3:$F$14,4,FALSE)&gt;=$G86,10,0),0)</f>
        <v>0</v>
      </c>
      <c r="R86" s="30">
        <f t="shared" si="794"/>
        <v>0</v>
      </c>
      <c r="S86" s="30">
        <f t="shared" si="795"/>
        <v>10</v>
      </c>
      <c r="T86" s="30">
        <f t="shared" si="981"/>
        <v>0</v>
      </c>
      <c r="U86" s="30">
        <f t="shared" ref="U86" si="1001">IF(T86=0,IF(VLOOKUP(U$3,$A$3:$F$14,4,FALSE)&gt;=$G86,10,0),0)</f>
        <v>0</v>
      </c>
      <c r="V86" s="30">
        <f t="shared" si="797"/>
        <v>0</v>
      </c>
      <c r="W86" s="30">
        <f t="shared" si="798"/>
        <v>10</v>
      </c>
      <c r="X86" s="30">
        <f t="shared" si="983"/>
        <v>0</v>
      </c>
      <c r="Y86" s="30">
        <f t="shared" ref="Y86" si="1002">IF(X86=0,IF(VLOOKUP(Y$3,$A$3:$F$14,4,FALSE)&gt;=$G86,10,0),0)</f>
        <v>0</v>
      </c>
      <c r="Z86" s="30">
        <f t="shared" si="800"/>
        <v>0</v>
      </c>
      <c r="AA86" s="30">
        <f t="shared" si="801"/>
        <v>10</v>
      </c>
      <c r="AB86" s="30">
        <f t="shared" si="985"/>
        <v>0</v>
      </c>
      <c r="AC86" s="30">
        <f t="shared" ref="AC86" si="1003">IF(AB86=0,IF(VLOOKUP(AC$3,$A$3:$F$14,4,FALSE)&gt;=$G86,10,0),0)</f>
        <v>0</v>
      </c>
      <c r="AD86" s="30">
        <f t="shared" si="803"/>
        <v>0</v>
      </c>
      <c r="AE86" s="30">
        <f t="shared" si="804"/>
        <v>10</v>
      </c>
      <c r="AF86" s="30">
        <f t="shared" si="987"/>
        <v>0</v>
      </c>
      <c r="AG86" s="30">
        <f t="shared" ref="AG86" si="1004">IF(AF86=0,IF(VLOOKUP(AG$3,$A$3:$F$14,4,FALSE)&gt;=$G86,10,0),0)</f>
        <v>0</v>
      </c>
      <c r="AH86" s="30">
        <f t="shared" si="806"/>
        <v>0</v>
      </c>
      <c r="AI86" s="30">
        <f t="shared" si="807"/>
        <v>10</v>
      </c>
      <c r="AJ86" s="30">
        <f t="shared" si="989"/>
        <v>0</v>
      </c>
      <c r="AK86" s="30">
        <f t="shared" ref="AK86" si="1005">IF(AJ86=0,IF(VLOOKUP(AK$3,$A$3:$F$14,4,FALSE)&gt;=$G86,10,0),0)</f>
        <v>0</v>
      </c>
      <c r="AL86" s="30">
        <f t="shared" si="809"/>
        <v>0</v>
      </c>
      <c r="AM86" s="30">
        <f t="shared" si="810"/>
        <v>10</v>
      </c>
      <c r="AN86" s="30">
        <f t="shared" si="991"/>
        <v>0</v>
      </c>
      <c r="AO86" s="30">
        <f t="shared" ref="AO86" si="1006">IF(AN86=0,IF(VLOOKUP(AO$3,$A$3:$F$14,4,FALSE)&gt;=$G86,10,0),0)</f>
        <v>0</v>
      </c>
      <c r="AP86" s="30">
        <f t="shared" si="812"/>
        <v>0</v>
      </c>
      <c r="AQ86" s="30">
        <f t="shared" si="813"/>
        <v>10</v>
      </c>
      <c r="AR86" s="30">
        <f t="shared" si="993"/>
        <v>0</v>
      </c>
      <c r="AS86" s="30">
        <f t="shared" ref="AS86" si="1007">IF(AR86=0,IF(VLOOKUP(AS$3,$A$3:$F$14,4,FALSE)&gt;=$G86,10,0),0)</f>
        <v>0</v>
      </c>
      <c r="AT86" s="30">
        <f t="shared" si="815"/>
        <v>10</v>
      </c>
      <c r="AU86" s="30">
        <f t="shared" si="816"/>
        <v>0</v>
      </c>
      <c r="AV86" s="30">
        <f t="shared" si="995"/>
        <v>0</v>
      </c>
      <c r="AW86" s="30">
        <f t="shared" ref="AW86" si="1008">IF(AV86=0,IF(VLOOKUP(AW$3,$A$3:$F$14,4,FALSE)&gt;=$G86,10,0),0)</f>
        <v>0</v>
      </c>
      <c r="AX86" s="30">
        <f t="shared" si="818"/>
        <v>0</v>
      </c>
      <c r="AY86" s="30">
        <f t="shared" si="819"/>
        <v>10</v>
      </c>
      <c r="AZ86" s="30">
        <f t="shared" si="997"/>
        <v>0</v>
      </c>
      <c r="BA86" s="30">
        <f t="shared" ref="BA86" si="1009">IF(AZ86=0,IF(VLOOKUP(BA$3,$A$3:$F$14,4,FALSE)&gt;=$G86,10,0),0)</f>
        <v>0</v>
      </c>
      <c r="BB86" s="30">
        <f t="shared" si="821"/>
        <v>0</v>
      </c>
      <c r="BC86" s="30">
        <f t="shared" si="822"/>
        <v>10</v>
      </c>
    </row>
    <row r="87" spans="7:55" x14ac:dyDescent="0.2">
      <c r="G87" s="19">
        <v>83</v>
      </c>
      <c r="H87" s="21">
        <f t="shared" si="786"/>
        <v>0</v>
      </c>
      <c r="I87" s="28">
        <f t="shared" si="787"/>
        <v>0</v>
      </c>
      <c r="J87" s="28">
        <f t="shared" si="788"/>
        <v>0</v>
      </c>
      <c r="K87" s="30">
        <f t="shared" si="789"/>
        <v>10</v>
      </c>
      <c r="L87" s="30">
        <f t="shared" si="977"/>
        <v>0</v>
      </c>
      <c r="M87" s="30">
        <f t="shared" ref="M87" si="1010">IF(L87=0,IF(VLOOKUP(M$3,$A$3:$F$14,4,FALSE)&gt;=$G87,10,0),0)</f>
        <v>0</v>
      </c>
      <c r="N87" s="30">
        <f t="shared" si="791"/>
        <v>0</v>
      </c>
      <c r="O87" s="30">
        <f t="shared" si="792"/>
        <v>10</v>
      </c>
      <c r="P87" s="30">
        <f t="shared" si="979"/>
        <v>0</v>
      </c>
      <c r="Q87" s="30">
        <f t="shared" ref="Q87" si="1011">IF(P87=0,IF(VLOOKUP(Q$3,$A$3:$F$14,4,FALSE)&gt;=$G87,10,0),0)</f>
        <v>0</v>
      </c>
      <c r="R87" s="30">
        <f t="shared" si="794"/>
        <v>0</v>
      </c>
      <c r="S87" s="30">
        <f t="shared" si="795"/>
        <v>10</v>
      </c>
      <c r="T87" s="30">
        <f t="shared" si="981"/>
        <v>0</v>
      </c>
      <c r="U87" s="30">
        <f t="shared" ref="U87" si="1012">IF(T87=0,IF(VLOOKUP(U$3,$A$3:$F$14,4,FALSE)&gt;=$G87,10,0),0)</f>
        <v>0</v>
      </c>
      <c r="V87" s="30">
        <f t="shared" si="797"/>
        <v>0</v>
      </c>
      <c r="W87" s="30">
        <f t="shared" si="798"/>
        <v>10</v>
      </c>
      <c r="X87" s="30">
        <f t="shared" si="983"/>
        <v>0</v>
      </c>
      <c r="Y87" s="30">
        <f t="shared" ref="Y87" si="1013">IF(X87=0,IF(VLOOKUP(Y$3,$A$3:$F$14,4,FALSE)&gt;=$G87,10,0),0)</f>
        <v>0</v>
      </c>
      <c r="Z87" s="30">
        <f t="shared" si="800"/>
        <v>0</v>
      </c>
      <c r="AA87" s="30">
        <f t="shared" si="801"/>
        <v>10</v>
      </c>
      <c r="AB87" s="30">
        <f t="shared" si="985"/>
        <v>0</v>
      </c>
      <c r="AC87" s="30">
        <f t="shared" ref="AC87" si="1014">IF(AB87=0,IF(VLOOKUP(AC$3,$A$3:$F$14,4,FALSE)&gt;=$G87,10,0),0)</f>
        <v>0</v>
      </c>
      <c r="AD87" s="30">
        <f t="shared" si="803"/>
        <v>0</v>
      </c>
      <c r="AE87" s="30">
        <f t="shared" si="804"/>
        <v>10</v>
      </c>
      <c r="AF87" s="30">
        <f t="shared" si="987"/>
        <v>0</v>
      </c>
      <c r="AG87" s="30">
        <f t="shared" ref="AG87" si="1015">IF(AF87=0,IF(VLOOKUP(AG$3,$A$3:$F$14,4,FALSE)&gt;=$G87,10,0),0)</f>
        <v>0</v>
      </c>
      <c r="AH87" s="30">
        <f t="shared" si="806"/>
        <v>0</v>
      </c>
      <c r="AI87" s="30">
        <f t="shared" si="807"/>
        <v>10</v>
      </c>
      <c r="AJ87" s="30">
        <f t="shared" si="989"/>
        <v>0</v>
      </c>
      <c r="AK87" s="30">
        <f t="shared" ref="AK87" si="1016">IF(AJ87=0,IF(VLOOKUP(AK$3,$A$3:$F$14,4,FALSE)&gt;=$G87,10,0),0)</f>
        <v>0</v>
      </c>
      <c r="AL87" s="30">
        <f t="shared" si="809"/>
        <v>0</v>
      </c>
      <c r="AM87" s="30">
        <f t="shared" si="810"/>
        <v>10</v>
      </c>
      <c r="AN87" s="30">
        <f t="shared" si="991"/>
        <v>0</v>
      </c>
      <c r="AO87" s="30">
        <f t="shared" ref="AO87" si="1017">IF(AN87=0,IF(VLOOKUP(AO$3,$A$3:$F$14,4,FALSE)&gt;=$G87,10,0),0)</f>
        <v>0</v>
      </c>
      <c r="AP87" s="30">
        <f t="shared" si="812"/>
        <v>0</v>
      </c>
      <c r="AQ87" s="30">
        <f t="shared" si="813"/>
        <v>10</v>
      </c>
      <c r="AR87" s="30">
        <f t="shared" si="993"/>
        <v>0</v>
      </c>
      <c r="AS87" s="30">
        <f t="shared" ref="AS87" si="1018">IF(AR87=0,IF(VLOOKUP(AS$3,$A$3:$F$14,4,FALSE)&gt;=$G87,10,0),0)</f>
        <v>0</v>
      </c>
      <c r="AT87" s="30">
        <f t="shared" si="815"/>
        <v>10</v>
      </c>
      <c r="AU87" s="30">
        <f t="shared" si="816"/>
        <v>0</v>
      </c>
      <c r="AV87" s="30">
        <f t="shared" si="995"/>
        <v>0</v>
      </c>
      <c r="AW87" s="30">
        <f t="shared" ref="AW87" si="1019">IF(AV87=0,IF(VLOOKUP(AW$3,$A$3:$F$14,4,FALSE)&gt;=$G87,10,0),0)</f>
        <v>0</v>
      </c>
      <c r="AX87" s="30">
        <f t="shared" si="818"/>
        <v>0</v>
      </c>
      <c r="AY87" s="30">
        <f t="shared" si="819"/>
        <v>10</v>
      </c>
      <c r="AZ87" s="30">
        <f t="shared" si="997"/>
        <v>0</v>
      </c>
      <c r="BA87" s="30">
        <f t="shared" ref="BA87" si="1020">IF(AZ87=0,IF(VLOOKUP(BA$3,$A$3:$F$14,4,FALSE)&gt;=$G87,10,0),0)</f>
        <v>0</v>
      </c>
      <c r="BB87" s="30">
        <f t="shared" si="821"/>
        <v>0</v>
      </c>
      <c r="BC87" s="30">
        <f t="shared" si="822"/>
        <v>10</v>
      </c>
    </row>
    <row r="88" spans="7:55" x14ac:dyDescent="0.2">
      <c r="G88" s="19">
        <v>84</v>
      </c>
      <c r="H88" s="21">
        <f t="shared" si="786"/>
        <v>0</v>
      </c>
      <c r="I88" s="28">
        <f t="shared" si="787"/>
        <v>0</v>
      </c>
      <c r="J88" s="28">
        <f t="shared" si="788"/>
        <v>0</v>
      </c>
      <c r="K88" s="30">
        <f t="shared" si="789"/>
        <v>10</v>
      </c>
      <c r="L88" s="30">
        <f t="shared" si="977"/>
        <v>0</v>
      </c>
      <c r="M88" s="30">
        <f t="shared" ref="M88" si="1021">IF(L88=0,IF(VLOOKUP(M$3,$A$3:$F$14,4,FALSE)&gt;=$G88,10,0),0)</f>
        <v>0</v>
      </c>
      <c r="N88" s="30">
        <f t="shared" si="791"/>
        <v>0</v>
      </c>
      <c r="O88" s="30">
        <f t="shared" si="792"/>
        <v>10</v>
      </c>
      <c r="P88" s="30">
        <f t="shared" si="979"/>
        <v>0</v>
      </c>
      <c r="Q88" s="30">
        <f t="shared" ref="Q88" si="1022">IF(P88=0,IF(VLOOKUP(Q$3,$A$3:$F$14,4,FALSE)&gt;=$G88,10,0),0)</f>
        <v>0</v>
      </c>
      <c r="R88" s="30">
        <f t="shared" si="794"/>
        <v>0</v>
      </c>
      <c r="S88" s="30">
        <f t="shared" si="795"/>
        <v>10</v>
      </c>
      <c r="T88" s="30">
        <f t="shared" si="981"/>
        <v>0</v>
      </c>
      <c r="U88" s="30">
        <f t="shared" ref="U88" si="1023">IF(T88=0,IF(VLOOKUP(U$3,$A$3:$F$14,4,FALSE)&gt;=$G88,10,0),0)</f>
        <v>0</v>
      </c>
      <c r="V88" s="30">
        <f t="shared" si="797"/>
        <v>0</v>
      </c>
      <c r="W88" s="30">
        <f t="shared" si="798"/>
        <v>10</v>
      </c>
      <c r="X88" s="30">
        <f t="shared" si="983"/>
        <v>0</v>
      </c>
      <c r="Y88" s="30">
        <f t="shared" ref="Y88" si="1024">IF(X88=0,IF(VLOOKUP(Y$3,$A$3:$F$14,4,FALSE)&gt;=$G88,10,0),0)</f>
        <v>0</v>
      </c>
      <c r="Z88" s="30">
        <f t="shared" si="800"/>
        <v>0</v>
      </c>
      <c r="AA88" s="30">
        <f t="shared" si="801"/>
        <v>10</v>
      </c>
      <c r="AB88" s="30">
        <f t="shared" si="985"/>
        <v>0</v>
      </c>
      <c r="AC88" s="30">
        <f t="shared" ref="AC88" si="1025">IF(AB88=0,IF(VLOOKUP(AC$3,$A$3:$F$14,4,FALSE)&gt;=$G88,10,0),0)</f>
        <v>0</v>
      </c>
      <c r="AD88" s="30">
        <f t="shared" si="803"/>
        <v>0</v>
      </c>
      <c r="AE88" s="30">
        <f t="shared" si="804"/>
        <v>10</v>
      </c>
      <c r="AF88" s="30">
        <f t="shared" si="987"/>
        <v>0</v>
      </c>
      <c r="AG88" s="30">
        <f t="shared" ref="AG88" si="1026">IF(AF88=0,IF(VLOOKUP(AG$3,$A$3:$F$14,4,FALSE)&gt;=$G88,10,0),0)</f>
        <v>0</v>
      </c>
      <c r="AH88" s="30">
        <f t="shared" si="806"/>
        <v>0</v>
      </c>
      <c r="AI88" s="30">
        <f t="shared" si="807"/>
        <v>10</v>
      </c>
      <c r="AJ88" s="30">
        <f t="shared" si="989"/>
        <v>0</v>
      </c>
      <c r="AK88" s="30">
        <f t="shared" ref="AK88" si="1027">IF(AJ88=0,IF(VLOOKUP(AK$3,$A$3:$F$14,4,FALSE)&gt;=$G88,10,0),0)</f>
        <v>0</v>
      </c>
      <c r="AL88" s="30">
        <f t="shared" si="809"/>
        <v>0</v>
      </c>
      <c r="AM88" s="30">
        <f t="shared" si="810"/>
        <v>10</v>
      </c>
      <c r="AN88" s="30">
        <f t="shared" si="991"/>
        <v>0</v>
      </c>
      <c r="AO88" s="30">
        <f t="shared" ref="AO88" si="1028">IF(AN88=0,IF(VLOOKUP(AO$3,$A$3:$F$14,4,FALSE)&gt;=$G88,10,0),0)</f>
        <v>0</v>
      </c>
      <c r="AP88" s="30">
        <f t="shared" si="812"/>
        <v>0</v>
      </c>
      <c r="AQ88" s="30">
        <f t="shared" si="813"/>
        <v>10</v>
      </c>
      <c r="AR88" s="30">
        <f t="shared" si="993"/>
        <v>0</v>
      </c>
      <c r="AS88" s="30">
        <f t="shared" ref="AS88" si="1029">IF(AR88=0,IF(VLOOKUP(AS$3,$A$3:$F$14,4,FALSE)&gt;=$G88,10,0),0)</f>
        <v>0</v>
      </c>
      <c r="AT88" s="30">
        <f t="shared" si="815"/>
        <v>10</v>
      </c>
      <c r="AU88" s="30">
        <f t="shared" si="816"/>
        <v>0</v>
      </c>
      <c r="AV88" s="30">
        <f t="shared" si="995"/>
        <v>0</v>
      </c>
      <c r="AW88" s="30">
        <f t="shared" ref="AW88" si="1030">IF(AV88=0,IF(VLOOKUP(AW$3,$A$3:$F$14,4,FALSE)&gt;=$G88,10,0),0)</f>
        <v>0</v>
      </c>
      <c r="AX88" s="30">
        <f t="shared" si="818"/>
        <v>0</v>
      </c>
      <c r="AY88" s="30">
        <f t="shared" si="819"/>
        <v>10</v>
      </c>
      <c r="AZ88" s="30">
        <f t="shared" si="997"/>
        <v>0</v>
      </c>
      <c r="BA88" s="30">
        <f t="shared" ref="BA88" si="1031">IF(AZ88=0,IF(VLOOKUP(BA$3,$A$3:$F$14,4,FALSE)&gt;=$G88,10,0),0)</f>
        <v>0</v>
      </c>
      <c r="BB88" s="30">
        <f t="shared" si="821"/>
        <v>0</v>
      </c>
      <c r="BC88" s="30">
        <f t="shared" si="822"/>
        <v>10</v>
      </c>
    </row>
    <row r="89" spans="7:55" x14ac:dyDescent="0.2">
      <c r="G89" s="19">
        <v>85</v>
      </c>
      <c r="H89" s="21">
        <f t="shared" si="786"/>
        <v>0</v>
      </c>
      <c r="I89" s="28">
        <f t="shared" si="787"/>
        <v>0</v>
      </c>
      <c r="J89" s="28">
        <f t="shared" si="788"/>
        <v>0</v>
      </c>
      <c r="K89" s="30">
        <f t="shared" si="789"/>
        <v>10</v>
      </c>
      <c r="L89" s="30">
        <f t="shared" si="977"/>
        <v>0</v>
      </c>
      <c r="M89" s="30">
        <f t="shared" ref="M89" si="1032">IF(L89=0,IF(VLOOKUP(M$3,$A$3:$F$14,4,FALSE)&gt;=$G89,10,0),0)</f>
        <v>0</v>
      </c>
      <c r="N89" s="30">
        <f t="shared" si="791"/>
        <v>0</v>
      </c>
      <c r="O89" s="30">
        <f t="shared" si="792"/>
        <v>10</v>
      </c>
      <c r="P89" s="30">
        <f t="shared" si="979"/>
        <v>0</v>
      </c>
      <c r="Q89" s="30">
        <f t="shared" ref="Q89" si="1033">IF(P89=0,IF(VLOOKUP(Q$3,$A$3:$F$14,4,FALSE)&gt;=$G89,10,0),0)</f>
        <v>0</v>
      </c>
      <c r="R89" s="30">
        <f t="shared" si="794"/>
        <v>0</v>
      </c>
      <c r="S89" s="30">
        <f t="shared" si="795"/>
        <v>10</v>
      </c>
      <c r="T89" s="30">
        <f t="shared" si="981"/>
        <v>0</v>
      </c>
      <c r="U89" s="30">
        <f t="shared" ref="U89" si="1034">IF(T89=0,IF(VLOOKUP(U$3,$A$3:$F$14,4,FALSE)&gt;=$G89,10,0),0)</f>
        <v>0</v>
      </c>
      <c r="V89" s="30">
        <f t="shared" si="797"/>
        <v>0</v>
      </c>
      <c r="W89" s="30">
        <f t="shared" si="798"/>
        <v>10</v>
      </c>
      <c r="X89" s="30">
        <f t="shared" si="983"/>
        <v>0</v>
      </c>
      <c r="Y89" s="30">
        <f t="shared" ref="Y89" si="1035">IF(X89=0,IF(VLOOKUP(Y$3,$A$3:$F$14,4,FALSE)&gt;=$G89,10,0),0)</f>
        <v>0</v>
      </c>
      <c r="Z89" s="30">
        <f t="shared" si="800"/>
        <v>0</v>
      </c>
      <c r="AA89" s="30">
        <f t="shared" si="801"/>
        <v>10</v>
      </c>
      <c r="AB89" s="30">
        <f t="shared" si="985"/>
        <v>0</v>
      </c>
      <c r="AC89" s="30">
        <f t="shared" ref="AC89" si="1036">IF(AB89=0,IF(VLOOKUP(AC$3,$A$3:$F$14,4,FALSE)&gt;=$G89,10,0),0)</f>
        <v>0</v>
      </c>
      <c r="AD89" s="30">
        <f t="shared" si="803"/>
        <v>0</v>
      </c>
      <c r="AE89" s="30">
        <f t="shared" si="804"/>
        <v>10</v>
      </c>
      <c r="AF89" s="30">
        <f t="shared" si="987"/>
        <v>0</v>
      </c>
      <c r="AG89" s="30">
        <f t="shared" ref="AG89" si="1037">IF(AF89=0,IF(VLOOKUP(AG$3,$A$3:$F$14,4,FALSE)&gt;=$G89,10,0),0)</f>
        <v>0</v>
      </c>
      <c r="AH89" s="30">
        <f t="shared" si="806"/>
        <v>0</v>
      </c>
      <c r="AI89" s="30">
        <f t="shared" si="807"/>
        <v>10</v>
      </c>
      <c r="AJ89" s="30">
        <f t="shared" si="989"/>
        <v>0</v>
      </c>
      <c r="AK89" s="30">
        <f t="shared" ref="AK89" si="1038">IF(AJ89=0,IF(VLOOKUP(AK$3,$A$3:$F$14,4,FALSE)&gt;=$G89,10,0),0)</f>
        <v>0</v>
      </c>
      <c r="AL89" s="30">
        <f t="shared" si="809"/>
        <v>0</v>
      </c>
      <c r="AM89" s="30">
        <f t="shared" si="810"/>
        <v>10</v>
      </c>
      <c r="AN89" s="30">
        <f t="shared" si="991"/>
        <v>0</v>
      </c>
      <c r="AO89" s="30">
        <f t="shared" ref="AO89" si="1039">IF(AN89=0,IF(VLOOKUP(AO$3,$A$3:$F$14,4,FALSE)&gt;=$G89,10,0),0)</f>
        <v>0</v>
      </c>
      <c r="AP89" s="30">
        <f t="shared" si="812"/>
        <v>0</v>
      </c>
      <c r="AQ89" s="30">
        <f t="shared" si="813"/>
        <v>10</v>
      </c>
      <c r="AR89" s="30">
        <f t="shared" si="993"/>
        <v>0</v>
      </c>
      <c r="AS89" s="30">
        <f t="shared" ref="AS89" si="1040">IF(AR89=0,IF(VLOOKUP(AS$3,$A$3:$F$14,4,FALSE)&gt;=$G89,10,0),0)</f>
        <v>0</v>
      </c>
      <c r="AT89" s="30">
        <f t="shared" si="815"/>
        <v>10</v>
      </c>
      <c r="AU89" s="30">
        <f t="shared" si="816"/>
        <v>0</v>
      </c>
      <c r="AV89" s="30">
        <f t="shared" si="995"/>
        <v>0</v>
      </c>
      <c r="AW89" s="30">
        <f t="shared" ref="AW89" si="1041">IF(AV89=0,IF(VLOOKUP(AW$3,$A$3:$F$14,4,FALSE)&gt;=$G89,10,0),0)</f>
        <v>0</v>
      </c>
      <c r="AX89" s="30">
        <f t="shared" si="818"/>
        <v>0</v>
      </c>
      <c r="AY89" s="30">
        <f t="shared" si="819"/>
        <v>10</v>
      </c>
      <c r="AZ89" s="30">
        <f t="shared" si="997"/>
        <v>0</v>
      </c>
      <c r="BA89" s="30">
        <f t="shared" ref="BA89" si="1042">IF(AZ89=0,IF(VLOOKUP(BA$3,$A$3:$F$14,4,FALSE)&gt;=$G89,10,0),0)</f>
        <v>0</v>
      </c>
      <c r="BB89" s="30">
        <f t="shared" si="821"/>
        <v>0</v>
      </c>
      <c r="BC89" s="30">
        <f t="shared" si="822"/>
        <v>10</v>
      </c>
    </row>
    <row r="90" spans="7:55" x14ac:dyDescent="0.2">
      <c r="G90" s="19">
        <v>86</v>
      </c>
      <c r="H90" s="21">
        <f t="shared" si="786"/>
        <v>0</v>
      </c>
      <c r="I90" s="28">
        <f t="shared" si="787"/>
        <v>0</v>
      </c>
      <c r="J90" s="28">
        <f t="shared" si="788"/>
        <v>0</v>
      </c>
      <c r="K90" s="30">
        <f t="shared" si="789"/>
        <v>10</v>
      </c>
      <c r="L90" s="30">
        <f t="shared" si="977"/>
        <v>0</v>
      </c>
      <c r="M90" s="30">
        <f t="shared" ref="M90" si="1043">IF(L90=0,IF(VLOOKUP(M$3,$A$3:$F$14,4,FALSE)&gt;=$G90,10,0),0)</f>
        <v>0</v>
      </c>
      <c r="N90" s="30">
        <f t="shared" si="791"/>
        <v>0</v>
      </c>
      <c r="O90" s="30">
        <f t="shared" si="792"/>
        <v>10</v>
      </c>
      <c r="P90" s="30">
        <f t="shared" si="979"/>
        <v>0</v>
      </c>
      <c r="Q90" s="30">
        <f t="shared" ref="Q90" si="1044">IF(P90=0,IF(VLOOKUP(Q$3,$A$3:$F$14,4,FALSE)&gt;=$G90,10,0),0)</f>
        <v>0</v>
      </c>
      <c r="R90" s="30">
        <f t="shared" si="794"/>
        <v>0</v>
      </c>
      <c r="S90" s="30">
        <f t="shared" si="795"/>
        <v>10</v>
      </c>
      <c r="T90" s="30">
        <f t="shared" si="981"/>
        <v>0</v>
      </c>
      <c r="U90" s="30">
        <f t="shared" ref="U90" si="1045">IF(T90=0,IF(VLOOKUP(U$3,$A$3:$F$14,4,FALSE)&gt;=$G90,10,0),0)</f>
        <v>0</v>
      </c>
      <c r="V90" s="30">
        <f t="shared" si="797"/>
        <v>0</v>
      </c>
      <c r="W90" s="30">
        <f t="shared" si="798"/>
        <v>10</v>
      </c>
      <c r="X90" s="30">
        <f t="shared" si="983"/>
        <v>0</v>
      </c>
      <c r="Y90" s="30">
        <f t="shared" ref="Y90" si="1046">IF(X90=0,IF(VLOOKUP(Y$3,$A$3:$F$14,4,FALSE)&gt;=$G90,10,0),0)</f>
        <v>0</v>
      </c>
      <c r="Z90" s="30">
        <f t="shared" si="800"/>
        <v>0</v>
      </c>
      <c r="AA90" s="30">
        <f t="shared" si="801"/>
        <v>10</v>
      </c>
      <c r="AB90" s="30">
        <f t="shared" si="985"/>
        <v>0</v>
      </c>
      <c r="AC90" s="30">
        <f t="shared" ref="AC90" si="1047">IF(AB90=0,IF(VLOOKUP(AC$3,$A$3:$F$14,4,FALSE)&gt;=$G90,10,0),0)</f>
        <v>0</v>
      </c>
      <c r="AD90" s="30">
        <f t="shared" si="803"/>
        <v>0</v>
      </c>
      <c r="AE90" s="30">
        <f t="shared" si="804"/>
        <v>10</v>
      </c>
      <c r="AF90" s="30">
        <f t="shared" si="987"/>
        <v>0</v>
      </c>
      <c r="AG90" s="30">
        <f t="shared" ref="AG90" si="1048">IF(AF90=0,IF(VLOOKUP(AG$3,$A$3:$F$14,4,FALSE)&gt;=$G90,10,0),0)</f>
        <v>0</v>
      </c>
      <c r="AH90" s="30">
        <f t="shared" si="806"/>
        <v>0</v>
      </c>
      <c r="AI90" s="30">
        <f t="shared" si="807"/>
        <v>10</v>
      </c>
      <c r="AJ90" s="30">
        <f t="shared" si="989"/>
        <v>0</v>
      </c>
      <c r="AK90" s="30">
        <f t="shared" ref="AK90" si="1049">IF(AJ90=0,IF(VLOOKUP(AK$3,$A$3:$F$14,4,FALSE)&gt;=$G90,10,0),0)</f>
        <v>0</v>
      </c>
      <c r="AL90" s="30">
        <f t="shared" si="809"/>
        <v>0</v>
      </c>
      <c r="AM90" s="30">
        <f t="shared" si="810"/>
        <v>10</v>
      </c>
      <c r="AN90" s="30">
        <f t="shared" si="991"/>
        <v>0</v>
      </c>
      <c r="AO90" s="30">
        <f t="shared" ref="AO90" si="1050">IF(AN90=0,IF(VLOOKUP(AO$3,$A$3:$F$14,4,FALSE)&gt;=$G90,10,0),0)</f>
        <v>0</v>
      </c>
      <c r="AP90" s="30">
        <f t="shared" si="812"/>
        <v>0</v>
      </c>
      <c r="AQ90" s="30">
        <f t="shared" si="813"/>
        <v>10</v>
      </c>
      <c r="AR90" s="30">
        <f t="shared" si="993"/>
        <v>0</v>
      </c>
      <c r="AS90" s="30">
        <f t="shared" ref="AS90" si="1051">IF(AR90=0,IF(VLOOKUP(AS$3,$A$3:$F$14,4,FALSE)&gt;=$G90,10,0),0)</f>
        <v>0</v>
      </c>
      <c r="AT90" s="30">
        <f t="shared" si="815"/>
        <v>10</v>
      </c>
      <c r="AU90" s="30">
        <f t="shared" si="816"/>
        <v>0</v>
      </c>
      <c r="AV90" s="30">
        <f t="shared" si="995"/>
        <v>0</v>
      </c>
      <c r="AW90" s="30">
        <f t="shared" ref="AW90" si="1052">IF(AV90=0,IF(VLOOKUP(AW$3,$A$3:$F$14,4,FALSE)&gt;=$G90,10,0),0)</f>
        <v>0</v>
      </c>
      <c r="AX90" s="30">
        <f t="shared" si="818"/>
        <v>0</v>
      </c>
      <c r="AY90" s="30">
        <f t="shared" si="819"/>
        <v>10</v>
      </c>
      <c r="AZ90" s="30">
        <f t="shared" si="997"/>
        <v>0</v>
      </c>
      <c r="BA90" s="30">
        <f t="shared" ref="BA90" si="1053">IF(AZ90=0,IF(VLOOKUP(BA$3,$A$3:$F$14,4,FALSE)&gt;=$G90,10,0),0)</f>
        <v>0</v>
      </c>
      <c r="BB90" s="30">
        <f t="shared" si="821"/>
        <v>0</v>
      </c>
      <c r="BC90" s="30">
        <f t="shared" si="822"/>
        <v>10</v>
      </c>
    </row>
    <row r="91" spans="7:55" x14ac:dyDescent="0.2">
      <c r="G91" s="19">
        <v>87</v>
      </c>
      <c r="H91" s="21">
        <f t="shared" si="786"/>
        <v>0</v>
      </c>
      <c r="I91" s="28">
        <f t="shared" si="787"/>
        <v>0</v>
      </c>
      <c r="J91" s="28">
        <f t="shared" si="788"/>
        <v>0</v>
      </c>
      <c r="K91" s="30">
        <f t="shared" si="789"/>
        <v>10</v>
      </c>
      <c r="L91" s="30">
        <f t="shared" si="977"/>
        <v>0</v>
      </c>
      <c r="M91" s="30">
        <f t="shared" ref="M91" si="1054">IF(L91=0,IF(VLOOKUP(M$3,$A$3:$F$14,4,FALSE)&gt;=$G91,10,0),0)</f>
        <v>0</v>
      </c>
      <c r="N91" s="30">
        <f t="shared" si="791"/>
        <v>0</v>
      </c>
      <c r="O91" s="30">
        <f t="shared" si="792"/>
        <v>10</v>
      </c>
      <c r="P91" s="30">
        <f t="shared" si="979"/>
        <v>0</v>
      </c>
      <c r="Q91" s="30">
        <f t="shared" ref="Q91" si="1055">IF(P91=0,IF(VLOOKUP(Q$3,$A$3:$F$14,4,FALSE)&gt;=$G91,10,0),0)</f>
        <v>0</v>
      </c>
      <c r="R91" s="30">
        <f t="shared" si="794"/>
        <v>0</v>
      </c>
      <c r="S91" s="30">
        <f t="shared" si="795"/>
        <v>10</v>
      </c>
      <c r="T91" s="30">
        <f t="shared" si="981"/>
        <v>0</v>
      </c>
      <c r="U91" s="30">
        <f t="shared" ref="U91" si="1056">IF(T91=0,IF(VLOOKUP(U$3,$A$3:$F$14,4,FALSE)&gt;=$G91,10,0),0)</f>
        <v>0</v>
      </c>
      <c r="V91" s="30">
        <f t="shared" si="797"/>
        <v>0</v>
      </c>
      <c r="W91" s="30">
        <f t="shared" si="798"/>
        <v>10</v>
      </c>
      <c r="X91" s="30">
        <f t="shared" si="983"/>
        <v>0</v>
      </c>
      <c r="Y91" s="30">
        <f t="shared" ref="Y91" si="1057">IF(X91=0,IF(VLOOKUP(Y$3,$A$3:$F$14,4,FALSE)&gt;=$G91,10,0),0)</f>
        <v>0</v>
      </c>
      <c r="Z91" s="30">
        <f t="shared" si="800"/>
        <v>0</v>
      </c>
      <c r="AA91" s="30">
        <f t="shared" si="801"/>
        <v>10</v>
      </c>
      <c r="AB91" s="30">
        <f t="shared" si="985"/>
        <v>0</v>
      </c>
      <c r="AC91" s="30">
        <f t="shared" ref="AC91" si="1058">IF(AB91=0,IF(VLOOKUP(AC$3,$A$3:$F$14,4,FALSE)&gt;=$G91,10,0),0)</f>
        <v>0</v>
      </c>
      <c r="AD91" s="30">
        <f t="shared" si="803"/>
        <v>0</v>
      </c>
      <c r="AE91" s="30">
        <f t="shared" si="804"/>
        <v>10</v>
      </c>
      <c r="AF91" s="30">
        <f t="shared" si="987"/>
        <v>0</v>
      </c>
      <c r="AG91" s="30">
        <f t="shared" ref="AG91" si="1059">IF(AF91=0,IF(VLOOKUP(AG$3,$A$3:$F$14,4,FALSE)&gt;=$G91,10,0),0)</f>
        <v>0</v>
      </c>
      <c r="AH91" s="30">
        <f t="shared" si="806"/>
        <v>0</v>
      </c>
      <c r="AI91" s="30">
        <f t="shared" si="807"/>
        <v>10</v>
      </c>
      <c r="AJ91" s="30">
        <f t="shared" si="989"/>
        <v>0</v>
      </c>
      <c r="AK91" s="30">
        <f t="shared" ref="AK91" si="1060">IF(AJ91=0,IF(VLOOKUP(AK$3,$A$3:$F$14,4,FALSE)&gt;=$G91,10,0),0)</f>
        <v>0</v>
      </c>
      <c r="AL91" s="30">
        <f t="shared" si="809"/>
        <v>0</v>
      </c>
      <c r="AM91" s="30">
        <f t="shared" si="810"/>
        <v>10</v>
      </c>
      <c r="AN91" s="30">
        <f t="shared" si="991"/>
        <v>0</v>
      </c>
      <c r="AO91" s="30">
        <f t="shared" ref="AO91" si="1061">IF(AN91=0,IF(VLOOKUP(AO$3,$A$3:$F$14,4,FALSE)&gt;=$G91,10,0),0)</f>
        <v>0</v>
      </c>
      <c r="AP91" s="30">
        <f t="shared" si="812"/>
        <v>0</v>
      </c>
      <c r="AQ91" s="30">
        <f t="shared" si="813"/>
        <v>10</v>
      </c>
      <c r="AR91" s="30">
        <f t="shared" si="993"/>
        <v>0</v>
      </c>
      <c r="AS91" s="30">
        <f t="shared" ref="AS91" si="1062">IF(AR91=0,IF(VLOOKUP(AS$3,$A$3:$F$14,4,FALSE)&gt;=$G91,10,0),0)</f>
        <v>0</v>
      </c>
      <c r="AT91" s="30">
        <f t="shared" si="815"/>
        <v>10</v>
      </c>
      <c r="AU91" s="30">
        <f t="shared" si="816"/>
        <v>0</v>
      </c>
      <c r="AV91" s="30">
        <f t="shared" si="995"/>
        <v>0</v>
      </c>
      <c r="AW91" s="30">
        <f t="shared" ref="AW91" si="1063">IF(AV91=0,IF(VLOOKUP(AW$3,$A$3:$F$14,4,FALSE)&gt;=$G91,10,0),0)</f>
        <v>0</v>
      </c>
      <c r="AX91" s="30">
        <f t="shared" si="818"/>
        <v>0</v>
      </c>
      <c r="AY91" s="30">
        <f t="shared" si="819"/>
        <v>10</v>
      </c>
      <c r="AZ91" s="30">
        <f t="shared" si="997"/>
        <v>0</v>
      </c>
      <c r="BA91" s="30">
        <f t="shared" ref="BA91" si="1064">IF(AZ91=0,IF(VLOOKUP(BA$3,$A$3:$F$14,4,FALSE)&gt;=$G91,10,0),0)</f>
        <v>0</v>
      </c>
      <c r="BB91" s="30">
        <f t="shared" si="821"/>
        <v>0</v>
      </c>
      <c r="BC91" s="30">
        <f t="shared" si="822"/>
        <v>10</v>
      </c>
    </row>
    <row r="92" spans="7:55" x14ac:dyDescent="0.2">
      <c r="G92" s="19">
        <v>88</v>
      </c>
      <c r="H92" s="21">
        <f t="shared" si="786"/>
        <v>0</v>
      </c>
      <c r="I92" s="28">
        <f t="shared" si="787"/>
        <v>0</v>
      </c>
      <c r="J92" s="28">
        <f t="shared" si="788"/>
        <v>0</v>
      </c>
      <c r="K92" s="30">
        <f t="shared" si="789"/>
        <v>10</v>
      </c>
      <c r="L92" s="30">
        <f t="shared" si="977"/>
        <v>0</v>
      </c>
      <c r="M92" s="30">
        <f t="shared" ref="M92" si="1065">IF(L92=0,IF(VLOOKUP(M$3,$A$3:$F$14,4,FALSE)&gt;=$G92,10,0),0)</f>
        <v>0</v>
      </c>
      <c r="N92" s="30">
        <f t="shared" si="791"/>
        <v>0</v>
      </c>
      <c r="O92" s="30">
        <f t="shared" si="792"/>
        <v>10</v>
      </c>
      <c r="P92" s="30">
        <f t="shared" si="979"/>
        <v>0</v>
      </c>
      <c r="Q92" s="30">
        <f t="shared" ref="Q92" si="1066">IF(P92=0,IF(VLOOKUP(Q$3,$A$3:$F$14,4,FALSE)&gt;=$G92,10,0),0)</f>
        <v>0</v>
      </c>
      <c r="R92" s="30">
        <f t="shared" si="794"/>
        <v>0</v>
      </c>
      <c r="S92" s="30">
        <f t="shared" si="795"/>
        <v>10</v>
      </c>
      <c r="T92" s="30">
        <f t="shared" si="981"/>
        <v>0</v>
      </c>
      <c r="U92" s="30">
        <f t="shared" ref="U92" si="1067">IF(T92=0,IF(VLOOKUP(U$3,$A$3:$F$14,4,FALSE)&gt;=$G92,10,0),0)</f>
        <v>0</v>
      </c>
      <c r="V92" s="30">
        <f t="shared" si="797"/>
        <v>0</v>
      </c>
      <c r="W92" s="30">
        <f t="shared" si="798"/>
        <v>10</v>
      </c>
      <c r="X92" s="30">
        <f t="shared" si="983"/>
        <v>0</v>
      </c>
      <c r="Y92" s="30">
        <f t="shared" ref="Y92" si="1068">IF(X92=0,IF(VLOOKUP(Y$3,$A$3:$F$14,4,FALSE)&gt;=$G92,10,0),0)</f>
        <v>0</v>
      </c>
      <c r="Z92" s="30">
        <f t="shared" si="800"/>
        <v>0</v>
      </c>
      <c r="AA92" s="30">
        <f t="shared" si="801"/>
        <v>10</v>
      </c>
      <c r="AB92" s="30">
        <f t="shared" si="985"/>
        <v>0</v>
      </c>
      <c r="AC92" s="30">
        <f t="shared" ref="AC92" si="1069">IF(AB92=0,IF(VLOOKUP(AC$3,$A$3:$F$14,4,FALSE)&gt;=$G92,10,0),0)</f>
        <v>0</v>
      </c>
      <c r="AD92" s="30">
        <f t="shared" si="803"/>
        <v>0</v>
      </c>
      <c r="AE92" s="30">
        <f t="shared" si="804"/>
        <v>10</v>
      </c>
      <c r="AF92" s="30">
        <f t="shared" si="987"/>
        <v>0</v>
      </c>
      <c r="AG92" s="30">
        <f t="shared" ref="AG92" si="1070">IF(AF92=0,IF(VLOOKUP(AG$3,$A$3:$F$14,4,FALSE)&gt;=$G92,10,0),0)</f>
        <v>0</v>
      </c>
      <c r="AH92" s="30">
        <f t="shared" si="806"/>
        <v>0</v>
      </c>
      <c r="AI92" s="30">
        <f t="shared" si="807"/>
        <v>10</v>
      </c>
      <c r="AJ92" s="30">
        <f t="shared" si="989"/>
        <v>0</v>
      </c>
      <c r="AK92" s="30">
        <f t="shared" ref="AK92" si="1071">IF(AJ92=0,IF(VLOOKUP(AK$3,$A$3:$F$14,4,FALSE)&gt;=$G92,10,0),0)</f>
        <v>0</v>
      </c>
      <c r="AL92" s="30">
        <f t="shared" si="809"/>
        <v>0</v>
      </c>
      <c r="AM92" s="30">
        <f t="shared" si="810"/>
        <v>10</v>
      </c>
      <c r="AN92" s="30">
        <f t="shared" si="991"/>
        <v>0</v>
      </c>
      <c r="AO92" s="30">
        <f t="shared" ref="AO92" si="1072">IF(AN92=0,IF(VLOOKUP(AO$3,$A$3:$F$14,4,FALSE)&gt;=$G92,10,0),0)</f>
        <v>0</v>
      </c>
      <c r="AP92" s="30">
        <f t="shared" si="812"/>
        <v>0</v>
      </c>
      <c r="AQ92" s="30">
        <f t="shared" si="813"/>
        <v>10</v>
      </c>
      <c r="AR92" s="30">
        <f t="shared" si="993"/>
        <v>0</v>
      </c>
      <c r="AS92" s="30">
        <f t="shared" ref="AS92" si="1073">IF(AR92=0,IF(VLOOKUP(AS$3,$A$3:$F$14,4,FALSE)&gt;=$G92,10,0),0)</f>
        <v>0</v>
      </c>
      <c r="AT92" s="30">
        <f t="shared" si="815"/>
        <v>10</v>
      </c>
      <c r="AU92" s="30">
        <f t="shared" si="816"/>
        <v>0</v>
      </c>
      <c r="AV92" s="30">
        <f t="shared" si="995"/>
        <v>0</v>
      </c>
      <c r="AW92" s="30">
        <f t="shared" ref="AW92" si="1074">IF(AV92=0,IF(VLOOKUP(AW$3,$A$3:$F$14,4,FALSE)&gt;=$G92,10,0),0)</f>
        <v>0</v>
      </c>
      <c r="AX92" s="30">
        <f t="shared" si="818"/>
        <v>0</v>
      </c>
      <c r="AY92" s="30">
        <f t="shared" si="819"/>
        <v>10</v>
      </c>
      <c r="AZ92" s="30">
        <f t="shared" si="997"/>
        <v>0</v>
      </c>
      <c r="BA92" s="30">
        <f t="shared" ref="BA92" si="1075">IF(AZ92=0,IF(VLOOKUP(BA$3,$A$3:$F$14,4,FALSE)&gt;=$G92,10,0),0)</f>
        <v>0</v>
      </c>
      <c r="BB92" s="30">
        <f t="shared" si="821"/>
        <v>0</v>
      </c>
      <c r="BC92" s="30">
        <f t="shared" si="822"/>
        <v>10</v>
      </c>
    </row>
    <row r="93" spans="7:55" x14ac:dyDescent="0.2">
      <c r="G93" s="19">
        <v>89</v>
      </c>
      <c r="H93" s="21">
        <f t="shared" si="786"/>
        <v>0</v>
      </c>
      <c r="I93" s="28">
        <f t="shared" si="787"/>
        <v>0</v>
      </c>
      <c r="J93" s="28">
        <f t="shared" si="788"/>
        <v>0</v>
      </c>
      <c r="K93" s="30">
        <f t="shared" si="789"/>
        <v>10</v>
      </c>
      <c r="L93" s="30">
        <f t="shared" si="977"/>
        <v>0</v>
      </c>
      <c r="M93" s="30">
        <f t="shared" ref="M93" si="1076">IF(L93=0,IF(VLOOKUP(M$3,$A$3:$F$14,4,FALSE)&gt;=$G93,10,0),0)</f>
        <v>0</v>
      </c>
      <c r="N93" s="30">
        <f t="shared" si="791"/>
        <v>0</v>
      </c>
      <c r="O93" s="30">
        <f t="shared" si="792"/>
        <v>10</v>
      </c>
      <c r="P93" s="30">
        <f t="shared" si="979"/>
        <v>0</v>
      </c>
      <c r="Q93" s="30">
        <f t="shared" ref="Q93" si="1077">IF(P93=0,IF(VLOOKUP(Q$3,$A$3:$F$14,4,FALSE)&gt;=$G93,10,0),0)</f>
        <v>0</v>
      </c>
      <c r="R93" s="30">
        <f t="shared" si="794"/>
        <v>0</v>
      </c>
      <c r="S93" s="30">
        <f t="shared" si="795"/>
        <v>10</v>
      </c>
      <c r="T93" s="30">
        <f t="shared" si="981"/>
        <v>0</v>
      </c>
      <c r="U93" s="30">
        <f t="shared" ref="U93" si="1078">IF(T93=0,IF(VLOOKUP(U$3,$A$3:$F$14,4,FALSE)&gt;=$G93,10,0),0)</f>
        <v>0</v>
      </c>
      <c r="V93" s="30">
        <f t="shared" si="797"/>
        <v>0</v>
      </c>
      <c r="W93" s="30">
        <f t="shared" si="798"/>
        <v>10</v>
      </c>
      <c r="X93" s="30">
        <f t="shared" si="983"/>
        <v>0</v>
      </c>
      <c r="Y93" s="30">
        <f t="shared" ref="Y93" si="1079">IF(X93=0,IF(VLOOKUP(Y$3,$A$3:$F$14,4,FALSE)&gt;=$G93,10,0),0)</f>
        <v>0</v>
      </c>
      <c r="Z93" s="30">
        <f t="shared" si="800"/>
        <v>0</v>
      </c>
      <c r="AA93" s="30">
        <f t="shared" si="801"/>
        <v>10</v>
      </c>
      <c r="AB93" s="30">
        <f t="shared" si="985"/>
        <v>0</v>
      </c>
      <c r="AC93" s="30">
        <f t="shared" ref="AC93" si="1080">IF(AB93=0,IF(VLOOKUP(AC$3,$A$3:$F$14,4,FALSE)&gt;=$G93,10,0),0)</f>
        <v>0</v>
      </c>
      <c r="AD93" s="30">
        <f t="shared" si="803"/>
        <v>0</v>
      </c>
      <c r="AE93" s="30">
        <f t="shared" si="804"/>
        <v>10</v>
      </c>
      <c r="AF93" s="30">
        <f t="shared" si="987"/>
        <v>0</v>
      </c>
      <c r="AG93" s="30">
        <f t="shared" ref="AG93" si="1081">IF(AF93=0,IF(VLOOKUP(AG$3,$A$3:$F$14,4,FALSE)&gt;=$G93,10,0),0)</f>
        <v>0</v>
      </c>
      <c r="AH93" s="30">
        <f t="shared" si="806"/>
        <v>0</v>
      </c>
      <c r="AI93" s="30">
        <f t="shared" si="807"/>
        <v>10</v>
      </c>
      <c r="AJ93" s="30">
        <f t="shared" si="989"/>
        <v>0</v>
      </c>
      <c r="AK93" s="30">
        <f t="shared" ref="AK93" si="1082">IF(AJ93=0,IF(VLOOKUP(AK$3,$A$3:$F$14,4,FALSE)&gt;=$G93,10,0),0)</f>
        <v>0</v>
      </c>
      <c r="AL93" s="30">
        <f t="shared" si="809"/>
        <v>0</v>
      </c>
      <c r="AM93" s="30">
        <f t="shared" si="810"/>
        <v>10</v>
      </c>
      <c r="AN93" s="30">
        <f t="shared" si="991"/>
        <v>0</v>
      </c>
      <c r="AO93" s="30">
        <f t="shared" ref="AO93" si="1083">IF(AN93=0,IF(VLOOKUP(AO$3,$A$3:$F$14,4,FALSE)&gt;=$G93,10,0),0)</f>
        <v>0</v>
      </c>
      <c r="AP93" s="30">
        <f t="shared" si="812"/>
        <v>0</v>
      </c>
      <c r="AQ93" s="30">
        <f t="shared" si="813"/>
        <v>10</v>
      </c>
      <c r="AR93" s="30">
        <f t="shared" si="993"/>
        <v>0</v>
      </c>
      <c r="AS93" s="30">
        <f t="shared" ref="AS93" si="1084">IF(AR93=0,IF(VLOOKUP(AS$3,$A$3:$F$14,4,FALSE)&gt;=$G93,10,0),0)</f>
        <v>0</v>
      </c>
      <c r="AT93" s="30">
        <f t="shared" si="815"/>
        <v>10</v>
      </c>
      <c r="AU93" s="30">
        <f t="shared" si="816"/>
        <v>0</v>
      </c>
      <c r="AV93" s="30">
        <f t="shared" si="995"/>
        <v>0</v>
      </c>
      <c r="AW93" s="30">
        <f t="shared" ref="AW93" si="1085">IF(AV93=0,IF(VLOOKUP(AW$3,$A$3:$F$14,4,FALSE)&gt;=$G93,10,0),0)</f>
        <v>0</v>
      </c>
      <c r="AX93" s="30">
        <f t="shared" si="818"/>
        <v>0</v>
      </c>
      <c r="AY93" s="30">
        <f t="shared" si="819"/>
        <v>10</v>
      </c>
      <c r="AZ93" s="30">
        <f t="shared" si="997"/>
        <v>0</v>
      </c>
      <c r="BA93" s="30">
        <f t="shared" ref="BA93" si="1086">IF(AZ93=0,IF(VLOOKUP(BA$3,$A$3:$F$14,4,FALSE)&gt;=$G93,10,0),0)</f>
        <v>0</v>
      </c>
      <c r="BB93" s="30">
        <f t="shared" si="821"/>
        <v>0</v>
      </c>
      <c r="BC93" s="30">
        <f t="shared" si="822"/>
        <v>10</v>
      </c>
    </row>
    <row r="94" spans="7:55" x14ac:dyDescent="0.2">
      <c r="G94" s="19">
        <v>90</v>
      </c>
      <c r="H94" s="21">
        <f t="shared" si="786"/>
        <v>0</v>
      </c>
      <c r="I94" s="28">
        <f t="shared" si="787"/>
        <v>0</v>
      </c>
      <c r="J94" s="28">
        <f t="shared" si="788"/>
        <v>0</v>
      </c>
      <c r="K94" s="30">
        <f t="shared" si="789"/>
        <v>10</v>
      </c>
      <c r="L94" s="30">
        <f t="shared" si="977"/>
        <v>0</v>
      </c>
      <c r="M94" s="30">
        <f t="shared" ref="M94" si="1087">IF(L94=0,IF(VLOOKUP(M$3,$A$3:$F$14,4,FALSE)&gt;=$G94,10,0),0)</f>
        <v>0</v>
      </c>
      <c r="N94" s="30">
        <f t="shared" si="791"/>
        <v>0</v>
      </c>
      <c r="O94" s="30">
        <f t="shared" si="792"/>
        <v>10</v>
      </c>
      <c r="P94" s="30">
        <f t="shared" si="979"/>
        <v>0</v>
      </c>
      <c r="Q94" s="30">
        <f t="shared" ref="Q94" si="1088">IF(P94=0,IF(VLOOKUP(Q$3,$A$3:$F$14,4,FALSE)&gt;=$G94,10,0),0)</f>
        <v>0</v>
      </c>
      <c r="R94" s="30">
        <f t="shared" si="794"/>
        <v>0</v>
      </c>
      <c r="S94" s="30">
        <f t="shared" si="795"/>
        <v>10</v>
      </c>
      <c r="T94" s="30">
        <f t="shared" si="981"/>
        <v>0</v>
      </c>
      <c r="U94" s="30">
        <f t="shared" ref="U94" si="1089">IF(T94=0,IF(VLOOKUP(U$3,$A$3:$F$14,4,FALSE)&gt;=$G94,10,0),0)</f>
        <v>0</v>
      </c>
      <c r="V94" s="30">
        <f t="shared" si="797"/>
        <v>0</v>
      </c>
      <c r="W94" s="30">
        <f t="shared" si="798"/>
        <v>10</v>
      </c>
      <c r="X94" s="30">
        <f t="shared" si="983"/>
        <v>0</v>
      </c>
      <c r="Y94" s="30">
        <f t="shared" ref="Y94" si="1090">IF(X94=0,IF(VLOOKUP(Y$3,$A$3:$F$14,4,FALSE)&gt;=$G94,10,0),0)</f>
        <v>0</v>
      </c>
      <c r="Z94" s="30">
        <f t="shared" si="800"/>
        <v>0</v>
      </c>
      <c r="AA94" s="30">
        <f t="shared" si="801"/>
        <v>10</v>
      </c>
      <c r="AB94" s="30">
        <f t="shared" si="985"/>
        <v>0</v>
      </c>
      <c r="AC94" s="30">
        <f t="shared" ref="AC94" si="1091">IF(AB94=0,IF(VLOOKUP(AC$3,$A$3:$F$14,4,FALSE)&gt;=$G94,10,0),0)</f>
        <v>0</v>
      </c>
      <c r="AD94" s="30">
        <f t="shared" si="803"/>
        <v>0</v>
      </c>
      <c r="AE94" s="30">
        <f t="shared" si="804"/>
        <v>10</v>
      </c>
      <c r="AF94" s="30">
        <f t="shared" si="987"/>
        <v>0</v>
      </c>
      <c r="AG94" s="30">
        <f t="shared" ref="AG94" si="1092">IF(AF94=0,IF(VLOOKUP(AG$3,$A$3:$F$14,4,FALSE)&gt;=$G94,10,0),0)</f>
        <v>0</v>
      </c>
      <c r="AH94" s="30">
        <f t="shared" si="806"/>
        <v>0</v>
      </c>
      <c r="AI94" s="30">
        <f t="shared" si="807"/>
        <v>10</v>
      </c>
      <c r="AJ94" s="30">
        <f t="shared" si="989"/>
        <v>0</v>
      </c>
      <c r="AK94" s="30">
        <f t="shared" ref="AK94" si="1093">IF(AJ94=0,IF(VLOOKUP(AK$3,$A$3:$F$14,4,FALSE)&gt;=$G94,10,0),0)</f>
        <v>0</v>
      </c>
      <c r="AL94" s="30">
        <f t="shared" si="809"/>
        <v>0</v>
      </c>
      <c r="AM94" s="30">
        <f t="shared" si="810"/>
        <v>10</v>
      </c>
      <c r="AN94" s="30">
        <f t="shared" si="991"/>
        <v>0</v>
      </c>
      <c r="AO94" s="30">
        <f t="shared" ref="AO94" si="1094">IF(AN94=0,IF(VLOOKUP(AO$3,$A$3:$F$14,4,FALSE)&gt;=$G94,10,0),0)</f>
        <v>0</v>
      </c>
      <c r="AP94" s="30">
        <f t="shared" si="812"/>
        <v>0</v>
      </c>
      <c r="AQ94" s="30">
        <f t="shared" si="813"/>
        <v>10</v>
      </c>
      <c r="AR94" s="30">
        <f t="shared" si="993"/>
        <v>0</v>
      </c>
      <c r="AS94" s="30">
        <f t="shared" ref="AS94" si="1095">IF(AR94=0,IF(VLOOKUP(AS$3,$A$3:$F$14,4,FALSE)&gt;=$G94,10,0),0)</f>
        <v>0</v>
      </c>
      <c r="AT94" s="30">
        <f t="shared" si="815"/>
        <v>10</v>
      </c>
      <c r="AU94" s="30">
        <f t="shared" si="816"/>
        <v>0</v>
      </c>
      <c r="AV94" s="30">
        <f t="shared" si="995"/>
        <v>0</v>
      </c>
      <c r="AW94" s="30">
        <f t="shared" ref="AW94" si="1096">IF(AV94=0,IF(VLOOKUP(AW$3,$A$3:$F$14,4,FALSE)&gt;=$G94,10,0),0)</f>
        <v>0</v>
      </c>
      <c r="AX94" s="30">
        <f t="shared" si="818"/>
        <v>0</v>
      </c>
      <c r="AY94" s="30">
        <f t="shared" si="819"/>
        <v>10</v>
      </c>
      <c r="AZ94" s="30">
        <f t="shared" si="997"/>
        <v>0</v>
      </c>
      <c r="BA94" s="30">
        <f t="shared" ref="BA94" si="1097">IF(AZ94=0,IF(VLOOKUP(BA$3,$A$3:$F$14,4,FALSE)&gt;=$G94,10,0),0)</f>
        <v>0</v>
      </c>
      <c r="BB94" s="30">
        <f t="shared" si="821"/>
        <v>0</v>
      </c>
      <c r="BC94" s="30">
        <f t="shared" si="822"/>
        <v>10</v>
      </c>
    </row>
    <row r="95" spans="7:55" x14ac:dyDescent="0.2">
      <c r="G95" s="19">
        <v>91</v>
      </c>
      <c r="H95" s="21">
        <f t="shared" si="786"/>
        <v>0</v>
      </c>
      <c r="I95" s="28">
        <f t="shared" si="787"/>
        <v>0</v>
      </c>
      <c r="J95" s="28">
        <f t="shared" si="788"/>
        <v>0</v>
      </c>
      <c r="K95" s="30">
        <f t="shared" si="789"/>
        <v>10</v>
      </c>
      <c r="L95" s="30">
        <f t="shared" si="977"/>
        <v>0</v>
      </c>
      <c r="M95" s="30">
        <f t="shared" ref="M95" si="1098">IF(L95=0,IF(VLOOKUP(M$3,$A$3:$F$14,4,FALSE)&gt;=$G95,10,0),0)</f>
        <v>0</v>
      </c>
      <c r="N95" s="30">
        <f t="shared" si="791"/>
        <v>0</v>
      </c>
      <c r="O95" s="30">
        <f t="shared" si="792"/>
        <v>10</v>
      </c>
      <c r="P95" s="30">
        <f t="shared" si="979"/>
        <v>0</v>
      </c>
      <c r="Q95" s="30">
        <f t="shared" ref="Q95" si="1099">IF(P95=0,IF(VLOOKUP(Q$3,$A$3:$F$14,4,FALSE)&gt;=$G95,10,0),0)</f>
        <v>0</v>
      </c>
      <c r="R95" s="30">
        <f t="shared" si="794"/>
        <v>0</v>
      </c>
      <c r="S95" s="30">
        <f t="shared" si="795"/>
        <v>10</v>
      </c>
      <c r="T95" s="30">
        <f t="shared" si="981"/>
        <v>0</v>
      </c>
      <c r="U95" s="30">
        <f t="shared" ref="U95" si="1100">IF(T95=0,IF(VLOOKUP(U$3,$A$3:$F$14,4,FALSE)&gt;=$G95,10,0),0)</f>
        <v>0</v>
      </c>
      <c r="V95" s="30">
        <f t="shared" si="797"/>
        <v>0</v>
      </c>
      <c r="W95" s="30">
        <f t="shared" si="798"/>
        <v>10</v>
      </c>
      <c r="X95" s="30">
        <f t="shared" si="983"/>
        <v>0</v>
      </c>
      <c r="Y95" s="30">
        <f t="shared" ref="Y95" si="1101">IF(X95=0,IF(VLOOKUP(Y$3,$A$3:$F$14,4,FALSE)&gt;=$G95,10,0),0)</f>
        <v>0</v>
      </c>
      <c r="Z95" s="30">
        <f t="shared" si="800"/>
        <v>0</v>
      </c>
      <c r="AA95" s="30">
        <f t="shared" si="801"/>
        <v>10</v>
      </c>
      <c r="AB95" s="30">
        <f t="shared" si="985"/>
        <v>0</v>
      </c>
      <c r="AC95" s="30">
        <f t="shared" ref="AC95" si="1102">IF(AB95=0,IF(VLOOKUP(AC$3,$A$3:$F$14,4,FALSE)&gt;=$G95,10,0),0)</f>
        <v>0</v>
      </c>
      <c r="AD95" s="30">
        <f t="shared" si="803"/>
        <v>0</v>
      </c>
      <c r="AE95" s="30">
        <f t="shared" si="804"/>
        <v>10</v>
      </c>
      <c r="AF95" s="30">
        <f t="shared" si="987"/>
        <v>0</v>
      </c>
      <c r="AG95" s="30">
        <f t="shared" ref="AG95" si="1103">IF(AF95=0,IF(VLOOKUP(AG$3,$A$3:$F$14,4,FALSE)&gt;=$G95,10,0),0)</f>
        <v>0</v>
      </c>
      <c r="AH95" s="30">
        <f t="shared" si="806"/>
        <v>0</v>
      </c>
      <c r="AI95" s="30">
        <f t="shared" si="807"/>
        <v>10</v>
      </c>
      <c r="AJ95" s="30">
        <f t="shared" si="989"/>
        <v>0</v>
      </c>
      <c r="AK95" s="30">
        <f t="shared" ref="AK95" si="1104">IF(AJ95=0,IF(VLOOKUP(AK$3,$A$3:$F$14,4,FALSE)&gt;=$G95,10,0),0)</f>
        <v>0</v>
      </c>
      <c r="AL95" s="30">
        <f t="shared" si="809"/>
        <v>0</v>
      </c>
      <c r="AM95" s="30">
        <f t="shared" si="810"/>
        <v>10</v>
      </c>
      <c r="AN95" s="30">
        <f t="shared" si="991"/>
        <v>0</v>
      </c>
      <c r="AO95" s="30">
        <f t="shared" ref="AO95" si="1105">IF(AN95=0,IF(VLOOKUP(AO$3,$A$3:$F$14,4,FALSE)&gt;=$G95,10,0),0)</f>
        <v>0</v>
      </c>
      <c r="AP95" s="30">
        <f t="shared" si="812"/>
        <v>0</v>
      </c>
      <c r="AQ95" s="30">
        <f t="shared" si="813"/>
        <v>10</v>
      </c>
      <c r="AR95" s="30">
        <f t="shared" si="993"/>
        <v>0</v>
      </c>
      <c r="AS95" s="30">
        <f t="shared" ref="AS95" si="1106">IF(AR95=0,IF(VLOOKUP(AS$3,$A$3:$F$14,4,FALSE)&gt;=$G95,10,0),0)</f>
        <v>0</v>
      </c>
      <c r="AT95" s="30">
        <f t="shared" si="815"/>
        <v>0</v>
      </c>
      <c r="AU95" s="30">
        <f t="shared" si="816"/>
        <v>10</v>
      </c>
      <c r="AV95" s="30">
        <f t="shared" si="995"/>
        <v>0</v>
      </c>
      <c r="AW95" s="30">
        <f t="shared" ref="AW95" si="1107">IF(AV95=0,IF(VLOOKUP(AW$3,$A$3:$F$14,4,FALSE)&gt;=$G95,10,0),0)</f>
        <v>0</v>
      </c>
      <c r="AX95" s="30">
        <f t="shared" si="818"/>
        <v>0</v>
      </c>
      <c r="AY95" s="30">
        <f t="shared" si="819"/>
        <v>10</v>
      </c>
      <c r="AZ95" s="30">
        <f t="shared" si="997"/>
        <v>0</v>
      </c>
      <c r="BA95" s="30">
        <f t="shared" ref="BA95" si="1108">IF(AZ95=0,IF(VLOOKUP(BA$3,$A$3:$F$14,4,FALSE)&gt;=$G95,10,0),0)</f>
        <v>0</v>
      </c>
      <c r="BB95" s="30">
        <f t="shared" si="821"/>
        <v>0</v>
      </c>
      <c r="BC95" s="30">
        <f t="shared" si="822"/>
        <v>10</v>
      </c>
    </row>
    <row r="96" spans="7:55" x14ac:dyDescent="0.2">
      <c r="G96" s="19">
        <v>92</v>
      </c>
      <c r="H96" s="21">
        <f t="shared" si="786"/>
        <v>0</v>
      </c>
      <c r="I96" s="28">
        <f t="shared" si="787"/>
        <v>0</v>
      </c>
      <c r="J96" s="28">
        <f t="shared" si="788"/>
        <v>0</v>
      </c>
      <c r="K96" s="30">
        <f t="shared" si="789"/>
        <v>10</v>
      </c>
      <c r="L96" s="30">
        <f t="shared" si="977"/>
        <v>0</v>
      </c>
      <c r="M96" s="30">
        <f t="shared" ref="M96" si="1109">IF(L96=0,IF(VLOOKUP(M$3,$A$3:$F$14,4,FALSE)&gt;=$G96,10,0),0)</f>
        <v>0</v>
      </c>
      <c r="N96" s="30">
        <f t="shared" si="791"/>
        <v>0</v>
      </c>
      <c r="O96" s="30">
        <f t="shared" si="792"/>
        <v>10</v>
      </c>
      <c r="P96" s="30">
        <f t="shared" si="979"/>
        <v>0</v>
      </c>
      <c r="Q96" s="30">
        <f t="shared" ref="Q96" si="1110">IF(P96=0,IF(VLOOKUP(Q$3,$A$3:$F$14,4,FALSE)&gt;=$G96,10,0),0)</f>
        <v>0</v>
      </c>
      <c r="R96" s="30">
        <f t="shared" si="794"/>
        <v>0</v>
      </c>
      <c r="S96" s="30">
        <f t="shared" si="795"/>
        <v>10</v>
      </c>
      <c r="T96" s="30">
        <f t="shared" si="981"/>
        <v>0</v>
      </c>
      <c r="U96" s="30">
        <f t="shared" ref="U96" si="1111">IF(T96=0,IF(VLOOKUP(U$3,$A$3:$F$14,4,FALSE)&gt;=$G96,10,0),0)</f>
        <v>0</v>
      </c>
      <c r="V96" s="30">
        <f t="shared" si="797"/>
        <v>0</v>
      </c>
      <c r="W96" s="30">
        <f t="shared" si="798"/>
        <v>10</v>
      </c>
      <c r="X96" s="30">
        <f t="shared" si="983"/>
        <v>0</v>
      </c>
      <c r="Y96" s="30">
        <f t="shared" ref="Y96" si="1112">IF(X96=0,IF(VLOOKUP(Y$3,$A$3:$F$14,4,FALSE)&gt;=$G96,10,0),0)</f>
        <v>0</v>
      </c>
      <c r="Z96" s="30">
        <f t="shared" si="800"/>
        <v>0</v>
      </c>
      <c r="AA96" s="30">
        <f t="shared" si="801"/>
        <v>10</v>
      </c>
      <c r="AB96" s="30">
        <f t="shared" si="985"/>
        <v>0</v>
      </c>
      <c r="AC96" s="30">
        <f t="shared" ref="AC96" si="1113">IF(AB96=0,IF(VLOOKUP(AC$3,$A$3:$F$14,4,FALSE)&gt;=$G96,10,0),0)</f>
        <v>0</v>
      </c>
      <c r="AD96" s="30">
        <f t="shared" si="803"/>
        <v>0</v>
      </c>
      <c r="AE96" s="30">
        <f t="shared" si="804"/>
        <v>10</v>
      </c>
      <c r="AF96" s="30">
        <f t="shared" si="987"/>
        <v>0</v>
      </c>
      <c r="AG96" s="30">
        <f t="shared" ref="AG96" si="1114">IF(AF96=0,IF(VLOOKUP(AG$3,$A$3:$F$14,4,FALSE)&gt;=$G96,10,0),0)</f>
        <v>0</v>
      </c>
      <c r="AH96" s="30">
        <f t="shared" si="806"/>
        <v>0</v>
      </c>
      <c r="AI96" s="30">
        <f t="shared" si="807"/>
        <v>10</v>
      </c>
      <c r="AJ96" s="30">
        <f t="shared" si="989"/>
        <v>0</v>
      </c>
      <c r="AK96" s="30">
        <f t="shared" ref="AK96" si="1115">IF(AJ96=0,IF(VLOOKUP(AK$3,$A$3:$F$14,4,FALSE)&gt;=$G96,10,0),0)</f>
        <v>0</v>
      </c>
      <c r="AL96" s="30">
        <f t="shared" si="809"/>
        <v>0</v>
      </c>
      <c r="AM96" s="30">
        <f t="shared" si="810"/>
        <v>10</v>
      </c>
      <c r="AN96" s="30">
        <f t="shared" si="991"/>
        <v>0</v>
      </c>
      <c r="AO96" s="30">
        <f t="shared" ref="AO96" si="1116">IF(AN96=0,IF(VLOOKUP(AO$3,$A$3:$F$14,4,FALSE)&gt;=$G96,10,0),0)</f>
        <v>0</v>
      </c>
      <c r="AP96" s="30">
        <f t="shared" si="812"/>
        <v>0</v>
      </c>
      <c r="AQ96" s="30">
        <f t="shared" si="813"/>
        <v>10</v>
      </c>
      <c r="AR96" s="30">
        <f t="shared" si="993"/>
        <v>0</v>
      </c>
      <c r="AS96" s="30">
        <f t="shared" ref="AS96" si="1117">IF(AR96=0,IF(VLOOKUP(AS$3,$A$3:$F$14,4,FALSE)&gt;=$G96,10,0),0)</f>
        <v>0</v>
      </c>
      <c r="AT96" s="30">
        <f t="shared" si="815"/>
        <v>0</v>
      </c>
      <c r="AU96" s="30">
        <f t="shared" si="816"/>
        <v>10</v>
      </c>
      <c r="AV96" s="30">
        <f t="shared" si="995"/>
        <v>0</v>
      </c>
      <c r="AW96" s="30">
        <f t="shared" ref="AW96" si="1118">IF(AV96=0,IF(VLOOKUP(AW$3,$A$3:$F$14,4,FALSE)&gt;=$G96,10,0),0)</f>
        <v>0</v>
      </c>
      <c r="AX96" s="30">
        <f t="shared" si="818"/>
        <v>0</v>
      </c>
      <c r="AY96" s="30">
        <f t="shared" si="819"/>
        <v>10</v>
      </c>
      <c r="AZ96" s="30">
        <f t="shared" si="997"/>
        <v>0</v>
      </c>
      <c r="BA96" s="30">
        <f t="shared" ref="BA96" si="1119">IF(AZ96=0,IF(VLOOKUP(BA$3,$A$3:$F$14,4,FALSE)&gt;=$G96,10,0),0)</f>
        <v>0</v>
      </c>
      <c r="BB96" s="30">
        <f t="shared" si="821"/>
        <v>0</v>
      </c>
      <c r="BC96" s="30">
        <f t="shared" si="822"/>
        <v>10</v>
      </c>
    </row>
    <row r="97" spans="7:55" x14ac:dyDescent="0.2">
      <c r="G97" s="19">
        <v>93</v>
      </c>
      <c r="H97" s="21">
        <f t="shared" si="786"/>
        <v>0</v>
      </c>
      <c r="I97" s="28">
        <f t="shared" si="787"/>
        <v>0</v>
      </c>
      <c r="J97" s="28">
        <f t="shared" si="788"/>
        <v>0</v>
      </c>
      <c r="K97" s="30">
        <f t="shared" si="789"/>
        <v>10</v>
      </c>
      <c r="L97" s="30">
        <f t="shared" si="977"/>
        <v>0</v>
      </c>
      <c r="M97" s="30">
        <f t="shared" ref="M97" si="1120">IF(L97=0,IF(VLOOKUP(M$3,$A$3:$F$14,4,FALSE)&gt;=$G97,10,0),0)</f>
        <v>0</v>
      </c>
      <c r="N97" s="30">
        <f t="shared" si="791"/>
        <v>0</v>
      </c>
      <c r="O97" s="30">
        <f t="shared" si="792"/>
        <v>10</v>
      </c>
      <c r="P97" s="30">
        <f t="shared" si="979"/>
        <v>0</v>
      </c>
      <c r="Q97" s="30">
        <f t="shared" ref="Q97" si="1121">IF(P97=0,IF(VLOOKUP(Q$3,$A$3:$F$14,4,FALSE)&gt;=$G97,10,0),0)</f>
        <v>0</v>
      </c>
      <c r="R97" s="30">
        <f t="shared" si="794"/>
        <v>0</v>
      </c>
      <c r="S97" s="30">
        <f t="shared" si="795"/>
        <v>10</v>
      </c>
      <c r="T97" s="30">
        <f t="shared" si="981"/>
        <v>0</v>
      </c>
      <c r="U97" s="30">
        <f t="shared" ref="U97" si="1122">IF(T97=0,IF(VLOOKUP(U$3,$A$3:$F$14,4,FALSE)&gt;=$G97,10,0),0)</f>
        <v>0</v>
      </c>
      <c r="V97" s="30">
        <f t="shared" si="797"/>
        <v>0</v>
      </c>
      <c r="W97" s="30">
        <f t="shared" si="798"/>
        <v>10</v>
      </c>
      <c r="X97" s="30">
        <f t="shared" si="983"/>
        <v>0</v>
      </c>
      <c r="Y97" s="30">
        <f t="shared" ref="Y97" si="1123">IF(X97=0,IF(VLOOKUP(Y$3,$A$3:$F$14,4,FALSE)&gt;=$G97,10,0),0)</f>
        <v>0</v>
      </c>
      <c r="Z97" s="30">
        <f t="shared" si="800"/>
        <v>0</v>
      </c>
      <c r="AA97" s="30">
        <f t="shared" si="801"/>
        <v>10</v>
      </c>
      <c r="AB97" s="30">
        <f t="shared" si="985"/>
        <v>0</v>
      </c>
      <c r="AC97" s="30">
        <f t="shared" ref="AC97" si="1124">IF(AB97=0,IF(VLOOKUP(AC$3,$A$3:$F$14,4,FALSE)&gt;=$G97,10,0),0)</f>
        <v>0</v>
      </c>
      <c r="AD97" s="30">
        <f t="shared" si="803"/>
        <v>0</v>
      </c>
      <c r="AE97" s="30">
        <f t="shared" si="804"/>
        <v>10</v>
      </c>
      <c r="AF97" s="30">
        <f t="shared" si="987"/>
        <v>0</v>
      </c>
      <c r="AG97" s="30">
        <f t="shared" ref="AG97" si="1125">IF(AF97=0,IF(VLOOKUP(AG$3,$A$3:$F$14,4,FALSE)&gt;=$G97,10,0),0)</f>
        <v>0</v>
      </c>
      <c r="AH97" s="30">
        <f t="shared" si="806"/>
        <v>0</v>
      </c>
      <c r="AI97" s="30">
        <f t="shared" si="807"/>
        <v>10</v>
      </c>
      <c r="AJ97" s="30">
        <f t="shared" si="989"/>
        <v>0</v>
      </c>
      <c r="AK97" s="30">
        <f t="shared" ref="AK97" si="1126">IF(AJ97=0,IF(VLOOKUP(AK$3,$A$3:$F$14,4,FALSE)&gt;=$G97,10,0),0)</f>
        <v>0</v>
      </c>
      <c r="AL97" s="30">
        <f t="shared" si="809"/>
        <v>0</v>
      </c>
      <c r="AM97" s="30">
        <f t="shared" si="810"/>
        <v>10</v>
      </c>
      <c r="AN97" s="30">
        <f t="shared" si="991"/>
        <v>0</v>
      </c>
      <c r="AO97" s="30">
        <f t="shared" ref="AO97" si="1127">IF(AN97=0,IF(VLOOKUP(AO$3,$A$3:$F$14,4,FALSE)&gt;=$G97,10,0),0)</f>
        <v>0</v>
      </c>
      <c r="AP97" s="30">
        <f t="shared" si="812"/>
        <v>0</v>
      </c>
      <c r="AQ97" s="30">
        <f t="shared" si="813"/>
        <v>10</v>
      </c>
      <c r="AR97" s="30">
        <f t="shared" si="993"/>
        <v>0</v>
      </c>
      <c r="AS97" s="30">
        <f t="shared" ref="AS97" si="1128">IF(AR97=0,IF(VLOOKUP(AS$3,$A$3:$F$14,4,FALSE)&gt;=$G97,10,0),0)</f>
        <v>0</v>
      </c>
      <c r="AT97" s="30">
        <f t="shared" si="815"/>
        <v>0</v>
      </c>
      <c r="AU97" s="30">
        <f t="shared" si="816"/>
        <v>10</v>
      </c>
      <c r="AV97" s="30">
        <f t="shared" si="995"/>
        <v>0</v>
      </c>
      <c r="AW97" s="30">
        <f t="shared" ref="AW97" si="1129">IF(AV97=0,IF(VLOOKUP(AW$3,$A$3:$F$14,4,FALSE)&gt;=$G97,10,0),0)</f>
        <v>0</v>
      </c>
      <c r="AX97" s="30">
        <f t="shared" si="818"/>
        <v>0</v>
      </c>
      <c r="AY97" s="30">
        <f t="shared" si="819"/>
        <v>10</v>
      </c>
      <c r="AZ97" s="30">
        <f t="shared" si="997"/>
        <v>0</v>
      </c>
      <c r="BA97" s="30">
        <f t="shared" ref="BA97" si="1130">IF(AZ97=0,IF(VLOOKUP(BA$3,$A$3:$F$14,4,FALSE)&gt;=$G97,10,0),0)</f>
        <v>0</v>
      </c>
      <c r="BB97" s="30">
        <f t="shared" si="821"/>
        <v>0</v>
      </c>
      <c r="BC97" s="30">
        <f t="shared" si="822"/>
        <v>10</v>
      </c>
    </row>
    <row r="98" spans="7:55" x14ac:dyDescent="0.2">
      <c r="G98" s="19">
        <v>94</v>
      </c>
      <c r="H98" s="21">
        <f t="shared" si="786"/>
        <v>0</v>
      </c>
      <c r="I98" s="28">
        <f t="shared" si="787"/>
        <v>0</v>
      </c>
      <c r="J98" s="28">
        <f t="shared" si="788"/>
        <v>0</v>
      </c>
      <c r="K98" s="30">
        <f t="shared" si="789"/>
        <v>10</v>
      </c>
      <c r="L98" s="30">
        <f t="shared" si="977"/>
        <v>0</v>
      </c>
      <c r="M98" s="30">
        <f t="shared" ref="M98" si="1131">IF(L98=0,IF(VLOOKUP(M$3,$A$3:$F$14,4,FALSE)&gt;=$G98,10,0),0)</f>
        <v>0</v>
      </c>
      <c r="N98" s="30">
        <f t="shared" si="791"/>
        <v>0</v>
      </c>
      <c r="O98" s="30">
        <f t="shared" si="792"/>
        <v>10</v>
      </c>
      <c r="P98" s="30">
        <f t="shared" si="979"/>
        <v>0</v>
      </c>
      <c r="Q98" s="30">
        <f t="shared" ref="Q98" si="1132">IF(P98=0,IF(VLOOKUP(Q$3,$A$3:$F$14,4,FALSE)&gt;=$G98,10,0),0)</f>
        <v>0</v>
      </c>
      <c r="R98" s="30">
        <f t="shared" si="794"/>
        <v>0</v>
      </c>
      <c r="S98" s="30">
        <f t="shared" si="795"/>
        <v>10</v>
      </c>
      <c r="T98" s="30">
        <f t="shared" si="981"/>
        <v>0</v>
      </c>
      <c r="U98" s="30">
        <f t="shared" ref="U98" si="1133">IF(T98=0,IF(VLOOKUP(U$3,$A$3:$F$14,4,FALSE)&gt;=$G98,10,0),0)</f>
        <v>0</v>
      </c>
      <c r="V98" s="30">
        <f t="shared" si="797"/>
        <v>0</v>
      </c>
      <c r="W98" s="30">
        <f t="shared" si="798"/>
        <v>10</v>
      </c>
      <c r="X98" s="30">
        <f t="shared" si="983"/>
        <v>0</v>
      </c>
      <c r="Y98" s="30">
        <f t="shared" ref="Y98" si="1134">IF(X98=0,IF(VLOOKUP(Y$3,$A$3:$F$14,4,FALSE)&gt;=$G98,10,0),0)</f>
        <v>0</v>
      </c>
      <c r="Z98" s="30">
        <f t="shared" si="800"/>
        <v>0</v>
      </c>
      <c r="AA98" s="30">
        <f t="shared" si="801"/>
        <v>10</v>
      </c>
      <c r="AB98" s="30">
        <f t="shared" si="985"/>
        <v>0</v>
      </c>
      <c r="AC98" s="30">
        <f t="shared" ref="AC98" si="1135">IF(AB98=0,IF(VLOOKUP(AC$3,$A$3:$F$14,4,FALSE)&gt;=$G98,10,0),0)</f>
        <v>0</v>
      </c>
      <c r="AD98" s="30">
        <f t="shared" si="803"/>
        <v>0</v>
      </c>
      <c r="AE98" s="30">
        <f t="shared" si="804"/>
        <v>10</v>
      </c>
      <c r="AF98" s="30">
        <f t="shared" si="987"/>
        <v>0</v>
      </c>
      <c r="AG98" s="30">
        <f t="shared" ref="AG98" si="1136">IF(AF98=0,IF(VLOOKUP(AG$3,$A$3:$F$14,4,FALSE)&gt;=$G98,10,0),0)</f>
        <v>0</v>
      </c>
      <c r="AH98" s="30">
        <f t="shared" si="806"/>
        <v>0</v>
      </c>
      <c r="AI98" s="30">
        <f t="shared" si="807"/>
        <v>10</v>
      </c>
      <c r="AJ98" s="30">
        <f t="shared" si="989"/>
        <v>0</v>
      </c>
      <c r="AK98" s="30">
        <f t="shared" ref="AK98" si="1137">IF(AJ98=0,IF(VLOOKUP(AK$3,$A$3:$F$14,4,FALSE)&gt;=$G98,10,0),0)</f>
        <v>0</v>
      </c>
      <c r="AL98" s="30">
        <f t="shared" si="809"/>
        <v>0</v>
      </c>
      <c r="AM98" s="30">
        <f t="shared" si="810"/>
        <v>10</v>
      </c>
      <c r="AN98" s="30">
        <f t="shared" si="991"/>
        <v>0</v>
      </c>
      <c r="AO98" s="30">
        <f t="shared" ref="AO98" si="1138">IF(AN98=0,IF(VLOOKUP(AO$3,$A$3:$F$14,4,FALSE)&gt;=$G98,10,0),0)</f>
        <v>0</v>
      </c>
      <c r="AP98" s="30">
        <f t="shared" si="812"/>
        <v>0</v>
      </c>
      <c r="AQ98" s="30">
        <f t="shared" si="813"/>
        <v>10</v>
      </c>
      <c r="AR98" s="30">
        <f t="shared" si="993"/>
        <v>0</v>
      </c>
      <c r="AS98" s="30">
        <f t="shared" ref="AS98" si="1139">IF(AR98=0,IF(VLOOKUP(AS$3,$A$3:$F$14,4,FALSE)&gt;=$G98,10,0),0)</f>
        <v>0</v>
      </c>
      <c r="AT98" s="30">
        <f t="shared" si="815"/>
        <v>0</v>
      </c>
      <c r="AU98" s="30">
        <f t="shared" si="816"/>
        <v>10</v>
      </c>
      <c r="AV98" s="30">
        <f t="shared" si="995"/>
        <v>0</v>
      </c>
      <c r="AW98" s="30">
        <f t="shared" ref="AW98" si="1140">IF(AV98=0,IF(VLOOKUP(AW$3,$A$3:$F$14,4,FALSE)&gt;=$G98,10,0),0)</f>
        <v>0</v>
      </c>
      <c r="AX98" s="30">
        <f t="shared" si="818"/>
        <v>0</v>
      </c>
      <c r="AY98" s="30">
        <f t="shared" si="819"/>
        <v>10</v>
      </c>
      <c r="AZ98" s="30">
        <f t="shared" si="997"/>
        <v>0</v>
      </c>
      <c r="BA98" s="30">
        <f t="shared" ref="BA98" si="1141">IF(AZ98=0,IF(VLOOKUP(BA$3,$A$3:$F$14,4,FALSE)&gt;=$G98,10,0),0)</f>
        <v>0</v>
      </c>
      <c r="BB98" s="30">
        <f t="shared" si="821"/>
        <v>0</v>
      </c>
      <c r="BC98" s="30">
        <f t="shared" si="822"/>
        <v>10</v>
      </c>
    </row>
    <row r="99" spans="7:55" x14ac:dyDescent="0.2">
      <c r="G99" s="19">
        <v>95</v>
      </c>
      <c r="H99" s="21">
        <f t="shared" si="786"/>
        <v>0</v>
      </c>
      <c r="I99" s="28">
        <f t="shared" si="787"/>
        <v>0</v>
      </c>
      <c r="J99" s="28">
        <f t="shared" si="788"/>
        <v>0</v>
      </c>
      <c r="K99" s="30">
        <f t="shared" si="789"/>
        <v>10</v>
      </c>
      <c r="L99" s="30">
        <f t="shared" si="977"/>
        <v>0</v>
      </c>
      <c r="M99" s="30">
        <f t="shared" ref="M99" si="1142">IF(L99=0,IF(VLOOKUP(M$3,$A$3:$F$14,4,FALSE)&gt;=$G99,10,0),0)</f>
        <v>0</v>
      </c>
      <c r="N99" s="30">
        <f t="shared" si="791"/>
        <v>0</v>
      </c>
      <c r="O99" s="30">
        <f t="shared" si="792"/>
        <v>10</v>
      </c>
      <c r="P99" s="30">
        <f t="shared" si="979"/>
        <v>0</v>
      </c>
      <c r="Q99" s="30">
        <f t="shared" ref="Q99" si="1143">IF(P99=0,IF(VLOOKUP(Q$3,$A$3:$F$14,4,FALSE)&gt;=$G99,10,0),0)</f>
        <v>0</v>
      </c>
      <c r="R99" s="30">
        <f t="shared" si="794"/>
        <v>0</v>
      </c>
      <c r="S99" s="30">
        <f t="shared" si="795"/>
        <v>10</v>
      </c>
      <c r="T99" s="30">
        <f t="shared" si="981"/>
        <v>0</v>
      </c>
      <c r="U99" s="30">
        <f t="shared" ref="U99" si="1144">IF(T99=0,IF(VLOOKUP(U$3,$A$3:$F$14,4,FALSE)&gt;=$G99,10,0),0)</f>
        <v>0</v>
      </c>
      <c r="V99" s="30">
        <f t="shared" si="797"/>
        <v>0</v>
      </c>
      <c r="W99" s="30">
        <f t="shared" si="798"/>
        <v>10</v>
      </c>
      <c r="X99" s="30">
        <f t="shared" si="983"/>
        <v>0</v>
      </c>
      <c r="Y99" s="30">
        <f t="shared" ref="Y99" si="1145">IF(X99=0,IF(VLOOKUP(Y$3,$A$3:$F$14,4,FALSE)&gt;=$G99,10,0),0)</f>
        <v>0</v>
      </c>
      <c r="Z99" s="30">
        <f t="shared" si="800"/>
        <v>0</v>
      </c>
      <c r="AA99" s="30">
        <f t="shared" si="801"/>
        <v>10</v>
      </c>
      <c r="AB99" s="30">
        <f t="shared" si="985"/>
        <v>0</v>
      </c>
      <c r="AC99" s="30">
        <f t="shared" ref="AC99" si="1146">IF(AB99=0,IF(VLOOKUP(AC$3,$A$3:$F$14,4,FALSE)&gt;=$G99,10,0),0)</f>
        <v>0</v>
      </c>
      <c r="AD99" s="30">
        <f t="shared" si="803"/>
        <v>0</v>
      </c>
      <c r="AE99" s="30">
        <f t="shared" si="804"/>
        <v>10</v>
      </c>
      <c r="AF99" s="30">
        <f t="shared" si="987"/>
        <v>0</v>
      </c>
      <c r="AG99" s="30">
        <f t="shared" ref="AG99" si="1147">IF(AF99=0,IF(VLOOKUP(AG$3,$A$3:$F$14,4,FALSE)&gt;=$G99,10,0),0)</f>
        <v>0</v>
      </c>
      <c r="AH99" s="30">
        <f t="shared" si="806"/>
        <v>0</v>
      </c>
      <c r="AI99" s="30">
        <f t="shared" si="807"/>
        <v>10</v>
      </c>
      <c r="AJ99" s="30">
        <f t="shared" si="989"/>
        <v>0</v>
      </c>
      <c r="AK99" s="30">
        <f t="shared" ref="AK99" si="1148">IF(AJ99=0,IF(VLOOKUP(AK$3,$A$3:$F$14,4,FALSE)&gt;=$G99,10,0),0)</f>
        <v>0</v>
      </c>
      <c r="AL99" s="30">
        <f t="shared" si="809"/>
        <v>0</v>
      </c>
      <c r="AM99" s="30">
        <f t="shared" si="810"/>
        <v>10</v>
      </c>
      <c r="AN99" s="30">
        <f t="shared" si="991"/>
        <v>0</v>
      </c>
      <c r="AO99" s="30">
        <f t="shared" ref="AO99" si="1149">IF(AN99=0,IF(VLOOKUP(AO$3,$A$3:$F$14,4,FALSE)&gt;=$G99,10,0),0)</f>
        <v>0</v>
      </c>
      <c r="AP99" s="30">
        <f t="shared" si="812"/>
        <v>0</v>
      </c>
      <c r="AQ99" s="30">
        <f t="shared" si="813"/>
        <v>10</v>
      </c>
      <c r="AR99" s="30">
        <f t="shared" si="993"/>
        <v>0</v>
      </c>
      <c r="AS99" s="30">
        <f t="shared" ref="AS99" si="1150">IF(AR99=0,IF(VLOOKUP(AS$3,$A$3:$F$14,4,FALSE)&gt;=$G99,10,0),0)</f>
        <v>0</v>
      </c>
      <c r="AT99" s="30">
        <f t="shared" si="815"/>
        <v>0</v>
      </c>
      <c r="AU99" s="30">
        <f t="shared" si="816"/>
        <v>10</v>
      </c>
      <c r="AV99" s="30">
        <f t="shared" si="995"/>
        <v>0</v>
      </c>
      <c r="AW99" s="30">
        <f t="shared" ref="AW99" si="1151">IF(AV99=0,IF(VLOOKUP(AW$3,$A$3:$F$14,4,FALSE)&gt;=$G99,10,0),0)</f>
        <v>0</v>
      </c>
      <c r="AX99" s="30">
        <f t="shared" si="818"/>
        <v>0</v>
      </c>
      <c r="AY99" s="30">
        <f t="shared" si="819"/>
        <v>10</v>
      </c>
      <c r="AZ99" s="30">
        <f t="shared" si="997"/>
        <v>0</v>
      </c>
      <c r="BA99" s="30">
        <f t="shared" ref="BA99" si="1152">IF(AZ99=0,IF(VLOOKUP(BA$3,$A$3:$F$14,4,FALSE)&gt;=$G99,10,0),0)</f>
        <v>0</v>
      </c>
      <c r="BB99" s="30">
        <f t="shared" si="821"/>
        <v>0</v>
      </c>
      <c r="BC99" s="30">
        <f t="shared" si="822"/>
        <v>10</v>
      </c>
    </row>
    <row r="100" spans="7:55" x14ac:dyDescent="0.2">
      <c r="G100" s="19">
        <v>96</v>
      </c>
      <c r="H100" s="21">
        <f t="shared" si="786"/>
        <v>0</v>
      </c>
      <c r="I100" s="28">
        <f t="shared" si="787"/>
        <v>0</v>
      </c>
      <c r="J100" s="28">
        <f t="shared" si="788"/>
        <v>0</v>
      </c>
      <c r="K100" s="30">
        <f t="shared" si="789"/>
        <v>10</v>
      </c>
      <c r="L100" s="30">
        <f t="shared" si="977"/>
        <v>0</v>
      </c>
      <c r="M100" s="30">
        <f t="shared" ref="M100" si="1153">IF(L100=0,IF(VLOOKUP(M$3,$A$3:$F$14,4,FALSE)&gt;=$G100,10,0),0)</f>
        <v>0</v>
      </c>
      <c r="N100" s="30">
        <f t="shared" si="791"/>
        <v>0</v>
      </c>
      <c r="O100" s="30">
        <f t="shared" si="792"/>
        <v>10</v>
      </c>
      <c r="P100" s="30">
        <f t="shared" si="979"/>
        <v>0</v>
      </c>
      <c r="Q100" s="30">
        <f t="shared" ref="Q100" si="1154">IF(P100=0,IF(VLOOKUP(Q$3,$A$3:$F$14,4,FALSE)&gt;=$G100,10,0),0)</f>
        <v>0</v>
      </c>
      <c r="R100" s="30">
        <f t="shared" si="794"/>
        <v>0</v>
      </c>
      <c r="S100" s="30">
        <f t="shared" si="795"/>
        <v>10</v>
      </c>
      <c r="T100" s="30">
        <f t="shared" si="981"/>
        <v>0</v>
      </c>
      <c r="U100" s="30">
        <f t="shared" ref="U100" si="1155">IF(T100=0,IF(VLOOKUP(U$3,$A$3:$F$14,4,FALSE)&gt;=$G100,10,0),0)</f>
        <v>0</v>
      </c>
      <c r="V100" s="30">
        <f t="shared" si="797"/>
        <v>0</v>
      </c>
      <c r="W100" s="30">
        <f t="shared" si="798"/>
        <v>10</v>
      </c>
      <c r="X100" s="30">
        <f t="shared" si="983"/>
        <v>0</v>
      </c>
      <c r="Y100" s="30">
        <f t="shared" ref="Y100" si="1156">IF(X100=0,IF(VLOOKUP(Y$3,$A$3:$F$14,4,FALSE)&gt;=$G100,10,0),0)</f>
        <v>0</v>
      </c>
      <c r="Z100" s="30">
        <f t="shared" si="800"/>
        <v>0</v>
      </c>
      <c r="AA100" s="30">
        <f t="shared" si="801"/>
        <v>10</v>
      </c>
      <c r="AB100" s="30">
        <f t="shared" si="985"/>
        <v>0</v>
      </c>
      <c r="AC100" s="30">
        <f t="shared" ref="AC100" si="1157">IF(AB100=0,IF(VLOOKUP(AC$3,$A$3:$F$14,4,FALSE)&gt;=$G100,10,0),0)</f>
        <v>0</v>
      </c>
      <c r="AD100" s="30">
        <f t="shared" si="803"/>
        <v>0</v>
      </c>
      <c r="AE100" s="30">
        <f t="shared" si="804"/>
        <v>10</v>
      </c>
      <c r="AF100" s="30">
        <f t="shared" si="987"/>
        <v>0</v>
      </c>
      <c r="AG100" s="30">
        <f t="shared" ref="AG100" si="1158">IF(AF100=0,IF(VLOOKUP(AG$3,$A$3:$F$14,4,FALSE)&gt;=$G100,10,0),0)</f>
        <v>0</v>
      </c>
      <c r="AH100" s="30">
        <f t="shared" si="806"/>
        <v>0</v>
      </c>
      <c r="AI100" s="30">
        <f t="shared" si="807"/>
        <v>10</v>
      </c>
      <c r="AJ100" s="30">
        <f t="shared" si="989"/>
        <v>0</v>
      </c>
      <c r="AK100" s="30">
        <f t="shared" ref="AK100" si="1159">IF(AJ100=0,IF(VLOOKUP(AK$3,$A$3:$F$14,4,FALSE)&gt;=$G100,10,0),0)</f>
        <v>0</v>
      </c>
      <c r="AL100" s="30">
        <f t="shared" si="809"/>
        <v>0</v>
      </c>
      <c r="AM100" s="30">
        <f t="shared" si="810"/>
        <v>10</v>
      </c>
      <c r="AN100" s="30">
        <f t="shared" si="991"/>
        <v>0</v>
      </c>
      <c r="AO100" s="30">
        <f t="shared" ref="AO100" si="1160">IF(AN100=0,IF(VLOOKUP(AO$3,$A$3:$F$14,4,FALSE)&gt;=$G100,10,0),0)</f>
        <v>0</v>
      </c>
      <c r="AP100" s="30">
        <f t="shared" si="812"/>
        <v>0</v>
      </c>
      <c r="AQ100" s="30">
        <f t="shared" si="813"/>
        <v>10</v>
      </c>
      <c r="AR100" s="30">
        <f t="shared" si="993"/>
        <v>0</v>
      </c>
      <c r="AS100" s="30">
        <f t="shared" ref="AS100" si="1161">IF(AR100=0,IF(VLOOKUP(AS$3,$A$3:$F$14,4,FALSE)&gt;=$G100,10,0),0)</f>
        <v>0</v>
      </c>
      <c r="AT100" s="30">
        <f t="shared" si="815"/>
        <v>0</v>
      </c>
      <c r="AU100" s="30">
        <f t="shared" si="816"/>
        <v>10</v>
      </c>
      <c r="AV100" s="30">
        <f t="shared" si="995"/>
        <v>0</v>
      </c>
      <c r="AW100" s="30">
        <f t="shared" ref="AW100" si="1162">IF(AV100=0,IF(VLOOKUP(AW$3,$A$3:$F$14,4,FALSE)&gt;=$G100,10,0),0)</f>
        <v>0</v>
      </c>
      <c r="AX100" s="30">
        <f t="shared" si="818"/>
        <v>0</v>
      </c>
      <c r="AY100" s="30">
        <f t="shared" si="819"/>
        <v>10</v>
      </c>
      <c r="AZ100" s="30">
        <f t="shared" si="997"/>
        <v>0</v>
      </c>
      <c r="BA100" s="30">
        <f t="shared" ref="BA100" si="1163">IF(AZ100=0,IF(VLOOKUP(BA$3,$A$3:$F$14,4,FALSE)&gt;=$G100,10,0),0)</f>
        <v>0</v>
      </c>
      <c r="BB100" s="30">
        <f t="shared" si="821"/>
        <v>0</v>
      </c>
      <c r="BC100" s="30">
        <f t="shared" si="822"/>
        <v>10</v>
      </c>
    </row>
    <row r="101" spans="7:55" x14ac:dyDescent="0.2">
      <c r="G101" s="19">
        <v>97</v>
      </c>
      <c r="H101" s="21">
        <f t="shared" si="786"/>
        <v>0</v>
      </c>
      <c r="I101" s="28">
        <f t="shared" si="787"/>
        <v>0</v>
      </c>
      <c r="J101" s="28">
        <f t="shared" si="788"/>
        <v>0</v>
      </c>
      <c r="K101" s="30">
        <f t="shared" si="789"/>
        <v>10</v>
      </c>
      <c r="L101" s="30">
        <f t="shared" si="977"/>
        <v>0</v>
      </c>
      <c r="M101" s="30">
        <f t="shared" ref="M101" si="1164">IF(L101=0,IF(VLOOKUP(M$3,$A$3:$F$14,4,FALSE)&gt;=$G101,10,0),0)</f>
        <v>0</v>
      </c>
      <c r="N101" s="30">
        <f t="shared" si="791"/>
        <v>0</v>
      </c>
      <c r="O101" s="30">
        <f t="shared" si="792"/>
        <v>10</v>
      </c>
      <c r="P101" s="30">
        <f t="shared" si="979"/>
        <v>0</v>
      </c>
      <c r="Q101" s="30">
        <f t="shared" ref="Q101" si="1165">IF(P101=0,IF(VLOOKUP(Q$3,$A$3:$F$14,4,FALSE)&gt;=$G101,10,0),0)</f>
        <v>0</v>
      </c>
      <c r="R101" s="30">
        <f t="shared" si="794"/>
        <v>0</v>
      </c>
      <c r="S101" s="30">
        <f t="shared" si="795"/>
        <v>10</v>
      </c>
      <c r="T101" s="30">
        <f t="shared" si="981"/>
        <v>0</v>
      </c>
      <c r="U101" s="30">
        <f t="shared" ref="U101" si="1166">IF(T101=0,IF(VLOOKUP(U$3,$A$3:$F$14,4,FALSE)&gt;=$G101,10,0),0)</f>
        <v>0</v>
      </c>
      <c r="V101" s="30">
        <f t="shared" si="797"/>
        <v>0</v>
      </c>
      <c r="W101" s="30">
        <f t="shared" si="798"/>
        <v>10</v>
      </c>
      <c r="X101" s="30">
        <f t="shared" si="983"/>
        <v>0</v>
      </c>
      <c r="Y101" s="30">
        <f t="shared" ref="Y101" si="1167">IF(X101=0,IF(VLOOKUP(Y$3,$A$3:$F$14,4,FALSE)&gt;=$G101,10,0),0)</f>
        <v>0</v>
      </c>
      <c r="Z101" s="30">
        <f t="shared" si="800"/>
        <v>0</v>
      </c>
      <c r="AA101" s="30">
        <f t="shared" si="801"/>
        <v>10</v>
      </c>
      <c r="AB101" s="30">
        <f t="shared" si="985"/>
        <v>0</v>
      </c>
      <c r="AC101" s="30">
        <f t="shared" ref="AC101" si="1168">IF(AB101=0,IF(VLOOKUP(AC$3,$A$3:$F$14,4,FALSE)&gt;=$G101,10,0),0)</f>
        <v>0</v>
      </c>
      <c r="AD101" s="30">
        <f t="shared" si="803"/>
        <v>0</v>
      </c>
      <c r="AE101" s="30">
        <f t="shared" si="804"/>
        <v>10</v>
      </c>
      <c r="AF101" s="30">
        <f t="shared" si="987"/>
        <v>0</v>
      </c>
      <c r="AG101" s="30">
        <f t="shared" ref="AG101" si="1169">IF(AF101=0,IF(VLOOKUP(AG$3,$A$3:$F$14,4,FALSE)&gt;=$G101,10,0),0)</f>
        <v>0</v>
      </c>
      <c r="AH101" s="30">
        <f t="shared" si="806"/>
        <v>0</v>
      </c>
      <c r="AI101" s="30">
        <f t="shared" si="807"/>
        <v>10</v>
      </c>
      <c r="AJ101" s="30">
        <f t="shared" si="989"/>
        <v>0</v>
      </c>
      <c r="AK101" s="30">
        <f t="shared" ref="AK101" si="1170">IF(AJ101=0,IF(VLOOKUP(AK$3,$A$3:$F$14,4,FALSE)&gt;=$G101,10,0),0)</f>
        <v>0</v>
      </c>
      <c r="AL101" s="30">
        <f t="shared" si="809"/>
        <v>0</v>
      </c>
      <c r="AM101" s="30">
        <f t="shared" si="810"/>
        <v>10</v>
      </c>
      <c r="AN101" s="30">
        <f t="shared" si="991"/>
        <v>0</v>
      </c>
      <c r="AO101" s="30">
        <f t="shared" ref="AO101" si="1171">IF(AN101=0,IF(VLOOKUP(AO$3,$A$3:$F$14,4,FALSE)&gt;=$G101,10,0),0)</f>
        <v>0</v>
      </c>
      <c r="AP101" s="30">
        <f t="shared" si="812"/>
        <v>0</v>
      </c>
      <c r="AQ101" s="30">
        <f t="shared" si="813"/>
        <v>10</v>
      </c>
      <c r="AR101" s="30">
        <f t="shared" si="993"/>
        <v>0</v>
      </c>
      <c r="AS101" s="30">
        <f t="shared" ref="AS101" si="1172">IF(AR101=0,IF(VLOOKUP(AS$3,$A$3:$F$14,4,FALSE)&gt;=$G101,10,0),0)</f>
        <v>0</v>
      </c>
      <c r="AT101" s="30">
        <f t="shared" si="815"/>
        <v>0</v>
      </c>
      <c r="AU101" s="30">
        <f t="shared" si="816"/>
        <v>10</v>
      </c>
      <c r="AV101" s="30">
        <f t="shared" si="995"/>
        <v>0</v>
      </c>
      <c r="AW101" s="30">
        <f t="shared" ref="AW101" si="1173">IF(AV101=0,IF(VLOOKUP(AW$3,$A$3:$F$14,4,FALSE)&gt;=$G101,10,0),0)</f>
        <v>0</v>
      </c>
      <c r="AX101" s="30">
        <f t="shared" si="818"/>
        <v>0</v>
      </c>
      <c r="AY101" s="30">
        <f t="shared" si="819"/>
        <v>10</v>
      </c>
      <c r="AZ101" s="30">
        <f t="shared" si="997"/>
        <v>0</v>
      </c>
      <c r="BA101" s="30">
        <f t="shared" ref="BA101" si="1174">IF(AZ101=0,IF(VLOOKUP(BA$3,$A$3:$F$14,4,FALSE)&gt;=$G101,10,0),0)</f>
        <v>0</v>
      </c>
      <c r="BB101" s="30">
        <f t="shared" si="821"/>
        <v>0</v>
      </c>
      <c r="BC101" s="30">
        <f t="shared" si="822"/>
        <v>10</v>
      </c>
    </row>
    <row r="102" spans="7:55" x14ac:dyDescent="0.2">
      <c r="G102" s="19">
        <v>98</v>
      </c>
      <c r="H102" s="21">
        <f t="shared" si="786"/>
        <v>0</v>
      </c>
      <c r="I102" s="28">
        <f t="shared" si="787"/>
        <v>0</v>
      </c>
      <c r="J102" s="28">
        <f t="shared" si="788"/>
        <v>0</v>
      </c>
      <c r="K102" s="30">
        <f t="shared" si="789"/>
        <v>10</v>
      </c>
      <c r="L102" s="30">
        <f t="shared" si="977"/>
        <v>0</v>
      </c>
      <c r="M102" s="30">
        <f t="shared" ref="M102" si="1175">IF(L102=0,IF(VLOOKUP(M$3,$A$3:$F$14,4,FALSE)&gt;=$G102,10,0),0)</f>
        <v>0</v>
      </c>
      <c r="N102" s="30">
        <f t="shared" si="791"/>
        <v>0</v>
      </c>
      <c r="O102" s="30">
        <f t="shared" si="792"/>
        <v>10</v>
      </c>
      <c r="P102" s="30">
        <f t="shared" si="979"/>
        <v>0</v>
      </c>
      <c r="Q102" s="30">
        <f t="shared" ref="Q102" si="1176">IF(P102=0,IF(VLOOKUP(Q$3,$A$3:$F$14,4,FALSE)&gt;=$G102,10,0),0)</f>
        <v>0</v>
      </c>
      <c r="R102" s="30">
        <f t="shared" si="794"/>
        <v>0</v>
      </c>
      <c r="S102" s="30">
        <f t="shared" si="795"/>
        <v>10</v>
      </c>
      <c r="T102" s="30">
        <f t="shared" si="981"/>
        <v>0</v>
      </c>
      <c r="U102" s="30">
        <f t="shared" ref="U102" si="1177">IF(T102=0,IF(VLOOKUP(U$3,$A$3:$F$14,4,FALSE)&gt;=$G102,10,0),0)</f>
        <v>0</v>
      </c>
      <c r="V102" s="30">
        <f t="shared" si="797"/>
        <v>0</v>
      </c>
      <c r="W102" s="30">
        <f t="shared" si="798"/>
        <v>10</v>
      </c>
      <c r="X102" s="30">
        <f t="shared" si="983"/>
        <v>0</v>
      </c>
      <c r="Y102" s="30">
        <f t="shared" ref="Y102" si="1178">IF(X102=0,IF(VLOOKUP(Y$3,$A$3:$F$14,4,FALSE)&gt;=$G102,10,0),0)</f>
        <v>0</v>
      </c>
      <c r="Z102" s="30">
        <f t="shared" si="800"/>
        <v>0</v>
      </c>
      <c r="AA102" s="30">
        <f t="shared" si="801"/>
        <v>10</v>
      </c>
      <c r="AB102" s="30">
        <f t="shared" si="985"/>
        <v>0</v>
      </c>
      <c r="AC102" s="30">
        <f t="shared" ref="AC102" si="1179">IF(AB102=0,IF(VLOOKUP(AC$3,$A$3:$F$14,4,FALSE)&gt;=$G102,10,0),0)</f>
        <v>0</v>
      </c>
      <c r="AD102" s="30">
        <f t="shared" si="803"/>
        <v>0</v>
      </c>
      <c r="AE102" s="30">
        <f t="shared" si="804"/>
        <v>10</v>
      </c>
      <c r="AF102" s="30">
        <f t="shared" si="987"/>
        <v>0</v>
      </c>
      <c r="AG102" s="30">
        <f t="shared" ref="AG102" si="1180">IF(AF102=0,IF(VLOOKUP(AG$3,$A$3:$F$14,4,FALSE)&gt;=$G102,10,0),0)</f>
        <v>0</v>
      </c>
      <c r="AH102" s="30">
        <f t="shared" si="806"/>
        <v>0</v>
      </c>
      <c r="AI102" s="30">
        <f t="shared" si="807"/>
        <v>10</v>
      </c>
      <c r="AJ102" s="30">
        <f t="shared" si="989"/>
        <v>0</v>
      </c>
      <c r="AK102" s="30">
        <f t="shared" ref="AK102" si="1181">IF(AJ102=0,IF(VLOOKUP(AK$3,$A$3:$F$14,4,FALSE)&gt;=$G102,10,0),0)</f>
        <v>0</v>
      </c>
      <c r="AL102" s="30">
        <f t="shared" si="809"/>
        <v>0</v>
      </c>
      <c r="AM102" s="30">
        <f t="shared" si="810"/>
        <v>10</v>
      </c>
      <c r="AN102" s="30">
        <f t="shared" si="991"/>
        <v>0</v>
      </c>
      <c r="AO102" s="30">
        <f t="shared" ref="AO102" si="1182">IF(AN102=0,IF(VLOOKUP(AO$3,$A$3:$F$14,4,FALSE)&gt;=$G102,10,0),0)</f>
        <v>0</v>
      </c>
      <c r="AP102" s="30">
        <f t="shared" si="812"/>
        <v>0</v>
      </c>
      <c r="AQ102" s="30">
        <f t="shared" si="813"/>
        <v>10</v>
      </c>
      <c r="AR102" s="30">
        <f t="shared" si="993"/>
        <v>0</v>
      </c>
      <c r="AS102" s="30">
        <f t="shared" ref="AS102" si="1183">IF(AR102=0,IF(VLOOKUP(AS$3,$A$3:$F$14,4,FALSE)&gt;=$G102,10,0),0)</f>
        <v>0</v>
      </c>
      <c r="AT102" s="30">
        <f t="shared" si="815"/>
        <v>0</v>
      </c>
      <c r="AU102" s="30">
        <f t="shared" si="816"/>
        <v>10</v>
      </c>
      <c r="AV102" s="30">
        <f t="shared" si="995"/>
        <v>0</v>
      </c>
      <c r="AW102" s="30">
        <f t="shared" ref="AW102" si="1184">IF(AV102=0,IF(VLOOKUP(AW$3,$A$3:$F$14,4,FALSE)&gt;=$G102,10,0),0)</f>
        <v>0</v>
      </c>
      <c r="AX102" s="30">
        <f t="shared" si="818"/>
        <v>0</v>
      </c>
      <c r="AY102" s="30">
        <f t="shared" si="819"/>
        <v>10</v>
      </c>
      <c r="AZ102" s="30">
        <f t="shared" si="997"/>
        <v>0</v>
      </c>
      <c r="BA102" s="30">
        <f t="shared" ref="BA102" si="1185">IF(AZ102=0,IF(VLOOKUP(BA$3,$A$3:$F$14,4,FALSE)&gt;=$G102,10,0),0)</f>
        <v>0</v>
      </c>
      <c r="BB102" s="30">
        <f t="shared" si="821"/>
        <v>0</v>
      </c>
      <c r="BC102" s="30">
        <f t="shared" si="822"/>
        <v>10</v>
      </c>
    </row>
    <row r="103" spans="7:55" x14ac:dyDescent="0.2">
      <c r="G103" s="19">
        <v>99</v>
      </c>
      <c r="H103" s="21">
        <f t="shared" si="786"/>
        <v>0</v>
      </c>
      <c r="I103" s="28">
        <f t="shared" si="787"/>
        <v>0</v>
      </c>
      <c r="J103" s="28">
        <f t="shared" si="788"/>
        <v>0</v>
      </c>
      <c r="K103" s="30">
        <f t="shared" si="789"/>
        <v>10</v>
      </c>
      <c r="L103" s="30">
        <f t="shared" si="977"/>
        <v>0</v>
      </c>
      <c r="M103" s="30">
        <f t="shared" ref="M103" si="1186">IF(L103=0,IF(VLOOKUP(M$3,$A$3:$F$14,4,FALSE)&gt;=$G103,10,0),0)</f>
        <v>0</v>
      </c>
      <c r="N103" s="30">
        <f t="shared" si="791"/>
        <v>0</v>
      </c>
      <c r="O103" s="30">
        <f t="shared" si="792"/>
        <v>10</v>
      </c>
      <c r="P103" s="30">
        <f t="shared" si="979"/>
        <v>0</v>
      </c>
      <c r="Q103" s="30">
        <f t="shared" ref="Q103" si="1187">IF(P103=0,IF(VLOOKUP(Q$3,$A$3:$F$14,4,FALSE)&gt;=$G103,10,0),0)</f>
        <v>0</v>
      </c>
      <c r="R103" s="30">
        <f t="shared" si="794"/>
        <v>0</v>
      </c>
      <c r="S103" s="30">
        <f t="shared" si="795"/>
        <v>10</v>
      </c>
      <c r="T103" s="30">
        <f t="shared" si="981"/>
        <v>0</v>
      </c>
      <c r="U103" s="30">
        <f t="shared" ref="U103" si="1188">IF(T103=0,IF(VLOOKUP(U$3,$A$3:$F$14,4,FALSE)&gt;=$G103,10,0),0)</f>
        <v>0</v>
      </c>
      <c r="V103" s="30">
        <f t="shared" si="797"/>
        <v>0</v>
      </c>
      <c r="W103" s="30">
        <f t="shared" si="798"/>
        <v>10</v>
      </c>
      <c r="X103" s="30">
        <f t="shared" si="983"/>
        <v>0</v>
      </c>
      <c r="Y103" s="30">
        <f t="shared" ref="Y103" si="1189">IF(X103=0,IF(VLOOKUP(Y$3,$A$3:$F$14,4,FALSE)&gt;=$G103,10,0),0)</f>
        <v>0</v>
      </c>
      <c r="Z103" s="30">
        <f t="shared" si="800"/>
        <v>0</v>
      </c>
      <c r="AA103" s="30">
        <f t="shared" si="801"/>
        <v>10</v>
      </c>
      <c r="AB103" s="30">
        <f t="shared" si="985"/>
        <v>0</v>
      </c>
      <c r="AC103" s="30">
        <f t="shared" ref="AC103" si="1190">IF(AB103=0,IF(VLOOKUP(AC$3,$A$3:$F$14,4,FALSE)&gt;=$G103,10,0),0)</f>
        <v>0</v>
      </c>
      <c r="AD103" s="30">
        <f t="shared" si="803"/>
        <v>0</v>
      </c>
      <c r="AE103" s="30">
        <f t="shared" si="804"/>
        <v>10</v>
      </c>
      <c r="AF103" s="30">
        <f t="shared" si="987"/>
        <v>0</v>
      </c>
      <c r="AG103" s="30">
        <f t="shared" ref="AG103" si="1191">IF(AF103=0,IF(VLOOKUP(AG$3,$A$3:$F$14,4,FALSE)&gt;=$G103,10,0),0)</f>
        <v>0</v>
      </c>
      <c r="AH103" s="30">
        <f t="shared" si="806"/>
        <v>0</v>
      </c>
      <c r="AI103" s="30">
        <f t="shared" si="807"/>
        <v>10</v>
      </c>
      <c r="AJ103" s="30">
        <f t="shared" si="989"/>
        <v>0</v>
      </c>
      <c r="AK103" s="30">
        <f t="shared" ref="AK103" si="1192">IF(AJ103=0,IF(VLOOKUP(AK$3,$A$3:$F$14,4,FALSE)&gt;=$G103,10,0),0)</f>
        <v>0</v>
      </c>
      <c r="AL103" s="30">
        <f t="shared" si="809"/>
        <v>0</v>
      </c>
      <c r="AM103" s="30">
        <f t="shared" si="810"/>
        <v>10</v>
      </c>
      <c r="AN103" s="30">
        <f t="shared" si="991"/>
        <v>0</v>
      </c>
      <c r="AO103" s="30">
        <f t="shared" ref="AO103" si="1193">IF(AN103=0,IF(VLOOKUP(AO$3,$A$3:$F$14,4,FALSE)&gt;=$G103,10,0),0)</f>
        <v>0</v>
      </c>
      <c r="AP103" s="30">
        <f t="shared" si="812"/>
        <v>0</v>
      </c>
      <c r="AQ103" s="30">
        <f t="shared" si="813"/>
        <v>10</v>
      </c>
      <c r="AR103" s="30">
        <f t="shared" si="993"/>
        <v>0</v>
      </c>
      <c r="AS103" s="30">
        <f t="shared" ref="AS103" si="1194">IF(AR103=0,IF(VLOOKUP(AS$3,$A$3:$F$14,4,FALSE)&gt;=$G103,10,0),0)</f>
        <v>0</v>
      </c>
      <c r="AT103" s="30">
        <f t="shared" si="815"/>
        <v>0</v>
      </c>
      <c r="AU103" s="30">
        <f t="shared" si="816"/>
        <v>10</v>
      </c>
      <c r="AV103" s="30">
        <f t="shared" si="995"/>
        <v>0</v>
      </c>
      <c r="AW103" s="30">
        <f t="shared" ref="AW103" si="1195">IF(AV103=0,IF(VLOOKUP(AW$3,$A$3:$F$14,4,FALSE)&gt;=$G103,10,0),0)</f>
        <v>0</v>
      </c>
      <c r="AX103" s="30">
        <f t="shared" si="818"/>
        <v>0</v>
      </c>
      <c r="AY103" s="30">
        <f t="shared" si="819"/>
        <v>10</v>
      </c>
      <c r="AZ103" s="30">
        <f t="shared" si="997"/>
        <v>0</v>
      </c>
      <c r="BA103" s="30">
        <f t="shared" ref="BA103" si="1196">IF(AZ103=0,IF(VLOOKUP(BA$3,$A$3:$F$14,4,FALSE)&gt;=$G103,10,0),0)</f>
        <v>0</v>
      </c>
      <c r="BB103" s="30">
        <f t="shared" si="821"/>
        <v>0</v>
      </c>
      <c r="BC103" s="30">
        <f t="shared" si="822"/>
        <v>10</v>
      </c>
    </row>
    <row r="104" spans="7:55" x14ac:dyDescent="0.2">
      <c r="G104" s="19">
        <v>100</v>
      </c>
      <c r="H104" s="21">
        <f t="shared" si="786"/>
        <v>0</v>
      </c>
      <c r="I104" s="28">
        <f t="shared" si="787"/>
        <v>0</v>
      </c>
      <c r="J104" s="28">
        <f t="shared" si="788"/>
        <v>0</v>
      </c>
      <c r="K104" s="30">
        <f t="shared" si="789"/>
        <v>10</v>
      </c>
      <c r="L104" s="30">
        <f t="shared" si="977"/>
        <v>0</v>
      </c>
      <c r="M104" s="30">
        <f t="shared" ref="M104" si="1197">IF(L104=0,IF(VLOOKUP(M$3,$A$3:$F$14,4,FALSE)&gt;=$G104,10,0),0)</f>
        <v>0</v>
      </c>
      <c r="N104" s="30">
        <f t="shared" si="791"/>
        <v>0</v>
      </c>
      <c r="O104" s="30">
        <f t="shared" si="792"/>
        <v>10</v>
      </c>
      <c r="P104" s="30">
        <f t="shared" si="979"/>
        <v>0</v>
      </c>
      <c r="Q104" s="30">
        <f t="shared" ref="Q104" si="1198">IF(P104=0,IF(VLOOKUP(Q$3,$A$3:$F$14,4,FALSE)&gt;=$G104,10,0),0)</f>
        <v>0</v>
      </c>
      <c r="R104" s="30">
        <f t="shared" si="794"/>
        <v>0</v>
      </c>
      <c r="S104" s="30">
        <f t="shared" si="795"/>
        <v>10</v>
      </c>
      <c r="T104" s="30">
        <f t="shared" si="981"/>
        <v>0</v>
      </c>
      <c r="U104" s="30">
        <f t="shared" ref="U104" si="1199">IF(T104=0,IF(VLOOKUP(U$3,$A$3:$F$14,4,FALSE)&gt;=$G104,10,0),0)</f>
        <v>0</v>
      </c>
      <c r="V104" s="30">
        <f t="shared" si="797"/>
        <v>0</v>
      </c>
      <c r="W104" s="30">
        <f t="shared" si="798"/>
        <v>10</v>
      </c>
      <c r="X104" s="30">
        <f t="shared" si="983"/>
        <v>0</v>
      </c>
      <c r="Y104" s="30">
        <f t="shared" ref="Y104" si="1200">IF(X104=0,IF(VLOOKUP(Y$3,$A$3:$F$14,4,FALSE)&gt;=$G104,10,0),0)</f>
        <v>0</v>
      </c>
      <c r="Z104" s="30">
        <f t="shared" si="800"/>
        <v>0</v>
      </c>
      <c r="AA104" s="30">
        <f t="shared" si="801"/>
        <v>10</v>
      </c>
      <c r="AB104" s="30">
        <f t="shared" si="985"/>
        <v>0</v>
      </c>
      <c r="AC104" s="30">
        <f t="shared" ref="AC104" si="1201">IF(AB104=0,IF(VLOOKUP(AC$3,$A$3:$F$14,4,FALSE)&gt;=$G104,10,0),0)</f>
        <v>0</v>
      </c>
      <c r="AD104" s="30">
        <f t="shared" si="803"/>
        <v>0</v>
      </c>
      <c r="AE104" s="30">
        <f t="shared" si="804"/>
        <v>10</v>
      </c>
      <c r="AF104" s="30">
        <f t="shared" si="987"/>
        <v>0</v>
      </c>
      <c r="AG104" s="30">
        <f t="shared" ref="AG104" si="1202">IF(AF104=0,IF(VLOOKUP(AG$3,$A$3:$F$14,4,FALSE)&gt;=$G104,10,0),0)</f>
        <v>0</v>
      </c>
      <c r="AH104" s="30">
        <f t="shared" si="806"/>
        <v>0</v>
      </c>
      <c r="AI104" s="30">
        <f t="shared" si="807"/>
        <v>10</v>
      </c>
      <c r="AJ104" s="30">
        <f t="shared" si="989"/>
        <v>0</v>
      </c>
      <c r="AK104" s="30">
        <f t="shared" ref="AK104" si="1203">IF(AJ104=0,IF(VLOOKUP(AK$3,$A$3:$F$14,4,FALSE)&gt;=$G104,10,0),0)</f>
        <v>0</v>
      </c>
      <c r="AL104" s="30">
        <f t="shared" si="809"/>
        <v>0</v>
      </c>
      <c r="AM104" s="30">
        <f t="shared" si="810"/>
        <v>10</v>
      </c>
      <c r="AN104" s="30">
        <f t="shared" si="991"/>
        <v>0</v>
      </c>
      <c r="AO104" s="30">
        <f t="shared" ref="AO104" si="1204">IF(AN104=0,IF(VLOOKUP(AO$3,$A$3:$F$14,4,FALSE)&gt;=$G104,10,0),0)</f>
        <v>0</v>
      </c>
      <c r="AP104" s="30">
        <f t="shared" si="812"/>
        <v>0</v>
      </c>
      <c r="AQ104" s="30">
        <f t="shared" si="813"/>
        <v>10</v>
      </c>
      <c r="AR104" s="30">
        <f t="shared" si="993"/>
        <v>0</v>
      </c>
      <c r="AS104" s="30">
        <f t="shared" ref="AS104" si="1205">IF(AR104=0,IF(VLOOKUP(AS$3,$A$3:$F$14,4,FALSE)&gt;=$G104,10,0),0)</f>
        <v>0</v>
      </c>
      <c r="AT104" s="30">
        <f t="shared" si="815"/>
        <v>0</v>
      </c>
      <c r="AU104" s="30">
        <f t="shared" si="816"/>
        <v>10</v>
      </c>
      <c r="AV104" s="30">
        <f t="shared" si="995"/>
        <v>0</v>
      </c>
      <c r="AW104" s="30">
        <f t="shared" ref="AW104" si="1206">IF(AV104=0,IF(VLOOKUP(AW$3,$A$3:$F$14,4,FALSE)&gt;=$G104,10,0),0)</f>
        <v>0</v>
      </c>
      <c r="AX104" s="30">
        <f t="shared" si="818"/>
        <v>0</v>
      </c>
      <c r="AY104" s="30">
        <f t="shared" si="819"/>
        <v>10</v>
      </c>
      <c r="AZ104" s="30">
        <f t="shared" si="997"/>
        <v>0</v>
      </c>
      <c r="BA104" s="30">
        <f t="shared" ref="BA104" si="1207">IF(AZ104=0,IF(VLOOKUP(BA$3,$A$3:$F$14,4,FALSE)&gt;=$G104,10,0),0)</f>
        <v>0</v>
      </c>
      <c r="BB104" s="30">
        <f t="shared" si="821"/>
        <v>0</v>
      </c>
      <c r="BC104" s="30">
        <f t="shared" si="822"/>
        <v>10</v>
      </c>
    </row>
  </sheetData>
  <mergeCells count="12">
    <mergeCell ref="AZ2:BC2"/>
    <mergeCell ref="H2:K2"/>
    <mergeCell ref="L2:O2"/>
    <mergeCell ref="P2:S2"/>
    <mergeCell ref="T2:W2"/>
    <mergeCell ref="X2:AA2"/>
    <mergeCell ref="AB2:AE2"/>
    <mergeCell ref="AF2:AI2"/>
    <mergeCell ref="AJ2:AM2"/>
    <mergeCell ref="AN2:AQ2"/>
    <mergeCell ref="AR2:AU2"/>
    <mergeCell ref="AV2:AY2"/>
  </mergeCells>
  <pageMargins left="0.7" right="0.7" top="0.75" bottom="0.75" header="0.3" footer="0.3"/>
  <pageSetup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showGridLines="0" topLeftCell="A2" zoomScale="125" zoomScaleNormal="125" workbookViewId="0">
      <selection activeCell="C19" sqref="C19"/>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51"/>
  <sheetViews>
    <sheetView topLeftCell="A6" zoomScale="85" zoomScaleNormal="85" workbookViewId="0">
      <selection activeCell="V12" sqref="V12"/>
    </sheetView>
  </sheetViews>
  <sheetFormatPr defaultRowHeight="12.75" x14ac:dyDescent="0.2"/>
  <cols>
    <col min="5" max="12" width="9.28515625" bestFit="1" customWidth="1"/>
    <col min="13" max="14" width="10.28515625" bestFit="1" customWidth="1"/>
    <col min="15" max="15" width="11.5703125" bestFit="1" customWidth="1"/>
    <col min="22" max="22" width="12.28515625" bestFit="1" customWidth="1"/>
  </cols>
  <sheetData>
    <row r="1" spans="1:24" x14ac:dyDescent="0.2">
      <c r="C1" s="26" t="s">
        <v>44</v>
      </c>
      <c r="D1" s="26" t="s">
        <v>45</v>
      </c>
      <c r="E1" s="26" t="s">
        <v>46</v>
      </c>
      <c r="F1" s="26" t="s">
        <v>47</v>
      </c>
      <c r="G1" s="26" t="s">
        <v>48</v>
      </c>
      <c r="H1" s="26" t="s">
        <v>49</v>
      </c>
      <c r="I1" s="26" t="s">
        <v>50</v>
      </c>
      <c r="J1" s="26" t="s">
        <v>51</v>
      </c>
      <c r="K1" s="26" t="s">
        <v>52</v>
      </c>
      <c r="L1" s="26" t="s">
        <v>53</v>
      </c>
      <c r="M1" s="26" t="s">
        <v>54</v>
      </c>
      <c r="N1" s="26" t="s">
        <v>55</v>
      </c>
      <c r="O1" s="26" t="s">
        <v>56</v>
      </c>
    </row>
    <row r="2" spans="1:24" x14ac:dyDescent="0.2">
      <c r="A2" t="s">
        <v>57</v>
      </c>
      <c r="B2" t="s">
        <v>43</v>
      </c>
      <c r="C2" s="32">
        <v>0</v>
      </c>
      <c r="D2" s="32">
        <v>30</v>
      </c>
      <c r="E2" s="32">
        <v>60</v>
      </c>
      <c r="F2" s="32">
        <v>90</v>
      </c>
      <c r="G2" s="32">
        <v>120</v>
      </c>
      <c r="H2" s="32">
        <v>150</v>
      </c>
      <c r="I2" s="32">
        <v>180</v>
      </c>
      <c r="J2" s="32">
        <v>210</v>
      </c>
      <c r="K2" s="32">
        <v>240</v>
      </c>
      <c r="L2" s="32">
        <v>270</v>
      </c>
      <c r="M2" s="32">
        <v>300</v>
      </c>
      <c r="N2" s="32">
        <v>330</v>
      </c>
      <c r="O2" s="32">
        <v>360</v>
      </c>
      <c r="Q2" s="26" t="s">
        <v>77</v>
      </c>
      <c r="R2" s="26" t="s">
        <v>78</v>
      </c>
      <c r="T2" s="26" t="s">
        <v>77</v>
      </c>
      <c r="U2" s="26" t="s">
        <v>78</v>
      </c>
    </row>
    <row r="3" spans="1:24" x14ac:dyDescent="0.2">
      <c r="A3" s="26">
        <v>0</v>
      </c>
      <c r="B3" s="33">
        <v>0</v>
      </c>
      <c r="C3" s="26">
        <f>$A$3+$A$7*COS(B3*PI()/180)</f>
        <v>0.40500000000000003</v>
      </c>
      <c r="D3" s="26">
        <f>IF(AND($B3&gt;=C$2,$B3&lt;=D$2),$A$5+$A$7*SIN($B3*PI()/180),#N/A)</f>
        <v>0</v>
      </c>
      <c r="E3" s="26" t="e">
        <f t="shared" ref="E3:O3" si="0">IF(AND($B3&gt;=D$2,$B3&lt;=E$2),$A$5+$A$7*SIN($B3*PI()/180),#N/A)</f>
        <v>#N/A</v>
      </c>
      <c r="F3" s="26" t="e">
        <f t="shared" si="0"/>
        <v>#N/A</v>
      </c>
      <c r="G3" s="26" t="e">
        <f t="shared" si="0"/>
        <v>#N/A</v>
      </c>
      <c r="H3" s="26" t="e">
        <f t="shared" si="0"/>
        <v>#N/A</v>
      </c>
      <c r="I3" s="26" t="e">
        <f t="shared" si="0"/>
        <v>#N/A</v>
      </c>
      <c r="J3" s="26" t="e">
        <f t="shared" si="0"/>
        <v>#N/A</v>
      </c>
      <c r="K3" s="26" t="e">
        <f t="shared" si="0"/>
        <v>#N/A</v>
      </c>
      <c r="L3" s="26" t="e">
        <f t="shared" si="0"/>
        <v>#N/A</v>
      </c>
      <c r="M3" s="26" t="e">
        <f t="shared" si="0"/>
        <v>#N/A</v>
      </c>
      <c r="N3" s="26" t="e">
        <f t="shared" si="0"/>
        <v>#N/A</v>
      </c>
      <c r="O3" s="26" t="e">
        <f t="shared" si="0"/>
        <v>#N/A</v>
      </c>
      <c r="P3">
        <v>1</v>
      </c>
      <c r="Q3" s="37">
        <v>0.53</v>
      </c>
      <c r="R3" s="38">
        <v>0</v>
      </c>
      <c r="S3" s="43">
        <v>1</v>
      </c>
      <c r="T3" s="45">
        <f>AVERAGE(Q4:Q5)</f>
        <v>0.50999259905650085</v>
      </c>
      <c r="U3" s="45">
        <f>AVERAGE(R4:R5)</f>
        <v>0.13665210506303876</v>
      </c>
      <c r="V3" t="str">
        <f t="shared" ref="V3:V7" si="1">CONCATENATE(UPPER(W3))</f>
        <v>SEPTEMBER</v>
      </c>
      <c r="W3" t="s">
        <v>14</v>
      </c>
    </row>
    <row r="4" spans="1:24" x14ac:dyDescent="0.2">
      <c r="A4" t="s">
        <v>58</v>
      </c>
      <c r="B4" s="33">
        <v>10</v>
      </c>
      <c r="C4" s="26">
        <f t="shared" ref="C4:C39" si="2">$A$3+$A$7*COS(B4*PI()/180)</f>
        <v>0.39884713996994425</v>
      </c>
      <c r="D4" s="26">
        <f t="shared" ref="D4:O39" si="3">IF(AND($B4&gt;=C$2,$B4&lt;=D$2),$A$5+$A$7*SIN($B4*PI()/180),#N/A)</f>
        <v>7.0327511955106795E-2</v>
      </c>
      <c r="E4" s="26" t="e">
        <f t="shared" si="3"/>
        <v>#N/A</v>
      </c>
      <c r="F4" s="26" t="e">
        <f t="shared" si="3"/>
        <v>#N/A</v>
      </c>
      <c r="G4" s="26" t="e">
        <f t="shared" si="3"/>
        <v>#N/A</v>
      </c>
      <c r="H4" s="26" t="e">
        <f t="shared" si="3"/>
        <v>#N/A</v>
      </c>
      <c r="I4" s="26" t="e">
        <f t="shared" si="3"/>
        <v>#N/A</v>
      </c>
      <c r="J4" s="26" t="e">
        <f t="shared" si="3"/>
        <v>#N/A</v>
      </c>
      <c r="K4" s="26" t="e">
        <f t="shared" si="3"/>
        <v>#N/A</v>
      </c>
      <c r="L4" s="26" t="e">
        <f t="shared" si="3"/>
        <v>#N/A</v>
      </c>
      <c r="M4" s="26" t="e">
        <f t="shared" si="3"/>
        <v>#N/A</v>
      </c>
      <c r="N4" s="26" t="e">
        <f t="shared" si="3"/>
        <v>#N/A</v>
      </c>
      <c r="O4" s="26" t="e">
        <f t="shared" si="3"/>
        <v>#N/A</v>
      </c>
      <c r="Q4" s="39">
        <v>0.52194810909647027</v>
      </c>
      <c r="R4" s="40">
        <v>9.2033534163473082E-2</v>
      </c>
      <c r="S4" s="44">
        <v>2</v>
      </c>
      <c r="T4" s="45">
        <f>AVERAGE(Q8:Q9)</f>
        <v>0.38742881452151734</v>
      </c>
      <c r="U4" s="45">
        <f>AVERAGE(R8:R9)</f>
        <v>0.38742881452151728</v>
      </c>
      <c r="V4" t="str">
        <f t="shared" si="1"/>
        <v>AUGUST</v>
      </c>
      <c r="W4" t="s">
        <v>13</v>
      </c>
    </row>
    <row r="5" spans="1:24" x14ac:dyDescent="0.2">
      <c r="A5" s="26">
        <v>0</v>
      </c>
      <c r="B5" s="33">
        <v>20</v>
      </c>
      <c r="C5" s="26">
        <f t="shared" si="2"/>
        <v>0.38057551141829293</v>
      </c>
      <c r="D5" s="26">
        <f t="shared" si="3"/>
        <v>0.13851815804689585</v>
      </c>
      <c r="E5" s="26" t="e">
        <f t="shared" si="3"/>
        <v>#N/A</v>
      </c>
      <c r="F5" s="26" t="e">
        <f t="shared" si="3"/>
        <v>#N/A</v>
      </c>
      <c r="G5" s="26" t="e">
        <f t="shared" si="3"/>
        <v>#N/A</v>
      </c>
      <c r="H5" s="26" t="e">
        <f t="shared" si="3"/>
        <v>#N/A</v>
      </c>
      <c r="I5" s="26" t="e">
        <f t="shared" si="3"/>
        <v>#N/A</v>
      </c>
      <c r="J5" s="26" t="e">
        <f t="shared" si="3"/>
        <v>#N/A</v>
      </c>
      <c r="K5" s="26" t="e">
        <f t="shared" si="3"/>
        <v>#N/A</v>
      </c>
      <c r="L5" s="26" t="e">
        <f t="shared" si="3"/>
        <v>#N/A</v>
      </c>
      <c r="M5" s="26" t="e">
        <f t="shared" si="3"/>
        <v>#N/A</v>
      </c>
      <c r="N5" s="26" t="e">
        <f t="shared" si="3"/>
        <v>#N/A</v>
      </c>
      <c r="O5" s="26" t="e">
        <f t="shared" si="3"/>
        <v>#N/A</v>
      </c>
      <c r="Q5" s="39">
        <v>0.49803708901653149</v>
      </c>
      <c r="R5" s="40">
        <v>0.18127067596260443</v>
      </c>
      <c r="S5" s="44">
        <v>3</v>
      </c>
      <c r="T5" s="45">
        <f>AVERAGE(Q12:Q13)</f>
        <v>0.10442283500100136</v>
      </c>
      <c r="U5" s="45">
        <f>AVERAGE(R12:R13)</f>
        <v>0.38971132569411859</v>
      </c>
      <c r="V5" t="str">
        <f t="shared" si="1"/>
        <v>JULY</v>
      </c>
      <c r="W5" t="s">
        <v>12</v>
      </c>
    </row>
    <row r="6" spans="1:24" x14ac:dyDescent="0.2">
      <c r="A6" t="s">
        <v>59</v>
      </c>
      <c r="B6" s="33">
        <v>30</v>
      </c>
      <c r="C6" s="26">
        <f t="shared" si="2"/>
        <v>0.35074028853269767</v>
      </c>
      <c r="D6" s="26">
        <f t="shared" si="3"/>
        <v>0.20249999999999999</v>
      </c>
      <c r="E6" s="26">
        <f t="shared" si="3"/>
        <v>0.20249999999999999</v>
      </c>
      <c r="F6" s="26" t="e">
        <f t="shared" si="3"/>
        <v>#N/A</v>
      </c>
      <c r="G6" s="26" t="e">
        <f t="shared" si="3"/>
        <v>#N/A</v>
      </c>
      <c r="H6" s="26" t="e">
        <f t="shared" si="3"/>
        <v>#N/A</v>
      </c>
      <c r="I6" s="26" t="e">
        <f t="shared" si="3"/>
        <v>#N/A</v>
      </c>
      <c r="J6" s="26" t="e">
        <f t="shared" si="3"/>
        <v>#N/A</v>
      </c>
      <c r="K6" s="26" t="e">
        <f t="shared" si="3"/>
        <v>#N/A</v>
      </c>
      <c r="L6" s="26" t="e">
        <f t="shared" si="3"/>
        <v>#N/A</v>
      </c>
      <c r="M6" s="26" t="e">
        <f t="shared" si="3"/>
        <v>#N/A</v>
      </c>
      <c r="N6" s="26" t="e">
        <f t="shared" si="3"/>
        <v>#N/A</v>
      </c>
      <c r="O6" s="26" t="e">
        <f t="shared" si="3"/>
        <v>#N/A</v>
      </c>
      <c r="Q6" s="41">
        <v>0.45899346400575253</v>
      </c>
      <c r="R6" s="42">
        <v>0.26499999999999996</v>
      </c>
      <c r="S6" s="44">
        <v>4</v>
      </c>
      <c r="T6" s="45">
        <f>AVERAGE(Q16:Q17)</f>
        <v>-3.7385953271963424E-2</v>
      </c>
      <c r="U6" s="45">
        <f>AVERAGE(R16:R17)</f>
        <v>0.13952627710036342</v>
      </c>
      <c r="V6" t="str">
        <f t="shared" si="1"/>
        <v>JUNE</v>
      </c>
      <c r="W6" t="s">
        <v>11</v>
      </c>
    </row>
    <row r="7" spans="1:24" x14ac:dyDescent="0.2">
      <c r="A7" s="26">
        <v>0.40500000000000003</v>
      </c>
      <c r="B7" s="33">
        <v>40</v>
      </c>
      <c r="C7" s="26">
        <f t="shared" si="2"/>
        <v>0.3102479994631861</v>
      </c>
      <c r="D7" s="26" t="e">
        <f t="shared" si="3"/>
        <v>#N/A</v>
      </c>
      <c r="E7" s="26">
        <f t="shared" si="3"/>
        <v>0.26032898192304843</v>
      </c>
      <c r="F7" s="26" t="e">
        <f t="shared" si="3"/>
        <v>#N/A</v>
      </c>
      <c r="G7" s="26" t="e">
        <f t="shared" si="3"/>
        <v>#N/A</v>
      </c>
      <c r="H7" s="26" t="e">
        <f t="shared" si="3"/>
        <v>#N/A</v>
      </c>
      <c r="I7" s="26" t="e">
        <f t="shared" si="3"/>
        <v>#N/A</v>
      </c>
      <c r="J7" s="26" t="e">
        <f t="shared" si="3"/>
        <v>#N/A</v>
      </c>
      <c r="K7" s="26" t="e">
        <f t="shared" si="3"/>
        <v>#N/A</v>
      </c>
      <c r="L7" s="26" t="e">
        <f t="shared" si="3"/>
        <v>#N/A</v>
      </c>
      <c r="M7" s="26" t="e">
        <f t="shared" si="3"/>
        <v>#N/A</v>
      </c>
      <c r="N7" s="26" t="e">
        <f t="shared" si="3"/>
        <v>#N/A</v>
      </c>
      <c r="O7" s="26" t="e">
        <f t="shared" si="3"/>
        <v>#N/A</v>
      </c>
      <c r="P7">
        <v>2</v>
      </c>
      <c r="Q7" s="37">
        <v>0.47631397208144133</v>
      </c>
      <c r="R7" s="38">
        <v>0.27499999999999997</v>
      </c>
      <c r="S7" s="43">
        <v>5</v>
      </c>
      <c r="T7" s="45">
        <f>AVERAGE(Q20:Q21)</f>
        <v>-0.11975072448846898</v>
      </c>
      <c r="U7" s="45">
        <f>AVERAGE(R20:R21)</f>
        <v>0.11975072448846899</v>
      </c>
      <c r="V7" t="str">
        <f t="shared" si="1"/>
        <v>MAY</v>
      </c>
      <c r="W7" t="s">
        <v>10</v>
      </c>
    </row>
    <row r="8" spans="1:24" x14ac:dyDescent="0.2">
      <c r="B8" s="33">
        <v>50</v>
      </c>
      <c r="C8" s="26">
        <f t="shared" si="2"/>
        <v>0.26032898192304849</v>
      </c>
      <c r="D8" s="26" t="e">
        <f t="shared" si="3"/>
        <v>#N/A</v>
      </c>
      <c r="E8" s="26">
        <f t="shared" si="3"/>
        <v>0.3102479994631861</v>
      </c>
      <c r="F8" s="26" t="e">
        <f t="shared" si="3"/>
        <v>#N/A</v>
      </c>
      <c r="G8" s="26" t="e">
        <f t="shared" si="3"/>
        <v>#N/A</v>
      </c>
      <c r="H8" s="26" t="e">
        <f t="shared" si="3"/>
        <v>#N/A</v>
      </c>
      <c r="I8" s="26" t="e">
        <f t="shared" si="3"/>
        <v>#N/A</v>
      </c>
      <c r="J8" s="26" t="e">
        <f t="shared" si="3"/>
        <v>#N/A</v>
      </c>
      <c r="K8" s="26" t="e">
        <f t="shared" si="3"/>
        <v>#N/A</v>
      </c>
      <c r="L8" s="26" t="e">
        <f t="shared" si="3"/>
        <v>#N/A</v>
      </c>
      <c r="M8" s="26" t="e">
        <f t="shared" si="3"/>
        <v>#N/A</v>
      </c>
      <c r="N8" s="26" t="e">
        <f t="shared" si="3"/>
        <v>#N/A</v>
      </c>
      <c r="O8" s="26" t="e">
        <f t="shared" si="3"/>
        <v>#N/A</v>
      </c>
      <c r="Q8" s="39">
        <v>0.42132444371543792</v>
      </c>
      <c r="R8" s="40">
        <v>0.35353318532759664</v>
      </c>
      <c r="S8" s="44">
        <v>6</v>
      </c>
      <c r="T8" s="45">
        <f>AVERAGE(Q24:Q25)</f>
        <v>-0.14433752803485872</v>
      </c>
      <c r="U8" s="45">
        <f>AVERAGE(R24:R25)</f>
        <v>3.8675124074444935E-2</v>
      </c>
      <c r="V8" t="str">
        <f t="shared" ref="V8" si="4">CONCATENATE(UPPER(W8)&amp;CHAR(10)&amp;X8)</f>
        <v>APRIL
1854</v>
      </c>
      <c r="W8" t="s">
        <v>79</v>
      </c>
      <c r="X8">
        <v>1854</v>
      </c>
    </row>
    <row r="9" spans="1:24" x14ac:dyDescent="0.2">
      <c r="B9" s="33">
        <v>60</v>
      </c>
      <c r="C9" s="26">
        <f t="shared" si="2"/>
        <v>0.20250000000000007</v>
      </c>
      <c r="D9" s="26" t="e">
        <f t="shared" si="3"/>
        <v>#N/A</v>
      </c>
      <c r="E9" s="26">
        <f t="shared" si="3"/>
        <v>0.35074028853269767</v>
      </c>
      <c r="F9" s="26">
        <f t="shared" si="3"/>
        <v>0.35074028853269767</v>
      </c>
      <c r="G9" s="26" t="e">
        <f t="shared" si="3"/>
        <v>#N/A</v>
      </c>
      <c r="H9" s="26" t="e">
        <f t="shared" si="3"/>
        <v>#N/A</v>
      </c>
      <c r="I9" s="26" t="e">
        <f t="shared" si="3"/>
        <v>#N/A</v>
      </c>
      <c r="J9" s="26" t="e">
        <f t="shared" si="3"/>
        <v>#N/A</v>
      </c>
      <c r="K9" s="26" t="e">
        <f t="shared" si="3"/>
        <v>#N/A</v>
      </c>
      <c r="L9" s="26" t="e">
        <f t="shared" si="3"/>
        <v>#N/A</v>
      </c>
      <c r="M9" s="26" t="e">
        <f t="shared" si="3"/>
        <v>#N/A</v>
      </c>
      <c r="N9" s="26" t="e">
        <f t="shared" si="3"/>
        <v>#N/A</v>
      </c>
      <c r="O9" s="26" t="e">
        <f t="shared" si="3"/>
        <v>#N/A</v>
      </c>
      <c r="Q9" s="39">
        <v>0.3535331853275967</v>
      </c>
      <c r="R9" s="40">
        <v>0.42132444371543792</v>
      </c>
      <c r="S9" s="44">
        <v>7</v>
      </c>
      <c r="T9" s="45">
        <f>AVERAGE(Q28:Q29)</f>
        <v>-0.44263508597356682</v>
      </c>
      <c r="U9" s="45">
        <f>AVERAGE(R28:R29)</f>
        <v>-0.1186037138282978</v>
      </c>
      <c r="V9" t="str">
        <f>CONCATENATE(UPPER(W9)&amp;" "&amp;X9)</f>
        <v>MARCH 1855</v>
      </c>
      <c r="W9" t="s">
        <v>81</v>
      </c>
      <c r="X9">
        <v>1855</v>
      </c>
    </row>
    <row r="10" spans="1:24" x14ac:dyDescent="0.2">
      <c r="B10" s="33">
        <v>70</v>
      </c>
      <c r="C10" s="26">
        <f t="shared" si="2"/>
        <v>0.13851815804689588</v>
      </c>
      <c r="D10" s="26" t="e">
        <f t="shared" si="3"/>
        <v>#N/A</v>
      </c>
      <c r="E10" s="26" t="e">
        <f t="shared" si="3"/>
        <v>#N/A</v>
      </c>
      <c r="F10" s="26">
        <f t="shared" si="3"/>
        <v>0.38057551141829288</v>
      </c>
      <c r="G10" s="26" t="e">
        <f t="shared" si="3"/>
        <v>#N/A</v>
      </c>
      <c r="H10" s="26" t="e">
        <f t="shared" si="3"/>
        <v>#N/A</v>
      </c>
      <c r="I10" s="26" t="e">
        <f t="shared" si="3"/>
        <v>#N/A</v>
      </c>
      <c r="J10" s="26" t="e">
        <f t="shared" si="3"/>
        <v>#N/A</v>
      </c>
      <c r="K10" s="26" t="e">
        <f t="shared" si="3"/>
        <v>#N/A</v>
      </c>
      <c r="L10" s="26" t="e">
        <f t="shared" si="3"/>
        <v>#N/A</v>
      </c>
      <c r="M10" s="26" t="e">
        <f t="shared" si="3"/>
        <v>#N/A</v>
      </c>
      <c r="N10" s="26" t="e">
        <f t="shared" si="3"/>
        <v>#N/A</v>
      </c>
      <c r="O10" s="26" t="e">
        <f t="shared" si="3"/>
        <v>#N/A</v>
      </c>
      <c r="Q10" s="41">
        <v>0.27500000000000008</v>
      </c>
      <c r="R10" s="42">
        <v>0.47631397208144127</v>
      </c>
      <c r="S10" s="44">
        <v>8</v>
      </c>
      <c r="T10" s="45">
        <f>AVERAGE(Q32:Q33)</f>
        <v>-0.57762114165026213</v>
      </c>
      <c r="U10" s="45">
        <f>AVERAGE(R32:R33)</f>
        <v>-0.57762114165026202</v>
      </c>
      <c r="V10" t="str">
        <f t="shared" ref="V10:V14" si="5">CONCATENATE(UPPER(W10)&amp;X10)</f>
        <v>FEBRUARY</v>
      </c>
      <c r="W10" t="s">
        <v>38</v>
      </c>
    </row>
    <row r="11" spans="1:24" x14ac:dyDescent="0.2">
      <c r="B11" s="33">
        <v>80</v>
      </c>
      <c r="C11" s="26">
        <f t="shared" si="2"/>
        <v>7.0327511955106822E-2</v>
      </c>
      <c r="D11" s="26" t="e">
        <f t="shared" si="3"/>
        <v>#N/A</v>
      </c>
      <c r="E11" s="26" t="e">
        <f t="shared" si="3"/>
        <v>#N/A</v>
      </c>
      <c r="F11" s="26">
        <f t="shared" si="3"/>
        <v>0.39884713996994425</v>
      </c>
      <c r="G11" s="26" t="e">
        <f t="shared" si="3"/>
        <v>#N/A</v>
      </c>
      <c r="H11" s="26" t="e">
        <f t="shared" si="3"/>
        <v>#N/A</v>
      </c>
      <c r="I11" s="26" t="e">
        <f t="shared" si="3"/>
        <v>#N/A</v>
      </c>
      <c r="J11" s="26" t="e">
        <f t="shared" si="3"/>
        <v>#N/A</v>
      </c>
      <c r="K11" s="26" t="e">
        <f t="shared" si="3"/>
        <v>#N/A</v>
      </c>
      <c r="L11" s="26" t="e">
        <f t="shared" si="3"/>
        <v>#N/A</v>
      </c>
      <c r="M11" s="26" t="e">
        <f t="shared" si="3"/>
        <v>#N/A</v>
      </c>
      <c r="N11" s="26" t="e">
        <f t="shared" si="3"/>
        <v>#N/A</v>
      </c>
      <c r="O11" s="26" t="e">
        <f t="shared" si="3"/>
        <v>#N/A</v>
      </c>
      <c r="P11">
        <v>3</v>
      </c>
      <c r="Q11" s="37">
        <v>0.20250000000000007</v>
      </c>
      <c r="R11" s="38">
        <v>0.35074028853269767</v>
      </c>
      <c r="S11" s="43">
        <v>9</v>
      </c>
      <c r="T11" s="45">
        <f>AVERAGE(Q36:Q37)</f>
        <v>-0.23462908605163285</v>
      </c>
      <c r="U11" s="45">
        <f>AVERAGE(R36:R37)</f>
        <v>-0.87564767007814281</v>
      </c>
      <c r="V11" t="str">
        <f>CONCATENATE(UPPER(W11)&amp;" "&amp;X11)</f>
        <v>JANUARY 1855</v>
      </c>
      <c r="W11" t="s">
        <v>80</v>
      </c>
      <c r="X11">
        <v>1855</v>
      </c>
    </row>
    <row r="12" spans="1:24" x14ac:dyDescent="0.2">
      <c r="B12" s="33">
        <v>90</v>
      </c>
      <c r="C12" s="26">
        <f t="shared" si="2"/>
        <v>2.4809256211899557E-17</v>
      </c>
      <c r="D12" s="26" t="e">
        <f t="shared" si="3"/>
        <v>#N/A</v>
      </c>
      <c r="E12" s="26" t="e">
        <f t="shared" si="3"/>
        <v>#N/A</v>
      </c>
      <c r="F12" s="26">
        <f t="shared" si="3"/>
        <v>0.40500000000000003</v>
      </c>
      <c r="G12" s="26">
        <f t="shared" si="3"/>
        <v>0.40500000000000003</v>
      </c>
      <c r="H12" s="26" t="e">
        <f t="shared" si="3"/>
        <v>#N/A</v>
      </c>
      <c r="I12" s="26" t="e">
        <f t="shared" si="3"/>
        <v>#N/A</v>
      </c>
      <c r="J12" s="26" t="e">
        <f t="shared" si="3"/>
        <v>#N/A</v>
      </c>
      <c r="K12" s="26" t="e">
        <f t="shared" si="3"/>
        <v>#N/A</v>
      </c>
      <c r="L12" s="26" t="e">
        <f t="shared" si="3"/>
        <v>#N/A</v>
      </c>
      <c r="M12" s="26" t="e">
        <f t="shared" si="3"/>
        <v>#N/A</v>
      </c>
      <c r="N12" s="26" t="e">
        <f t="shared" si="3"/>
        <v>#N/A</v>
      </c>
      <c r="O12" s="26" t="e">
        <f t="shared" si="3"/>
        <v>#N/A</v>
      </c>
      <c r="Q12" s="39">
        <v>0.13851815804689588</v>
      </c>
      <c r="R12" s="40">
        <v>0.38057551141829288</v>
      </c>
      <c r="S12" s="44">
        <v>10</v>
      </c>
      <c r="T12" s="45">
        <f>AVERAGE(Q40:Q41)</f>
        <v>0.18821893716229832</v>
      </c>
      <c r="U12" s="45">
        <f>AVERAGE(R40:R41)</f>
        <v>-0.70244263643631255</v>
      </c>
      <c r="V12" t="str">
        <f t="shared" si="5"/>
        <v>DECEMBER</v>
      </c>
      <c r="W12" t="s">
        <v>17</v>
      </c>
    </row>
    <row r="13" spans="1:24" x14ac:dyDescent="0.2">
      <c r="B13" s="33">
        <v>100</v>
      </c>
      <c r="C13" s="26">
        <f t="shared" si="2"/>
        <v>-7.0327511955106781E-2</v>
      </c>
      <c r="D13" s="26" t="e">
        <f t="shared" si="3"/>
        <v>#N/A</v>
      </c>
      <c r="E13" s="26" t="e">
        <f t="shared" si="3"/>
        <v>#N/A</v>
      </c>
      <c r="F13" s="26" t="e">
        <f t="shared" si="3"/>
        <v>#N/A</v>
      </c>
      <c r="G13" s="26">
        <f t="shared" si="3"/>
        <v>0.39884713996994425</v>
      </c>
      <c r="H13" s="26" t="e">
        <f t="shared" si="3"/>
        <v>#N/A</v>
      </c>
      <c r="I13" s="26" t="e">
        <f t="shared" si="3"/>
        <v>#N/A</v>
      </c>
      <c r="J13" s="26" t="e">
        <f t="shared" si="3"/>
        <v>#N/A</v>
      </c>
      <c r="K13" s="26" t="e">
        <f t="shared" si="3"/>
        <v>#N/A</v>
      </c>
      <c r="L13" s="26" t="e">
        <f t="shared" si="3"/>
        <v>#N/A</v>
      </c>
      <c r="M13" s="26" t="e">
        <f t="shared" si="3"/>
        <v>#N/A</v>
      </c>
      <c r="N13" s="26" t="e">
        <f t="shared" si="3"/>
        <v>#N/A</v>
      </c>
      <c r="O13" s="26" t="e">
        <f t="shared" si="3"/>
        <v>#N/A</v>
      </c>
      <c r="Q13" s="39">
        <v>7.0327511955106822E-2</v>
      </c>
      <c r="R13" s="40">
        <v>0.39884713996994425</v>
      </c>
      <c r="S13" s="44">
        <v>11</v>
      </c>
      <c r="T13" s="45">
        <f>AVERAGE(Q44:Q45)</f>
        <v>0.38742881452151723</v>
      </c>
      <c r="U13" s="45">
        <f>AVERAGE(R44:R45)</f>
        <v>-0.3874288145215174</v>
      </c>
      <c r="V13" t="str">
        <f t="shared" si="5"/>
        <v>NOVEMBER</v>
      </c>
      <c r="W13" t="s">
        <v>16</v>
      </c>
    </row>
    <row r="14" spans="1:24" x14ac:dyDescent="0.2">
      <c r="B14" s="33">
        <v>110</v>
      </c>
      <c r="C14" s="26">
        <f t="shared" si="2"/>
        <v>-0.13851815804689585</v>
      </c>
      <c r="D14" s="26" t="e">
        <f t="shared" si="3"/>
        <v>#N/A</v>
      </c>
      <c r="E14" s="26" t="e">
        <f t="shared" si="3"/>
        <v>#N/A</v>
      </c>
      <c r="F14" s="26" t="e">
        <f t="shared" si="3"/>
        <v>#N/A</v>
      </c>
      <c r="G14" s="26">
        <f t="shared" si="3"/>
        <v>0.38057551141829293</v>
      </c>
      <c r="H14" s="26" t="e">
        <f t="shared" si="3"/>
        <v>#N/A</v>
      </c>
      <c r="I14" s="26" t="e">
        <f t="shared" si="3"/>
        <v>#N/A</v>
      </c>
      <c r="J14" s="26" t="e">
        <f t="shared" si="3"/>
        <v>#N/A</v>
      </c>
      <c r="K14" s="26" t="e">
        <f t="shared" si="3"/>
        <v>#N/A</v>
      </c>
      <c r="L14" s="26" t="e">
        <f t="shared" si="3"/>
        <v>#N/A</v>
      </c>
      <c r="M14" s="26" t="e">
        <f t="shared" si="3"/>
        <v>#N/A</v>
      </c>
      <c r="N14" s="26" t="e">
        <f t="shared" si="3"/>
        <v>#N/A</v>
      </c>
      <c r="O14" s="26" t="e">
        <f t="shared" si="3"/>
        <v>#N/A</v>
      </c>
      <c r="Q14" s="41">
        <v>2.4809256211899557E-17</v>
      </c>
      <c r="R14" s="42">
        <v>0.40500000000000003</v>
      </c>
      <c r="S14" s="44">
        <v>12</v>
      </c>
      <c r="T14" s="45">
        <f>AVERAGE(Q48:Q49)</f>
        <v>0.44263508597356682</v>
      </c>
      <c r="U14" s="45">
        <f>AVERAGE(R48:R49)</f>
        <v>-0.11860371382829799</v>
      </c>
      <c r="V14" t="str">
        <f t="shared" si="5"/>
        <v>OCTOBER</v>
      </c>
      <c r="W14" t="s">
        <v>15</v>
      </c>
    </row>
    <row r="15" spans="1:24" x14ac:dyDescent="0.2">
      <c r="B15" s="33">
        <v>120</v>
      </c>
      <c r="C15" s="26">
        <f t="shared" si="2"/>
        <v>-0.20249999999999993</v>
      </c>
      <c r="D15" s="26" t="e">
        <f t="shared" si="3"/>
        <v>#N/A</v>
      </c>
      <c r="E15" s="26" t="e">
        <f t="shared" si="3"/>
        <v>#N/A</v>
      </c>
      <c r="F15" s="26" t="e">
        <f t="shared" si="3"/>
        <v>#N/A</v>
      </c>
      <c r="G15" s="26">
        <f t="shared" si="3"/>
        <v>0.35074028853269767</v>
      </c>
      <c r="H15" s="26">
        <f t="shared" si="3"/>
        <v>0.35074028853269767</v>
      </c>
      <c r="I15" s="26" t="e">
        <f t="shared" si="3"/>
        <v>#N/A</v>
      </c>
      <c r="J15" s="26" t="e">
        <f t="shared" si="3"/>
        <v>#N/A</v>
      </c>
      <c r="K15" s="26" t="e">
        <f t="shared" si="3"/>
        <v>#N/A</v>
      </c>
      <c r="L15" s="26" t="e">
        <f t="shared" si="3"/>
        <v>#N/A</v>
      </c>
      <c r="M15" s="26" t="e">
        <f t="shared" si="3"/>
        <v>#N/A</v>
      </c>
      <c r="N15" s="26" t="e">
        <f t="shared" si="3"/>
        <v>#N/A</v>
      </c>
      <c r="O15" s="26" t="e">
        <f t="shared" si="3"/>
        <v>#N/A</v>
      </c>
      <c r="P15">
        <v>4</v>
      </c>
      <c r="Q15" s="37">
        <v>8.8823262980874948E-18</v>
      </c>
      <c r="R15" s="38">
        <v>0.14499999999999999</v>
      </c>
    </row>
    <row r="16" spans="1:24" x14ac:dyDescent="0.2">
      <c r="B16" s="33">
        <v>130</v>
      </c>
      <c r="C16" s="26">
        <f t="shared" si="2"/>
        <v>-0.26032898192304849</v>
      </c>
      <c r="D16" s="26" t="e">
        <f t="shared" si="3"/>
        <v>#N/A</v>
      </c>
      <c r="E16" s="26" t="e">
        <f t="shared" si="3"/>
        <v>#N/A</v>
      </c>
      <c r="F16" s="26" t="e">
        <f t="shared" si="3"/>
        <v>#N/A</v>
      </c>
      <c r="G16" s="26" t="e">
        <f t="shared" si="3"/>
        <v>#N/A</v>
      </c>
      <c r="H16" s="26">
        <f t="shared" si="3"/>
        <v>0.3102479994631861</v>
      </c>
      <c r="I16" s="26" t="e">
        <f t="shared" si="3"/>
        <v>#N/A</v>
      </c>
      <c r="J16" s="26" t="e">
        <f t="shared" si="3"/>
        <v>#N/A</v>
      </c>
      <c r="K16" s="26" t="e">
        <f t="shared" si="3"/>
        <v>#N/A</v>
      </c>
      <c r="L16" s="26" t="e">
        <f t="shared" si="3"/>
        <v>#N/A</v>
      </c>
      <c r="M16" s="26" t="e">
        <f t="shared" si="3"/>
        <v>#N/A</v>
      </c>
      <c r="N16" s="26" t="e">
        <f t="shared" si="3"/>
        <v>#N/A</v>
      </c>
      <c r="O16" s="26" t="e">
        <f t="shared" si="3"/>
        <v>#N/A</v>
      </c>
      <c r="Q16" s="39">
        <v>-2.5178985761704891E-2</v>
      </c>
      <c r="R16" s="40">
        <v>0.14279712418677015</v>
      </c>
      <c r="T16" s="26" t="s">
        <v>82</v>
      </c>
      <c r="U16" s="26" t="s">
        <v>73</v>
      </c>
    </row>
    <row r="17" spans="2:22" x14ac:dyDescent="0.2">
      <c r="B17" s="33">
        <v>140</v>
      </c>
      <c r="C17" s="26">
        <f t="shared" si="2"/>
        <v>-0.3102479994631861</v>
      </c>
      <c r="D17" s="26" t="e">
        <f t="shared" si="3"/>
        <v>#N/A</v>
      </c>
      <c r="E17" s="26" t="e">
        <f t="shared" si="3"/>
        <v>#N/A</v>
      </c>
      <c r="F17" s="26" t="e">
        <f t="shared" si="3"/>
        <v>#N/A</v>
      </c>
      <c r="G17" s="26" t="e">
        <f t="shared" si="3"/>
        <v>#N/A</v>
      </c>
      <c r="H17" s="26">
        <f t="shared" si="3"/>
        <v>0.26032898192304849</v>
      </c>
      <c r="I17" s="26" t="e">
        <f t="shared" si="3"/>
        <v>#N/A</v>
      </c>
      <c r="J17" s="26" t="e">
        <f t="shared" si="3"/>
        <v>#N/A</v>
      </c>
      <c r="K17" s="26" t="e">
        <f t="shared" si="3"/>
        <v>#N/A</v>
      </c>
      <c r="L17" s="26" t="e">
        <f t="shared" si="3"/>
        <v>#N/A</v>
      </c>
      <c r="M17" s="26" t="e">
        <f t="shared" si="3"/>
        <v>#N/A</v>
      </c>
      <c r="N17" s="26" t="e">
        <f t="shared" si="3"/>
        <v>#N/A</v>
      </c>
      <c r="O17" s="26" t="e">
        <f t="shared" si="3"/>
        <v>#N/A</v>
      </c>
      <c r="Q17" s="39">
        <v>-4.9592920782221959E-2</v>
      </c>
      <c r="R17" s="40">
        <v>0.13625543001395671</v>
      </c>
      <c r="T17">
        <v>-0.01</v>
      </c>
      <c r="U17">
        <v>0.3</v>
      </c>
      <c r="V17" t="s">
        <v>83</v>
      </c>
    </row>
    <row r="18" spans="2:22" x14ac:dyDescent="0.2">
      <c r="B18" s="33">
        <v>150</v>
      </c>
      <c r="C18" s="26">
        <f t="shared" si="2"/>
        <v>-0.35074028853269767</v>
      </c>
      <c r="D18" s="26" t="e">
        <f t="shared" si="3"/>
        <v>#N/A</v>
      </c>
      <c r="E18" s="26" t="e">
        <f t="shared" si="3"/>
        <v>#N/A</v>
      </c>
      <c r="F18" s="26" t="e">
        <f t="shared" si="3"/>
        <v>#N/A</v>
      </c>
      <c r="G18" s="26" t="e">
        <f t="shared" si="3"/>
        <v>#N/A</v>
      </c>
      <c r="H18" s="26">
        <f t="shared" si="3"/>
        <v>0.20249999999999999</v>
      </c>
      <c r="I18" s="26">
        <f t="shared" si="3"/>
        <v>0.20249999999999999</v>
      </c>
      <c r="J18" s="26" t="e">
        <f t="shared" si="3"/>
        <v>#N/A</v>
      </c>
      <c r="K18" s="26" t="e">
        <f t="shared" si="3"/>
        <v>#N/A</v>
      </c>
      <c r="L18" s="26" t="e">
        <f t="shared" si="3"/>
        <v>#N/A</v>
      </c>
      <c r="M18" s="26" t="e">
        <f t="shared" si="3"/>
        <v>#N/A</v>
      </c>
      <c r="N18" s="26" t="e">
        <f t="shared" si="3"/>
        <v>#N/A</v>
      </c>
      <c r="O18" s="26" t="e">
        <f t="shared" si="3"/>
        <v>#N/A</v>
      </c>
      <c r="Q18" s="41">
        <v>-7.2499999999999967E-2</v>
      </c>
      <c r="R18" s="42">
        <v>0.1255736835487436</v>
      </c>
      <c r="T18">
        <v>0.5</v>
      </c>
      <c r="U18">
        <v>-0.01</v>
      </c>
      <c r="V18" t="s">
        <v>84</v>
      </c>
    </row>
    <row r="19" spans="2:22" x14ac:dyDescent="0.2">
      <c r="B19" s="33">
        <v>160</v>
      </c>
      <c r="C19" s="26">
        <f t="shared" si="2"/>
        <v>-0.38057551141829288</v>
      </c>
      <c r="D19" s="26" t="e">
        <f t="shared" si="3"/>
        <v>#N/A</v>
      </c>
      <c r="E19" s="26" t="e">
        <f t="shared" si="3"/>
        <v>#N/A</v>
      </c>
      <c r="F19" s="26" t="e">
        <f t="shared" si="3"/>
        <v>#N/A</v>
      </c>
      <c r="G19" s="26" t="e">
        <f t="shared" si="3"/>
        <v>#N/A</v>
      </c>
      <c r="H19" s="26" t="e">
        <f t="shared" si="3"/>
        <v>#N/A</v>
      </c>
      <c r="I19" s="26">
        <f t="shared" si="3"/>
        <v>0.13851815804689591</v>
      </c>
      <c r="J19" s="26" t="e">
        <f t="shared" si="3"/>
        <v>#N/A</v>
      </c>
      <c r="K19" s="26" t="e">
        <f t="shared" si="3"/>
        <v>#N/A</v>
      </c>
      <c r="L19" s="26" t="e">
        <f t="shared" si="3"/>
        <v>#N/A</v>
      </c>
      <c r="M19" s="26" t="e">
        <f t="shared" si="3"/>
        <v>#N/A</v>
      </c>
      <c r="N19" s="26" t="e">
        <f t="shared" si="3"/>
        <v>#N/A</v>
      </c>
      <c r="O19" s="26" t="e">
        <f t="shared" si="3"/>
        <v>#N/A</v>
      </c>
      <c r="P19">
        <v>5</v>
      </c>
      <c r="Q19" s="37">
        <v>-8.4999999999999964E-2</v>
      </c>
      <c r="R19" s="38">
        <v>0.14722431864335458</v>
      </c>
    </row>
    <row r="20" spans="2:22" x14ac:dyDescent="0.2">
      <c r="B20" s="33">
        <v>170</v>
      </c>
      <c r="C20" s="26">
        <f t="shared" si="2"/>
        <v>-0.39884713996994425</v>
      </c>
      <c r="D20" s="26" t="e">
        <f t="shared" si="3"/>
        <v>#N/A</v>
      </c>
      <c r="E20" s="26" t="e">
        <f t="shared" si="3"/>
        <v>#N/A</v>
      </c>
      <c r="F20" s="26" t="e">
        <f t="shared" si="3"/>
        <v>#N/A</v>
      </c>
      <c r="G20" s="26" t="e">
        <f t="shared" si="3"/>
        <v>#N/A</v>
      </c>
      <c r="H20" s="26" t="e">
        <f t="shared" si="3"/>
        <v>#N/A</v>
      </c>
      <c r="I20" s="26">
        <f t="shared" si="3"/>
        <v>7.0327511955106767E-2</v>
      </c>
      <c r="J20" s="26" t="e">
        <f t="shared" si="3"/>
        <v>#N/A</v>
      </c>
      <c r="K20" s="26" t="e">
        <f t="shared" si="3"/>
        <v>#N/A</v>
      </c>
      <c r="L20" s="26" t="e">
        <f t="shared" si="3"/>
        <v>#N/A</v>
      </c>
      <c r="M20" s="26" t="e">
        <f t="shared" si="3"/>
        <v>#N/A</v>
      </c>
      <c r="N20" s="26" t="e">
        <f t="shared" si="3"/>
        <v>#N/A</v>
      </c>
      <c r="O20" s="26" t="e">
        <f t="shared" si="3"/>
        <v>#N/A</v>
      </c>
      <c r="Q20" s="39">
        <v>-0.1092738936467117</v>
      </c>
      <c r="R20" s="40">
        <v>0.13022755533022626</v>
      </c>
    </row>
    <row r="21" spans="2:22" x14ac:dyDescent="0.2">
      <c r="B21" s="33">
        <v>180</v>
      </c>
      <c r="C21" s="26">
        <f t="shared" si="2"/>
        <v>-0.40500000000000003</v>
      </c>
      <c r="D21" s="26" t="e">
        <f t="shared" si="3"/>
        <v>#N/A</v>
      </c>
      <c r="E21" s="26" t="e">
        <f t="shared" si="3"/>
        <v>#N/A</v>
      </c>
      <c r="F21" s="26" t="e">
        <f t="shared" si="3"/>
        <v>#N/A</v>
      </c>
      <c r="G21" s="26" t="e">
        <f t="shared" si="3"/>
        <v>#N/A</v>
      </c>
      <c r="H21" s="26" t="e">
        <f t="shared" si="3"/>
        <v>#N/A</v>
      </c>
      <c r="I21" s="26">
        <f t="shared" si="3"/>
        <v>4.9618512423799114E-17</v>
      </c>
      <c r="J21" s="26">
        <f t="shared" si="3"/>
        <v>4.9618512423799114E-17</v>
      </c>
      <c r="K21" s="26" t="e">
        <f t="shared" si="3"/>
        <v>#N/A</v>
      </c>
      <c r="L21" s="26" t="e">
        <f t="shared" si="3"/>
        <v>#N/A</v>
      </c>
      <c r="M21" s="26" t="e">
        <f t="shared" si="3"/>
        <v>#N/A</v>
      </c>
      <c r="N21" s="26" t="e">
        <f t="shared" si="3"/>
        <v>#N/A</v>
      </c>
      <c r="O21" s="26" t="e">
        <f t="shared" si="3"/>
        <v>#N/A</v>
      </c>
      <c r="Q21" s="39">
        <v>-0.13022755533022626</v>
      </c>
      <c r="R21" s="40">
        <v>0.10927389364671172</v>
      </c>
    </row>
    <row r="22" spans="2:22" x14ac:dyDescent="0.2">
      <c r="B22" s="33">
        <v>190</v>
      </c>
      <c r="C22" s="26">
        <f t="shared" si="2"/>
        <v>-0.39884713996994425</v>
      </c>
      <c r="D22" s="26" t="e">
        <f t="shared" si="3"/>
        <v>#N/A</v>
      </c>
      <c r="E22" s="26" t="e">
        <f t="shared" si="3"/>
        <v>#N/A</v>
      </c>
      <c r="F22" s="26" t="e">
        <f t="shared" si="3"/>
        <v>#N/A</v>
      </c>
      <c r="G22" s="26" t="e">
        <f t="shared" si="3"/>
        <v>#N/A</v>
      </c>
      <c r="H22" s="26" t="e">
        <f t="shared" si="3"/>
        <v>#N/A</v>
      </c>
      <c r="I22" s="26" t="e">
        <f t="shared" si="3"/>
        <v>#N/A</v>
      </c>
      <c r="J22" s="26">
        <f t="shared" si="3"/>
        <v>-7.032751195510685E-2</v>
      </c>
      <c r="K22" s="26" t="e">
        <f t="shared" si="3"/>
        <v>#N/A</v>
      </c>
      <c r="L22" s="26" t="e">
        <f t="shared" si="3"/>
        <v>#N/A</v>
      </c>
      <c r="M22" s="26" t="e">
        <f t="shared" si="3"/>
        <v>#N/A</v>
      </c>
      <c r="N22" s="26" t="e">
        <f t="shared" si="3"/>
        <v>#N/A</v>
      </c>
      <c r="O22" s="26" t="e">
        <f t="shared" si="3"/>
        <v>#N/A</v>
      </c>
      <c r="Q22" s="41">
        <v>-0.14722431864335458</v>
      </c>
      <c r="R22" s="42">
        <v>8.4999999999999992E-2</v>
      </c>
    </row>
    <row r="23" spans="2:22" x14ac:dyDescent="0.2">
      <c r="B23" s="33">
        <v>200</v>
      </c>
      <c r="C23" s="26">
        <f t="shared" si="2"/>
        <v>-0.38057551141829293</v>
      </c>
      <c r="D23" s="26" t="e">
        <f t="shared" si="3"/>
        <v>#N/A</v>
      </c>
      <c r="E23" s="26" t="e">
        <f t="shared" si="3"/>
        <v>#N/A</v>
      </c>
      <c r="F23" s="26" t="e">
        <f t="shared" si="3"/>
        <v>#N/A</v>
      </c>
      <c r="G23" s="26" t="e">
        <f t="shared" si="3"/>
        <v>#N/A</v>
      </c>
      <c r="H23" s="26" t="e">
        <f t="shared" si="3"/>
        <v>#N/A</v>
      </c>
      <c r="I23" s="26" t="e">
        <f t="shared" si="3"/>
        <v>#N/A</v>
      </c>
      <c r="J23" s="26">
        <f t="shared" si="3"/>
        <v>-0.13851815804689582</v>
      </c>
      <c r="K23" s="26" t="e">
        <f t="shared" si="3"/>
        <v>#N/A</v>
      </c>
      <c r="L23" s="26" t="e">
        <f t="shared" si="3"/>
        <v>#N/A</v>
      </c>
      <c r="M23" s="26" t="e">
        <f t="shared" si="3"/>
        <v>#N/A</v>
      </c>
      <c r="N23" s="26" t="e">
        <f t="shared" si="3"/>
        <v>#N/A</v>
      </c>
      <c r="O23" s="26" t="e">
        <f t="shared" ref="E23:O38" si="6">IF(AND($B23&gt;=N$2,$B23&lt;=O$2),$A$5+$A$7*SIN($B23*PI()/180),#N/A)</f>
        <v>#N/A</v>
      </c>
      <c r="P23">
        <v>6</v>
      </c>
      <c r="Q23" s="37">
        <v>-0.12990381056766581</v>
      </c>
      <c r="R23" s="38">
        <v>7.4999999999999983E-2</v>
      </c>
    </row>
    <row r="24" spans="2:22" x14ac:dyDescent="0.2">
      <c r="B24" s="33">
        <v>210</v>
      </c>
      <c r="C24" s="26">
        <f t="shared" si="2"/>
        <v>-0.35074028853269767</v>
      </c>
      <c r="D24" s="26" t="e">
        <f t="shared" si="3"/>
        <v>#N/A</v>
      </c>
      <c r="E24" s="26" t="e">
        <f t="shared" si="6"/>
        <v>#N/A</v>
      </c>
      <c r="F24" s="26" t="e">
        <f t="shared" si="6"/>
        <v>#N/A</v>
      </c>
      <c r="G24" s="26" t="e">
        <f t="shared" si="6"/>
        <v>#N/A</v>
      </c>
      <c r="H24" s="26" t="e">
        <f t="shared" si="6"/>
        <v>#N/A</v>
      </c>
      <c r="I24" s="26" t="e">
        <f t="shared" si="6"/>
        <v>#N/A</v>
      </c>
      <c r="J24" s="26">
        <f t="shared" si="6"/>
        <v>-0.20250000000000007</v>
      </c>
      <c r="K24" s="26">
        <f t="shared" si="6"/>
        <v>-0.20250000000000007</v>
      </c>
      <c r="L24" s="26" t="e">
        <f t="shared" si="6"/>
        <v>#N/A</v>
      </c>
      <c r="M24" s="26" t="e">
        <f t="shared" si="6"/>
        <v>#N/A</v>
      </c>
      <c r="N24" s="26" t="e">
        <f t="shared" si="6"/>
        <v>#N/A</v>
      </c>
      <c r="O24" s="26" t="e">
        <f t="shared" si="6"/>
        <v>#N/A</v>
      </c>
      <c r="Q24" s="39">
        <v>-0.14095389311788625</v>
      </c>
      <c r="R24" s="40">
        <v>5.1303021498850333E-2</v>
      </c>
    </row>
    <row r="25" spans="2:22" x14ac:dyDescent="0.2">
      <c r="B25" s="33">
        <v>220</v>
      </c>
      <c r="C25" s="26">
        <f t="shared" si="2"/>
        <v>-0.3102479994631861</v>
      </c>
      <c r="D25" s="26" t="e">
        <f t="shared" si="3"/>
        <v>#N/A</v>
      </c>
      <c r="E25" s="26" t="e">
        <f t="shared" si="6"/>
        <v>#N/A</v>
      </c>
      <c r="F25" s="26" t="e">
        <f t="shared" si="6"/>
        <v>#N/A</v>
      </c>
      <c r="G25" s="26" t="e">
        <f t="shared" si="6"/>
        <v>#N/A</v>
      </c>
      <c r="H25" s="26" t="e">
        <f t="shared" si="6"/>
        <v>#N/A</v>
      </c>
      <c r="I25" s="26" t="e">
        <f t="shared" si="6"/>
        <v>#N/A</v>
      </c>
      <c r="J25" s="26" t="e">
        <f t="shared" si="6"/>
        <v>#N/A</v>
      </c>
      <c r="K25" s="26">
        <f t="shared" si="6"/>
        <v>-0.26032898192304843</v>
      </c>
      <c r="L25" s="26" t="e">
        <f t="shared" si="6"/>
        <v>#N/A</v>
      </c>
      <c r="M25" s="26" t="e">
        <f t="shared" si="6"/>
        <v>#N/A</v>
      </c>
      <c r="N25" s="26" t="e">
        <f t="shared" si="6"/>
        <v>#N/A</v>
      </c>
      <c r="O25" s="26" t="e">
        <f t="shared" si="6"/>
        <v>#N/A</v>
      </c>
      <c r="Q25" s="39">
        <v>-0.14772116295183119</v>
      </c>
      <c r="R25" s="40">
        <v>2.6047226650039539E-2</v>
      </c>
    </row>
    <row r="26" spans="2:22" x14ac:dyDescent="0.2">
      <c r="B26" s="33">
        <v>230</v>
      </c>
      <c r="C26" s="26">
        <f t="shared" si="2"/>
        <v>-0.26032898192304849</v>
      </c>
      <c r="D26" s="26" t="e">
        <f t="shared" si="3"/>
        <v>#N/A</v>
      </c>
      <c r="E26" s="26" t="e">
        <f t="shared" si="6"/>
        <v>#N/A</v>
      </c>
      <c r="F26" s="26" t="e">
        <f t="shared" si="6"/>
        <v>#N/A</v>
      </c>
      <c r="G26" s="26" t="e">
        <f t="shared" si="6"/>
        <v>#N/A</v>
      </c>
      <c r="H26" s="26" t="e">
        <f t="shared" si="6"/>
        <v>#N/A</v>
      </c>
      <c r="I26" s="26" t="e">
        <f t="shared" si="6"/>
        <v>#N/A</v>
      </c>
      <c r="J26" s="26" t="e">
        <f t="shared" si="6"/>
        <v>#N/A</v>
      </c>
      <c r="K26" s="26">
        <f t="shared" si="6"/>
        <v>-0.3102479994631861</v>
      </c>
      <c r="L26" s="26" t="e">
        <f t="shared" si="6"/>
        <v>#N/A</v>
      </c>
      <c r="M26" s="26" t="e">
        <f t="shared" si="6"/>
        <v>#N/A</v>
      </c>
      <c r="N26" s="26" t="e">
        <f t="shared" si="6"/>
        <v>#N/A</v>
      </c>
      <c r="O26" s="26" t="e">
        <f t="shared" si="6"/>
        <v>#N/A</v>
      </c>
      <c r="Q26" s="41">
        <v>-0.15</v>
      </c>
      <c r="R26" s="42">
        <v>1.83772268236293E-17</v>
      </c>
    </row>
    <row r="27" spans="2:22" x14ac:dyDescent="0.2">
      <c r="B27" s="33">
        <v>240</v>
      </c>
      <c r="C27" s="26">
        <f t="shared" si="2"/>
        <v>-0.20250000000000018</v>
      </c>
      <c r="D27" s="26" t="e">
        <f t="shared" si="3"/>
        <v>#N/A</v>
      </c>
      <c r="E27" s="26" t="e">
        <f t="shared" si="6"/>
        <v>#N/A</v>
      </c>
      <c r="F27" s="26" t="e">
        <f t="shared" si="6"/>
        <v>#N/A</v>
      </c>
      <c r="G27" s="26" t="e">
        <f t="shared" si="6"/>
        <v>#N/A</v>
      </c>
      <c r="H27" s="26" t="e">
        <f t="shared" si="6"/>
        <v>#N/A</v>
      </c>
      <c r="I27" s="26" t="e">
        <f t="shared" si="6"/>
        <v>#N/A</v>
      </c>
      <c r="J27" s="26" t="e">
        <f t="shared" si="6"/>
        <v>#N/A</v>
      </c>
      <c r="K27" s="26">
        <f t="shared" si="6"/>
        <v>-0.35074028853269756</v>
      </c>
      <c r="L27" s="26">
        <f t="shared" si="6"/>
        <v>-0.35074028853269756</v>
      </c>
      <c r="M27" s="26" t="e">
        <f t="shared" si="6"/>
        <v>#N/A</v>
      </c>
      <c r="N27" s="26" t="e">
        <f t="shared" si="6"/>
        <v>#N/A</v>
      </c>
      <c r="O27" s="26" t="e">
        <f t="shared" si="6"/>
        <v>#N/A</v>
      </c>
      <c r="P27">
        <v>7</v>
      </c>
      <c r="Q27" s="37">
        <v>-0.46</v>
      </c>
      <c r="R27" s="38">
        <v>5.6356828925796528E-17</v>
      </c>
    </row>
    <row r="28" spans="2:22" x14ac:dyDescent="0.2">
      <c r="B28" s="33">
        <v>250</v>
      </c>
      <c r="C28" s="26">
        <f t="shared" si="2"/>
        <v>-0.1385181580468961</v>
      </c>
      <c r="D28" s="26" t="e">
        <f t="shared" si="3"/>
        <v>#N/A</v>
      </c>
      <c r="E28" s="26" t="e">
        <f t="shared" si="6"/>
        <v>#N/A</v>
      </c>
      <c r="F28" s="26" t="e">
        <f t="shared" si="6"/>
        <v>#N/A</v>
      </c>
      <c r="G28" s="26" t="e">
        <f t="shared" si="6"/>
        <v>#N/A</v>
      </c>
      <c r="H28" s="26" t="e">
        <f t="shared" si="6"/>
        <v>#N/A</v>
      </c>
      <c r="I28" s="26" t="e">
        <f t="shared" si="6"/>
        <v>#N/A</v>
      </c>
      <c r="J28" s="26" t="e">
        <f t="shared" si="6"/>
        <v>#N/A</v>
      </c>
      <c r="K28" s="26" t="e">
        <f t="shared" si="6"/>
        <v>#N/A</v>
      </c>
      <c r="L28" s="26">
        <f t="shared" si="6"/>
        <v>-0.38057551141829282</v>
      </c>
      <c r="M28" s="26" t="e">
        <f t="shared" si="6"/>
        <v>#N/A</v>
      </c>
      <c r="N28" s="26" t="e">
        <f t="shared" si="6"/>
        <v>#N/A</v>
      </c>
      <c r="O28" s="26" t="e">
        <f t="shared" si="6"/>
        <v>#N/A</v>
      </c>
      <c r="Q28" s="39">
        <v>-0.45301156638561568</v>
      </c>
      <c r="R28" s="40">
        <v>-7.9878161726788022E-2</v>
      </c>
    </row>
    <row r="29" spans="2:22" x14ac:dyDescent="0.2">
      <c r="B29" s="33">
        <v>260</v>
      </c>
      <c r="C29" s="26">
        <f t="shared" si="2"/>
        <v>-7.0327511955106795E-2</v>
      </c>
      <c r="D29" s="26" t="e">
        <f t="shared" si="3"/>
        <v>#N/A</v>
      </c>
      <c r="E29" s="26" t="e">
        <f t="shared" si="6"/>
        <v>#N/A</v>
      </c>
      <c r="F29" s="26" t="e">
        <f t="shared" si="6"/>
        <v>#N/A</v>
      </c>
      <c r="G29" s="26" t="e">
        <f t="shared" si="6"/>
        <v>#N/A</v>
      </c>
      <c r="H29" s="26" t="e">
        <f t="shared" si="6"/>
        <v>#N/A</v>
      </c>
      <c r="I29" s="26" t="e">
        <f t="shared" si="6"/>
        <v>#N/A</v>
      </c>
      <c r="J29" s="26" t="e">
        <f t="shared" si="6"/>
        <v>#N/A</v>
      </c>
      <c r="K29" s="26" t="e">
        <f t="shared" si="6"/>
        <v>#N/A</v>
      </c>
      <c r="L29" s="26">
        <f t="shared" si="6"/>
        <v>-0.39884713996994425</v>
      </c>
      <c r="M29" s="26" t="e">
        <f t="shared" si="6"/>
        <v>#N/A</v>
      </c>
      <c r="N29" s="26" t="e">
        <f t="shared" si="6"/>
        <v>#N/A</v>
      </c>
      <c r="O29" s="26" t="e">
        <f t="shared" si="6"/>
        <v>#N/A</v>
      </c>
      <c r="Q29" s="39">
        <v>-0.43225860556151791</v>
      </c>
      <c r="R29" s="40">
        <v>-0.15732926592980759</v>
      </c>
    </row>
    <row r="30" spans="2:22" x14ac:dyDescent="0.2">
      <c r="B30" s="33">
        <v>270</v>
      </c>
      <c r="C30" s="26">
        <f t="shared" si="2"/>
        <v>-7.4427768635698668E-17</v>
      </c>
      <c r="D30" s="26" t="e">
        <f t="shared" si="3"/>
        <v>#N/A</v>
      </c>
      <c r="E30" s="26" t="e">
        <f t="shared" si="6"/>
        <v>#N/A</v>
      </c>
      <c r="F30" s="26" t="e">
        <f t="shared" si="6"/>
        <v>#N/A</v>
      </c>
      <c r="G30" s="26" t="e">
        <f t="shared" si="6"/>
        <v>#N/A</v>
      </c>
      <c r="H30" s="26" t="e">
        <f t="shared" si="6"/>
        <v>#N/A</v>
      </c>
      <c r="I30" s="26" t="e">
        <f t="shared" si="6"/>
        <v>#N/A</v>
      </c>
      <c r="J30" s="26" t="e">
        <f t="shared" si="6"/>
        <v>#N/A</v>
      </c>
      <c r="K30" s="26" t="e">
        <f t="shared" si="6"/>
        <v>#N/A</v>
      </c>
      <c r="L30" s="26">
        <f t="shared" si="6"/>
        <v>-0.40500000000000003</v>
      </c>
      <c r="M30" s="26">
        <f t="shared" si="6"/>
        <v>-0.40500000000000003</v>
      </c>
      <c r="N30" s="26" t="e">
        <f t="shared" si="6"/>
        <v>#N/A</v>
      </c>
      <c r="O30" s="26" t="e">
        <f t="shared" si="6"/>
        <v>#N/A</v>
      </c>
      <c r="Q30" s="41">
        <v>-0.39837168574084175</v>
      </c>
      <c r="R30" s="42">
        <v>-0.23000000000000007</v>
      </c>
    </row>
    <row r="31" spans="2:22" x14ac:dyDescent="0.2">
      <c r="B31" s="33">
        <v>280</v>
      </c>
      <c r="C31" s="26">
        <f t="shared" si="2"/>
        <v>7.0327511955106642E-2</v>
      </c>
      <c r="D31" s="26" t="e">
        <f t="shared" si="3"/>
        <v>#N/A</v>
      </c>
      <c r="E31" s="26" t="e">
        <f t="shared" si="6"/>
        <v>#N/A</v>
      </c>
      <c r="F31" s="26" t="e">
        <f t="shared" si="6"/>
        <v>#N/A</v>
      </c>
      <c r="G31" s="26" t="e">
        <f t="shared" si="6"/>
        <v>#N/A</v>
      </c>
      <c r="H31" s="26" t="e">
        <f t="shared" si="6"/>
        <v>#N/A</v>
      </c>
      <c r="I31" s="26" t="e">
        <f t="shared" si="6"/>
        <v>#N/A</v>
      </c>
      <c r="J31" s="26" t="e">
        <f t="shared" si="6"/>
        <v>#N/A</v>
      </c>
      <c r="K31" s="26" t="e">
        <f t="shared" si="6"/>
        <v>#N/A</v>
      </c>
      <c r="L31" s="26" t="e">
        <f t="shared" si="6"/>
        <v>#N/A</v>
      </c>
      <c r="M31" s="26">
        <f t="shared" si="6"/>
        <v>-0.39884713996994431</v>
      </c>
      <c r="N31" s="26" t="e">
        <f t="shared" si="6"/>
        <v>#N/A</v>
      </c>
      <c r="O31" s="26" t="e">
        <f t="shared" si="6"/>
        <v>#N/A</v>
      </c>
      <c r="P31">
        <v>8</v>
      </c>
      <c r="Q31" s="37">
        <v>-0.71014083110323956</v>
      </c>
      <c r="R31" s="38">
        <v>-0.41000000000000009</v>
      </c>
    </row>
    <row r="32" spans="2:22" x14ac:dyDescent="0.2">
      <c r="B32" s="33">
        <v>290</v>
      </c>
      <c r="C32" s="26">
        <f t="shared" si="2"/>
        <v>0.1385181580468956</v>
      </c>
      <c r="D32" s="26" t="e">
        <f t="shared" si="3"/>
        <v>#N/A</v>
      </c>
      <c r="E32" s="26" t="e">
        <f t="shared" si="6"/>
        <v>#N/A</v>
      </c>
      <c r="F32" s="26" t="e">
        <f t="shared" si="6"/>
        <v>#N/A</v>
      </c>
      <c r="G32" s="26" t="e">
        <f t="shared" si="6"/>
        <v>#N/A</v>
      </c>
      <c r="H32" s="26" t="e">
        <f t="shared" si="6"/>
        <v>#N/A</v>
      </c>
      <c r="I32" s="26" t="e">
        <f t="shared" si="6"/>
        <v>#N/A</v>
      </c>
      <c r="J32" s="26" t="e">
        <f t="shared" si="6"/>
        <v>#N/A</v>
      </c>
      <c r="K32" s="26" t="e">
        <f t="shared" si="6"/>
        <v>#N/A</v>
      </c>
      <c r="L32" s="26" t="e">
        <f t="shared" si="6"/>
        <v>#N/A</v>
      </c>
      <c r="M32" s="26">
        <f t="shared" si="6"/>
        <v>-0.38057551141829299</v>
      </c>
      <c r="N32" s="26" t="e">
        <f t="shared" si="6"/>
        <v>#N/A</v>
      </c>
      <c r="O32" s="26" t="e">
        <f t="shared" si="6"/>
        <v>#N/A</v>
      </c>
      <c r="Q32" s="39">
        <v>-0.62815644335756193</v>
      </c>
      <c r="R32" s="40">
        <v>-0.52708583994296221</v>
      </c>
    </row>
    <row r="33" spans="2:18" x14ac:dyDescent="0.2">
      <c r="B33" s="33">
        <v>300</v>
      </c>
      <c r="C33" s="26">
        <f t="shared" si="2"/>
        <v>0.20250000000000007</v>
      </c>
      <c r="D33" s="26" t="e">
        <f t="shared" si="3"/>
        <v>#N/A</v>
      </c>
      <c r="E33" s="26" t="e">
        <f t="shared" si="6"/>
        <v>#N/A</v>
      </c>
      <c r="F33" s="26" t="e">
        <f t="shared" si="6"/>
        <v>#N/A</v>
      </c>
      <c r="G33" s="26" t="e">
        <f t="shared" si="6"/>
        <v>#N/A</v>
      </c>
      <c r="H33" s="26" t="e">
        <f t="shared" si="6"/>
        <v>#N/A</v>
      </c>
      <c r="I33" s="26" t="e">
        <f t="shared" si="6"/>
        <v>#N/A</v>
      </c>
      <c r="J33" s="26" t="e">
        <f t="shared" si="6"/>
        <v>#N/A</v>
      </c>
      <c r="K33" s="26" t="e">
        <f t="shared" si="6"/>
        <v>#N/A</v>
      </c>
      <c r="L33" s="26" t="e">
        <f t="shared" si="6"/>
        <v>#N/A</v>
      </c>
      <c r="M33" s="26">
        <f t="shared" si="6"/>
        <v>-0.35074028853269767</v>
      </c>
      <c r="N33" s="26">
        <f t="shared" si="6"/>
        <v>-0.35074028853269767</v>
      </c>
      <c r="O33" s="26" t="e">
        <f t="shared" si="6"/>
        <v>#N/A</v>
      </c>
      <c r="Q33" s="39">
        <v>-0.52708583994296232</v>
      </c>
      <c r="R33" s="40">
        <v>-0.62815644335756182</v>
      </c>
    </row>
    <row r="34" spans="2:18" x14ac:dyDescent="0.2">
      <c r="B34" s="33">
        <v>310</v>
      </c>
      <c r="C34" s="26">
        <f t="shared" si="2"/>
        <v>0.26032898192304843</v>
      </c>
      <c r="D34" s="26" t="e">
        <f t="shared" si="3"/>
        <v>#N/A</v>
      </c>
      <c r="E34" s="26" t="e">
        <f t="shared" si="6"/>
        <v>#N/A</v>
      </c>
      <c r="F34" s="26" t="e">
        <f t="shared" si="6"/>
        <v>#N/A</v>
      </c>
      <c r="G34" s="26" t="e">
        <f t="shared" si="6"/>
        <v>#N/A</v>
      </c>
      <c r="H34" s="26" t="e">
        <f t="shared" si="6"/>
        <v>#N/A</v>
      </c>
      <c r="I34" s="26" t="e">
        <f t="shared" si="6"/>
        <v>#N/A</v>
      </c>
      <c r="J34" s="26" t="e">
        <f t="shared" si="6"/>
        <v>#N/A</v>
      </c>
      <c r="K34" s="26" t="e">
        <f t="shared" si="6"/>
        <v>#N/A</v>
      </c>
      <c r="L34" s="26" t="e">
        <f t="shared" si="6"/>
        <v>#N/A</v>
      </c>
      <c r="M34" s="26" t="e">
        <f t="shared" si="6"/>
        <v>#N/A</v>
      </c>
      <c r="N34" s="26">
        <f t="shared" si="6"/>
        <v>-0.31024799946318615</v>
      </c>
      <c r="O34" s="26" t="e">
        <f t="shared" si="6"/>
        <v>#N/A</v>
      </c>
      <c r="Q34" s="41">
        <v>-0.41000000000000036</v>
      </c>
      <c r="R34" s="42">
        <v>-0.71014083110323944</v>
      </c>
    </row>
    <row r="35" spans="2:18" x14ac:dyDescent="0.2">
      <c r="B35" s="33">
        <v>320</v>
      </c>
      <c r="C35" s="26">
        <f t="shared" si="2"/>
        <v>0.31024799946318604</v>
      </c>
      <c r="D35" s="26" t="e">
        <f t="shared" si="3"/>
        <v>#N/A</v>
      </c>
      <c r="E35" s="26" t="e">
        <f t="shared" si="6"/>
        <v>#N/A</v>
      </c>
      <c r="F35" s="26" t="e">
        <f t="shared" si="6"/>
        <v>#N/A</v>
      </c>
      <c r="G35" s="26" t="e">
        <f t="shared" si="6"/>
        <v>#N/A</v>
      </c>
      <c r="H35" s="26" t="e">
        <f t="shared" si="6"/>
        <v>#N/A</v>
      </c>
      <c r="I35" s="26" t="e">
        <f t="shared" si="6"/>
        <v>#N/A</v>
      </c>
      <c r="J35" s="26" t="e">
        <f t="shared" si="6"/>
        <v>#N/A</v>
      </c>
      <c r="K35" s="26" t="e">
        <f t="shared" si="6"/>
        <v>#N/A</v>
      </c>
      <c r="L35" s="26" t="e">
        <f t="shared" si="6"/>
        <v>#N/A</v>
      </c>
      <c r="M35" s="26" t="e">
        <f t="shared" si="6"/>
        <v>#N/A</v>
      </c>
      <c r="N35" s="26">
        <f t="shared" si="6"/>
        <v>-0.26032898192304854</v>
      </c>
      <c r="O35" s="26" t="e">
        <f t="shared" si="6"/>
        <v>#N/A</v>
      </c>
      <c r="P35">
        <v>9</v>
      </c>
      <c r="Q35" s="37">
        <v>-0.4550000000000004</v>
      </c>
      <c r="R35" s="38">
        <v>-0.78808311744383897</v>
      </c>
    </row>
    <row r="36" spans="2:18" x14ac:dyDescent="0.2">
      <c r="B36" s="33">
        <v>330</v>
      </c>
      <c r="C36" s="26">
        <f t="shared" si="2"/>
        <v>0.35074028853269756</v>
      </c>
      <c r="D36" s="26" t="e">
        <f t="shared" si="3"/>
        <v>#N/A</v>
      </c>
      <c r="E36" s="26" t="e">
        <f t="shared" si="6"/>
        <v>#N/A</v>
      </c>
      <c r="F36" s="26" t="e">
        <f t="shared" si="6"/>
        <v>#N/A</v>
      </c>
      <c r="G36" s="26" t="e">
        <f t="shared" si="6"/>
        <v>#N/A</v>
      </c>
      <c r="H36" s="26" t="e">
        <f t="shared" si="6"/>
        <v>#N/A</v>
      </c>
      <c r="I36" s="26" t="e">
        <f t="shared" si="6"/>
        <v>#N/A</v>
      </c>
      <c r="J36" s="26" t="e">
        <f t="shared" si="6"/>
        <v>#N/A</v>
      </c>
      <c r="K36" s="26" t="e">
        <f t="shared" si="6"/>
        <v>#N/A</v>
      </c>
      <c r="L36" s="26" t="e">
        <f t="shared" si="6"/>
        <v>#N/A</v>
      </c>
      <c r="M36" s="26" t="e">
        <f t="shared" si="6"/>
        <v>#N/A</v>
      </c>
      <c r="N36" s="26">
        <f t="shared" si="6"/>
        <v>-0.20250000000000018</v>
      </c>
      <c r="O36" s="26">
        <f t="shared" si="6"/>
        <v>-0.20250000000000018</v>
      </c>
      <c r="Q36" s="39">
        <v>-0.31123833042635912</v>
      </c>
      <c r="R36" s="40">
        <v>-0.85512028491517644</v>
      </c>
    </row>
    <row r="37" spans="2:18" x14ac:dyDescent="0.2">
      <c r="B37" s="26">
        <v>340</v>
      </c>
      <c r="C37" s="26">
        <f t="shared" si="2"/>
        <v>0.38057551141829293</v>
      </c>
      <c r="D37" s="26" t="e">
        <f t="shared" si="3"/>
        <v>#N/A</v>
      </c>
      <c r="E37" s="26" t="e">
        <f t="shared" si="6"/>
        <v>#N/A</v>
      </c>
      <c r="F37" s="26" t="e">
        <f t="shared" si="6"/>
        <v>#N/A</v>
      </c>
      <c r="G37" s="26" t="e">
        <f t="shared" si="6"/>
        <v>#N/A</v>
      </c>
      <c r="H37" s="26" t="e">
        <f t="shared" si="6"/>
        <v>#N/A</v>
      </c>
      <c r="I37" s="26" t="e">
        <f t="shared" si="6"/>
        <v>#N/A</v>
      </c>
      <c r="J37" s="26" t="e">
        <f t="shared" si="6"/>
        <v>#N/A</v>
      </c>
      <c r="K37" s="26" t="e">
        <f t="shared" si="6"/>
        <v>#N/A</v>
      </c>
      <c r="L37" s="26" t="e">
        <f t="shared" si="6"/>
        <v>#N/A</v>
      </c>
      <c r="M37" s="26" t="e">
        <f t="shared" si="6"/>
        <v>#N/A</v>
      </c>
      <c r="N37" s="26" t="e">
        <f t="shared" si="6"/>
        <v>#N/A</v>
      </c>
      <c r="O37" s="26">
        <f t="shared" si="6"/>
        <v>-0.1385181580468958</v>
      </c>
      <c r="Q37" s="39">
        <v>-0.15801984167690661</v>
      </c>
      <c r="R37" s="40">
        <v>-0.8961750552411093</v>
      </c>
    </row>
    <row r="38" spans="2:18" x14ac:dyDescent="0.2">
      <c r="B38" s="26">
        <v>350</v>
      </c>
      <c r="C38" s="26">
        <f t="shared" si="2"/>
        <v>0.39884713996994425</v>
      </c>
      <c r="D38" s="26" t="e">
        <f t="shared" si="3"/>
        <v>#N/A</v>
      </c>
      <c r="E38" s="26" t="e">
        <f t="shared" si="6"/>
        <v>#N/A</v>
      </c>
      <c r="F38" s="26" t="e">
        <f t="shared" si="6"/>
        <v>#N/A</v>
      </c>
      <c r="G38" s="26" t="e">
        <f t="shared" si="6"/>
        <v>#N/A</v>
      </c>
      <c r="H38" s="26" t="e">
        <f t="shared" si="6"/>
        <v>#N/A</v>
      </c>
      <c r="I38" s="26" t="e">
        <f t="shared" si="6"/>
        <v>#N/A</v>
      </c>
      <c r="J38" s="26" t="e">
        <f t="shared" si="6"/>
        <v>#N/A</v>
      </c>
      <c r="K38" s="26" t="e">
        <f t="shared" si="6"/>
        <v>#N/A</v>
      </c>
      <c r="L38" s="26" t="e">
        <f t="shared" si="6"/>
        <v>#N/A</v>
      </c>
      <c r="M38" s="26" t="e">
        <f t="shared" si="6"/>
        <v>#N/A</v>
      </c>
      <c r="N38" s="26" t="e">
        <f t="shared" si="6"/>
        <v>#N/A</v>
      </c>
      <c r="O38" s="26">
        <f t="shared" si="6"/>
        <v>-7.0327511955107169E-2</v>
      </c>
      <c r="Q38" s="41">
        <v>-1.6723276409502664E-16</v>
      </c>
      <c r="R38" s="42">
        <v>-0.91</v>
      </c>
    </row>
    <row r="39" spans="2:18" x14ac:dyDescent="0.2">
      <c r="B39" s="26">
        <v>360</v>
      </c>
      <c r="C39" s="26">
        <f t="shared" si="2"/>
        <v>0.40500000000000003</v>
      </c>
      <c r="D39" s="26" t="e">
        <f t="shared" si="3"/>
        <v>#N/A</v>
      </c>
      <c r="E39" s="26" t="e">
        <f t="shared" ref="E39:O39" si="7">IF(AND($B39&gt;=D$2,$B39&lt;=E$2),$A$5+$A$7*SIN($B39*PI()/180),#N/A)</f>
        <v>#N/A</v>
      </c>
      <c r="F39" s="26" t="e">
        <f t="shared" si="7"/>
        <v>#N/A</v>
      </c>
      <c r="G39" s="26" t="e">
        <f t="shared" si="7"/>
        <v>#N/A</v>
      </c>
      <c r="H39" s="26" t="e">
        <f t="shared" si="7"/>
        <v>#N/A</v>
      </c>
      <c r="I39" s="26" t="e">
        <f t="shared" si="7"/>
        <v>#N/A</v>
      </c>
      <c r="J39" s="26" t="e">
        <f t="shared" si="7"/>
        <v>#N/A</v>
      </c>
      <c r="K39" s="26" t="e">
        <f t="shared" si="7"/>
        <v>#N/A</v>
      </c>
      <c r="L39" s="26" t="e">
        <f t="shared" si="7"/>
        <v>#N/A</v>
      </c>
      <c r="M39" s="26" t="e">
        <f t="shared" si="7"/>
        <v>#N/A</v>
      </c>
      <c r="N39" s="26" t="e">
        <f t="shared" si="7"/>
        <v>#N/A</v>
      </c>
      <c r="O39" s="26">
        <f t="shared" si="7"/>
        <v>-9.9237024847598228E-17</v>
      </c>
      <c r="P39">
        <v>10</v>
      </c>
      <c r="Q39" s="37">
        <v>-1.3415375581249388E-16</v>
      </c>
      <c r="R39" s="38">
        <v>-0.73</v>
      </c>
    </row>
    <row r="40" spans="2:18" x14ac:dyDescent="0.2">
      <c r="Q40" s="39">
        <v>0.12676316969685889</v>
      </c>
      <c r="R40" s="40">
        <v>-0.71890965969891196</v>
      </c>
    </row>
    <row r="41" spans="2:18" x14ac:dyDescent="0.2">
      <c r="Q41" s="39">
        <v>0.24967470462773775</v>
      </c>
      <c r="R41" s="40">
        <v>-0.68597561317371325</v>
      </c>
    </row>
    <row r="42" spans="2:18" x14ac:dyDescent="0.2">
      <c r="Q42" s="41">
        <v>0.36500000000000005</v>
      </c>
      <c r="R42" s="42">
        <v>-0.63219854476264015</v>
      </c>
    </row>
    <row r="43" spans="2:18" x14ac:dyDescent="0.2">
      <c r="P43">
        <v>11</v>
      </c>
      <c r="Q43" s="37">
        <v>0.27500000000000008</v>
      </c>
      <c r="R43" s="38">
        <v>-0.47631397208144127</v>
      </c>
    </row>
    <row r="44" spans="2:18" x14ac:dyDescent="0.2">
      <c r="Q44" s="39">
        <v>0.35353318532759664</v>
      </c>
      <c r="R44" s="40">
        <v>-0.42132444371543798</v>
      </c>
    </row>
    <row r="45" spans="2:18" x14ac:dyDescent="0.2">
      <c r="Q45" s="39">
        <v>0.42132444371543781</v>
      </c>
      <c r="R45" s="40">
        <v>-0.35353318532759681</v>
      </c>
    </row>
    <row r="46" spans="2:18" x14ac:dyDescent="0.2">
      <c r="Q46" s="41">
        <v>0.47631397208144116</v>
      </c>
      <c r="R46" s="42">
        <v>-0.27500000000000024</v>
      </c>
    </row>
    <row r="47" spans="2:18" x14ac:dyDescent="0.2">
      <c r="P47">
        <v>12</v>
      </c>
      <c r="Q47" s="37">
        <v>0.3983716857408417</v>
      </c>
      <c r="R47" s="38">
        <v>-0.2300000000000002</v>
      </c>
    </row>
    <row r="48" spans="2:18" x14ac:dyDescent="0.2">
      <c r="Q48" s="39">
        <v>0.43225860556151791</v>
      </c>
      <c r="R48" s="40">
        <v>-0.15732926592980756</v>
      </c>
    </row>
    <row r="49" spans="17:18" x14ac:dyDescent="0.2">
      <c r="Q49" s="39">
        <v>0.45301156638561568</v>
      </c>
      <c r="R49" s="40">
        <v>-7.9878161726788396E-2</v>
      </c>
    </row>
    <row r="50" spans="17:18" x14ac:dyDescent="0.2">
      <c r="Q50" s="41">
        <v>0.46</v>
      </c>
      <c r="R50" s="42">
        <v>-1.1271365785159306E-16</v>
      </c>
    </row>
    <row r="51" spans="17:18" x14ac:dyDescent="0.2">
      <c r="Q51">
        <f>Q3</f>
        <v>0.53</v>
      </c>
      <c r="R51">
        <f>R3</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26"/>
  <sheetViews>
    <sheetView workbookViewId="0">
      <selection activeCell="B10" sqref="B10"/>
    </sheetView>
  </sheetViews>
  <sheetFormatPr defaultRowHeight="12.75" x14ac:dyDescent="0.2"/>
  <sheetData>
    <row r="2" spans="1:9" x14ac:dyDescent="0.2">
      <c r="B2" t="s">
        <v>72</v>
      </c>
      <c r="C2" t="s">
        <v>73</v>
      </c>
    </row>
    <row r="3" spans="1:9" ht="19.5" x14ac:dyDescent="0.3">
      <c r="A3" t="s">
        <v>60</v>
      </c>
      <c r="B3" s="31">
        <v>0</v>
      </c>
      <c r="C3" s="31">
        <v>0</v>
      </c>
      <c r="E3" t="s">
        <v>74</v>
      </c>
      <c r="F3" s="34">
        <v>1</v>
      </c>
      <c r="I3" s="35" t="s">
        <v>75</v>
      </c>
    </row>
    <row r="4" spans="1:9" ht="15.75" x14ac:dyDescent="0.25">
      <c r="B4" s="31">
        <v>0.53</v>
      </c>
      <c r="C4" s="31">
        <v>0</v>
      </c>
      <c r="F4" s="34">
        <v>1</v>
      </c>
      <c r="I4" s="36" t="s">
        <v>76</v>
      </c>
    </row>
    <row r="5" spans="1:9" x14ac:dyDescent="0.2">
      <c r="A5" t="s">
        <v>61</v>
      </c>
      <c r="B5" s="31">
        <v>0</v>
      </c>
      <c r="C5" s="31">
        <v>0</v>
      </c>
      <c r="F5" s="34">
        <v>1</v>
      </c>
    </row>
    <row r="6" spans="1:9" x14ac:dyDescent="0.2">
      <c r="B6" s="31">
        <v>0.47631397208144133</v>
      </c>
      <c r="C6" s="31">
        <v>0.27499999999999997</v>
      </c>
      <c r="F6" s="34">
        <v>1</v>
      </c>
    </row>
    <row r="7" spans="1:9" x14ac:dyDescent="0.2">
      <c r="A7" t="s">
        <v>62</v>
      </c>
      <c r="B7" s="31">
        <v>0</v>
      </c>
      <c r="C7" s="31">
        <v>0</v>
      </c>
      <c r="F7" s="34">
        <v>1</v>
      </c>
      <c r="I7" t="str">
        <f>CONCATENATE(I3,CHAR(10),I4)</f>
        <v>Diagram of the causes of Mortality
IN THE ARMY IN THE EAST.</v>
      </c>
    </row>
    <row r="8" spans="1:9" x14ac:dyDescent="0.2">
      <c r="B8" s="31">
        <v>0.20250000000000007</v>
      </c>
      <c r="C8" s="31">
        <v>0.35074028853269767</v>
      </c>
      <c r="F8" s="34">
        <v>1</v>
      </c>
    </row>
    <row r="9" spans="1:9" x14ac:dyDescent="0.2">
      <c r="A9" t="s">
        <v>63</v>
      </c>
      <c r="B9" s="31">
        <v>0</v>
      </c>
      <c r="C9" s="31">
        <v>0</v>
      </c>
      <c r="F9" s="34">
        <v>1</v>
      </c>
    </row>
    <row r="10" spans="1:9" x14ac:dyDescent="0.2">
      <c r="B10" s="31">
        <v>8.8823262980874948E-18</v>
      </c>
      <c r="C10" s="31">
        <v>0.14499999999999999</v>
      </c>
      <c r="F10" s="34">
        <v>1</v>
      </c>
    </row>
    <row r="11" spans="1:9" x14ac:dyDescent="0.2">
      <c r="A11" t="s">
        <v>64</v>
      </c>
      <c r="B11" s="31">
        <v>0</v>
      </c>
      <c r="C11" s="31">
        <v>0</v>
      </c>
      <c r="F11" s="34">
        <v>1</v>
      </c>
    </row>
    <row r="12" spans="1:9" x14ac:dyDescent="0.2">
      <c r="B12" s="31">
        <v>-8.4999999999999964E-2</v>
      </c>
      <c r="C12" s="31">
        <v>0.14722431864335458</v>
      </c>
      <c r="F12" s="34">
        <v>1</v>
      </c>
    </row>
    <row r="13" spans="1:9" x14ac:dyDescent="0.2">
      <c r="A13" t="s">
        <v>65</v>
      </c>
      <c r="B13" s="31">
        <v>0</v>
      </c>
      <c r="C13" s="31">
        <v>0</v>
      </c>
      <c r="F13" s="34">
        <v>1</v>
      </c>
    </row>
    <row r="14" spans="1:9" x14ac:dyDescent="0.2">
      <c r="B14" s="31">
        <v>-0.12990381056766581</v>
      </c>
      <c r="C14" s="31">
        <v>7.4999999999999983E-2</v>
      </c>
      <c r="F14" s="34">
        <v>1</v>
      </c>
    </row>
    <row r="15" spans="1:9" x14ac:dyDescent="0.2">
      <c r="A15" t="s">
        <v>66</v>
      </c>
      <c r="B15" s="31">
        <v>0</v>
      </c>
      <c r="C15" s="31">
        <v>0</v>
      </c>
    </row>
    <row r="16" spans="1:9" x14ac:dyDescent="0.2">
      <c r="B16" s="31">
        <v>-0.46</v>
      </c>
      <c r="C16" s="31">
        <v>5.6356828925796528E-17</v>
      </c>
    </row>
    <row r="17" spans="1:3" x14ac:dyDescent="0.2">
      <c r="A17" t="s">
        <v>67</v>
      </c>
      <c r="B17" s="31">
        <v>0</v>
      </c>
      <c r="C17" s="31">
        <v>0</v>
      </c>
    </row>
    <row r="18" spans="1:3" x14ac:dyDescent="0.2">
      <c r="B18" s="31">
        <v>-0.71014083110323956</v>
      </c>
      <c r="C18" s="31">
        <v>-0.41000000000000009</v>
      </c>
    </row>
    <row r="19" spans="1:3" x14ac:dyDescent="0.2">
      <c r="A19" t="s">
        <v>68</v>
      </c>
      <c r="B19" s="31">
        <v>0</v>
      </c>
      <c r="C19" s="31">
        <v>0</v>
      </c>
    </row>
    <row r="20" spans="1:3" x14ac:dyDescent="0.2">
      <c r="B20" s="31">
        <v>-0.4550000000000004</v>
      </c>
      <c r="C20" s="31">
        <v>-0.78808311744383897</v>
      </c>
    </row>
    <row r="21" spans="1:3" x14ac:dyDescent="0.2">
      <c r="A21" t="s">
        <v>69</v>
      </c>
      <c r="B21" s="31">
        <v>0</v>
      </c>
      <c r="C21" s="31">
        <v>0</v>
      </c>
    </row>
    <row r="22" spans="1:3" x14ac:dyDescent="0.2">
      <c r="B22" s="31">
        <v>-1.3415375581249388E-16</v>
      </c>
      <c r="C22" s="31">
        <v>-0.73</v>
      </c>
    </row>
    <row r="23" spans="1:3" x14ac:dyDescent="0.2">
      <c r="A23" t="s">
        <v>70</v>
      </c>
      <c r="B23" s="31">
        <v>0</v>
      </c>
      <c r="C23" s="31">
        <v>0</v>
      </c>
    </row>
    <row r="24" spans="1:3" x14ac:dyDescent="0.2">
      <c r="B24" s="31">
        <v>0.27500000000000008</v>
      </c>
      <c r="C24" s="31">
        <v>-0.47631397208144127</v>
      </c>
    </row>
    <row r="25" spans="1:3" x14ac:dyDescent="0.2">
      <c r="A25" t="s">
        <v>71</v>
      </c>
      <c r="B25" s="31">
        <v>0</v>
      </c>
      <c r="C25" s="31">
        <v>0</v>
      </c>
    </row>
    <row r="26" spans="1:3" x14ac:dyDescent="0.2">
      <c r="B26" s="31">
        <v>0.3983716857408417</v>
      </c>
      <c r="C26" s="31">
        <v>-0.2300000000000002</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Template</vt:lpstr>
      <vt:lpstr>Data</vt:lpstr>
      <vt:lpstr>Chart</vt:lpstr>
      <vt:lpstr>Circle Template</vt:lpstr>
      <vt:lpstr>Sector Template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 Datta</dc:creator>
  <cp:lastModifiedBy>Billy</cp:lastModifiedBy>
  <dcterms:created xsi:type="dcterms:W3CDTF">2012-01-07T03:07:52Z</dcterms:created>
  <dcterms:modified xsi:type="dcterms:W3CDTF">2016-05-05T19:09:17Z</dcterms:modified>
</cp:coreProperties>
</file>