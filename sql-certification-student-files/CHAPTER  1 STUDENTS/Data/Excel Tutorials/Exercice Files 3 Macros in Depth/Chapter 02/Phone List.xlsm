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2\"/>
    </mc:Choice>
  </mc:AlternateContent>
  <bookViews>
    <workbookView xWindow="-15" yWindow="4380" windowWidth="7680" windowHeight="4410" tabRatio="549"/>
  </bookViews>
  <sheets>
    <sheet name="Phone Numbers" sheetId="1" r:id="rId1"/>
    <sheet name="Sheet2" sheetId="11" r:id="rId2"/>
    <sheet name="Sheet3" sheetId="12" r:id="rId3"/>
  </sheets>
  <externalReferences>
    <externalReference r:id="rId4"/>
  </externalReferences>
  <definedNames>
    <definedName name="_xlnm.Recorder">#REF!</definedName>
    <definedName name="Status">'[1]Original List'!#REF!</definedName>
  </definedNames>
  <calcPr calcId="152511" iterate="1"/>
  <fileRecoveryPr repairLoad="1"/>
</workbook>
</file>

<file path=xl/calcChain.xml><?xml version="1.0" encoding="utf-8"?>
<calcChain xmlns="http://schemas.openxmlformats.org/spreadsheetml/2006/main">
  <c r="D40" i="12" l="1"/>
  <c r="D27" i="12"/>
  <c r="D31" i="12"/>
  <c r="D35" i="12"/>
  <c r="A38" i="12"/>
  <c r="A39" i="12"/>
  <c r="A37" i="12"/>
  <c r="F36" i="12"/>
  <c r="F35" i="12"/>
  <c r="A33" i="12"/>
  <c r="A34" i="12"/>
  <c r="A32" i="12"/>
  <c r="A29" i="12"/>
  <c r="A30" i="12"/>
  <c r="A28" i="12"/>
  <c r="A25" i="12"/>
  <c r="A26" i="12"/>
  <c r="A24" i="12"/>
  <c r="F26" i="12"/>
  <c r="F25" i="12"/>
  <c r="F24" i="12"/>
  <c r="F38" i="12" l="1"/>
</calcChain>
</file>

<file path=xl/sharedStrings.xml><?xml version="1.0" encoding="utf-8"?>
<sst xmlns="http://schemas.openxmlformats.org/spreadsheetml/2006/main" count="233" uniqueCount="179">
  <si>
    <t>Name</t>
  </si>
  <si>
    <t>Phone</t>
  </si>
  <si>
    <t>(505) 326-9450</t>
  </si>
  <si>
    <t>(918) 581-3797</t>
  </si>
  <si>
    <t>(303) 460-3742</t>
  </si>
  <si>
    <t>(303) 657-9011</t>
  </si>
  <si>
    <t>(312) 856-6331</t>
  </si>
  <si>
    <t>(312) 856-6295</t>
  </si>
  <si>
    <t>(312) 856-2568</t>
  </si>
  <si>
    <t>(303) 447-2323</t>
  </si>
  <si>
    <t>(303) 741-2284</t>
  </si>
  <si>
    <t>(510) 842-5252</t>
  </si>
  <si>
    <t>(303) 286-5883</t>
  </si>
  <si>
    <t>(303) 782-9648</t>
  </si>
  <si>
    <t>(303) 651-7853</t>
  </si>
  <si>
    <t>(303) 792-3112</t>
  </si>
  <si>
    <t>(303) 492-6226</t>
  </si>
  <si>
    <t>(303) 492-7264</t>
  </si>
  <si>
    <t>(212) 692-6400</t>
  </si>
  <si>
    <t>(303) 273-7112</t>
  </si>
  <si>
    <t>(303) 466-2400</t>
  </si>
  <si>
    <t>(303) 830-5869</t>
  </si>
  <si>
    <t>(312) 856-2843</t>
  </si>
  <si>
    <t>(303) 443-9597</t>
  </si>
  <si>
    <t>(312) 856-6499</t>
  </si>
  <si>
    <t>(303) 572-5993</t>
  </si>
  <si>
    <t>(303) 575-6206</t>
  </si>
  <si>
    <t>(303) 798-5393</t>
  </si>
  <si>
    <t>(708) 398-6736</t>
  </si>
  <si>
    <t>(303) 763-3687</t>
  </si>
  <si>
    <t>(303) 792-3111</t>
  </si>
  <si>
    <t>(800) 748-4838</t>
  </si>
  <si>
    <t>(415) 544-6000</t>
  </si>
  <si>
    <t>(303) 581-3111</t>
  </si>
  <si>
    <t>(303) 581-5943</t>
  </si>
  <si>
    <t>(303) 581-8119</t>
  </si>
  <si>
    <t>(303) 581-8320</t>
  </si>
  <si>
    <t>(800) 456-4677</t>
  </si>
  <si>
    <t>(716) 224-7521</t>
  </si>
  <si>
    <t>(303) 247-6805</t>
  </si>
  <si>
    <t>(316) 356-6992</t>
  </si>
  <si>
    <t>(316) 356-6978</t>
  </si>
  <si>
    <t>(303) 830-5181</t>
  </si>
  <si>
    <t>(303) 986-9899</t>
  </si>
  <si>
    <t>(619) 794-4300</t>
  </si>
  <si>
    <t>(312) 856-5235</t>
  </si>
  <si>
    <t>(312) 856-5109</t>
  </si>
  <si>
    <t>(619) 632-9190</t>
  </si>
  <si>
    <t>(513) 897-5253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</si>
  <si>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</si>
  <si>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</si>
  <si>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</si>
  <si>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</si>
  <si>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</si>
  <si>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</si>
  <si>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</si>
  <si>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</si>
  <si>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</si>
  <si>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</si>
  <si>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</si>
  <si>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</si>
  <si>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Dennis Taylor</t>
  </si>
  <si>
    <t>800/258-7246</t>
  </si>
  <si>
    <t>ADC</t>
  </si>
  <si>
    <t>Admin Training</t>
  </si>
  <si>
    <t>Audit Services</t>
  </si>
  <si>
    <t>Compliance</t>
  </si>
  <si>
    <t>Engineering/Maintenance</t>
  </si>
  <si>
    <t>Environmental Health/Safety</t>
  </si>
  <si>
    <t>Executive Education</t>
  </si>
  <si>
    <t>International Clinical Safety</t>
  </si>
  <si>
    <t>Logistics</t>
  </si>
  <si>
    <t>Manufacturing</t>
  </si>
  <si>
    <t>Operations</t>
  </si>
  <si>
    <t>Peptide Chemistry</t>
  </si>
  <si>
    <t>Pharmacokinetics</t>
  </si>
  <si>
    <t>Process Development</t>
  </si>
  <si>
    <t>Professional Training Group</t>
  </si>
  <si>
    <t>Project &amp; Contract Services</t>
  </si>
  <si>
    <t>Quality Assurance</t>
  </si>
  <si>
    <t>Quality Control</t>
  </si>
  <si>
    <t>Research/Development</t>
  </si>
  <si>
    <t>Department</t>
  </si>
  <si>
    <t>(505) 326-9448</t>
  </si>
  <si>
    <t>(505) 326-9449</t>
  </si>
  <si>
    <t>(303) 273-7113</t>
  </si>
  <si>
    <t>(303) 443-9598</t>
  </si>
  <si>
    <t>(800) 456-4678</t>
  </si>
  <si>
    <t>(800) 456-4679</t>
  </si>
  <si>
    <t>(316) 356-6993</t>
  </si>
  <si>
    <t>(316) 356-6994</t>
  </si>
  <si>
    <t>(316) 356-6995</t>
  </si>
  <si>
    <t>(316) 356-6996</t>
  </si>
  <si>
    <t>(316) 356-6997</t>
  </si>
  <si>
    <t>(316) 356-6998</t>
  </si>
  <si>
    <t>(303) 986-9900</t>
  </si>
  <si>
    <t>(303) 986-9901</t>
  </si>
  <si>
    <t>(619) 794-4296</t>
  </si>
  <si>
    <t>(619) 794-4297</t>
  </si>
  <si>
    <t>(619) 794-4298</t>
  </si>
  <si>
    <t>(619) 794-4299</t>
  </si>
  <si>
    <t>(619) 794-4301</t>
  </si>
  <si>
    <t>(619) 794-4302</t>
  </si>
  <si>
    <t>(619) 794-4303</t>
  </si>
  <si>
    <t>(619) 794-4304</t>
  </si>
  <si>
    <t>(312) 856-5110</t>
  </si>
  <si>
    <t>(312) 856-5111</t>
  </si>
  <si>
    <t xml:space="preserve">Zyzniewski, Jon </t>
  </si>
  <si>
    <t xml:space="preserve">Suppes, Beau </t>
  </si>
  <si>
    <t xml:space="preserve">Wagner, Melissa </t>
  </si>
  <si>
    <t xml:space="preserve">Burr, Helen </t>
  </si>
  <si>
    <t xml:space="preserve">Wilson, Lana </t>
  </si>
  <si>
    <t xml:space="preserve">Haar, Dave </t>
  </si>
  <si>
    <t xml:space="preserve">Frazee, John </t>
  </si>
  <si>
    <t xml:space="preserve">Hatfield, Sam </t>
  </si>
  <si>
    <t xml:space="preserve">Schiel, John </t>
  </si>
  <si>
    <t xml:space="preserve">Huckstein, Kathy </t>
  </si>
  <si>
    <t xml:space="preserve">Gibbs, Peggy </t>
  </si>
  <si>
    <t xml:space="preserve">Darling, Jim </t>
  </si>
  <si>
    <t xml:space="preserve">Peck, Brian </t>
  </si>
  <si>
    <t xml:space="preserve">Kendall, Joann </t>
  </si>
  <si>
    <t xml:space="preserve">Jackson, Nancy </t>
  </si>
  <si>
    <t xml:space="preserve">McCoy, Brian </t>
  </si>
  <si>
    <t xml:space="preserve">Houck, Nancy </t>
  </si>
  <si>
    <t xml:space="preserve">Shoenberger, Nita </t>
  </si>
  <si>
    <t xml:space="preserve">Wechel, Kathy </t>
  </si>
  <si>
    <t xml:space="preserve">Koch, Annette </t>
  </si>
  <si>
    <t xml:space="preserve">Wells, Ann </t>
  </si>
  <si>
    <t xml:space="preserve">Kuseski, Linda </t>
  </si>
  <si>
    <t xml:space="preserve">Lackner, Lisa </t>
  </si>
  <si>
    <t xml:space="preserve">Farnes, Terri </t>
  </si>
  <si>
    <t xml:space="preserve">Turner, Jerry </t>
  </si>
  <si>
    <t xml:space="preserve">Knaus, Linda </t>
  </si>
  <si>
    <t xml:space="preserve">Wood, Jim </t>
  </si>
  <si>
    <t xml:space="preserve">Cahn, Chris </t>
  </si>
  <si>
    <t xml:space="preserve">Freeman, Bonnie </t>
  </si>
  <si>
    <t xml:space="preserve">Puri, Marie </t>
  </si>
  <si>
    <t xml:space="preserve">Basso, Cathy </t>
  </si>
  <si>
    <t xml:space="preserve">Gregory, Bill </t>
  </si>
  <si>
    <t xml:space="preserve">Montgomery, Michelle </t>
  </si>
  <si>
    <t xml:space="preserve">Baker, Leslie </t>
  </si>
  <si>
    <t xml:space="preserve">McManus, Tim </t>
  </si>
  <si>
    <t xml:space="preserve">Jackson, Matt </t>
  </si>
  <si>
    <t xml:space="preserve">Shortt, Karol </t>
  </si>
  <si>
    <t xml:space="preserve">Hartman, Elinor </t>
  </si>
  <si>
    <t xml:space="preserve">McConnell, Michelle </t>
  </si>
  <si>
    <t xml:space="preserve">Moyers, Kathy </t>
  </si>
  <si>
    <t xml:space="preserve">MacLennan, Mike </t>
  </si>
  <si>
    <t xml:space="preserve">Clark, Susan </t>
  </si>
  <si>
    <t xml:space="preserve">Martin, Charles </t>
  </si>
  <si>
    <t xml:space="preserve">Kobus, Jim </t>
  </si>
  <si>
    <t xml:space="preserve">DePasse, Greggory </t>
  </si>
  <si>
    <t xml:space="preserve">Graczyk, David </t>
  </si>
  <si>
    <t xml:space="preserve">Hamilton, Neeta </t>
  </si>
  <si>
    <t xml:space="preserve">Weingarten, Sharon </t>
  </si>
  <si>
    <t xml:space="preserve">Perrotti, Vince </t>
  </si>
  <si>
    <t xml:space="preserve">Riley, Janice </t>
  </si>
  <si>
    <t xml:space="preserve">Johnson, Gail </t>
  </si>
  <si>
    <t xml:space="preserve">Poolet, Tom </t>
  </si>
  <si>
    <t xml:space="preserve">Kelly, Steve </t>
  </si>
  <si>
    <t xml:space="preserve">Bradshaw, Jill </t>
  </si>
  <si>
    <t xml:space="preserve">Stone, Karen </t>
  </si>
  <si>
    <t xml:space="preserve">Purvis, John </t>
  </si>
  <si>
    <t xml:space="preserve">Fink, Karla </t>
  </si>
  <si>
    <t xml:space="preserve">Trainer, Pam </t>
  </si>
  <si>
    <t xml:space="preserve">Benabe, Nancy </t>
  </si>
  <si>
    <t xml:space="preserve">Hall, Eric </t>
  </si>
  <si>
    <t xml:space="preserve">Shyer, Candice </t>
  </si>
  <si>
    <t xml:space="preserve">Petkovitch, Ila </t>
  </si>
  <si>
    <t xml:space="preserve">Woods, Gwen </t>
  </si>
  <si>
    <t xml:space="preserve">Powell, Jon </t>
  </si>
  <si>
    <t xml:space="preserve">Snyder, Ron </t>
  </si>
  <si>
    <t xml:space="preserve">Shilling, Kim </t>
  </si>
  <si>
    <t xml:space="preserve">Boston, Roger </t>
  </si>
  <si>
    <t xml:space="preserve">Olsen, Donna </t>
  </si>
  <si>
    <t xml:space="preserve">Larson, Karen </t>
  </si>
  <si>
    <t xml:space="preserve">Rezendes, Nancy </t>
  </si>
  <si>
    <t xml:space="preserve">Hytner, Sheryl </t>
  </si>
  <si>
    <t xml:space="preserve">Moore, Suzanne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</si>
</sst>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&lt;=9999999]###\-####;\(###\)\ ###\-####"/>
    <numFmt numFmtId="165" formatCode="_(* #,##0.0_);_(* \(#,##0.0\);_(* &quot;-&quot;??_);_(@_)"/>
    <numFmt numFmtId="166" formatCode="_(* #,##0_);_(* \(#,##0\);_(* &quot;-&quot;??_);_(@_)"/>
  </numFmts>
  <fonts count="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right"/>
    </xf>
    <xf numFmtId="166" fontId="0" fillId="0" borderId="0" xfId="1" applyNumberFormat="1" applyFont="1"/>
    <xf numFmtId="166" fontId="0" fillId="2" borderId="1" xfId="1" applyNumberFormat="1" applyFont="1" applyFill="1" applyBorder="1"/>
    <xf numFmtId="16" fontId="0" fillId="0" borderId="0" xfId="0" applyNumberFormat="1"/>
    <xf numFmtId="43" fontId="0" fillId="0" borderId="0" xfId="1" applyFont="1"/>
    <xf numFmtId="165" fontId="0" fillId="0" borderId="0" xfId="1" applyNumberFormat="1" applyFont="1"/>
    <xf numFmtId="43" fontId="0" fillId="0" borderId="0" xfId="0" applyNumberFormat="1"/>
    <xf numFmtId="0" fontId="3" fillId="0" borderId="0" xfId="0" applyFont="1" applyAlignment="1">
      <alignment wrapText="1"/>
    </xf>
    <xf numFmtId="0" fontId="3" fillId="0" borderId="0" xfId="0" applyFont="1" applyAlignment="1">
      <alignment horizontal="right" wrapText="1"/>
    </xf>
    <xf numFmtId="0" fontId="4" fillId="0" borderId="0" xfId="0" applyFont="1"/>
    <xf numFmtId="15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Protection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871739928916"/>
          <c:y val="6.1425061425061427E-2"/>
          <c:w val="0.73884009098607906"/>
          <c:h val="0.87960687960688044"/>
        </c:manualLayout>
      </c:layout>
      <c:areaChart>
        <c:grouping val="stacked"/>
        <c:varyColors val="0"/>
        <c:ser>
          <c:idx val="0"/>
          <c:order val="0"/>
          <c:tx>
            <c:strRef>
              <c:f>Sheet2!$A$1</c:f>
              <c:strCache>
                <c:ptCount val="1"/>
                <c:pt idx="0">
                  <c:v>Jan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Sheet2!$A$2:$A$22</c:f>
              <c:numCache>
                <c:formatCode>_(* #,##0_);_(* \(#,##0\);_(* "-"??_);_(@_)</c:formatCode>
                <c:ptCount val="21"/>
                <c:pt idx="0">
                  <c:v>861</c:v>
                </c:pt>
                <c:pt idx="1">
                  <c:v>260</c:v>
                </c:pt>
                <c:pt idx="2">
                  <c:v>384</c:v>
                </c:pt>
                <c:pt idx="3">
                  <c:v>217</c:v>
                </c:pt>
                <c:pt idx="4">
                  <c:v>813</c:v>
                </c:pt>
                <c:pt idx="5">
                  <c:v>916</c:v>
                </c:pt>
                <c:pt idx="6">
                  <c:v>789</c:v>
                </c:pt>
                <c:pt idx="7">
                  <c:v>803</c:v>
                </c:pt>
                <c:pt idx="8">
                  <c:v>851</c:v>
                </c:pt>
                <c:pt idx="9">
                  <c:v>141</c:v>
                </c:pt>
                <c:pt idx="10">
                  <c:v>467</c:v>
                </c:pt>
                <c:pt idx="11">
                  <c:v>101</c:v>
                </c:pt>
                <c:pt idx="12">
                  <c:v>660</c:v>
                </c:pt>
                <c:pt idx="13">
                  <c:v>922</c:v>
                </c:pt>
                <c:pt idx="14">
                  <c:v>640</c:v>
                </c:pt>
                <c:pt idx="15">
                  <c:v>681</c:v>
                </c:pt>
                <c:pt idx="16">
                  <c:v>689</c:v>
                </c:pt>
                <c:pt idx="17">
                  <c:v>543</c:v>
                </c:pt>
                <c:pt idx="18">
                  <c:v>467</c:v>
                </c:pt>
                <c:pt idx="19">
                  <c:v>125</c:v>
                </c:pt>
                <c:pt idx="20">
                  <c:v>456</c:v>
                </c:pt>
              </c:numCache>
            </c:numRef>
          </c:val>
        </c:ser>
        <c:ser>
          <c:idx val="1"/>
          <c:order val="1"/>
          <c:tx>
            <c:strRef>
              <c:f>Sheet2!$B$1</c:f>
              <c:strCache>
                <c:ptCount val="1"/>
                <c:pt idx="0">
                  <c:v>Feb</c:v>
                </c:pt>
              </c:strCache>
            </c:strRef>
          </c:tx>
          <c:spPr>
            <a:solidFill>
              <a:srgbClr val="80206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Sheet2!$B$2:$B$22</c:f>
              <c:numCache>
                <c:formatCode>_(* #,##0_);_(* \(#,##0\);_(* "-"??_);_(@_)</c:formatCode>
                <c:ptCount val="21"/>
                <c:pt idx="0">
                  <c:v>332</c:v>
                </c:pt>
                <c:pt idx="1">
                  <c:v>924</c:v>
                </c:pt>
                <c:pt idx="2">
                  <c:v>965</c:v>
                </c:pt>
                <c:pt idx="3">
                  <c:v>981</c:v>
                </c:pt>
                <c:pt idx="4">
                  <c:v>409</c:v>
                </c:pt>
                <c:pt idx="5">
                  <c:v>803</c:v>
                </c:pt>
                <c:pt idx="6">
                  <c:v>923</c:v>
                </c:pt>
                <c:pt idx="7">
                  <c:v>734</c:v>
                </c:pt>
                <c:pt idx="8">
                  <c:v>166</c:v>
                </c:pt>
                <c:pt idx="9">
                  <c:v>432</c:v>
                </c:pt>
                <c:pt idx="10">
                  <c:v>108</c:v>
                </c:pt>
                <c:pt idx="11">
                  <c:v>295</c:v>
                </c:pt>
                <c:pt idx="12">
                  <c:v>864</c:v>
                </c:pt>
                <c:pt idx="13">
                  <c:v>249</c:v>
                </c:pt>
                <c:pt idx="14">
                  <c:v>575</c:v>
                </c:pt>
                <c:pt idx="15">
                  <c:v>137</c:v>
                </c:pt>
                <c:pt idx="16">
                  <c:v>316</c:v>
                </c:pt>
                <c:pt idx="17">
                  <c:v>161</c:v>
                </c:pt>
                <c:pt idx="18">
                  <c:v>299</c:v>
                </c:pt>
                <c:pt idx="19">
                  <c:v>501</c:v>
                </c:pt>
                <c:pt idx="20">
                  <c:v>818</c:v>
                </c:pt>
              </c:numCache>
            </c:numRef>
          </c:val>
        </c:ser>
        <c:ser>
          <c:idx val="2"/>
          <c:order val="2"/>
          <c:tx>
            <c:strRef>
              <c:f>Sheet2!$C$1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Sheet2!$C$2:$C$22</c:f>
              <c:numCache>
                <c:formatCode>_(* #,##0_);_(* \(#,##0\);_(* "-"??_);_(@_)</c:formatCode>
                <c:ptCount val="21"/>
                <c:pt idx="0">
                  <c:v>906</c:v>
                </c:pt>
                <c:pt idx="1">
                  <c:v>239</c:v>
                </c:pt>
                <c:pt idx="2">
                  <c:v>807</c:v>
                </c:pt>
                <c:pt idx="3">
                  <c:v>310</c:v>
                </c:pt>
                <c:pt idx="4">
                  <c:v>921</c:v>
                </c:pt>
                <c:pt idx="5">
                  <c:v>371</c:v>
                </c:pt>
                <c:pt idx="6">
                  <c:v>876</c:v>
                </c:pt>
                <c:pt idx="7">
                  <c:v>551</c:v>
                </c:pt>
                <c:pt idx="8">
                  <c:v>466</c:v>
                </c:pt>
                <c:pt idx="9">
                  <c:v>155</c:v>
                </c:pt>
                <c:pt idx="10">
                  <c:v>354</c:v>
                </c:pt>
                <c:pt idx="11">
                  <c:v>775</c:v>
                </c:pt>
                <c:pt idx="12">
                  <c:v>936</c:v>
                </c:pt>
                <c:pt idx="13">
                  <c:v>789</c:v>
                </c:pt>
                <c:pt idx="14">
                  <c:v>967</c:v>
                </c:pt>
                <c:pt idx="15">
                  <c:v>283</c:v>
                </c:pt>
                <c:pt idx="16">
                  <c:v>583</c:v>
                </c:pt>
                <c:pt idx="17">
                  <c:v>901</c:v>
                </c:pt>
                <c:pt idx="18">
                  <c:v>229</c:v>
                </c:pt>
                <c:pt idx="19">
                  <c:v>754</c:v>
                </c:pt>
                <c:pt idx="20">
                  <c:v>698</c:v>
                </c:pt>
              </c:numCache>
            </c:numRef>
          </c:val>
        </c:ser>
        <c:ser>
          <c:idx val="3"/>
          <c:order val="3"/>
          <c:tx>
            <c:strRef>
              <c:f>Sheet2!$D$1</c:f>
              <c:strCache>
                <c:ptCount val="1"/>
                <c:pt idx="0">
                  <c:v>Apr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Sheet2!$D$2:$D$22</c:f>
              <c:numCache>
                <c:formatCode>_(* #,##0_);_(* \(#,##0\);_(* "-"??_);_(@_)</c:formatCode>
                <c:ptCount val="21"/>
                <c:pt idx="0">
                  <c:v>505</c:v>
                </c:pt>
                <c:pt idx="1">
                  <c:v>725</c:v>
                </c:pt>
                <c:pt idx="2">
                  <c:v>454</c:v>
                </c:pt>
                <c:pt idx="3">
                  <c:v>314</c:v>
                </c:pt>
                <c:pt idx="4">
                  <c:v>851</c:v>
                </c:pt>
                <c:pt idx="5">
                  <c:v>799</c:v>
                </c:pt>
                <c:pt idx="6">
                  <c:v>908</c:v>
                </c:pt>
                <c:pt idx="7">
                  <c:v>486</c:v>
                </c:pt>
                <c:pt idx="8">
                  <c:v>281</c:v>
                </c:pt>
                <c:pt idx="9">
                  <c:v>867</c:v>
                </c:pt>
                <c:pt idx="10">
                  <c:v>160</c:v>
                </c:pt>
                <c:pt idx="11">
                  <c:v>975</c:v>
                </c:pt>
                <c:pt idx="12">
                  <c:v>790</c:v>
                </c:pt>
                <c:pt idx="13">
                  <c:v>129</c:v>
                </c:pt>
                <c:pt idx="14">
                  <c:v>463</c:v>
                </c:pt>
                <c:pt idx="15">
                  <c:v>415</c:v>
                </c:pt>
                <c:pt idx="16">
                  <c:v>869</c:v>
                </c:pt>
                <c:pt idx="17">
                  <c:v>821</c:v>
                </c:pt>
                <c:pt idx="18">
                  <c:v>462</c:v>
                </c:pt>
                <c:pt idx="19">
                  <c:v>242</c:v>
                </c:pt>
                <c:pt idx="20">
                  <c:v>751</c:v>
                </c:pt>
              </c:numCache>
            </c:numRef>
          </c:val>
        </c:ser>
        <c:ser>
          <c:idx val="4"/>
          <c:order val="4"/>
          <c:tx>
            <c:strRef>
              <c:f>Sheet2!$E$1</c:f>
              <c:strCache>
                <c:ptCount val="1"/>
                <c:pt idx="0">
                  <c:v>May</c:v>
                </c:pt>
              </c:strCache>
            </c:strRef>
          </c:tx>
          <c:spPr>
            <a:solidFill>
              <a:srgbClr val="60008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Sheet2!$E$2:$E$22</c:f>
              <c:numCache>
                <c:formatCode>_(* #,##0_);_(* \(#,##0\);_(* "-"??_);_(@_)</c:formatCode>
                <c:ptCount val="21"/>
                <c:pt idx="0">
                  <c:v>268</c:v>
                </c:pt>
                <c:pt idx="1">
                  <c:v>188</c:v>
                </c:pt>
                <c:pt idx="2">
                  <c:v>237</c:v>
                </c:pt>
                <c:pt idx="3">
                  <c:v>981</c:v>
                </c:pt>
                <c:pt idx="4">
                  <c:v>241</c:v>
                </c:pt>
                <c:pt idx="5">
                  <c:v>832</c:v>
                </c:pt>
                <c:pt idx="6">
                  <c:v>612</c:v>
                </c:pt>
                <c:pt idx="7">
                  <c:v>415</c:v>
                </c:pt>
                <c:pt idx="8">
                  <c:v>867</c:v>
                </c:pt>
                <c:pt idx="9">
                  <c:v>434</c:v>
                </c:pt>
                <c:pt idx="10">
                  <c:v>484</c:v>
                </c:pt>
                <c:pt idx="11">
                  <c:v>472</c:v>
                </c:pt>
                <c:pt idx="12">
                  <c:v>964</c:v>
                </c:pt>
                <c:pt idx="13">
                  <c:v>490</c:v>
                </c:pt>
                <c:pt idx="14">
                  <c:v>259</c:v>
                </c:pt>
                <c:pt idx="15">
                  <c:v>194</c:v>
                </c:pt>
                <c:pt idx="16">
                  <c:v>375</c:v>
                </c:pt>
                <c:pt idx="17">
                  <c:v>957</c:v>
                </c:pt>
                <c:pt idx="18">
                  <c:v>561</c:v>
                </c:pt>
                <c:pt idx="19">
                  <c:v>453</c:v>
                </c:pt>
                <c:pt idx="20">
                  <c:v>878</c:v>
                </c:pt>
              </c:numCache>
            </c:numRef>
          </c:val>
        </c:ser>
        <c:ser>
          <c:idx val="5"/>
          <c:order val="5"/>
          <c:tx>
            <c:strRef>
              <c:f>Sheet2!$F$1</c:f>
              <c:strCache>
                <c:ptCount val="1"/>
                <c:pt idx="0">
                  <c:v>Jun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Sheet2!$F$2:$F$22</c:f>
              <c:numCache>
                <c:formatCode>_(* #,##0_);_(* \(#,##0\);_(* "-"??_);_(@_)</c:formatCode>
                <c:ptCount val="21"/>
                <c:pt idx="0">
                  <c:v>199</c:v>
                </c:pt>
                <c:pt idx="1">
                  <c:v>379</c:v>
                </c:pt>
                <c:pt idx="2">
                  <c:v>103</c:v>
                </c:pt>
                <c:pt idx="3">
                  <c:v>584</c:v>
                </c:pt>
                <c:pt idx="4">
                  <c:v>137</c:v>
                </c:pt>
                <c:pt idx="5">
                  <c:v>730</c:v>
                </c:pt>
                <c:pt idx="6">
                  <c:v>754</c:v>
                </c:pt>
                <c:pt idx="7">
                  <c:v>758</c:v>
                </c:pt>
                <c:pt idx="8">
                  <c:v>769</c:v>
                </c:pt>
                <c:pt idx="9">
                  <c:v>964</c:v>
                </c:pt>
                <c:pt idx="10">
                  <c:v>306</c:v>
                </c:pt>
                <c:pt idx="11">
                  <c:v>628</c:v>
                </c:pt>
                <c:pt idx="12">
                  <c:v>225</c:v>
                </c:pt>
                <c:pt idx="13">
                  <c:v>582</c:v>
                </c:pt>
                <c:pt idx="14">
                  <c:v>579</c:v>
                </c:pt>
                <c:pt idx="15">
                  <c:v>998</c:v>
                </c:pt>
                <c:pt idx="16">
                  <c:v>591</c:v>
                </c:pt>
                <c:pt idx="17">
                  <c:v>814</c:v>
                </c:pt>
                <c:pt idx="18">
                  <c:v>359</c:v>
                </c:pt>
                <c:pt idx="19">
                  <c:v>672</c:v>
                </c:pt>
                <c:pt idx="20">
                  <c:v>674</c:v>
                </c:pt>
              </c:numCache>
            </c:numRef>
          </c:val>
        </c:ser>
        <c:ser>
          <c:idx val="6"/>
          <c:order val="6"/>
          <c:tx>
            <c:strRef>
              <c:f>Sheet2!$G$1</c:f>
              <c:strCache>
                <c:ptCount val="1"/>
                <c:pt idx="0">
                  <c:v>Jul</c:v>
                </c:pt>
              </c:strCache>
            </c:strRef>
          </c:tx>
          <c:spPr>
            <a:solidFill>
              <a:srgbClr val="0080C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Sheet2!$G$2:$G$22</c:f>
              <c:numCache>
                <c:formatCode>_(* #,##0_);_(* \(#,##0\);_(* "-"??_);_(@_)</c:formatCode>
                <c:ptCount val="21"/>
                <c:pt idx="0">
                  <c:v>370</c:v>
                </c:pt>
                <c:pt idx="1">
                  <c:v>168</c:v>
                </c:pt>
                <c:pt idx="2">
                  <c:v>287</c:v>
                </c:pt>
                <c:pt idx="3">
                  <c:v>891</c:v>
                </c:pt>
                <c:pt idx="4">
                  <c:v>550</c:v>
                </c:pt>
                <c:pt idx="5">
                  <c:v>693</c:v>
                </c:pt>
                <c:pt idx="6">
                  <c:v>853</c:v>
                </c:pt>
                <c:pt idx="7">
                  <c:v>180</c:v>
                </c:pt>
                <c:pt idx="8">
                  <c:v>425</c:v>
                </c:pt>
                <c:pt idx="9">
                  <c:v>773</c:v>
                </c:pt>
                <c:pt idx="10">
                  <c:v>244</c:v>
                </c:pt>
                <c:pt idx="11">
                  <c:v>903</c:v>
                </c:pt>
                <c:pt idx="12">
                  <c:v>630</c:v>
                </c:pt>
                <c:pt idx="13">
                  <c:v>963</c:v>
                </c:pt>
                <c:pt idx="14">
                  <c:v>692</c:v>
                </c:pt>
                <c:pt idx="15">
                  <c:v>115</c:v>
                </c:pt>
                <c:pt idx="16">
                  <c:v>787</c:v>
                </c:pt>
                <c:pt idx="17">
                  <c:v>563</c:v>
                </c:pt>
                <c:pt idx="18">
                  <c:v>909</c:v>
                </c:pt>
                <c:pt idx="19">
                  <c:v>871</c:v>
                </c:pt>
                <c:pt idx="20">
                  <c:v>762</c:v>
                </c:pt>
              </c:numCache>
            </c:numRef>
          </c:val>
        </c:ser>
        <c:ser>
          <c:idx val="7"/>
          <c:order val="7"/>
          <c:tx>
            <c:strRef>
              <c:f>Sheet2!$H$1</c:f>
              <c:strCache>
                <c:ptCount val="1"/>
                <c:pt idx="0">
                  <c:v>Aug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Sheet2!$H$2:$H$22</c:f>
              <c:numCache>
                <c:formatCode>_(* #,##0_);_(* \(#,##0\);_(* "-"??_);_(@_)</c:formatCode>
                <c:ptCount val="21"/>
                <c:pt idx="0">
                  <c:v>742</c:v>
                </c:pt>
                <c:pt idx="1">
                  <c:v>193</c:v>
                </c:pt>
                <c:pt idx="2">
                  <c:v>502</c:v>
                </c:pt>
                <c:pt idx="3">
                  <c:v>912</c:v>
                </c:pt>
                <c:pt idx="4">
                  <c:v>902</c:v>
                </c:pt>
                <c:pt idx="5">
                  <c:v>914</c:v>
                </c:pt>
                <c:pt idx="6">
                  <c:v>326</c:v>
                </c:pt>
                <c:pt idx="7">
                  <c:v>626</c:v>
                </c:pt>
                <c:pt idx="8">
                  <c:v>987</c:v>
                </c:pt>
                <c:pt idx="9">
                  <c:v>680</c:v>
                </c:pt>
                <c:pt idx="10">
                  <c:v>906</c:v>
                </c:pt>
                <c:pt idx="11">
                  <c:v>464</c:v>
                </c:pt>
                <c:pt idx="12">
                  <c:v>131</c:v>
                </c:pt>
                <c:pt idx="13">
                  <c:v>847</c:v>
                </c:pt>
                <c:pt idx="14">
                  <c:v>629</c:v>
                </c:pt>
                <c:pt idx="15">
                  <c:v>157</c:v>
                </c:pt>
                <c:pt idx="16">
                  <c:v>740</c:v>
                </c:pt>
                <c:pt idx="17">
                  <c:v>217</c:v>
                </c:pt>
                <c:pt idx="18">
                  <c:v>843</c:v>
                </c:pt>
                <c:pt idx="19">
                  <c:v>968</c:v>
                </c:pt>
                <c:pt idx="20">
                  <c:v>735</c:v>
                </c:pt>
              </c:numCache>
            </c:numRef>
          </c:val>
        </c:ser>
        <c:ser>
          <c:idx val="8"/>
          <c:order val="8"/>
          <c:tx>
            <c:strRef>
              <c:f>Sheet2!$I$1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Sheet2!$I$2:$I$22</c:f>
              <c:numCache>
                <c:formatCode>_(* #,##0_);_(* \(#,##0\);_(* "-"??_);_(@_)</c:formatCode>
                <c:ptCount val="21"/>
                <c:pt idx="0">
                  <c:v>139</c:v>
                </c:pt>
                <c:pt idx="1">
                  <c:v>971</c:v>
                </c:pt>
                <c:pt idx="2">
                  <c:v>685</c:v>
                </c:pt>
                <c:pt idx="3">
                  <c:v>358</c:v>
                </c:pt>
                <c:pt idx="4">
                  <c:v>597</c:v>
                </c:pt>
                <c:pt idx="5">
                  <c:v>971</c:v>
                </c:pt>
                <c:pt idx="6">
                  <c:v>416</c:v>
                </c:pt>
                <c:pt idx="7">
                  <c:v>818</c:v>
                </c:pt>
                <c:pt idx="8">
                  <c:v>979</c:v>
                </c:pt>
                <c:pt idx="9">
                  <c:v>213</c:v>
                </c:pt>
                <c:pt idx="10">
                  <c:v>717</c:v>
                </c:pt>
                <c:pt idx="11">
                  <c:v>106</c:v>
                </c:pt>
                <c:pt idx="12">
                  <c:v>716</c:v>
                </c:pt>
                <c:pt idx="13">
                  <c:v>806</c:v>
                </c:pt>
                <c:pt idx="14">
                  <c:v>230</c:v>
                </c:pt>
                <c:pt idx="15">
                  <c:v>224</c:v>
                </c:pt>
                <c:pt idx="16">
                  <c:v>609</c:v>
                </c:pt>
                <c:pt idx="17">
                  <c:v>896</c:v>
                </c:pt>
                <c:pt idx="18">
                  <c:v>894</c:v>
                </c:pt>
                <c:pt idx="19">
                  <c:v>158</c:v>
                </c:pt>
                <c:pt idx="20">
                  <c:v>653</c:v>
                </c:pt>
              </c:numCache>
            </c:numRef>
          </c:val>
        </c:ser>
        <c:ser>
          <c:idx val="9"/>
          <c:order val="9"/>
          <c:tx>
            <c:strRef>
              <c:f>Sheet2!$J$1</c:f>
              <c:strCache>
                <c:ptCount val="1"/>
                <c:pt idx="0">
                  <c:v>Oct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Sheet2!$J$2:$J$22</c:f>
              <c:numCache>
                <c:formatCode>_(* #,##0_);_(* \(#,##0\);_(* "-"??_);_(@_)</c:formatCode>
                <c:ptCount val="21"/>
                <c:pt idx="0">
                  <c:v>709</c:v>
                </c:pt>
                <c:pt idx="1">
                  <c:v>488</c:v>
                </c:pt>
                <c:pt idx="2">
                  <c:v>855</c:v>
                </c:pt>
                <c:pt idx="3">
                  <c:v>814</c:v>
                </c:pt>
                <c:pt idx="4">
                  <c:v>209</c:v>
                </c:pt>
                <c:pt idx="5">
                  <c:v>108</c:v>
                </c:pt>
                <c:pt idx="6">
                  <c:v>972</c:v>
                </c:pt>
                <c:pt idx="7">
                  <c:v>211</c:v>
                </c:pt>
                <c:pt idx="8">
                  <c:v>744</c:v>
                </c:pt>
                <c:pt idx="9">
                  <c:v>902</c:v>
                </c:pt>
                <c:pt idx="10">
                  <c:v>844</c:v>
                </c:pt>
                <c:pt idx="11">
                  <c:v>629</c:v>
                </c:pt>
                <c:pt idx="12">
                  <c:v>140</c:v>
                </c:pt>
                <c:pt idx="13">
                  <c:v>409</c:v>
                </c:pt>
                <c:pt idx="14">
                  <c:v>935</c:v>
                </c:pt>
                <c:pt idx="15">
                  <c:v>883</c:v>
                </c:pt>
                <c:pt idx="16">
                  <c:v>453</c:v>
                </c:pt>
                <c:pt idx="17">
                  <c:v>179</c:v>
                </c:pt>
                <c:pt idx="18">
                  <c:v>610</c:v>
                </c:pt>
                <c:pt idx="19">
                  <c:v>331</c:v>
                </c:pt>
                <c:pt idx="20">
                  <c:v>938</c:v>
                </c:pt>
              </c:numCache>
            </c:numRef>
          </c:val>
        </c:ser>
        <c:ser>
          <c:idx val="10"/>
          <c:order val="10"/>
          <c:tx>
            <c:strRef>
              <c:f>Sheet2!$K$1</c:f>
              <c:strCache>
                <c:ptCount val="1"/>
                <c:pt idx="0">
                  <c:v>Nov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Sheet2!$K$2:$K$22</c:f>
              <c:numCache>
                <c:formatCode>_(* #,##0_);_(* \(#,##0\);_(* "-"??_);_(@_)</c:formatCode>
                <c:ptCount val="21"/>
                <c:pt idx="0">
                  <c:v>612</c:v>
                </c:pt>
                <c:pt idx="1">
                  <c:v>983</c:v>
                </c:pt>
                <c:pt idx="2">
                  <c:v>135</c:v>
                </c:pt>
                <c:pt idx="3">
                  <c:v>612</c:v>
                </c:pt>
                <c:pt idx="4">
                  <c:v>549</c:v>
                </c:pt>
                <c:pt idx="5">
                  <c:v>491</c:v>
                </c:pt>
                <c:pt idx="6">
                  <c:v>524</c:v>
                </c:pt>
                <c:pt idx="7">
                  <c:v>736</c:v>
                </c:pt>
                <c:pt idx="8">
                  <c:v>236</c:v>
                </c:pt>
                <c:pt idx="9">
                  <c:v>104</c:v>
                </c:pt>
                <c:pt idx="10">
                  <c:v>571</c:v>
                </c:pt>
                <c:pt idx="11">
                  <c:v>426</c:v>
                </c:pt>
                <c:pt idx="12">
                  <c:v>881</c:v>
                </c:pt>
                <c:pt idx="13">
                  <c:v>280</c:v>
                </c:pt>
                <c:pt idx="14">
                  <c:v>169</c:v>
                </c:pt>
                <c:pt idx="15">
                  <c:v>209</c:v>
                </c:pt>
                <c:pt idx="16">
                  <c:v>779</c:v>
                </c:pt>
                <c:pt idx="17">
                  <c:v>170</c:v>
                </c:pt>
                <c:pt idx="18">
                  <c:v>800</c:v>
                </c:pt>
                <c:pt idx="19">
                  <c:v>672</c:v>
                </c:pt>
                <c:pt idx="20">
                  <c:v>730</c:v>
                </c:pt>
              </c:numCache>
            </c:numRef>
          </c:val>
        </c:ser>
        <c:ser>
          <c:idx val="11"/>
          <c:order val="11"/>
          <c:tx>
            <c:strRef>
              <c:f>Sheet2!$L$1</c:f>
              <c:strCache>
                <c:ptCount val="1"/>
                <c:pt idx="0">
                  <c:v>Dec</c:v>
                </c:pt>
              </c:strCache>
            </c:strRef>
          </c:tx>
          <c:spPr>
            <a:solidFill>
              <a:srgbClr val="00FF0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Sheet2!$L$2:$L$22</c:f>
              <c:numCache>
                <c:formatCode>_(* #,##0_);_(* \(#,##0\);_(* "-"??_);_(@_)</c:formatCode>
                <c:ptCount val="21"/>
                <c:pt idx="0">
                  <c:v>715</c:v>
                </c:pt>
                <c:pt idx="1">
                  <c:v>126</c:v>
                </c:pt>
                <c:pt idx="2">
                  <c:v>520</c:v>
                </c:pt>
                <c:pt idx="3">
                  <c:v>666</c:v>
                </c:pt>
                <c:pt idx="4">
                  <c:v>412</c:v>
                </c:pt>
                <c:pt idx="5">
                  <c:v>479</c:v>
                </c:pt>
                <c:pt idx="6">
                  <c:v>203</c:v>
                </c:pt>
                <c:pt idx="7">
                  <c:v>733</c:v>
                </c:pt>
                <c:pt idx="8">
                  <c:v>884</c:v>
                </c:pt>
                <c:pt idx="9">
                  <c:v>333</c:v>
                </c:pt>
                <c:pt idx="10">
                  <c:v>615</c:v>
                </c:pt>
                <c:pt idx="11">
                  <c:v>147</c:v>
                </c:pt>
                <c:pt idx="12">
                  <c:v>818</c:v>
                </c:pt>
                <c:pt idx="13">
                  <c:v>143</c:v>
                </c:pt>
                <c:pt idx="14">
                  <c:v>924</c:v>
                </c:pt>
                <c:pt idx="15">
                  <c:v>552</c:v>
                </c:pt>
                <c:pt idx="16">
                  <c:v>989</c:v>
                </c:pt>
                <c:pt idx="17">
                  <c:v>452</c:v>
                </c:pt>
                <c:pt idx="18">
                  <c:v>246</c:v>
                </c:pt>
                <c:pt idx="19">
                  <c:v>808</c:v>
                </c:pt>
                <c:pt idx="20">
                  <c:v>662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782280"/>
        <c:axId val="258180912"/>
      </c:areaChart>
      <c:catAx>
        <c:axId val="306782280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58180912"/>
        <c:crosses val="autoZero"/>
        <c:auto val="1"/>
        <c:lblAlgn val="ctr"/>
        <c:lblOffset val="100"/>
        <c:tickMarkSkip val="1"/>
        <c:noMultiLvlLbl val="0"/>
      </c:catAx>
      <c:valAx>
        <c:axId val="258180912"/>
        <c:scaling>
          <c:orientation val="minMax"/>
          <c:max val="9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6782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9732240657523732"/>
          <c:y val="0.22113022113022121"/>
          <c:w val="8.4821521019549845E-2"/>
          <c:h val="0.562653562653563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276225</xdr:rowOff>
    </xdr:to>
    <xdr:sp macro="[0]!SortByName" textlink="">
      <xdr:nvSpPr>
        <xdr:cNvPr id="2052" name="AutoShape 4"/>
        <xdr:cNvSpPr>
          <a:spLocks noChangeArrowheads="1"/>
        </xdr:cNvSpPr>
      </xdr:nvSpPr>
      <xdr:spPr bwMode="auto">
        <a:xfrm>
          <a:off x="0" y="0"/>
          <a:ext cx="1266825" cy="276225"/>
        </a:xfrm>
        <a:prstGeom prst="roundRect">
          <a:avLst>
            <a:gd name="adj" fmla="val 16667"/>
          </a:avLst>
        </a:prstGeom>
        <a:solidFill>
          <a:srgbClr val="FF0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00"/>
              </a:solidFill>
              <a:latin typeface="Arial"/>
              <a:cs typeface="Arial"/>
            </a:rPr>
            <a:t>Sort by Name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0</xdr:colOff>
      <xdr:row>0</xdr:row>
      <xdr:rowOff>269329</xdr:rowOff>
    </xdr:to>
    <xdr:sp macro="[0]!SortByDepartment" textlink="">
      <xdr:nvSpPr>
        <xdr:cNvPr id="3" name="AutoShape 4"/>
        <xdr:cNvSpPr>
          <a:spLocks noChangeArrowheads="1"/>
        </xdr:cNvSpPr>
      </xdr:nvSpPr>
      <xdr:spPr bwMode="auto">
        <a:xfrm>
          <a:off x="1267810" y="0"/>
          <a:ext cx="2220311" cy="269329"/>
        </a:xfrm>
        <a:prstGeom prst="roundRect">
          <a:avLst>
            <a:gd name="adj" fmla="val 16667"/>
          </a:avLst>
        </a:prstGeom>
        <a:solidFill>
          <a:srgbClr val="00B05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00"/>
              </a:solidFill>
              <a:latin typeface="Arial"/>
              <a:cs typeface="Arial"/>
            </a:rPr>
            <a:t>Sort by Department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ExcelClassFiles\Macros\FilesforMacroClass\SalesLis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iginal-Backup"/>
      <sheetName val="Original List"/>
      <sheetName val="Eastern-High"/>
      <sheetName val="Western-High"/>
      <sheetName val="Sheet2"/>
      <sheetName val="Sheet3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3"/>
  <sheetViews>
    <sheetView tabSelected="1" zoomScale="130" zoomScaleNormal="130" workbookViewId="0">
      <pane ySplit="1" topLeftCell="A2" activePane="bottomLeft" state="frozen"/>
      <selection pane="bottomLeft" activeCell="A2" sqref="A2"/>
    </sheetView>
  </sheetViews>
  <sheetFormatPr defaultRowHeight="12.75" x14ac:dyDescent="0.2"/>
  <cols>
    <col min="1" max="1" width="18.42578125" style="10" bestFit="1" customWidth="1"/>
    <col min="2" max="2" width="23.85546875" style="10" bestFit="1" customWidth="1"/>
    <col min="3" max="3" width="13.42578125" style="13" bestFit="1" customWidth="1"/>
    <col min="4" max="4" width="11.28515625" style="10" customWidth="1"/>
    <col min="5" max="16384" width="9.140625" style="10"/>
  </cols>
  <sheetData>
    <row r="1" spans="1:3" ht="44.25" customHeight="1" x14ac:dyDescent="0.2">
      <c r="A1" s="8" t="s">
        <v>0</v>
      </c>
      <c r="B1" s="8" t="s">
        <v>82</v>
      </c>
      <c r="C1" s="9" t="s">
        <v>1</v>
      </c>
    </row>
    <row r="2" spans="1:3" x14ac:dyDescent="0.2">
      <c r="A2" s="10" t="s">
        <v>140</v>
      </c>
      <c r="B2" s="14" t="s">
        <v>64</v>
      </c>
      <c r="C2" s="12" t="s">
        <v>22</v>
      </c>
    </row>
    <row r="3" spans="1:3" x14ac:dyDescent="0.2">
      <c r="A3" s="10" t="s">
        <v>137</v>
      </c>
      <c r="B3" s="14" t="s">
        <v>71</v>
      </c>
      <c r="C3" s="12" t="s">
        <v>95</v>
      </c>
    </row>
    <row r="4" spans="1:3" x14ac:dyDescent="0.2">
      <c r="A4" s="10" t="s">
        <v>165</v>
      </c>
      <c r="B4" s="14" t="s">
        <v>74</v>
      </c>
      <c r="C4" s="12" t="s">
        <v>99</v>
      </c>
    </row>
    <row r="5" spans="1:3" x14ac:dyDescent="0.2">
      <c r="A5" s="10" t="s">
        <v>173</v>
      </c>
      <c r="B5" s="14" t="s">
        <v>76</v>
      </c>
      <c r="C5" s="12" t="s">
        <v>38</v>
      </c>
    </row>
    <row r="6" spans="1:3" x14ac:dyDescent="0.2">
      <c r="A6" s="10" t="s">
        <v>160</v>
      </c>
      <c r="B6" s="14" t="s">
        <v>71</v>
      </c>
      <c r="C6" s="12" t="s">
        <v>11</v>
      </c>
    </row>
    <row r="7" spans="1:3" x14ac:dyDescent="0.2">
      <c r="A7" s="10" t="s">
        <v>110</v>
      </c>
      <c r="B7" s="14" t="s">
        <v>81</v>
      </c>
      <c r="C7" s="12" t="s">
        <v>85</v>
      </c>
    </row>
    <row r="8" spans="1:3" x14ac:dyDescent="0.2">
      <c r="A8" s="10" t="s">
        <v>134</v>
      </c>
      <c r="B8" s="14" t="s">
        <v>70</v>
      </c>
      <c r="C8" s="12" t="s">
        <v>42</v>
      </c>
    </row>
    <row r="9" spans="1:3" x14ac:dyDescent="0.2">
      <c r="A9" s="10" t="s">
        <v>148</v>
      </c>
      <c r="B9" s="14" t="s">
        <v>63</v>
      </c>
      <c r="C9" s="12" t="s">
        <v>41</v>
      </c>
    </row>
    <row r="10" spans="1:3" x14ac:dyDescent="0.2">
      <c r="A10" s="10" t="s">
        <v>118</v>
      </c>
      <c r="B10" s="14" t="s">
        <v>78</v>
      </c>
      <c r="C10" s="12" t="s">
        <v>17</v>
      </c>
    </row>
    <row r="11" spans="1:3" x14ac:dyDescent="0.2">
      <c r="A11" s="10" t="s">
        <v>151</v>
      </c>
      <c r="B11" s="14" t="s">
        <v>66</v>
      </c>
      <c r="C11" s="12" t="s">
        <v>90</v>
      </c>
    </row>
    <row r="12" spans="1:3" x14ac:dyDescent="0.2">
      <c r="A12" s="10" t="s">
        <v>130</v>
      </c>
      <c r="B12" s="14" t="s">
        <v>74</v>
      </c>
      <c r="C12" s="12" t="s">
        <v>13</v>
      </c>
    </row>
    <row r="13" spans="1:3" x14ac:dyDescent="0.2">
      <c r="A13" s="10" t="s">
        <v>163</v>
      </c>
      <c r="B13" s="14" t="s">
        <v>72</v>
      </c>
      <c r="C13" s="12" t="s">
        <v>97</v>
      </c>
    </row>
    <row r="14" spans="1:3" x14ac:dyDescent="0.2">
      <c r="A14" s="10" t="s">
        <v>113</v>
      </c>
      <c r="B14" s="14" t="s">
        <v>67</v>
      </c>
      <c r="C14" s="12" t="s">
        <v>86</v>
      </c>
    </row>
    <row r="15" spans="1:3" x14ac:dyDescent="0.2">
      <c r="A15" s="10" t="s">
        <v>135</v>
      </c>
      <c r="B15" s="14" t="s">
        <v>66</v>
      </c>
      <c r="C15" s="12" t="s">
        <v>21</v>
      </c>
    </row>
    <row r="16" spans="1:3" x14ac:dyDescent="0.2">
      <c r="A16" s="10" t="s">
        <v>117</v>
      </c>
      <c r="B16" s="14" t="s">
        <v>77</v>
      </c>
      <c r="C16" s="12" t="s">
        <v>16</v>
      </c>
    </row>
    <row r="17" spans="1:4" x14ac:dyDescent="0.2">
      <c r="A17" s="10" t="s">
        <v>152</v>
      </c>
      <c r="B17" s="14" t="s">
        <v>67</v>
      </c>
      <c r="C17" s="12" t="s">
        <v>91</v>
      </c>
    </row>
    <row r="18" spans="1:4" x14ac:dyDescent="0.2">
      <c r="A18" s="10" t="s">
        <v>138</v>
      </c>
      <c r="B18" s="14" t="s">
        <v>72</v>
      </c>
      <c r="C18" s="12" t="s">
        <v>96</v>
      </c>
      <c r="D18" s="11"/>
    </row>
    <row r="19" spans="1:4" x14ac:dyDescent="0.2">
      <c r="A19" s="10" t="s">
        <v>112</v>
      </c>
      <c r="B19" s="14" t="s">
        <v>67</v>
      </c>
      <c r="C19" s="12" t="s">
        <v>23</v>
      </c>
    </row>
    <row r="20" spans="1:4" x14ac:dyDescent="0.2">
      <c r="A20" s="10" t="s">
        <v>166</v>
      </c>
      <c r="B20" s="14" t="s">
        <v>75</v>
      </c>
      <c r="C20" s="12" t="s">
        <v>100</v>
      </c>
      <c r="D20" s="11"/>
    </row>
    <row r="21" spans="1:4" x14ac:dyDescent="0.2">
      <c r="A21" s="10" t="s">
        <v>153</v>
      </c>
      <c r="B21" s="14" t="s">
        <v>67</v>
      </c>
      <c r="C21" s="12" t="s">
        <v>92</v>
      </c>
    </row>
    <row r="22" spans="1:4" x14ac:dyDescent="0.2">
      <c r="A22" s="10" t="s">
        <v>144</v>
      </c>
      <c r="B22" s="14" t="s">
        <v>81</v>
      </c>
      <c r="C22" s="12" t="s">
        <v>45</v>
      </c>
    </row>
    <row r="23" spans="1:4" x14ac:dyDescent="0.2">
      <c r="A23" s="10" t="s">
        <v>114</v>
      </c>
      <c r="B23" s="14" t="s">
        <v>71</v>
      </c>
      <c r="C23" s="12" t="s">
        <v>9</v>
      </c>
    </row>
    <row r="24" spans="1:4" x14ac:dyDescent="0.2">
      <c r="A24" s="10" t="s">
        <v>123</v>
      </c>
      <c r="B24" s="14" t="s">
        <v>74</v>
      </c>
      <c r="C24" s="12" t="s">
        <v>35</v>
      </c>
      <c r="D24" s="11"/>
    </row>
    <row r="25" spans="1:4" x14ac:dyDescent="0.2">
      <c r="A25" s="10" t="s">
        <v>116</v>
      </c>
      <c r="B25" s="14" t="s">
        <v>64</v>
      </c>
      <c r="C25" s="12" t="s">
        <v>20</v>
      </c>
    </row>
    <row r="26" spans="1:4" x14ac:dyDescent="0.2">
      <c r="A26" s="10" t="s">
        <v>177</v>
      </c>
      <c r="B26" s="14" t="s">
        <v>72</v>
      </c>
      <c r="C26" s="12" t="s">
        <v>31</v>
      </c>
    </row>
    <row r="27" spans="1:4" x14ac:dyDescent="0.2">
      <c r="A27" s="10" t="s">
        <v>142</v>
      </c>
      <c r="B27" s="14" t="s">
        <v>80</v>
      </c>
      <c r="C27" s="12" t="s">
        <v>105</v>
      </c>
    </row>
    <row r="28" spans="1:4" x14ac:dyDescent="0.2">
      <c r="A28" s="10" t="s">
        <v>121</v>
      </c>
      <c r="B28" s="14" t="s">
        <v>81</v>
      </c>
      <c r="C28" s="12" t="s">
        <v>33</v>
      </c>
    </row>
    <row r="29" spans="1:4" x14ac:dyDescent="0.2">
      <c r="A29" s="10" t="s">
        <v>157</v>
      </c>
      <c r="B29" s="14" t="s">
        <v>63</v>
      </c>
      <c r="C29" s="12" t="s">
        <v>83</v>
      </c>
    </row>
    <row r="30" spans="1:4" x14ac:dyDescent="0.2">
      <c r="A30" s="10" t="s">
        <v>159</v>
      </c>
      <c r="B30" s="14" t="s">
        <v>65</v>
      </c>
      <c r="C30" s="12" t="s">
        <v>2</v>
      </c>
    </row>
    <row r="31" spans="1:4" x14ac:dyDescent="0.2">
      <c r="A31" s="10" t="s">
        <v>120</v>
      </c>
      <c r="B31" s="14" t="s">
        <v>69</v>
      </c>
      <c r="C31" s="12" t="s">
        <v>26</v>
      </c>
    </row>
    <row r="32" spans="1:4" x14ac:dyDescent="0.2">
      <c r="A32" s="10" t="s">
        <v>132</v>
      </c>
      <c r="B32" s="14" t="s">
        <v>75</v>
      </c>
      <c r="C32" s="12" t="s">
        <v>15</v>
      </c>
      <c r="D32" s="11"/>
    </row>
    <row r="33" spans="1:4" x14ac:dyDescent="0.2">
      <c r="A33" s="10" t="s">
        <v>150</v>
      </c>
      <c r="B33" s="14" t="s">
        <v>65</v>
      </c>
      <c r="C33" s="12" t="s">
        <v>89</v>
      </c>
      <c r="D33" s="11"/>
    </row>
    <row r="34" spans="1:4" x14ac:dyDescent="0.2">
      <c r="A34" s="10" t="s">
        <v>126</v>
      </c>
      <c r="B34" s="14" t="s">
        <v>67</v>
      </c>
      <c r="C34" s="12" t="s">
        <v>5</v>
      </c>
    </row>
    <row r="35" spans="1:4" x14ac:dyDescent="0.2">
      <c r="A35" s="10" t="s">
        <v>128</v>
      </c>
      <c r="B35" s="14" t="s">
        <v>71</v>
      </c>
      <c r="C35" s="12" t="s">
        <v>29</v>
      </c>
      <c r="D35" s="11"/>
    </row>
    <row r="36" spans="1:4" x14ac:dyDescent="0.2">
      <c r="A36" s="10" t="s">
        <v>129</v>
      </c>
      <c r="B36" s="14" t="s">
        <v>72</v>
      </c>
      <c r="C36" s="12" t="s">
        <v>29</v>
      </c>
    </row>
    <row r="37" spans="1:4" x14ac:dyDescent="0.2">
      <c r="A37" s="10" t="s">
        <v>175</v>
      </c>
      <c r="B37" s="14" t="s">
        <v>78</v>
      </c>
      <c r="C37" s="12" t="s">
        <v>87</v>
      </c>
    </row>
    <row r="38" spans="1:4" x14ac:dyDescent="0.2">
      <c r="A38" s="10" t="s">
        <v>147</v>
      </c>
      <c r="B38" s="14" t="s">
        <v>67</v>
      </c>
      <c r="C38" s="12" t="s">
        <v>24</v>
      </c>
    </row>
    <row r="39" spans="1:4" x14ac:dyDescent="0.2">
      <c r="A39" s="10" t="s">
        <v>149</v>
      </c>
      <c r="B39" s="14" t="s">
        <v>64</v>
      </c>
      <c r="C39" s="12" t="s">
        <v>40</v>
      </c>
    </row>
    <row r="40" spans="1:4" x14ac:dyDescent="0.2">
      <c r="A40" s="10" t="s">
        <v>145</v>
      </c>
      <c r="B40" s="14" t="s">
        <v>68</v>
      </c>
      <c r="C40" s="12" t="s">
        <v>7</v>
      </c>
    </row>
    <row r="41" spans="1:4" x14ac:dyDescent="0.2">
      <c r="A41" s="10" t="s">
        <v>122</v>
      </c>
      <c r="B41" s="14" t="s">
        <v>75</v>
      </c>
      <c r="C41" s="12" t="s">
        <v>34</v>
      </c>
    </row>
    <row r="42" spans="1:4" x14ac:dyDescent="0.2">
      <c r="A42" s="10" t="s">
        <v>141</v>
      </c>
      <c r="B42" s="14" t="s">
        <v>81</v>
      </c>
      <c r="C42" s="12" t="s">
        <v>46</v>
      </c>
    </row>
    <row r="43" spans="1:4" x14ac:dyDescent="0.2">
      <c r="A43" s="10" t="s">
        <v>139</v>
      </c>
      <c r="B43" s="14" t="s">
        <v>69</v>
      </c>
      <c r="C43" s="12" t="s">
        <v>8</v>
      </c>
      <c r="D43" s="11"/>
    </row>
    <row r="44" spans="1:4" x14ac:dyDescent="0.2">
      <c r="A44" s="10" t="s">
        <v>178</v>
      </c>
      <c r="B44" s="14" t="s">
        <v>66</v>
      </c>
      <c r="C44" s="12" t="s">
        <v>3</v>
      </c>
    </row>
    <row r="45" spans="1:4" x14ac:dyDescent="0.2">
      <c r="A45" s="10" t="s">
        <v>146</v>
      </c>
      <c r="B45" s="14" t="s">
        <v>70</v>
      </c>
      <c r="C45" s="12" t="s">
        <v>6</v>
      </c>
      <c r="D45" s="11"/>
    </row>
    <row r="46" spans="1:4" x14ac:dyDescent="0.2">
      <c r="A46" s="10" t="s">
        <v>174</v>
      </c>
      <c r="B46" s="14" t="s">
        <v>77</v>
      </c>
      <c r="C46" s="12" t="s">
        <v>37</v>
      </c>
      <c r="D46" s="11"/>
    </row>
    <row r="47" spans="1:4" x14ac:dyDescent="0.2">
      <c r="A47" s="10" t="s">
        <v>119</v>
      </c>
      <c r="B47" s="14" t="s">
        <v>81</v>
      </c>
      <c r="C47" s="12" t="s">
        <v>25</v>
      </c>
    </row>
    <row r="48" spans="1:4" x14ac:dyDescent="0.2">
      <c r="A48" s="10" t="s">
        <v>155</v>
      </c>
      <c r="B48" s="14" t="s">
        <v>69</v>
      </c>
      <c r="C48" s="12" t="s">
        <v>94</v>
      </c>
    </row>
    <row r="49" spans="1:4" x14ac:dyDescent="0.2">
      <c r="A49" s="10" t="s">
        <v>168</v>
      </c>
      <c r="B49" s="14" t="s">
        <v>77</v>
      </c>
      <c r="C49" s="12" t="s">
        <v>101</v>
      </c>
    </row>
    <row r="50" spans="1:4" x14ac:dyDescent="0.2">
      <c r="A50" s="10" t="s">
        <v>158</v>
      </c>
      <c r="B50" s="14" t="s">
        <v>64</v>
      </c>
      <c r="C50" s="12" t="s">
        <v>84</v>
      </c>
    </row>
    <row r="51" spans="1:4" x14ac:dyDescent="0.2">
      <c r="A51" s="10" t="s">
        <v>170</v>
      </c>
      <c r="B51" s="14" t="s">
        <v>79</v>
      </c>
      <c r="C51" s="12" t="s">
        <v>103</v>
      </c>
    </row>
    <row r="52" spans="1:4" x14ac:dyDescent="0.2">
      <c r="A52" s="10" t="s">
        <v>136</v>
      </c>
      <c r="B52" s="14" t="s">
        <v>71</v>
      </c>
      <c r="C52" s="12" t="s">
        <v>43</v>
      </c>
    </row>
    <row r="53" spans="1:4" x14ac:dyDescent="0.2">
      <c r="A53" s="10" t="s">
        <v>162</v>
      </c>
      <c r="B53" s="14" t="s">
        <v>81</v>
      </c>
      <c r="C53" s="12" t="s">
        <v>47</v>
      </c>
      <c r="D53" s="11"/>
    </row>
    <row r="54" spans="1:4" x14ac:dyDescent="0.2">
      <c r="A54" s="10" t="s">
        <v>176</v>
      </c>
      <c r="B54" s="14" t="s">
        <v>79</v>
      </c>
      <c r="C54" s="12" t="s">
        <v>88</v>
      </c>
    </row>
    <row r="55" spans="1:4" x14ac:dyDescent="0.2">
      <c r="A55" s="10" t="s">
        <v>156</v>
      </c>
      <c r="B55" s="14" t="s">
        <v>73</v>
      </c>
      <c r="C55" s="12" t="s">
        <v>32</v>
      </c>
    </row>
    <row r="56" spans="1:4" x14ac:dyDescent="0.2">
      <c r="A56" s="10" t="s">
        <v>115</v>
      </c>
      <c r="B56" s="14" t="s">
        <v>67</v>
      </c>
      <c r="C56" s="12" t="s">
        <v>4</v>
      </c>
      <c r="D56" s="11"/>
    </row>
    <row r="57" spans="1:4" x14ac:dyDescent="0.2">
      <c r="A57" s="10" t="s">
        <v>172</v>
      </c>
      <c r="B57" s="14" t="s">
        <v>70</v>
      </c>
      <c r="C57" s="12" t="s">
        <v>28</v>
      </c>
    </row>
    <row r="58" spans="1:4" x14ac:dyDescent="0.2">
      <c r="A58" s="10" t="s">
        <v>124</v>
      </c>
      <c r="B58" s="14" t="s">
        <v>63</v>
      </c>
      <c r="C58" s="12" t="s">
        <v>36</v>
      </c>
    </row>
    <row r="59" spans="1:4" x14ac:dyDescent="0.2">
      <c r="A59" s="10" t="s">
        <v>143</v>
      </c>
      <c r="B59" s="14" t="s">
        <v>81</v>
      </c>
      <c r="C59" s="12" t="s">
        <v>106</v>
      </c>
    </row>
    <row r="60" spans="1:4" x14ac:dyDescent="0.2">
      <c r="A60" s="10" t="s">
        <v>167</v>
      </c>
      <c r="B60" s="14" t="s">
        <v>76</v>
      </c>
      <c r="C60" s="12" t="s">
        <v>44</v>
      </c>
    </row>
    <row r="61" spans="1:4" x14ac:dyDescent="0.2">
      <c r="A61" s="10" t="s">
        <v>171</v>
      </c>
      <c r="B61" s="14" t="s">
        <v>80</v>
      </c>
      <c r="C61" s="12" t="s">
        <v>104</v>
      </c>
      <c r="D61" s="11"/>
    </row>
    <row r="62" spans="1:4" x14ac:dyDescent="0.2">
      <c r="A62" s="10" t="s">
        <v>161</v>
      </c>
      <c r="B62" s="14" t="s">
        <v>72</v>
      </c>
      <c r="C62" s="12" t="s">
        <v>48</v>
      </c>
    </row>
    <row r="63" spans="1:4" x14ac:dyDescent="0.2">
      <c r="A63" s="10" t="s">
        <v>108</v>
      </c>
      <c r="B63" s="14" t="s">
        <v>80</v>
      </c>
      <c r="C63" s="12" t="s">
        <v>39</v>
      </c>
    </row>
    <row r="64" spans="1:4" x14ac:dyDescent="0.2">
      <c r="A64" s="10" t="s">
        <v>164</v>
      </c>
      <c r="B64" s="14" t="s">
        <v>73</v>
      </c>
      <c r="C64" s="12" t="s">
        <v>98</v>
      </c>
      <c r="D64" s="11"/>
    </row>
    <row r="65" spans="1:4" x14ac:dyDescent="0.2">
      <c r="A65" s="10" t="s">
        <v>131</v>
      </c>
      <c r="B65" s="14" t="s">
        <v>71</v>
      </c>
      <c r="C65" s="12" t="s">
        <v>30</v>
      </c>
      <c r="D65" s="11"/>
    </row>
    <row r="66" spans="1:4" x14ac:dyDescent="0.2">
      <c r="A66" s="10" t="s">
        <v>109</v>
      </c>
      <c r="B66" s="14" t="s">
        <v>80</v>
      </c>
      <c r="C66" s="12" t="s">
        <v>19</v>
      </c>
      <c r="D66" s="11"/>
    </row>
    <row r="67" spans="1:4" x14ac:dyDescent="0.2">
      <c r="A67" s="10" t="s">
        <v>125</v>
      </c>
      <c r="B67" s="14" t="s">
        <v>76</v>
      </c>
      <c r="C67" s="12" t="s">
        <v>14</v>
      </c>
    </row>
    <row r="68" spans="1:4" x14ac:dyDescent="0.2">
      <c r="A68" s="10" t="s">
        <v>154</v>
      </c>
      <c r="B68" s="14" t="s">
        <v>68</v>
      </c>
      <c r="C68" s="12" t="s">
        <v>93</v>
      </c>
      <c r="D68" s="11"/>
    </row>
    <row r="69" spans="1:4" x14ac:dyDescent="0.2">
      <c r="A69" s="10" t="s">
        <v>127</v>
      </c>
      <c r="B69" s="14" t="s">
        <v>71</v>
      </c>
      <c r="C69" s="12" t="s">
        <v>10</v>
      </c>
    </row>
    <row r="70" spans="1:4" x14ac:dyDescent="0.2">
      <c r="A70" s="10" t="s">
        <v>111</v>
      </c>
      <c r="B70" s="14" t="s">
        <v>73</v>
      </c>
      <c r="C70" s="12" t="s">
        <v>12</v>
      </c>
    </row>
    <row r="71" spans="1:4" x14ac:dyDescent="0.2">
      <c r="A71" s="10" t="s">
        <v>133</v>
      </c>
      <c r="B71" s="14" t="s">
        <v>81</v>
      </c>
      <c r="C71" s="12" t="s">
        <v>27</v>
      </c>
    </row>
    <row r="72" spans="1:4" x14ac:dyDescent="0.2">
      <c r="A72" s="10" t="s">
        <v>169</v>
      </c>
      <c r="B72" s="14" t="s">
        <v>78</v>
      </c>
      <c r="C72" s="12" t="s">
        <v>102</v>
      </c>
    </row>
    <row r="73" spans="1:4" x14ac:dyDescent="0.2">
      <c r="A73" s="10" t="s">
        <v>107</v>
      </c>
      <c r="B73" s="14" t="s">
        <v>79</v>
      </c>
      <c r="C73" s="12" t="s">
        <v>18</v>
      </c>
      <c r="D73" s="11"/>
    </row>
  </sheetData>
  <sortState ref="A2:C73">
    <sortCondition ref="A2"/>
    <sortCondition ref="C2"/>
  </sortState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2"/>
  <sheetViews>
    <sheetView workbookViewId="0">
      <selection activeCell="H11" sqref="H11"/>
    </sheetView>
  </sheetViews>
  <sheetFormatPr defaultRowHeight="12.75" x14ac:dyDescent="0.2"/>
  <cols>
    <col min="1" max="12" width="5.140625" bestFit="1" customWidth="1"/>
    <col min="13" max="13" width="2.7109375" customWidth="1"/>
  </cols>
  <sheetData>
    <row r="1" spans="1:12" ht="37.5" customHeight="1" x14ac:dyDescent="0.2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</row>
    <row r="2" spans="1:12" x14ac:dyDescent="0.2">
      <c r="A2" s="2">
        <v>861</v>
      </c>
      <c r="B2" s="2">
        <v>332</v>
      </c>
      <c r="C2" s="3">
        <v>906</v>
      </c>
      <c r="D2" s="2">
        <v>505</v>
      </c>
      <c r="E2" s="2">
        <v>268</v>
      </c>
      <c r="F2" s="3">
        <v>199</v>
      </c>
      <c r="G2" s="2">
        <v>370</v>
      </c>
      <c r="H2" s="2">
        <v>742</v>
      </c>
      <c r="I2" s="3">
        <v>139</v>
      </c>
      <c r="J2" s="2">
        <v>709</v>
      </c>
      <c r="K2" s="2">
        <v>612</v>
      </c>
      <c r="L2" s="3">
        <v>715</v>
      </c>
    </row>
    <row r="3" spans="1:12" x14ac:dyDescent="0.2">
      <c r="A3" s="2">
        <v>260</v>
      </c>
      <c r="B3" s="2">
        <v>924</v>
      </c>
      <c r="C3" s="3">
        <v>239</v>
      </c>
      <c r="D3" s="2">
        <v>725</v>
      </c>
      <c r="E3" s="2">
        <v>188</v>
      </c>
      <c r="F3" s="3">
        <v>379</v>
      </c>
      <c r="G3" s="2">
        <v>168</v>
      </c>
      <c r="H3" s="2">
        <v>193</v>
      </c>
      <c r="I3" s="3">
        <v>971</v>
      </c>
      <c r="J3" s="2">
        <v>488</v>
      </c>
      <c r="K3" s="2">
        <v>983</v>
      </c>
      <c r="L3" s="3">
        <v>126</v>
      </c>
    </row>
    <row r="4" spans="1:12" x14ac:dyDescent="0.2">
      <c r="A4" s="2">
        <v>384</v>
      </c>
      <c r="B4" s="2">
        <v>965</v>
      </c>
      <c r="C4" s="3">
        <v>807</v>
      </c>
      <c r="D4" s="2">
        <v>454</v>
      </c>
      <c r="E4" s="2">
        <v>237</v>
      </c>
      <c r="F4" s="3">
        <v>103</v>
      </c>
      <c r="G4" s="2">
        <v>287</v>
      </c>
      <c r="H4" s="2">
        <v>502</v>
      </c>
      <c r="I4" s="3">
        <v>685</v>
      </c>
      <c r="J4" s="2">
        <v>855</v>
      </c>
      <c r="K4" s="2">
        <v>135</v>
      </c>
      <c r="L4" s="3">
        <v>520</v>
      </c>
    </row>
    <row r="5" spans="1:12" x14ac:dyDescent="0.2">
      <c r="A5" s="2">
        <v>217</v>
      </c>
      <c r="B5" s="2">
        <v>981</v>
      </c>
      <c r="C5" s="3">
        <v>310</v>
      </c>
      <c r="D5" s="2">
        <v>314</v>
      </c>
      <c r="E5" s="2">
        <v>981</v>
      </c>
      <c r="F5" s="3">
        <v>584</v>
      </c>
      <c r="G5" s="2">
        <v>891</v>
      </c>
      <c r="H5" s="2">
        <v>912</v>
      </c>
      <c r="I5" s="3">
        <v>358</v>
      </c>
      <c r="J5" s="2">
        <v>814</v>
      </c>
      <c r="K5" s="2">
        <v>612</v>
      </c>
      <c r="L5" s="3">
        <v>666</v>
      </c>
    </row>
    <row r="6" spans="1:12" x14ac:dyDescent="0.2">
      <c r="A6" s="2">
        <v>813</v>
      </c>
      <c r="B6" s="2">
        <v>409</v>
      </c>
      <c r="C6" s="3">
        <v>921</v>
      </c>
      <c r="D6" s="2">
        <v>851</v>
      </c>
      <c r="E6" s="2">
        <v>241</v>
      </c>
      <c r="F6" s="3">
        <v>137</v>
      </c>
      <c r="G6" s="2">
        <v>550</v>
      </c>
      <c r="H6" s="2">
        <v>902</v>
      </c>
      <c r="I6" s="3">
        <v>597</v>
      </c>
      <c r="J6" s="2">
        <v>209</v>
      </c>
      <c r="K6" s="2">
        <v>549</v>
      </c>
      <c r="L6" s="3">
        <v>412</v>
      </c>
    </row>
    <row r="7" spans="1:12" x14ac:dyDescent="0.2">
      <c r="A7" s="2">
        <v>916</v>
      </c>
      <c r="B7" s="2">
        <v>803</v>
      </c>
      <c r="C7" s="3">
        <v>371</v>
      </c>
      <c r="D7" s="2">
        <v>799</v>
      </c>
      <c r="E7" s="2">
        <v>832</v>
      </c>
      <c r="F7" s="3">
        <v>730</v>
      </c>
      <c r="G7" s="2">
        <v>693</v>
      </c>
      <c r="H7" s="2">
        <v>914</v>
      </c>
      <c r="I7" s="3">
        <v>971</v>
      </c>
      <c r="J7" s="2">
        <v>108</v>
      </c>
      <c r="K7" s="2">
        <v>491</v>
      </c>
      <c r="L7" s="3">
        <v>479</v>
      </c>
    </row>
    <row r="8" spans="1:12" x14ac:dyDescent="0.2">
      <c r="A8" s="2">
        <v>789</v>
      </c>
      <c r="B8" s="2">
        <v>923</v>
      </c>
      <c r="C8" s="3">
        <v>876</v>
      </c>
      <c r="D8" s="2">
        <v>908</v>
      </c>
      <c r="E8" s="2">
        <v>612</v>
      </c>
      <c r="F8" s="3">
        <v>754</v>
      </c>
      <c r="G8" s="2">
        <v>853</v>
      </c>
      <c r="H8" s="2">
        <v>326</v>
      </c>
      <c r="I8" s="3">
        <v>416</v>
      </c>
      <c r="J8" s="2">
        <v>972</v>
      </c>
      <c r="K8" s="2">
        <v>524</v>
      </c>
      <c r="L8" s="3">
        <v>203</v>
      </c>
    </row>
    <row r="9" spans="1:12" x14ac:dyDescent="0.2">
      <c r="A9" s="2">
        <v>803</v>
      </c>
      <c r="B9" s="2">
        <v>734</v>
      </c>
      <c r="C9" s="3">
        <v>551</v>
      </c>
      <c r="D9" s="2">
        <v>486</v>
      </c>
      <c r="E9" s="2">
        <v>415</v>
      </c>
      <c r="F9" s="3">
        <v>758</v>
      </c>
      <c r="G9" s="2">
        <v>180</v>
      </c>
      <c r="H9" s="2">
        <v>626</v>
      </c>
      <c r="I9" s="3">
        <v>818</v>
      </c>
      <c r="J9" s="2">
        <v>211</v>
      </c>
      <c r="K9" s="2">
        <v>736</v>
      </c>
      <c r="L9" s="3">
        <v>733</v>
      </c>
    </row>
    <row r="10" spans="1:12" x14ac:dyDescent="0.2">
      <c r="A10" s="2">
        <v>851</v>
      </c>
      <c r="B10" s="2">
        <v>166</v>
      </c>
      <c r="C10" s="3">
        <v>466</v>
      </c>
      <c r="D10" s="2">
        <v>281</v>
      </c>
      <c r="E10" s="2">
        <v>867</v>
      </c>
      <c r="F10" s="3">
        <v>769</v>
      </c>
      <c r="G10" s="2">
        <v>425</v>
      </c>
      <c r="H10" s="2">
        <v>987</v>
      </c>
      <c r="I10" s="3">
        <v>979</v>
      </c>
      <c r="J10" s="2">
        <v>744</v>
      </c>
      <c r="K10" s="2">
        <v>236</v>
      </c>
      <c r="L10" s="3">
        <v>884</v>
      </c>
    </row>
    <row r="11" spans="1:12" x14ac:dyDescent="0.2">
      <c r="A11" s="2">
        <v>141</v>
      </c>
      <c r="B11" s="2">
        <v>432</v>
      </c>
      <c r="C11" s="3">
        <v>155</v>
      </c>
      <c r="D11" s="2">
        <v>867</v>
      </c>
      <c r="E11" s="2">
        <v>434</v>
      </c>
      <c r="F11" s="3">
        <v>964</v>
      </c>
      <c r="G11" s="2">
        <v>773</v>
      </c>
      <c r="H11" s="2">
        <v>680</v>
      </c>
      <c r="I11" s="3">
        <v>213</v>
      </c>
      <c r="J11" s="2">
        <v>902</v>
      </c>
      <c r="K11" s="2">
        <v>104</v>
      </c>
      <c r="L11" s="3">
        <v>333</v>
      </c>
    </row>
    <row r="12" spans="1:12" x14ac:dyDescent="0.2">
      <c r="A12" s="2">
        <v>467</v>
      </c>
      <c r="B12" s="2">
        <v>108</v>
      </c>
      <c r="C12" s="3">
        <v>354</v>
      </c>
      <c r="D12" s="2">
        <v>160</v>
      </c>
      <c r="E12" s="2">
        <v>484</v>
      </c>
      <c r="F12" s="3">
        <v>306</v>
      </c>
      <c r="G12" s="2">
        <v>244</v>
      </c>
      <c r="H12" s="2">
        <v>906</v>
      </c>
      <c r="I12" s="3">
        <v>717</v>
      </c>
      <c r="J12" s="2">
        <v>844</v>
      </c>
      <c r="K12" s="2">
        <v>571</v>
      </c>
      <c r="L12" s="3">
        <v>615</v>
      </c>
    </row>
    <row r="13" spans="1:12" x14ac:dyDescent="0.2">
      <c r="A13" s="2">
        <v>101</v>
      </c>
      <c r="B13" s="2">
        <v>295</v>
      </c>
      <c r="C13" s="3">
        <v>775</v>
      </c>
      <c r="D13" s="2">
        <v>975</v>
      </c>
      <c r="E13" s="2">
        <v>472</v>
      </c>
      <c r="F13" s="3">
        <v>628</v>
      </c>
      <c r="G13" s="2">
        <v>903</v>
      </c>
      <c r="H13" s="2">
        <v>464</v>
      </c>
      <c r="I13" s="3">
        <v>106</v>
      </c>
      <c r="J13" s="2">
        <v>629</v>
      </c>
      <c r="K13" s="2">
        <v>426</v>
      </c>
      <c r="L13" s="3">
        <v>147</v>
      </c>
    </row>
    <row r="14" spans="1:12" x14ac:dyDescent="0.2">
      <c r="A14" s="2">
        <v>660</v>
      </c>
      <c r="B14" s="2">
        <v>864</v>
      </c>
      <c r="C14" s="3">
        <v>936</v>
      </c>
      <c r="D14" s="2">
        <v>790</v>
      </c>
      <c r="E14" s="2">
        <v>964</v>
      </c>
      <c r="F14" s="3">
        <v>225</v>
      </c>
      <c r="G14" s="2">
        <v>630</v>
      </c>
      <c r="H14" s="2">
        <v>131</v>
      </c>
      <c r="I14" s="3">
        <v>716</v>
      </c>
      <c r="J14" s="2">
        <v>140</v>
      </c>
      <c r="K14" s="2">
        <v>881</v>
      </c>
      <c r="L14" s="3">
        <v>818</v>
      </c>
    </row>
    <row r="15" spans="1:12" x14ac:dyDescent="0.2">
      <c r="A15" s="2">
        <v>922</v>
      </c>
      <c r="B15" s="2">
        <v>249</v>
      </c>
      <c r="C15" s="3">
        <v>789</v>
      </c>
      <c r="D15" s="2">
        <v>129</v>
      </c>
      <c r="E15" s="2">
        <v>490</v>
      </c>
      <c r="F15" s="3">
        <v>582</v>
      </c>
      <c r="G15" s="2">
        <v>963</v>
      </c>
      <c r="H15" s="2">
        <v>847</v>
      </c>
      <c r="I15" s="3">
        <v>806</v>
      </c>
      <c r="J15" s="2">
        <v>409</v>
      </c>
      <c r="K15" s="2">
        <v>280</v>
      </c>
      <c r="L15" s="3">
        <v>143</v>
      </c>
    </row>
    <row r="16" spans="1:12" x14ac:dyDescent="0.2">
      <c r="A16" s="2">
        <v>640</v>
      </c>
      <c r="B16" s="2">
        <v>575</v>
      </c>
      <c r="C16" s="3">
        <v>967</v>
      </c>
      <c r="D16" s="2">
        <v>463</v>
      </c>
      <c r="E16" s="2">
        <v>259</v>
      </c>
      <c r="F16" s="3">
        <v>579</v>
      </c>
      <c r="G16" s="2">
        <v>692</v>
      </c>
      <c r="H16" s="2">
        <v>629</v>
      </c>
      <c r="I16" s="3">
        <v>230</v>
      </c>
      <c r="J16" s="2">
        <v>935</v>
      </c>
      <c r="K16" s="2">
        <v>169</v>
      </c>
      <c r="L16" s="3">
        <v>924</v>
      </c>
    </row>
    <row r="17" spans="1:12" x14ac:dyDescent="0.2">
      <c r="A17" s="2">
        <v>681</v>
      </c>
      <c r="B17" s="2">
        <v>137</v>
      </c>
      <c r="C17" s="3">
        <v>283</v>
      </c>
      <c r="D17" s="2">
        <v>415</v>
      </c>
      <c r="E17" s="2">
        <v>194</v>
      </c>
      <c r="F17" s="3">
        <v>998</v>
      </c>
      <c r="G17" s="2">
        <v>115</v>
      </c>
      <c r="H17" s="2">
        <v>157</v>
      </c>
      <c r="I17" s="3">
        <v>224</v>
      </c>
      <c r="J17" s="2">
        <v>883</v>
      </c>
      <c r="K17" s="2">
        <v>209</v>
      </c>
      <c r="L17" s="3">
        <v>552</v>
      </c>
    </row>
    <row r="18" spans="1:12" x14ac:dyDescent="0.2">
      <c r="A18" s="2">
        <v>689</v>
      </c>
      <c r="B18" s="2">
        <v>316</v>
      </c>
      <c r="C18" s="3">
        <v>583</v>
      </c>
      <c r="D18" s="2">
        <v>869</v>
      </c>
      <c r="E18" s="2">
        <v>375</v>
      </c>
      <c r="F18" s="3">
        <v>591</v>
      </c>
      <c r="G18" s="2">
        <v>787</v>
      </c>
      <c r="H18" s="2">
        <v>740</v>
      </c>
      <c r="I18" s="3">
        <v>609</v>
      </c>
      <c r="J18" s="2">
        <v>453</v>
      </c>
      <c r="K18" s="2">
        <v>779</v>
      </c>
      <c r="L18" s="3">
        <v>989</v>
      </c>
    </row>
    <row r="19" spans="1:12" x14ac:dyDescent="0.2">
      <c r="A19" s="2">
        <v>543</v>
      </c>
      <c r="B19" s="2">
        <v>161</v>
      </c>
      <c r="C19" s="3">
        <v>901</v>
      </c>
      <c r="D19" s="2">
        <v>821</v>
      </c>
      <c r="E19" s="2">
        <v>957</v>
      </c>
      <c r="F19" s="3">
        <v>814</v>
      </c>
      <c r="G19" s="2">
        <v>563</v>
      </c>
      <c r="H19" s="2">
        <v>217</v>
      </c>
      <c r="I19" s="3">
        <v>896</v>
      </c>
      <c r="J19" s="2">
        <v>179</v>
      </c>
      <c r="K19" s="2">
        <v>170</v>
      </c>
      <c r="L19" s="3">
        <v>452</v>
      </c>
    </row>
    <row r="20" spans="1:12" x14ac:dyDescent="0.2">
      <c r="A20" s="2">
        <v>467</v>
      </c>
      <c r="B20" s="2">
        <v>299</v>
      </c>
      <c r="C20" s="3">
        <v>229</v>
      </c>
      <c r="D20" s="2">
        <v>462</v>
      </c>
      <c r="E20" s="2">
        <v>561</v>
      </c>
      <c r="F20" s="3">
        <v>359</v>
      </c>
      <c r="G20" s="2">
        <v>909</v>
      </c>
      <c r="H20" s="2">
        <v>843</v>
      </c>
      <c r="I20" s="3">
        <v>894</v>
      </c>
      <c r="J20" s="2">
        <v>610</v>
      </c>
      <c r="K20" s="2">
        <v>800</v>
      </c>
      <c r="L20" s="3">
        <v>246</v>
      </c>
    </row>
    <row r="21" spans="1:12" x14ac:dyDescent="0.2">
      <c r="A21" s="2">
        <v>125</v>
      </c>
      <c r="B21" s="2">
        <v>501</v>
      </c>
      <c r="C21" s="3">
        <v>754</v>
      </c>
      <c r="D21" s="2">
        <v>242</v>
      </c>
      <c r="E21" s="2">
        <v>453</v>
      </c>
      <c r="F21" s="3">
        <v>672</v>
      </c>
      <c r="G21" s="2">
        <v>871</v>
      </c>
      <c r="H21" s="2">
        <v>968</v>
      </c>
      <c r="I21" s="3">
        <v>158</v>
      </c>
      <c r="J21" s="2">
        <v>331</v>
      </c>
      <c r="K21" s="2">
        <v>672</v>
      </c>
      <c r="L21" s="3">
        <v>808</v>
      </c>
    </row>
    <row r="22" spans="1:12" x14ac:dyDescent="0.2">
      <c r="A22" s="2">
        <v>456</v>
      </c>
      <c r="B22" s="2">
        <v>818</v>
      </c>
      <c r="C22" s="3">
        <v>698</v>
      </c>
      <c r="D22" s="2">
        <v>751</v>
      </c>
      <c r="E22" s="2">
        <v>878</v>
      </c>
      <c r="F22" s="3">
        <v>674</v>
      </c>
      <c r="G22" s="2">
        <v>762</v>
      </c>
      <c r="H22" s="2">
        <v>735</v>
      </c>
      <c r="I22" s="3">
        <v>653</v>
      </c>
      <c r="J22" s="2">
        <v>938</v>
      </c>
      <c r="K22" s="2">
        <v>730</v>
      </c>
      <c r="L22" s="3">
        <v>662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"/>
  <sheetViews>
    <sheetView topLeftCell="A24" zoomScale="175" workbookViewId="0">
      <selection activeCell="G30" sqref="G30"/>
    </sheetView>
  </sheetViews>
  <sheetFormatPr defaultRowHeight="12.75" x14ac:dyDescent="0.2"/>
  <cols>
    <col min="1" max="1" width="11" customWidth="1"/>
    <col min="6" max="6" width="12.85546875" customWidth="1"/>
  </cols>
  <sheetData>
    <row r="1" ht="37.5" customHeight="1" x14ac:dyDescent="0.2"/>
    <row r="19" spans="1:6" x14ac:dyDescent="0.2">
      <c r="F19">
        <v>1508058</v>
      </c>
    </row>
    <row r="20" spans="1:6" x14ac:dyDescent="0.2">
      <c r="F20" t="s">
        <v>61</v>
      </c>
    </row>
    <row r="21" spans="1:6" x14ac:dyDescent="0.2">
      <c r="F21" t="s">
        <v>62</v>
      </c>
    </row>
    <row r="24" spans="1:6" x14ac:dyDescent="0.2">
      <c r="A24" s="6">
        <f>B24/$C$24</f>
        <v>5.1944444444444446</v>
      </c>
      <c r="B24">
        <v>187</v>
      </c>
      <c r="C24">
        <v>36</v>
      </c>
      <c r="D24" s="4"/>
      <c r="F24">
        <f>294/57</f>
        <v>5.1578947368421053</v>
      </c>
    </row>
    <row r="25" spans="1:6" x14ac:dyDescent="0.2">
      <c r="A25" s="6">
        <f>B25/$C$24</f>
        <v>5.4444444444444446</v>
      </c>
      <c r="B25">
        <v>196</v>
      </c>
      <c r="D25" s="4"/>
      <c r="F25">
        <f>281/54</f>
        <v>5.2037037037037033</v>
      </c>
    </row>
    <row r="26" spans="1:6" x14ac:dyDescent="0.2">
      <c r="A26" s="6">
        <f>B26/$C$24</f>
        <v>5.166666666666667</v>
      </c>
      <c r="B26">
        <v>186</v>
      </c>
      <c r="D26" s="4"/>
      <c r="F26">
        <f>268/51</f>
        <v>5.2549019607843137</v>
      </c>
    </row>
    <row r="27" spans="1:6" x14ac:dyDescent="0.2">
      <c r="A27" s="6"/>
      <c r="D27" s="5">
        <f>SUM(B24:B26)/(C24*3)</f>
        <v>5.2685185185185182</v>
      </c>
    </row>
    <row r="28" spans="1:6" x14ac:dyDescent="0.2">
      <c r="A28" s="6">
        <f>B28/$C$28</f>
        <v>5.5</v>
      </c>
      <c r="B28">
        <v>110</v>
      </c>
      <c r="C28">
        <v>20</v>
      </c>
      <c r="D28" s="5"/>
    </row>
    <row r="29" spans="1:6" x14ac:dyDescent="0.2">
      <c r="A29" s="6">
        <f>B29/$C$28</f>
        <v>5.7</v>
      </c>
      <c r="B29">
        <v>114</v>
      </c>
      <c r="D29" s="5"/>
    </row>
    <row r="30" spans="1:6" x14ac:dyDescent="0.2">
      <c r="A30" s="6">
        <f>B30/$C$28</f>
        <v>5.35</v>
      </c>
      <c r="B30">
        <v>107</v>
      </c>
      <c r="D30" s="5"/>
    </row>
    <row r="31" spans="1:6" x14ac:dyDescent="0.2">
      <c r="A31" s="6"/>
      <c r="D31" s="5">
        <f>SUM(B28:B30)/(C28*3)</f>
        <v>5.5166666666666666</v>
      </c>
    </row>
    <row r="32" spans="1:6" x14ac:dyDescent="0.2">
      <c r="A32" s="6">
        <f>B32/$C$32</f>
        <v>5.25</v>
      </c>
      <c r="B32">
        <v>168</v>
      </c>
      <c r="C32">
        <v>32</v>
      </c>
      <c r="D32" s="5"/>
    </row>
    <row r="33" spans="1:8" x14ac:dyDescent="0.2">
      <c r="A33" s="6">
        <f>B33/$C$32</f>
        <v>5.5</v>
      </c>
      <c r="B33">
        <v>176</v>
      </c>
      <c r="D33" s="5"/>
    </row>
    <row r="34" spans="1:8" x14ac:dyDescent="0.2">
      <c r="A34" s="6">
        <f>B34/$C$32</f>
        <v>5.1875</v>
      </c>
      <c r="B34">
        <v>166</v>
      </c>
      <c r="D34" s="5"/>
    </row>
    <row r="35" spans="1:8" x14ac:dyDescent="0.2">
      <c r="A35" s="6"/>
      <c r="D35" s="5">
        <f>SUM(B32:B34)/(C32*3)</f>
        <v>5.3125</v>
      </c>
      <c r="F35">
        <f>G35/H35</f>
        <v>5.1578947368421053</v>
      </c>
      <c r="G35">
        <v>294</v>
      </c>
      <c r="H35">
        <v>57</v>
      </c>
    </row>
    <row r="36" spans="1:8" x14ac:dyDescent="0.2">
      <c r="A36" s="6"/>
      <c r="D36" s="5"/>
      <c r="F36">
        <f>G36/H36</f>
        <v>5.2037037037037033</v>
      </c>
      <c r="G36">
        <v>281</v>
      </c>
      <c r="H36">
        <v>54</v>
      </c>
    </row>
    <row r="37" spans="1:8" x14ac:dyDescent="0.2">
      <c r="A37" s="6">
        <f>B37/$C$37</f>
        <v>5.0526315789473681</v>
      </c>
      <c r="B37">
        <v>96</v>
      </c>
      <c r="C37">
        <v>19</v>
      </c>
      <c r="D37" s="5"/>
    </row>
    <row r="38" spans="1:8" x14ac:dyDescent="0.2">
      <c r="A38" s="6">
        <f>B38/$C$37</f>
        <v>5.4736842105263159</v>
      </c>
      <c r="B38">
        <v>104</v>
      </c>
      <c r="D38" s="5"/>
      <c r="F38" s="7">
        <f>AVERAGE(D27:D40)</f>
        <v>5.3182809454191027</v>
      </c>
    </row>
    <row r="39" spans="1:8" x14ac:dyDescent="0.2">
      <c r="A39" s="6">
        <f>B39/$C$37</f>
        <v>5</v>
      </c>
      <c r="B39">
        <v>95</v>
      </c>
      <c r="D39" s="5"/>
    </row>
    <row r="40" spans="1:8" x14ac:dyDescent="0.2">
      <c r="D40" s="5">
        <f>SUM(B37:B39)/(C37*3)</f>
        <v>5.1754385964912277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Phone Numbers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1995-09-11T18:01:48Z</dcterms:created>
  <dcterms:modified xsi:type="dcterms:W3CDTF">2013-12-09T22:41:40Z</dcterms:modified>
</cp:coreProperties>
</file>