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Billy\Downloads\"/>
    </mc:Choice>
  </mc:AlternateContent>
  <bookViews>
    <workbookView xWindow="0" yWindow="0" windowWidth="21270" windowHeight="9495" tabRatio="719"/>
  </bookViews>
  <sheets>
    <sheet name="Topics" sheetId="1" r:id="rId1"/>
    <sheet name="Errors" sheetId="3" r:id="rId2"/>
    <sheet name="E(1)" sheetId="13" r:id="rId3"/>
    <sheet name="E(1an)" sheetId="4" r:id="rId4"/>
    <sheet name="E(2)" sheetId="14" r:id="rId5"/>
    <sheet name="E(2an)" sheetId="9" r:id="rId6"/>
    <sheet name="E(3)" sheetId="15" r:id="rId7"/>
    <sheet name="E(3an)" sheetId="10" r:id="rId8"/>
    <sheet name="E(4)" sheetId="11" r:id="rId9"/>
    <sheet name="E(4an)" sheetId="19" r:id="rId10"/>
    <sheet name="E(5 )" sheetId="17" r:id="rId11"/>
    <sheet name="E(5an)" sheetId="12" r:id="rId12"/>
    <sheet name="DV" sheetId="18" r:id="rId13"/>
    <sheet name="DV (an)" sheetId="2" r:id="rId14"/>
    <sheet name="Flash Fill" sheetId="20" r:id="rId15"/>
    <sheet name="Flash Fill (an)" sheetId="21" r:id="rId16"/>
    <sheet name="CNF-Notes" sheetId="46" r:id="rId17"/>
    <sheet name="CNF" sheetId="47" r:id="rId18"/>
    <sheet name="CNF (an)" sheetId="48" r:id="rId19"/>
    <sheet name="Text Formulas" sheetId="33" r:id="rId20"/>
    <sheet name="Text Formulas (an)" sheetId="49" r:id="rId21"/>
    <sheet name="Date Functions" sheetId="50" r:id="rId22"/>
    <sheet name="Date Functions (an)" sheetId="51" r:id="rId23"/>
    <sheet name="Array Formulas" sheetId="38" r:id="rId24"/>
    <sheet name="Array Formulas (an)" sheetId="52" r:id="rId25"/>
    <sheet name="Array Functions" sheetId="42" r:id="rId26"/>
    <sheet name="Array Functions (an)" sheetId="54" r:id="rId27"/>
    <sheet name="Homework ==&gt;&gt;" sheetId="22" r:id="rId28"/>
    <sheet name="HW(1)" sheetId="23" r:id="rId29"/>
    <sheet name="HW(1an)" sheetId="28" r:id="rId30"/>
    <sheet name="HW(2)" sheetId="24" r:id="rId31"/>
    <sheet name="HW(2an)" sheetId="29" r:id="rId32"/>
    <sheet name="HW(3)" sheetId="25" r:id="rId33"/>
    <sheet name="HW(3an)" sheetId="30" r:id="rId34"/>
    <sheet name="HW(4)" sheetId="27" r:id="rId35"/>
    <sheet name="HW(4an)" sheetId="32" r:id="rId36"/>
    <sheet name="HW(5)" sheetId="26" r:id="rId37"/>
    <sheet name="HW(5an)" sheetId="31" r:id="rId38"/>
    <sheet name="HW(6)" sheetId="44" r:id="rId39"/>
    <sheet name="HW(6an)" sheetId="45" r:id="rId40"/>
    <sheet name="HW(7)" sheetId="55" r:id="rId41"/>
    <sheet name="HW(7an)" sheetId="56" r:id="rId42"/>
    <sheet name="HW(8)" sheetId="57" r:id="rId43"/>
    <sheet name="HW(8an)" sheetId="58" r:id="rId44"/>
    <sheet name="HW(9)" sheetId="61" r:id="rId45"/>
    <sheet name="HW(9an)" sheetId="62" r:id="rId46"/>
    <sheet name="HW(10)" sheetId="63" r:id="rId47"/>
    <sheet name="HW(10an)" sheetId="64" r:id="rId48"/>
    <sheet name="HW(11)" sheetId="65" r:id="rId49"/>
    <sheet name="HW(11an)" sheetId="67" r:id="rId50"/>
    <sheet name="HW(12)" sheetId="68" r:id="rId51"/>
    <sheet name="HW(12an)" sheetId="69" r:id="rId52"/>
    <sheet name="HW(13)" sheetId="71" r:id="rId53"/>
    <sheet name="HW(13an)" sheetId="72" r:id="rId54"/>
    <sheet name="HW(14)" sheetId="59" r:id="rId55"/>
    <sheet name="HW(14an)" sheetId="60" r:id="rId56"/>
    <sheet name="HW(15)" sheetId="66" r:id="rId57"/>
    <sheet name="HW(15an)" sheetId="70" r:id="rId58"/>
  </sheets>
  <definedNames>
    <definedName name="AussieANSWER">'DV (an)'!$I$59:$I$61</definedName>
    <definedName name="FastANSWER">'DV (an)'!$H$59:$H$60</definedName>
    <definedName name="FrannyANSWER">'HW(5an)'!$D$9:$D$11</definedName>
    <definedName name="FreestyleANSWER">'DV (an)'!$G$59:$G$61</definedName>
    <definedName name="GigiANSWER">'HW(5an)'!$E$9:$E$13</definedName>
    <definedName name="JonnANSWER">'HW(5an)'!$B$9:$B$12</definedName>
    <definedName name="TinaANSWER">'HW(5an)'!$C$9:$C$11</definedName>
    <definedName name="TypeANSWER">'DV (an)'!$G$58:$J$58</definedName>
    <definedName name="WindANSWER">'DV (an)'!$J$59:$J$62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42" l="1"/>
  <c r="C5" i="42"/>
  <c r="C4" i="42"/>
  <c r="C3" i="42"/>
  <c r="C2" i="42"/>
  <c r="C3" i="54"/>
  <c r="C4" i="54"/>
  <c r="C5" i="54"/>
  <c r="F18" i="48" l="1"/>
  <c r="F17" i="48"/>
  <c r="B15" i="49" l="1"/>
  <c r="B13" i="49"/>
  <c r="B11" i="49"/>
  <c r="D37" i="49" l="1"/>
  <c r="D38" i="49"/>
  <c r="D39" i="49"/>
  <c r="D40" i="49"/>
  <c r="D41" i="49"/>
  <c r="D42" i="49"/>
  <c r="D43" i="49"/>
  <c r="D44" i="49"/>
  <c r="D45" i="49"/>
  <c r="D36" i="49"/>
  <c r="C37" i="49"/>
  <c r="C38" i="49"/>
  <c r="C39" i="49"/>
  <c r="C40" i="49"/>
  <c r="C41" i="49"/>
  <c r="C42" i="49"/>
  <c r="C43" i="49"/>
  <c r="C44" i="49"/>
  <c r="C45" i="49"/>
  <c r="C36" i="49"/>
  <c r="B37" i="49"/>
  <c r="F37" i="49" s="1"/>
  <c r="B38" i="49"/>
  <c r="E38" i="49" s="1"/>
  <c r="B39" i="49"/>
  <c r="F39" i="49" s="1"/>
  <c r="B40" i="49"/>
  <c r="F40" i="49" s="1"/>
  <c r="B41" i="49"/>
  <c r="F41" i="49" s="1"/>
  <c r="B42" i="49"/>
  <c r="F42" i="49" s="1"/>
  <c r="B43" i="49"/>
  <c r="F43" i="49" s="1"/>
  <c r="B44" i="49"/>
  <c r="F44" i="49" s="1"/>
  <c r="B45" i="49"/>
  <c r="F45" i="49" s="1"/>
  <c r="B36" i="49"/>
  <c r="E36" i="49" s="1"/>
  <c r="F38" i="49"/>
  <c r="E42" i="49" l="1"/>
  <c r="E43" i="49"/>
  <c r="E39" i="49"/>
  <c r="E45" i="49"/>
  <c r="E41" i="49"/>
  <c r="E37" i="49"/>
  <c r="E44" i="49"/>
  <c r="E40" i="49"/>
  <c r="F36" i="49"/>
  <c r="H39" i="54" l="1"/>
  <c r="G39" i="54"/>
  <c r="F39" i="54"/>
  <c r="E39" i="54"/>
  <c r="D39" i="54"/>
  <c r="I38" i="54"/>
  <c r="I37" i="54"/>
  <c r="I36" i="54"/>
  <c r="I35" i="54"/>
  <c r="G25" i="54"/>
  <c r="F25" i="54"/>
  <c r="E25" i="54"/>
  <c r="D25" i="54"/>
  <c r="H24" i="54"/>
  <c r="H23" i="54"/>
  <c r="H22" i="54"/>
  <c r="H21" i="54"/>
  <c r="H20" i="54"/>
  <c r="C6" i="54"/>
  <c r="E2" i="54" a="1"/>
  <c r="E5" i="54" s="1"/>
  <c r="C2" i="54"/>
  <c r="E63" i="38"/>
  <c r="E64" i="38"/>
  <c r="E65" i="38"/>
  <c r="I65" i="52" a="1"/>
  <c r="I65" i="52" s="1"/>
  <c r="H65" i="52" a="1"/>
  <c r="H65" i="52" s="1"/>
  <c r="G65" i="52" a="1"/>
  <c r="G65" i="52" s="1"/>
  <c r="F65" i="52" a="1"/>
  <c r="F65" i="52" s="1"/>
  <c r="E65" i="52"/>
  <c r="I64" i="52" a="1"/>
  <c r="I64" i="52" s="1"/>
  <c r="H64" i="52" a="1"/>
  <c r="H64" i="52" s="1"/>
  <c r="G64" i="52" a="1"/>
  <c r="G64" i="52" s="1"/>
  <c r="F64" i="52" a="1"/>
  <c r="F64" i="52" s="1"/>
  <c r="E64" i="52"/>
  <c r="I63" i="52" a="1"/>
  <c r="I63" i="52" s="1"/>
  <c r="H63" i="52" a="1"/>
  <c r="H63" i="52" s="1"/>
  <c r="G63" i="52" a="1"/>
  <c r="G63" i="52" s="1"/>
  <c r="F63" i="52" a="1"/>
  <c r="F63" i="52" s="1"/>
  <c r="E63" i="52"/>
  <c r="B58" i="52"/>
  <c r="B57" i="52"/>
  <c r="B56" i="52"/>
  <c r="B56" i="52" a="1"/>
  <c r="C53" i="52"/>
  <c r="C52" i="52"/>
  <c r="C51" i="52"/>
  <c r="C50" i="52"/>
  <c r="C49" i="52"/>
  <c r="D41" i="52"/>
  <c r="H39" i="52"/>
  <c r="H38" i="52"/>
  <c r="H37" i="52"/>
  <c r="H36" i="52"/>
  <c r="H35" i="52"/>
  <c r="H34" i="52"/>
  <c r="H33" i="52"/>
  <c r="A28" i="52"/>
  <c r="I27" i="52"/>
  <c r="C24" i="52"/>
  <c r="C23" i="52"/>
  <c r="I22" i="52"/>
  <c r="C22" i="52"/>
  <c r="C21" i="52"/>
  <c r="C20" i="52"/>
  <c r="C28" i="52"/>
  <c r="K22" i="52"/>
  <c r="C54" i="52" l="1"/>
  <c r="C25" i="52"/>
  <c r="I39" i="54"/>
  <c r="H25" i="54"/>
  <c r="C27" i="54" s="1" a="1"/>
  <c r="E2" i="54"/>
  <c r="E6" i="54"/>
  <c r="E4" i="54"/>
  <c r="E3" i="54"/>
  <c r="B12" i="70" a="1"/>
  <c r="B6" i="69"/>
  <c r="E806" i="64"/>
  <c r="E805" i="64"/>
  <c r="E804" i="64"/>
  <c r="E803" i="64"/>
  <c r="E802" i="64"/>
  <c r="E801" i="64"/>
  <c r="E800" i="64"/>
  <c r="E799" i="64"/>
  <c r="E798" i="64"/>
  <c r="E797" i="64"/>
  <c r="E796" i="64"/>
  <c r="E795" i="64"/>
  <c r="E794" i="64"/>
  <c r="E793" i="64"/>
  <c r="E792" i="64"/>
  <c r="E791" i="64"/>
  <c r="E790" i="64"/>
  <c r="E789" i="64"/>
  <c r="E788" i="64"/>
  <c r="E787" i="64"/>
  <c r="E786" i="64"/>
  <c r="E785" i="64"/>
  <c r="E784" i="64"/>
  <c r="E783" i="64"/>
  <c r="E782" i="64"/>
  <c r="E781" i="64"/>
  <c r="E780" i="64"/>
  <c r="E779" i="64"/>
  <c r="E778" i="64"/>
  <c r="E777" i="64"/>
  <c r="E776" i="64"/>
  <c r="E775" i="64"/>
  <c r="E774" i="64"/>
  <c r="E773" i="64"/>
  <c r="E772" i="64"/>
  <c r="E771" i="64"/>
  <c r="E770" i="64"/>
  <c r="E769" i="64"/>
  <c r="E768" i="64"/>
  <c r="E767" i="64"/>
  <c r="E766" i="64"/>
  <c r="E765" i="64"/>
  <c r="E764" i="64"/>
  <c r="E763" i="64"/>
  <c r="E762" i="64"/>
  <c r="E761" i="64"/>
  <c r="E760" i="64"/>
  <c r="E759" i="64"/>
  <c r="E758" i="64"/>
  <c r="E757" i="64"/>
  <c r="E756" i="64"/>
  <c r="E755" i="64"/>
  <c r="E754" i="64"/>
  <c r="E753" i="64"/>
  <c r="E752" i="64"/>
  <c r="E751" i="64"/>
  <c r="E750" i="64"/>
  <c r="E749" i="64"/>
  <c r="E748" i="64"/>
  <c r="E747" i="64"/>
  <c r="E746" i="64"/>
  <c r="E745" i="64"/>
  <c r="E744" i="64"/>
  <c r="E743" i="64"/>
  <c r="E742" i="64"/>
  <c r="E741" i="64"/>
  <c r="E740" i="64"/>
  <c r="E739" i="64"/>
  <c r="E738" i="64"/>
  <c r="E737" i="64"/>
  <c r="E736" i="64"/>
  <c r="E735" i="64"/>
  <c r="E734" i="64"/>
  <c r="E733" i="64"/>
  <c r="E732" i="64"/>
  <c r="E731" i="64"/>
  <c r="E730" i="64"/>
  <c r="E729" i="64"/>
  <c r="E728" i="64"/>
  <c r="E727" i="64"/>
  <c r="E726" i="64"/>
  <c r="E725" i="64"/>
  <c r="E724" i="64"/>
  <c r="E723" i="64"/>
  <c r="E722" i="64"/>
  <c r="E721" i="64"/>
  <c r="E720" i="64"/>
  <c r="E719" i="64"/>
  <c r="E718" i="64"/>
  <c r="E717" i="64"/>
  <c r="E716" i="64"/>
  <c r="E715" i="64"/>
  <c r="E714" i="64"/>
  <c r="E713" i="64"/>
  <c r="E712" i="64"/>
  <c r="E711" i="64"/>
  <c r="E710" i="64"/>
  <c r="E709" i="64"/>
  <c r="E708" i="64"/>
  <c r="E707" i="64"/>
  <c r="E706" i="64"/>
  <c r="E705" i="64"/>
  <c r="E704" i="64"/>
  <c r="E703" i="64"/>
  <c r="E702" i="64"/>
  <c r="E701" i="64"/>
  <c r="E700" i="64"/>
  <c r="E699" i="64"/>
  <c r="E698" i="64"/>
  <c r="E697" i="64"/>
  <c r="E696" i="64"/>
  <c r="E695" i="64"/>
  <c r="E694" i="64"/>
  <c r="E693" i="64"/>
  <c r="E692" i="64"/>
  <c r="E691" i="64"/>
  <c r="E690" i="64"/>
  <c r="E689" i="64"/>
  <c r="E688" i="64"/>
  <c r="E687" i="64"/>
  <c r="E686" i="64"/>
  <c r="E685" i="64"/>
  <c r="E684" i="64"/>
  <c r="E683" i="64"/>
  <c r="E682" i="64"/>
  <c r="E681" i="64"/>
  <c r="E680" i="64"/>
  <c r="E679" i="64"/>
  <c r="E678" i="64"/>
  <c r="E677" i="64"/>
  <c r="E676" i="64"/>
  <c r="E675" i="64"/>
  <c r="E674" i="64"/>
  <c r="E673" i="64"/>
  <c r="E672" i="64"/>
  <c r="E671" i="64"/>
  <c r="E670" i="64"/>
  <c r="E669" i="64"/>
  <c r="E668" i="64"/>
  <c r="E667" i="64"/>
  <c r="E666" i="64"/>
  <c r="E665" i="64"/>
  <c r="E664" i="64"/>
  <c r="E663" i="64"/>
  <c r="E662" i="64"/>
  <c r="E661" i="64"/>
  <c r="E660" i="64"/>
  <c r="E659" i="64"/>
  <c r="E658" i="64"/>
  <c r="E657" i="64"/>
  <c r="E656" i="64"/>
  <c r="E655" i="64"/>
  <c r="E654" i="64"/>
  <c r="E653" i="64"/>
  <c r="E652" i="64"/>
  <c r="E651" i="64"/>
  <c r="E650" i="64"/>
  <c r="E649" i="64"/>
  <c r="E648" i="64"/>
  <c r="E647" i="64"/>
  <c r="E646" i="64"/>
  <c r="E645" i="64"/>
  <c r="E644" i="64"/>
  <c r="E643" i="64"/>
  <c r="E642" i="64"/>
  <c r="E641" i="64"/>
  <c r="E640" i="64"/>
  <c r="E639" i="64"/>
  <c r="E638" i="64"/>
  <c r="E637" i="64"/>
  <c r="E636" i="64"/>
  <c r="E635" i="64"/>
  <c r="E634" i="64"/>
  <c r="E633" i="64"/>
  <c r="E632" i="64"/>
  <c r="E631" i="64"/>
  <c r="E630" i="64"/>
  <c r="E629" i="64"/>
  <c r="E628" i="64"/>
  <c r="E627" i="64"/>
  <c r="E626" i="64"/>
  <c r="E625" i="64"/>
  <c r="E624" i="64"/>
  <c r="E623" i="64"/>
  <c r="E622" i="64"/>
  <c r="E621" i="64"/>
  <c r="E620" i="64"/>
  <c r="E619" i="64"/>
  <c r="E618" i="64"/>
  <c r="E617" i="64"/>
  <c r="E616" i="64"/>
  <c r="E615" i="64"/>
  <c r="E614" i="64"/>
  <c r="E613" i="64"/>
  <c r="E612" i="64"/>
  <c r="E611" i="64"/>
  <c r="E610" i="64"/>
  <c r="E609" i="64"/>
  <c r="E608" i="64"/>
  <c r="E607" i="64"/>
  <c r="E606" i="64"/>
  <c r="E605" i="64"/>
  <c r="E604" i="64"/>
  <c r="E603" i="64"/>
  <c r="E602" i="64"/>
  <c r="E601" i="64"/>
  <c r="E600" i="64"/>
  <c r="E599" i="64"/>
  <c r="E598" i="64"/>
  <c r="E597" i="64"/>
  <c r="E596" i="64"/>
  <c r="E595" i="64"/>
  <c r="E594" i="64"/>
  <c r="E593" i="64"/>
  <c r="E592" i="64"/>
  <c r="E591" i="64"/>
  <c r="E590" i="64"/>
  <c r="E589" i="64"/>
  <c r="E588" i="64"/>
  <c r="E587" i="64"/>
  <c r="E586" i="64"/>
  <c r="E585" i="64"/>
  <c r="E584" i="64"/>
  <c r="E583" i="64"/>
  <c r="E582" i="64"/>
  <c r="E581" i="64"/>
  <c r="E580" i="64"/>
  <c r="E579" i="64"/>
  <c r="E578" i="64"/>
  <c r="E577" i="64"/>
  <c r="E576" i="64"/>
  <c r="E575" i="64"/>
  <c r="E574" i="64"/>
  <c r="E573" i="64"/>
  <c r="E572" i="64"/>
  <c r="E571" i="64"/>
  <c r="E570" i="64"/>
  <c r="E569" i="64"/>
  <c r="E568" i="64"/>
  <c r="E567" i="64"/>
  <c r="E566" i="64"/>
  <c r="E565" i="64"/>
  <c r="E564" i="64"/>
  <c r="E563" i="64"/>
  <c r="E562" i="64"/>
  <c r="E561" i="64"/>
  <c r="E560" i="64"/>
  <c r="E559" i="64"/>
  <c r="E558" i="64"/>
  <c r="E557" i="64"/>
  <c r="E556" i="64"/>
  <c r="E555" i="64"/>
  <c r="E554" i="64"/>
  <c r="E553" i="64"/>
  <c r="E552" i="64"/>
  <c r="E551" i="64"/>
  <c r="E550" i="64"/>
  <c r="E549" i="64"/>
  <c r="E548" i="64"/>
  <c r="E547" i="64"/>
  <c r="E546" i="64"/>
  <c r="E545" i="64"/>
  <c r="E544" i="64"/>
  <c r="E543" i="64"/>
  <c r="E542" i="64"/>
  <c r="E541" i="64"/>
  <c r="E540" i="64"/>
  <c r="E539" i="64"/>
  <c r="E538" i="64"/>
  <c r="E537" i="64"/>
  <c r="E536" i="64"/>
  <c r="E535" i="64"/>
  <c r="E534" i="64"/>
  <c r="E533" i="64"/>
  <c r="E532" i="64"/>
  <c r="E531" i="64"/>
  <c r="E530" i="64"/>
  <c r="E529" i="64"/>
  <c r="E528" i="64"/>
  <c r="E527" i="64"/>
  <c r="E526" i="64"/>
  <c r="E525" i="64"/>
  <c r="E524" i="64"/>
  <c r="E523" i="64"/>
  <c r="E522" i="64"/>
  <c r="E521" i="64"/>
  <c r="E520" i="64"/>
  <c r="E519" i="64"/>
  <c r="E518" i="64"/>
  <c r="E517" i="64"/>
  <c r="E516" i="64"/>
  <c r="E515" i="64"/>
  <c r="E514" i="64"/>
  <c r="E513" i="64"/>
  <c r="E512" i="64"/>
  <c r="E511" i="64"/>
  <c r="E510" i="64"/>
  <c r="E509" i="64"/>
  <c r="E508" i="64"/>
  <c r="E507" i="64"/>
  <c r="E506" i="64"/>
  <c r="E505" i="64"/>
  <c r="E504" i="64"/>
  <c r="E503" i="64"/>
  <c r="E502" i="64"/>
  <c r="E501" i="64"/>
  <c r="E500" i="64"/>
  <c r="E499" i="64"/>
  <c r="E498" i="64"/>
  <c r="E497" i="64"/>
  <c r="E496" i="64"/>
  <c r="E495" i="64"/>
  <c r="E494" i="64"/>
  <c r="E493" i="64"/>
  <c r="E492" i="64"/>
  <c r="E491" i="64"/>
  <c r="E490" i="64"/>
  <c r="E489" i="64"/>
  <c r="E488" i="64"/>
  <c r="E487" i="64"/>
  <c r="E486" i="64"/>
  <c r="E485" i="64"/>
  <c r="E484" i="64"/>
  <c r="E483" i="64"/>
  <c r="E482" i="64"/>
  <c r="E481" i="64"/>
  <c r="E480" i="64"/>
  <c r="E479" i="64"/>
  <c r="E478" i="64"/>
  <c r="E477" i="64"/>
  <c r="E476" i="64"/>
  <c r="E475" i="64"/>
  <c r="E474" i="64"/>
  <c r="E473" i="64"/>
  <c r="E472" i="64"/>
  <c r="E471" i="64"/>
  <c r="E470" i="64"/>
  <c r="E469" i="64"/>
  <c r="E468" i="64"/>
  <c r="E467" i="64"/>
  <c r="E466" i="64"/>
  <c r="E465" i="64"/>
  <c r="E464" i="64"/>
  <c r="E463" i="64"/>
  <c r="E462" i="64"/>
  <c r="E461" i="64"/>
  <c r="E460" i="64"/>
  <c r="E459" i="64"/>
  <c r="E458" i="64"/>
  <c r="E457" i="64"/>
  <c r="E456" i="64"/>
  <c r="E455" i="64"/>
  <c r="E454" i="64"/>
  <c r="E453" i="64"/>
  <c r="E452" i="64"/>
  <c r="E451" i="64"/>
  <c r="E450" i="64"/>
  <c r="E449" i="64"/>
  <c r="E448" i="64"/>
  <c r="E447" i="64"/>
  <c r="E446" i="64"/>
  <c r="E445" i="64"/>
  <c r="E444" i="64"/>
  <c r="E443" i="64"/>
  <c r="E442" i="64"/>
  <c r="E441" i="64"/>
  <c r="E440" i="64"/>
  <c r="E439" i="64"/>
  <c r="E438" i="64"/>
  <c r="E437" i="64"/>
  <c r="E436" i="64"/>
  <c r="E435" i="64"/>
  <c r="E434" i="64"/>
  <c r="E433" i="64"/>
  <c r="E432" i="64"/>
  <c r="E431" i="64"/>
  <c r="E430" i="64"/>
  <c r="E429" i="64"/>
  <c r="E428" i="64"/>
  <c r="E427" i="64"/>
  <c r="E426" i="64"/>
  <c r="E425" i="64"/>
  <c r="E424" i="64"/>
  <c r="E423" i="64"/>
  <c r="E422" i="64"/>
  <c r="E421" i="64"/>
  <c r="E420" i="64"/>
  <c r="E419" i="64"/>
  <c r="E418" i="64"/>
  <c r="E417" i="64"/>
  <c r="E416" i="64"/>
  <c r="E415" i="64"/>
  <c r="E414" i="64"/>
  <c r="E413" i="64"/>
  <c r="E412" i="64"/>
  <c r="E411" i="64"/>
  <c r="E410" i="64"/>
  <c r="E409" i="64"/>
  <c r="E408" i="64"/>
  <c r="E407" i="64"/>
  <c r="E406" i="64"/>
  <c r="E405" i="64"/>
  <c r="E404" i="64"/>
  <c r="E403" i="64"/>
  <c r="E402" i="64"/>
  <c r="E401" i="64"/>
  <c r="E400" i="64"/>
  <c r="E399" i="64"/>
  <c r="E398" i="64"/>
  <c r="E397" i="64"/>
  <c r="E396" i="64"/>
  <c r="E395" i="64"/>
  <c r="E394" i="64"/>
  <c r="E393" i="64"/>
  <c r="E392" i="64"/>
  <c r="E391" i="64"/>
  <c r="E390" i="64"/>
  <c r="E389" i="64"/>
  <c r="E388" i="64"/>
  <c r="E387" i="64"/>
  <c r="E386" i="64"/>
  <c r="E385" i="64"/>
  <c r="E384" i="64"/>
  <c r="E383" i="64"/>
  <c r="E382" i="64"/>
  <c r="E381" i="64"/>
  <c r="E380" i="64"/>
  <c r="E379" i="64"/>
  <c r="E378" i="64"/>
  <c r="E377" i="64"/>
  <c r="E376" i="64"/>
  <c r="E375" i="64"/>
  <c r="E374" i="64"/>
  <c r="E373" i="64"/>
  <c r="E372" i="64"/>
  <c r="E371" i="64"/>
  <c r="E370" i="64"/>
  <c r="E369" i="64"/>
  <c r="E368" i="64"/>
  <c r="E367" i="64"/>
  <c r="E366" i="64"/>
  <c r="E365" i="64"/>
  <c r="E364" i="64"/>
  <c r="E363" i="64"/>
  <c r="E362" i="64"/>
  <c r="E361" i="64"/>
  <c r="E360" i="64"/>
  <c r="E359" i="64"/>
  <c r="E358" i="64"/>
  <c r="E357" i="64"/>
  <c r="E356" i="64"/>
  <c r="E355" i="64"/>
  <c r="E354" i="64"/>
  <c r="E353" i="64"/>
  <c r="E352" i="64"/>
  <c r="E351" i="64"/>
  <c r="E350" i="64"/>
  <c r="E349" i="64"/>
  <c r="E348" i="64"/>
  <c r="E347" i="64"/>
  <c r="E346" i="64"/>
  <c r="E345" i="64"/>
  <c r="E344" i="64"/>
  <c r="E343" i="64"/>
  <c r="E342" i="64"/>
  <c r="E341" i="64"/>
  <c r="E340" i="64"/>
  <c r="E339" i="64"/>
  <c r="E338" i="64"/>
  <c r="E337" i="64"/>
  <c r="E336" i="64"/>
  <c r="E335" i="64"/>
  <c r="E334" i="64"/>
  <c r="E333" i="64"/>
  <c r="E332" i="64"/>
  <c r="E331" i="64"/>
  <c r="E330" i="64"/>
  <c r="E329" i="64"/>
  <c r="E328" i="64"/>
  <c r="E327" i="64"/>
  <c r="E326" i="64"/>
  <c r="E325" i="64"/>
  <c r="E324" i="64"/>
  <c r="E323" i="64"/>
  <c r="E322" i="64"/>
  <c r="E321" i="64"/>
  <c r="E320" i="64"/>
  <c r="E319" i="64"/>
  <c r="E318" i="64"/>
  <c r="E317" i="64"/>
  <c r="E316" i="64"/>
  <c r="E315" i="64"/>
  <c r="E314" i="64"/>
  <c r="E313" i="64"/>
  <c r="E312" i="64"/>
  <c r="E311" i="64"/>
  <c r="E310" i="64"/>
  <c r="E309" i="64"/>
  <c r="E308" i="64"/>
  <c r="E307" i="64"/>
  <c r="E306" i="64"/>
  <c r="E305" i="64"/>
  <c r="E304" i="64"/>
  <c r="E303" i="64"/>
  <c r="E302" i="64"/>
  <c r="E301" i="64"/>
  <c r="E300" i="64"/>
  <c r="E299" i="64"/>
  <c r="E298" i="64"/>
  <c r="E297" i="64"/>
  <c r="E296" i="64"/>
  <c r="E295" i="64"/>
  <c r="E294" i="64"/>
  <c r="E293" i="64"/>
  <c r="E292" i="64"/>
  <c r="E291" i="64"/>
  <c r="E290" i="64"/>
  <c r="E289" i="64"/>
  <c r="E288" i="64"/>
  <c r="E287" i="64"/>
  <c r="E286" i="64"/>
  <c r="E285" i="64"/>
  <c r="E284" i="64"/>
  <c r="E283" i="64"/>
  <c r="E282" i="64"/>
  <c r="E281" i="64"/>
  <c r="E280" i="64"/>
  <c r="E279" i="64"/>
  <c r="E278" i="64"/>
  <c r="E277" i="64"/>
  <c r="E276" i="64"/>
  <c r="E275" i="64"/>
  <c r="E274" i="64"/>
  <c r="E273" i="64"/>
  <c r="E272" i="64"/>
  <c r="E271" i="64"/>
  <c r="E270" i="64"/>
  <c r="E269" i="64"/>
  <c r="E268" i="64"/>
  <c r="E267" i="64"/>
  <c r="E266" i="64"/>
  <c r="E265" i="64"/>
  <c r="E264" i="64"/>
  <c r="E263" i="64"/>
  <c r="E262" i="64"/>
  <c r="E261" i="64"/>
  <c r="E260" i="64"/>
  <c r="E259" i="64"/>
  <c r="E258" i="64"/>
  <c r="E257" i="64"/>
  <c r="E256" i="64"/>
  <c r="E255" i="64"/>
  <c r="E254" i="64"/>
  <c r="E253" i="64"/>
  <c r="E252" i="64"/>
  <c r="E251" i="64"/>
  <c r="E250" i="64"/>
  <c r="E249" i="64"/>
  <c r="E248" i="64"/>
  <c r="E247" i="64"/>
  <c r="E246" i="64"/>
  <c r="E245" i="64"/>
  <c r="E244" i="64"/>
  <c r="E243" i="64"/>
  <c r="E242" i="64"/>
  <c r="E241" i="64"/>
  <c r="E240" i="64"/>
  <c r="E239" i="64"/>
  <c r="E238" i="64"/>
  <c r="E237" i="64"/>
  <c r="E236" i="64"/>
  <c r="E235" i="64"/>
  <c r="E234" i="64"/>
  <c r="E233" i="64"/>
  <c r="E232" i="64"/>
  <c r="E231" i="64"/>
  <c r="E230" i="64"/>
  <c r="E229" i="64"/>
  <c r="E228" i="64"/>
  <c r="E227" i="64"/>
  <c r="E226" i="64"/>
  <c r="E225" i="64"/>
  <c r="E224" i="64"/>
  <c r="E223" i="64"/>
  <c r="E222" i="64"/>
  <c r="E221" i="64"/>
  <c r="E220" i="64"/>
  <c r="E219" i="64"/>
  <c r="E218" i="64"/>
  <c r="E217" i="64"/>
  <c r="E216" i="64"/>
  <c r="E215" i="64"/>
  <c r="E214" i="64"/>
  <c r="E213" i="64"/>
  <c r="E212" i="64"/>
  <c r="E211" i="64"/>
  <c r="E210" i="64"/>
  <c r="E209" i="64"/>
  <c r="E208" i="64"/>
  <c r="E207" i="64"/>
  <c r="E206" i="64"/>
  <c r="E205" i="64"/>
  <c r="E204" i="64"/>
  <c r="E203" i="64"/>
  <c r="E202" i="64"/>
  <c r="E201" i="64"/>
  <c r="E200" i="64"/>
  <c r="E199" i="64"/>
  <c r="E198" i="64"/>
  <c r="E197" i="64"/>
  <c r="E196" i="64"/>
  <c r="E195" i="64"/>
  <c r="E194" i="64"/>
  <c r="E193" i="64"/>
  <c r="E192" i="64"/>
  <c r="E191" i="64"/>
  <c r="E190" i="64"/>
  <c r="E189" i="64"/>
  <c r="E188" i="64"/>
  <c r="E187" i="64"/>
  <c r="E186" i="64"/>
  <c r="E185" i="64"/>
  <c r="E184" i="64"/>
  <c r="E183" i="64"/>
  <c r="E182" i="64"/>
  <c r="E181" i="64"/>
  <c r="E180" i="64"/>
  <c r="E179" i="64"/>
  <c r="E178" i="64"/>
  <c r="E177" i="64"/>
  <c r="E176" i="64"/>
  <c r="E175" i="64"/>
  <c r="E174" i="64"/>
  <c r="E173" i="64"/>
  <c r="E172" i="64"/>
  <c r="E171" i="64"/>
  <c r="E170" i="64"/>
  <c r="E169" i="64"/>
  <c r="E168" i="64"/>
  <c r="E167" i="64"/>
  <c r="E166" i="64"/>
  <c r="E165" i="64"/>
  <c r="E164" i="64"/>
  <c r="E163" i="64"/>
  <c r="E162" i="64"/>
  <c r="E161" i="64"/>
  <c r="E160" i="64"/>
  <c r="E159" i="64"/>
  <c r="E158" i="64"/>
  <c r="E157" i="64"/>
  <c r="E156" i="64"/>
  <c r="E155" i="64"/>
  <c r="E154" i="64"/>
  <c r="E153" i="64"/>
  <c r="E152" i="64"/>
  <c r="E151" i="64"/>
  <c r="E150" i="64"/>
  <c r="E149" i="64"/>
  <c r="E148" i="64"/>
  <c r="E147" i="64"/>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13" i="64"/>
  <c r="E112" i="64"/>
  <c r="E111" i="64"/>
  <c r="E110" i="64"/>
  <c r="E109" i="64"/>
  <c r="E108" i="64"/>
  <c r="E107" i="64"/>
  <c r="E106" i="64"/>
  <c r="E105" i="64"/>
  <c r="E104" i="64"/>
  <c r="E103" i="64"/>
  <c r="E102" i="64"/>
  <c r="E101" i="64"/>
  <c r="E100" i="64"/>
  <c r="E99" i="64"/>
  <c r="E98" i="64"/>
  <c r="E97" i="64"/>
  <c r="E96" i="64"/>
  <c r="E95" i="64"/>
  <c r="E94" i="64"/>
  <c r="E93" i="64"/>
  <c r="E92" i="64"/>
  <c r="E91" i="64"/>
  <c r="E90" i="64"/>
  <c r="E89" i="64"/>
  <c r="E88" i="64"/>
  <c r="E87" i="64"/>
  <c r="E86" i="64"/>
  <c r="E85" i="64"/>
  <c r="E84" i="64"/>
  <c r="E83" i="64"/>
  <c r="E82" i="64"/>
  <c r="E81" i="64"/>
  <c r="E80" i="64"/>
  <c r="E79" i="64"/>
  <c r="E78" i="64"/>
  <c r="E77" i="64"/>
  <c r="E76" i="64"/>
  <c r="E75" i="64"/>
  <c r="E74" i="64"/>
  <c r="E73" i="64"/>
  <c r="E72" i="64"/>
  <c r="E71" i="64"/>
  <c r="E70" i="64"/>
  <c r="E69" i="64"/>
  <c r="E68" i="64"/>
  <c r="E67" i="64"/>
  <c r="E66" i="64"/>
  <c r="E65" i="64"/>
  <c r="E64" i="64"/>
  <c r="E63" i="64"/>
  <c r="E62" i="64"/>
  <c r="E61" i="64"/>
  <c r="E60" i="64"/>
  <c r="E59" i="64"/>
  <c r="E58" i="64"/>
  <c r="E57" i="64"/>
  <c r="E56" i="64"/>
  <c r="E55" i="64"/>
  <c r="E54" i="64"/>
  <c r="E53" i="64"/>
  <c r="E52" i="64"/>
  <c r="E51" i="64"/>
  <c r="E50" i="64"/>
  <c r="E49" i="64"/>
  <c r="E48" i="64"/>
  <c r="E47" i="64"/>
  <c r="E46" i="64"/>
  <c r="E45" i="64"/>
  <c r="E44" i="64"/>
  <c r="E43" i="64"/>
  <c r="E42" i="64"/>
  <c r="E41" i="64"/>
  <c r="E40" i="64"/>
  <c r="E39" i="64"/>
  <c r="E38" i="64"/>
  <c r="E37" i="64"/>
  <c r="E36" i="64"/>
  <c r="E35" i="64"/>
  <c r="E34" i="64"/>
  <c r="E33" i="64"/>
  <c r="E32" i="64"/>
  <c r="E31" i="64"/>
  <c r="E30" i="64"/>
  <c r="E29" i="64"/>
  <c r="E28" i="64"/>
  <c r="E27" i="64"/>
  <c r="E26" i="64"/>
  <c r="E25" i="64"/>
  <c r="E24" i="64"/>
  <c r="E23" i="64"/>
  <c r="E22" i="64"/>
  <c r="E21" i="64"/>
  <c r="E20" i="64"/>
  <c r="E19" i="64"/>
  <c r="E18" i="64"/>
  <c r="E17" i="64"/>
  <c r="E16" i="64"/>
  <c r="E15" i="64"/>
  <c r="E14" i="64"/>
  <c r="E13" i="64"/>
  <c r="E12" i="64"/>
  <c r="E11" i="64"/>
  <c r="E10" i="64"/>
  <c r="E9" i="64"/>
  <c r="E8" i="64"/>
  <c r="E7" i="64"/>
  <c r="E6" i="64"/>
  <c r="E5" i="64"/>
  <c r="J806" i="62"/>
  <c r="F806" i="62"/>
  <c r="D806" i="62"/>
  <c r="J805" i="62"/>
  <c r="F805" i="62"/>
  <c r="D805" i="62"/>
  <c r="J804" i="62"/>
  <c r="F804" i="62"/>
  <c r="D804" i="62"/>
  <c r="J803" i="62"/>
  <c r="F803" i="62"/>
  <c r="D803" i="62"/>
  <c r="J802" i="62"/>
  <c r="F802" i="62"/>
  <c r="D802" i="62"/>
  <c r="J801" i="62"/>
  <c r="F801" i="62"/>
  <c r="D801" i="62"/>
  <c r="J800" i="62"/>
  <c r="F800" i="62"/>
  <c r="D800" i="62"/>
  <c r="J799" i="62"/>
  <c r="F799" i="62"/>
  <c r="D799" i="62"/>
  <c r="J798" i="62"/>
  <c r="F798" i="62"/>
  <c r="D798" i="62"/>
  <c r="J797" i="62"/>
  <c r="F797" i="62"/>
  <c r="D797" i="62"/>
  <c r="J796" i="62"/>
  <c r="F796" i="62"/>
  <c r="D796" i="62"/>
  <c r="J795" i="62"/>
  <c r="F795" i="62"/>
  <c r="D795" i="62"/>
  <c r="J794" i="62"/>
  <c r="F794" i="62"/>
  <c r="D794" i="62"/>
  <c r="J793" i="62"/>
  <c r="F793" i="62"/>
  <c r="D793" i="62"/>
  <c r="J792" i="62"/>
  <c r="F792" i="62"/>
  <c r="D792" i="62"/>
  <c r="J791" i="62"/>
  <c r="F791" i="62"/>
  <c r="D791" i="62"/>
  <c r="J790" i="62"/>
  <c r="F790" i="62"/>
  <c r="D790" i="62"/>
  <c r="J789" i="62"/>
  <c r="F789" i="62"/>
  <c r="D789" i="62"/>
  <c r="J788" i="62"/>
  <c r="F788" i="62"/>
  <c r="D788" i="62"/>
  <c r="J787" i="62"/>
  <c r="F787" i="62"/>
  <c r="D787" i="62"/>
  <c r="J786" i="62"/>
  <c r="F786" i="62"/>
  <c r="D786" i="62"/>
  <c r="J785" i="62"/>
  <c r="F785" i="62"/>
  <c r="D785" i="62"/>
  <c r="J784" i="62"/>
  <c r="F784" i="62"/>
  <c r="D784" i="62"/>
  <c r="J783" i="62"/>
  <c r="F783" i="62"/>
  <c r="D783" i="62"/>
  <c r="J782" i="62"/>
  <c r="F782" i="62"/>
  <c r="D782" i="62"/>
  <c r="J781" i="62"/>
  <c r="F781" i="62"/>
  <c r="D781" i="62"/>
  <c r="J780" i="62"/>
  <c r="F780" i="62"/>
  <c r="D780" i="62"/>
  <c r="J779" i="62"/>
  <c r="F779" i="62"/>
  <c r="D779" i="62"/>
  <c r="J778" i="62"/>
  <c r="F778" i="62"/>
  <c r="D778" i="62"/>
  <c r="J777" i="62"/>
  <c r="F777" i="62"/>
  <c r="D777" i="62"/>
  <c r="J776" i="62"/>
  <c r="F776" i="62"/>
  <c r="D776" i="62"/>
  <c r="J775" i="62"/>
  <c r="F775" i="62"/>
  <c r="D775" i="62"/>
  <c r="J774" i="62"/>
  <c r="F774" i="62"/>
  <c r="D774" i="62"/>
  <c r="J773" i="62"/>
  <c r="F773" i="62"/>
  <c r="D773" i="62"/>
  <c r="J772" i="62"/>
  <c r="F772" i="62"/>
  <c r="D772" i="62"/>
  <c r="J771" i="62"/>
  <c r="F771" i="62"/>
  <c r="D771" i="62"/>
  <c r="J770" i="62"/>
  <c r="F770" i="62"/>
  <c r="D770" i="62"/>
  <c r="J769" i="62"/>
  <c r="F769" i="62"/>
  <c r="D769" i="62"/>
  <c r="J768" i="62"/>
  <c r="F768" i="62"/>
  <c r="D768" i="62"/>
  <c r="J767" i="62"/>
  <c r="F767" i="62"/>
  <c r="D767" i="62"/>
  <c r="J766" i="62"/>
  <c r="F766" i="62"/>
  <c r="D766" i="62"/>
  <c r="J765" i="62"/>
  <c r="F765" i="62"/>
  <c r="D765" i="62"/>
  <c r="J764" i="62"/>
  <c r="F764" i="62"/>
  <c r="D764" i="62"/>
  <c r="J763" i="62"/>
  <c r="F763" i="62"/>
  <c r="D763" i="62"/>
  <c r="J762" i="62"/>
  <c r="F762" i="62"/>
  <c r="D762" i="62"/>
  <c r="J761" i="62"/>
  <c r="F761" i="62"/>
  <c r="D761" i="62"/>
  <c r="J760" i="62"/>
  <c r="F760" i="62"/>
  <c r="D760" i="62"/>
  <c r="J759" i="62"/>
  <c r="F759" i="62"/>
  <c r="D759" i="62"/>
  <c r="J758" i="62"/>
  <c r="F758" i="62"/>
  <c r="D758" i="62"/>
  <c r="J757" i="62"/>
  <c r="F757" i="62"/>
  <c r="D757" i="62"/>
  <c r="J756" i="62"/>
  <c r="F756" i="62"/>
  <c r="D756" i="62"/>
  <c r="J755" i="62"/>
  <c r="F755" i="62"/>
  <c r="D755" i="62"/>
  <c r="J754" i="62"/>
  <c r="F754" i="62"/>
  <c r="D754" i="62"/>
  <c r="J753" i="62"/>
  <c r="F753" i="62"/>
  <c r="D753" i="62"/>
  <c r="J752" i="62"/>
  <c r="F752" i="62"/>
  <c r="D752" i="62"/>
  <c r="J751" i="62"/>
  <c r="F751" i="62"/>
  <c r="D751" i="62"/>
  <c r="J750" i="62"/>
  <c r="F750" i="62"/>
  <c r="D750" i="62"/>
  <c r="J749" i="62"/>
  <c r="F749" i="62"/>
  <c r="D749" i="62"/>
  <c r="J748" i="62"/>
  <c r="F748" i="62"/>
  <c r="D748" i="62"/>
  <c r="J747" i="62"/>
  <c r="F747" i="62"/>
  <c r="D747" i="62"/>
  <c r="J746" i="62"/>
  <c r="F746" i="62"/>
  <c r="D746" i="62"/>
  <c r="J745" i="62"/>
  <c r="F745" i="62"/>
  <c r="D745" i="62"/>
  <c r="J744" i="62"/>
  <c r="F744" i="62"/>
  <c r="D744" i="62"/>
  <c r="J743" i="62"/>
  <c r="F743" i="62"/>
  <c r="D743" i="62"/>
  <c r="J742" i="62"/>
  <c r="F742" i="62"/>
  <c r="D742" i="62"/>
  <c r="J741" i="62"/>
  <c r="F741" i="62"/>
  <c r="D741" i="62"/>
  <c r="J740" i="62"/>
  <c r="F740" i="62"/>
  <c r="D740" i="62"/>
  <c r="J739" i="62"/>
  <c r="F739" i="62"/>
  <c r="D739" i="62"/>
  <c r="J738" i="62"/>
  <c r="F738" i="62"/>
  <c r="D738" i="62"/>
  <c r="J737" i="62"/>
  <c r="F737" i="62"/>
  <c r="D737" i="62"/>
  <c r="J736" i="62"/>
  <c r="F736" i="62"/>
  <c r="D736" i="62"/>
  <c r="J735" i="62"/>
  <c r="F735" i="62"/>
  <c r="D735" i="62"/>
  <c r="J734" i="62"/>
  <c r="F734" i="62"/>
  <c r="D734" i="62"/>
  <c r="J733" i="62"/>
  <c r="F733" i="62"/>
  <c r="D733" i="62"/>
  <c r="J732" i="62"/>
  <c r="F732" i="62"/>
  <c r="D732" i="62"/>
  <c r="J731" i="62"/>
  <c r="F731" i="62"/>
  <c r="D731" i="62"/>
  <c r="J730" i="62"/>
  <c r="F730" i="62"/>
  <c r="D730" i="62"/>
  <c r="J729" i="62"/>
  <c r="F729" i="62"/>
  <c r="D729" i="62"/>
  <c r="J728" i="62"/>
  <c r="F728" i="62"/>
  <c r="D728" i="62"/>
  <c r="J727" i="62"/>
  <c r="F727" i="62"/>
  <c r="D727" i="62"/>
  <c r="J726" i="62"/>
  <c r="F726" i="62"/>
  <c r="D726" i="62"/>
  <c r="J725" i="62"/>
  <c r="F725" i="62"/>
  <c r="D725" i="62"/>
  <c r="J724" i="62"/>
  <c r="F724" i="62"/>
  <c r="D724" i="62"/>
  <c r="J723" i="62"/>
  <c r="F723" i="62"/>
  <c r="D723" i="62"/>
  <c r="J722" i="62"/>
  <c r="F722" i="62"/>
  <c r="D722" i="62"/>
  <c r="J721" i="62"/>
  <c r="F721" i="62"/>
  <c r="D721" i="62"/>
  <c r="J720" i="62"/>
  <c r="F720" i="62"/>
  <c r="D720" i="62"/>
  <c r="J719" i="62"/>
  <c r="F719" i="62"/>
  <c r="D719" i="62"/>
  <c r="J718" i="62"/>
  <c r="F718" i="62"/>
  <c r="D718" i="62"/>
  <c r="J717" i="62"/>
  <c r="F717" i="62"/>
  <c r="D717" i="62"/>
  <c r="J716" i="62"/>
  <c r="F716" i="62"/>
  <c r="D716" i="62"/>
  <c r="J715" i="62"/>
  <c r="F715" i="62"/>
  <c r="D715" i="62"/>
  <c r="J714" i="62"/>
  <c r="F714" i="62"/>
  <c r="D714" i="62"/>
  <c r="J713" i="62"/>
  <c r="F713" i="62"/>
  <c r="D713" i="62"/>
  <c r="J712" i="62"/>
  <c r="F712" i="62"/>
  <c r="D712" i="62"/>
  <c r="J711" i="62"/>
  <c r="F711" i="62"/>
  <c r="D711" i="62"/>
  <c r="J710" i="62"/>
  <c r="F710" i="62"/>
  <c r="D710" i="62"/>
  <c r="J709" i="62"/>
  <c r="F709" i="62"/>
  <c r="D709" i="62"/>
  <c r="J708" i="62"/>
  <c r="F708" i="62"/>
  <c r="D708" i="62"/>
  <c r="J707" i="62"/>
  <c r="F707" i="62"/>
  <c r="D707" i="62"/>
  <c r="J706" i="62"/>
  <c r="F706" i="62"/>
  <c r="D706" i="62"/>
  <c r="J705" i="62"/>
  <c r="F705" i="62"/>
  <c r="D705" i="62"/>
  <c r="J704" i="62"/>
  <c r="F704" i="62"/>
  <c r="D704" i="62"/>
  <c r="J703" i="62"/>
  <c r="F703" i="62"/>
  <c r="D703" i="62"/>
  <c r="J702" i="62"/>
  <c r="F702" i="62"/>
  <c r="D702" i="62"/>
  <c r="J701" i="62"/>
  <c r="F701" i="62"/>
  <c r="D701" i="62"/>
  <c r="J700" i="62"/>
  <c r="F700" i="62"/>
  <c r="D700" i="62"/>
  <c r="J699" i="62"/>
  <c r="F699" i="62"/>
  <c r="D699" i="62"/>
  <c r="J698" i="62"/>
  <c r="F698" i="62"/>
  <c r="D698" i="62"/>
  <c r="J697" i="62"/>
  <c r="F697" i="62"/>
  <c r="D697" i="62"/>
  <c r="J696" i="62"/>
  <c r="F696" i="62"/>
  <c r="D696" i="62"/>
  <c r="J695" i="62"/>
  <c r="F695" i="62"/>
  <c r="D695" i="62"/>
  <c r="J694" i="62"/>
  <c r="F694" i="62"/>
  <c r="D694" i="62"/>
  <c r="J693" i="62"/>
  <c r="F693" i="62"/>
  <c r="D693" i="62"/>
  <c r="J692" i="62"/>
  <c r="F692" i="62"/>
  <c r="D692" i="62"/>
  <c r="J691" i="62"/>
  <c r="F691" i="62"/>
  <c r="D691" i="62"/>
  <c r="J690" i="62"/>
  <c r="F690" i="62"/>
  <c r="D690" i="62"/>
  <c r="J689" i="62"/>
  <c r="F689" i="62"/>
  <c r="D689" i="62"/>
  <c r="J688" i="62"/>
  <c r="F688" i="62"/>
  <c r="D688" i="62"/>
  <c r="J687" i="62"/>
  <c r="F687" i="62"/>
  <c r="D687" i="62"/>
  <c r="J686" i="62"/>
  <c r="F686" i="62"/>
  <c r="D686" i="62"/>
  <c r="J685" i="62"/>
  <c r="F685" i="62"/>
  <c r="D685" i="62"/>
  <c r="J684" i="62"/>
  <c r="F684" i="62"/>
  <c r="D684" i="62"/>
  <c r="J683" i="62"/>
  <c r="F683" i="62"/>
  <c r="D683" i="62"/>
  <c r="J682" i="62"/>
  <c r="F682" i="62"/>
  <c r="D682" i="62"/>
  <c r="J681" i="62"/>
  <c r="F681" i="62"/>
  <c r="D681" i="62"/>
  <c r="J680" i="62"/>
  <c r="F680" i="62"/>
  <c r="D680" i="62"/>
  <c r="J679" i="62"/>
  <c r="F679" i="62"/>
  <c r="D679" i="62"/>
  <c r="J678" i="62"/>
  <c r="F678" i="62"/>
  <c r="D678" i="62"/>
  <c r="J677" i="62"/>
  <c r="F677" i="62"/>
  <c r="D677" i="62"/>
  <c r="J676" i="62"/>
  <c r="F676" i="62"/>
  <c r="D676" i="62"/>
  <c r="J675" i="62"/>
  <c r="F675" i="62"/>
  <c r="D675" i="62"/>
  <c r="J674" i="62"/>
  <c r="F674" i="62"/>
  <c r="D674" i="62"/>
  <c r="J673" i="62"/>
  <c r="F673" i="62"/>
  <c r="D673" i="62"/>
  <c r="J672" i="62"/>
  <c r="F672" i="62"/>
  <c r="D672" i="62"/>
  <c r="J671" i="62"/>
  <c r="F671" i="62"/>
  <c r="D671" i="62"/>
  <c r="J670" i="62"/>
  <c r="F670" i="62"/>
  <c r="D670" i="62"/>
  <c r="J669" i="62"/>
  <c r="F669" i="62"/>
  <c r="D669" i="62"/>
  <c r="J668" i="62"/>
  <c r="F668" i="62"/>
  <c r="D668" i="62"/>
  <c r="J667" i="62"/>
  <c r="F667" i="62"/>
  <c r="D667" i="62"/>
  <c r="J666" i="62"/>
  <c r="F666" i="62"/>
  <c r="D666" i="62"/>
  <c r="J665" i="62"/>
  <c r="F665" i="62"/>
  <c r="D665" i="62"/>
  <c r="J664" i="62"/>
  <c r="F664" i="62"/>
  <c r="D664" i="62"/>
  <c r="J663" i="62"/>
  <c r="F663" i="62"/>
  <c r="D663" i="62"/>
  <c r="J662" i="62"/>
  <c r="F662" i="62"/>
  <c r="D662" i="62"/>
  <c r="J661" i="62"/>
  <c r="F661" i="62"/>
  <c r="D661" i="62"/>
  <c r="J660" i="62"/>
  <c r="F660" i="62"/>
  <c r="D660" i="62"/>
  <c r="J659" i="62"/>
  <c r="F659" i="62"/>
  <c r="D659" i="62"/>
  <c r="J658" i="62"/>
  <c r="F658" i="62"/>
  <c r="D658" i="62"/>
  <c r="J657" i="62"/>
  <c r="F657" i="62"/>
  <c r="D657" i="62"/>
  <c r="J656" i="62"/>
  <c r="F656" i="62"/>
  <c r="D656" i="62"/>
  <c r="J655" i="62"/>
  <c r="F655" i="62"/>
  <c r="D655" i="62"/>
  <c r="J654" i="62"/>
  <c r="F654" i="62"/>
  <c r="D654" i="62"/>
  <c r="J653" i="62"/>
  <c r="F653" i="62"/>
  <c r="D653" i="62"/>
  <c r="J652" i="62"/>
  <c r="F652" i="62"/>
  <c r="D652" i="62"/>
  <c r="J651" i="62"/>
  <c r="F651" i="62"/>
  <c r="D651" i="62"/>
  <c r="J650" i="62"/>
  <c r="F650" i="62"/>
  <c r="D650" i="62"/>
  <c r="J649" i="62"/>
  <c r="F649" i="62"/>
  <c r="D649" i="62"/>
  <c r="J648" i="62"/>
  <c r="F648" i="62"/>
  <c r="D648" i="62"/>
  <c r="J647" i="62"/>
  <c r="F647" i="62"/>
  <c r="D647" i="62"/>
  <c r="J646" i="62"/>
  <c r="F646" i="62"/>
  <c r="D646" i="62"/>
  <c r="J645" i="62"/>
  <c r="F645" i="62"/>
  <c r="D645" i="62"/>
  <c r="J644" i="62"/>
  <c r="F644" i="62"/>
  <c r="D644" i="62"/>
  <c r="J643" i="62"/>
  <c r="F643" i="62"/>
  <c r="D643" i="62"/>
  <c r="J642" i="62"/>
  <c r="F642" i="62"/>
  <c r="D642" i="62"/>
  <c r="J641" i="62"/>
  <c r="F641" i="62"/>
  <c r="D641" i="62"/>
  <c r="J640" i="62"/>
  <c r="F640" i="62"/>
  <c r="D640" i="62"/>
  <c r="J639" i="62"/>
  <c r="F639" i="62"/>
  <c r="D639" i="62"/>
  <c r="J638" i="62"/>
  <c r="F638" i="62"/>
  <c r="D638" i="62"/>
  <c r="J637" i="62"/>
  <c r="F637" i="62"/>
  <c r="D637" i="62"/>
  <c r="J636" i="62"/>
  <c r="F636" i="62"/>
  <c r="D636" i="62"/>
  <c r="J635" i="62"/>
  <c r="F635" i="62"/>
  <c r="D635" i="62"/>
  <c r="J634" i="62"/>
  <c r="F634" i="62"/>
  <c r="D634" i="62"/>
  <c r="J633" i="62"/>
  <c r="F633" i="62"/>
  <c r="D633" i="62"/>
  <c r="J632" i="62"/>
  <c r="F632" i="62"/>
  <c r="D632" i="62"/>
  <c r="J631" i="62"/>
  <c r="F631" i="62"/>
  <c r="D631" i="62"/>
  <c r="J630" i="62"/>
  <c r="F630" i="62"/>
  <c r="D630" i="62"/>
  <c r="J629" i="62"/>
  <c r="F629" i="62"/>
  <c r="D629" i="62"/>
  <c r="J628" i="62"/>
  <c r="F628" i="62"/>
  <c r="D628" i="62"/>
  <c r="J627" i="62"/>
  <c r="F627" i="62"/>
  <c r="D627" i="62"/>
  <c r="J626" i="62"/>
  <c r="F626" i="62"/>
  <c r="D626" i="62"/>
  <c r="J625" i="62"/>
  <c r="F625" i="62"/>
  <c r="D625" i="62"/>
  <c r="J624" i="62"/>
  <c r="F624" i="62"/>
  <c r="D624" i="62"/>
  <c r="J623" i="62"/>
  <c r="F623" i="62"/>
  <c r="D623" i="62"/>
  <c r="J622" i="62"/>
  <c r="F622" i="62"/>
  <c r="D622" i="62"/>
  <c r="J621" i="62"/>
  <c r="F621" i="62"/>
  <c r="D621" i="62"/>
  <c r="J620" i="62"/>
  <c r="F620" i="62"/>
  <c r="D620" i="62"/>
  <c r="J619" i="62"/>
  <c r="F619" i="62"/>
  <c r="D619" i="62"/>
  <c r="J618" i="62"/>
  <c r="F618" i="62"/>
  <c r="D618" i="62"/>
  <c r="J617" i="62"/>
  <c r="F617" i="62"/>
  <c r="D617" i="62"/>
  <c r="J616" i="62"/>
  <c r="F616" i="62"/>
  <c r="D616" i="62"/>
  <c r="J615" i="62"/>
  <c r="F615" i="62"/>
  <c r="D615" i="62"/>
  <c r="J614" i="62"/>
  <c r="F614" i="62"/>
  <c r="D614" i="62"/>
  <c r="J613" i="62"/>
  <c r="F613" i="62"/>
  <c r="D613" i="62"/>
  <c r="J612" i="62"/>
  <c r="F612" i="62"/>
  <c r="D612" i="62"/>
  <c r="J611" i="62"/>
  <c r="F611" i="62"/>
  <c r="D611" i="62"/>
  <c r="J610" i="62"/>
  <c r="F610" i="62"/>
  <c r="D610" i="62"/>
  <c r="J609" i="62"/>
  <c r="F609" i="62"/>
  <c r="D609" i="62"/>
  <c r="J608" i="62"/>
  <c r="F608" i="62"/>
  <c r="D608" i="62"/>
  <c r="J607" i="62"/>
  <c r="F607" i="62"/>
  <c r="D607" i="62"/>
  <c r="J606" i="62"/>
  <c r="F606" i="62"/>
  <c r="D606" i="62"/>
  <c r="J605" i="62"/>
  <c r="F605" i="62"/>
  <c r="D605" i="62"/>
  <c r="J604" i="62"/>
  <c r="F604" i="62"/>
  <c r="D604" i="62"/>
  <c r="J603" i="62"/>
  <c r="F603" i="62"/>
  <c r="D603" i="62"/>
  <c r="J602" i="62"/>
  <c r="F602" i="62"/>
  <c r="D602" i="62"/>
  <c r="J601" i="62"/>
  <c r="F601" i="62"/>
  <c r="D601" i="62"/>
  <c r="J600" i="62"/>
  <c r="F600" i="62"/>
  <c r="D600" i="62"/>
  <c r="J599" i="62"/>
  <c r="F599" i="62"/>
  <c r="D599" i="62"/>
  <c r="J598" i="62"/>
  <c r="F598" i="62"/>
  <c r="D598" i="62"/>
  <c r="J597" i="62"/>
  <c r="F597" i="62"/>
  <c r="D597" i="62"/>
  <c r="J596" i="62"/>
  <c r="F596" i="62"/>
  <c r="D596" i="62"/>
  <c r="J595" i="62"/>
  <c r="F595" i="62"/>
  <c r="D595" i="62"/>
  <c r="J594" i="62"/>
  <c r="F594" i="62"/>
  <c r="D594" i="62"/>
  <c r="J593" i="62"/>
  <c r="F593" i="62"/>
  <c r="D593" i="62"/>
  <c r="J592" i="62"/>
  <c r="F592" i="62"/>
  <c r="D592" i="62"/>
  <c r="J591" i="62"/>
  <c r="F591" i="62"/>
  <c r="D591" i="62"/>
  <c r="J590" i="62"/>
  <c r="F590" i="62"/>
  <c r="D590" i="62"/>
  <c r="J589" i="62"/>
  <c r="F589" i="62"/>
  <c r="D589" i="62"/>
  <c r="J588" i="62"/>
  <c r="F588" i="62"/>
  <c r="D588" i="62"/>
  <c r="J587" i="62"/>
  <c r="F587" i="62"/>
  <c r="D587" i="62"/>
  <c r="J586" i="62"/>
  <c r="F586" i="62"/>
  <c r="D586" i="62"/>
  <c r="J585" i="62"/>
  <c r="F585" i="62"/>
  <c r="D585" i="62"/>
  <c r="J584" i="62"/>
  <c r="F584" i="62"/>
  <c r="D584" i="62"/>
  <c r="J583" i="62"/>
  <c r="F583" i="62"/>
  <c r="D583" i="62"/>
  <c r="J582" i="62"/>
  <c r="F582" i="62"/>
  <c r="D582" i="62"/>
  <c r="J581" i="62"/>
  <c r="F581" i="62"/>
  <c r="D581" i="62"/>
  <c r="J580" i="62"/>
  <c r="F580" i="62"/>
  <c r="D580" i="62"/>
  <c r="J579" i="62"/>
  <c r="F579" i="62"/>
  <c r="D579" i="62"/>
  <c r="J578" i="62"/>
  <c r="F578" i="62"/>
  <c r="D578" i="62"/>
  <c r="J577" i="62"/>
  <c r="F577" i="62"/>
  <c r="D577" i="62"/>
  <c r="J576" i="62"/>
  <c r="F576" i="62"/>
  <c r="D576" i="62"/>
  <c r="J575" i="62"/>
  <c r="F575" i="62"/>
  <c r="D575" i="62"/>
  <c r="J574" i="62"/>
  <c r="F574" i="62"/>
  <c r="D574" i="62"/>
  <c r="J573" i="62"/>
  <c r="F573" i="62"/>
  <c r="D573" i="62"/>
  <c r="J572" i="62"/>
  <c r="F572" i="62"/>
  <c r="D572" i="62"/>
  <c r="J571" i="62"/>
  <c r="F571" i="62"/>
  <c r="D571" i="62"/>
  <c r="J570" i="62"/>
  <c r="F570" i="62"/>
  <c r="D570" i="62"/>
  <c r="J569" i="62"/>
  <c r="F569" i="62"/>
  <c r="D569" i="62"/>
  <c r="J568" i="62"/>
  <c r="F568" i="62"/>
  <c r="D568" i="62"/>
  <c r="J567" i="62"/>
  <c r="F567" i="62"/>
  <c r="D567" i="62"/>
  <c r="J566" i="62"/>
  <c r="F566" i="62"/>
  <c r="D566" i="62"/>
  <c r="J565" i="62"/>
  <c r="F565" i="62"/>
  <c r="D565" i="62"/>
  <c r="J564" i="62"/>
  <c r="F564" i="62"/>
  <c r="D564" i="62"/>
  <c r="J563" i="62"/>
  <c r="F563" i="62"/>
  <c r="D563" i="62"/>
  <c r="J562" i="62"/>
  <c r="F562" i="62"/>
  <c r="D562" i="62"/>
  <c r="J561" i="62"/>
  <c r="F561" i="62"/>
  <c r="D561" i="62"/>
  <c r="J560" i="62"/>
  <c r="F560" i="62"/>
  <c r="D560" i="62"/>
  <c r="J559" i="62"/>
  <c r="F559" i="62"/>
  <c r="D559" i="62"/>
  <c r="J558" i="62"/>
  <c r="F558" i="62"/>
  <c r="D558" i="62"/>
  <c r="J557" i="62"/>
  <c r="F557" i="62"/>
  <c r="D557" i="62"/>
  <c r="J556" i="62"/>
  <c r="F556" i="62"/>
  <c r="D556" i="62"/>
  <c r="J555" i="62"/>
  <c r="F555" i="62"/>
  <c r="D555" i="62"/>
  <c r="J554" i="62"/>
  <c r="F554" i="62"/>
  <c r="D554" i="62"/>
  <c r="J553" i="62"/>
  <c r="F553" i="62"/>
  <c r="D553" i="62"/>
  <c r="J552" i="62"/>
  <c r="F552" i="62"/>
  <c r="D552" i="62"/>
  <c r="J551" i="62"/>
  <c r="F551" i="62"/>
  <c r="D551" i="62"/>
  <c r="J550" i="62"/>
  <c r="F550" i="62"/>
  <c r="D550" i="62"/>
  <c r="J549" i="62"/>
  <c r="F549" i="62"/>
  <c r="D549" i="62"/>
  <c r="J548" i="62"/>
  <c r="F548" i="62"/>
  <c r="D548" i="62"/>
  <c r="J547" i="62"/>
  <c r="F547" i="62"/>
  <c r="D547" i="62"/>
  <c r="J546" i="62"/>
  <c r="F546" i="62"/>
  <c r="D546" i="62"/>
  <c r="J545" i="62"/>
  <c r="F545" i="62"/>
  <c r="D545" i="62"/>
  <c r="J544" i="62"/>
  <c r="F544" i="62"/>
  <c r="D544" i="62"/>
  <c r="J543" i="62"/>
  <c r="F543" i="62"/>
  <c r="D543" i="62"/>
  <c r="J542" i="62"/>
  <c r="F542" i="62"/>
  <c r="D542" i="62"/>
  <c r="J541" i="62"/>
  <c r="F541" i="62"/>
  <c r="D541" i="62"/>
  <c r="J540" i="62"/>
  <c r="F540" i="62"/>
  <c r="D540" i="62"/>
  <c r="J539" i="62"/>
  <c r="F539" i="62"/>
  <c r="D539" i="62"/>
  <c r="J538" i="62"/>
  <c r="F538" i="62"/>
  <c r="D538" i="62"/>
  <c r="J537" i="62"/>
  <c r="F537" i="62"/>
  <c r="D537" i="62"/>
  <c r="J536" i="62"/>
  <c r="F536" i="62"/>
  <c r="D536" i="62"/>
  <c r="J535" i="62"/>
  <c r="F535" i="62"/>
  <c r="D535" i="62"/>
  <c r="J534" i="62"/>
  <c r="F534" i="62"/>
  <c r="D534" i="62"/>
  <c r="J533" i="62"/>
  <c r="F533" i="62"/>
  <c r="D533" i="62"/>
  <c r="J532" i="62"/>
  <c r="F532" i="62"/>
  <c r="D532" i="62"/>
  <c r="J531" i="62"/>
  <c r="F531" i="62"/>
  <c r="D531" i="62"/>
  <c r="J530" i="62"/>
  <c r="F530" i="62"/>
  <c r="D530" i="62"/>
  <c r="J529" i="62"/>
  <c r="F529" i="62"/>
  <c r="D529" i="62"/>
  <c r="J528" i="62"/>
  <c r="F528" i="62"/>
  <c r="D528" i="62"/>
  <c r="J527" i="62"/>
  <c r="F527" i="62"/>
  <c r="D527" i="62"/>
  <c r="J526" i="62"/>
  <c r="F526" i="62"/>
  <c r="D526" i="62"/>
  <c r="J525" i="62"/>
  <c r="F525" i="62"/>
  <c r="D525" i="62"/>
  <c r="J524" i="62"/>
  <c r="F524" i="62"/>
  <c r="D524" i="62"/>
  <c r="J523" i="62"/>
  <c r="F523" i="62"/>
  <c r="D523" i="62"/>
  <c r="J522" i="62"/>
  <c r="F522" i="62"/>
  <c r="D522" i="62"/>
  <c r="J521" i="62"/>
  <c r="F521" i="62"/>
  <c r="D521" i="62"/>
  <c r="J520" i="62"/>
  <c r="F520" i="62"/>
  <c r="D520" i="62"/>
  <c r="J519" i="62"/>
  <c r="F519" i="62"/>
  <c r="D519" i="62"/>
  <c r="J518" i="62"/>
  <c r="F518" i="62"/>
  <c r="D518" i="62"/>
  <c r="J517" i="62"/>
  <c r="F517" i="62"/>
  <c r="D517" i="62"/>
  <c r="J516" i="62"/>
  <c r="F516" i="62"/>
  <c r="D516" i="62"/>
  <c r="J515" i="62"/>
  <c r="F515" i="62"/>
  <c r="D515" i="62"/>
  <c r="J514" i="62"/>
  <c r="F514" i="62"/>
  <c r="D514" i="62"/>
  <c r="J513" i="62"/>
  <c r="F513" i="62"/>
  <c r="D513" i="62"/>
  <c r="J512" i="62"/>
  <c r="F512" i="62"/>
  <c r="D512" i="62"/>
  <c r="J511" i="62"/>
  <c r="F511" i="62"/>
  <c r="D511" i="62"/>
  <c r="J510" i="62"/>
  <c r="F510" i="62"/>
  <c r="D510" i="62"/>
  <c r="J509" i="62"/>
  <c r="F509" i="62"/>
  <c r="D509" i="62"/>
  <c r="J508" i="62"/>
  <c r="F508" i="62"/>
  <c r="D508" i="62"/>
  <c r="J507" i="62"/>
  <c r="F507" i="62"/>
  <c r="D507" i="62"/>
  <c r="J506" i="62"/>
  <c r="F506" i="62"/>
  <c r="D506" i="62"/>
  <c r="J505" i="62"/>
  <c r="F505" i="62"/>
  <c r="D505" i="62"/>
  <c r="J504" i="62"/>
  <c r="F504" i="62"/>
  <c r="D504" i="62"/>
  <c r="J503" i="62"/>
  <c r="F503" i="62"/>
  <c r="D503" i="62"/>
  <c r="J502" i="62"/>
  <c r="F502" i="62"/>
  <c r="D502" i="62"/>
  <c r="J501" i="62"/>
  <c r="F501" i="62"/>
  <c r="D501" i="62"/>
  <c r="J500" i="62"/>
  <c r="F500" i="62"/>
  <c r="D500" i="62"/>
  <c r="J499" i="62"/>
  <c r="F499" i="62"/>
  <c r="D499" i="62"/>
  <c r="J498" i="62"/>
  <c r="F498" i="62"/>
  <c r="D498" i="62"/>
  <c r="J497" i="62"/>
  <c r="F497" i="62"/>
  <c r="D497" i="62"/>
  <c r="J496" i="62"/>
  <c r="F496" i="62"/>
  <c r="D496" i="62"/>
  <c r="J495" i="62"/>
  <c r="F495" i="62"/>
  <c r="D495" i="62"/>
  <c r="J494" i="62"/>
  <c r="F494" i="62"/>
  <c r="D494" i="62"/>
  <c r="J493" i="62"/>
  <c r="F493" i="62"/>
  <c r="D493" i="62"/>
  <c r="J492" i="62"/>
  <c r="F492" i="62"/>
  <c r="D492" i="62"/>
  <c r="J491" i="62"/>
  <c r="F491" i="62"/>
  <c r="D491" i="62"/>
  <c r="J490" i="62"/>
  <c r="F490" i="62"/>
  <c r="D490" i="62"/>
  <c r="J489" i="62"/>
  <c r="F489" i="62"/>
  <c r="D489" i="62"/>
  <c r="J488" i="62"/>
  <c r="F488" i="62"/>
  <c r="D488" i="62"/>
  <c r="J487" i="62"/>
  <c r="F487" i="62"/>
  <c r="D487" i="62"/>
  <c r="J486" i="62"/>
  <c r="F486" i="62"/>
  <c r="D486" i="62"/>
  <c r="J485" i="62"/>
  <c r="F485" i="62"/>
  <c r="D485" i="62"/>
  <c r="J484" i="62"/>
  <c r="F484" i="62"/>
  <c r="D484" i="62"/>
  <c r="J483" i="62"/>
  <c r="F483" i="62"/>
  <c r="D483" i="62"/>
  <c r="J482" i="62"/>
  <c r="F482" i="62"/>
  <c r="D482" i="62"/>
  <c r="J481" i="62"/>
  <c r="F481" i="62"/>
  <c r="D481" i="62"/>
  <c r="J480" i="62"/>
  <c r="F480" i="62"/>
  <c r="D480" i="62"/>
  <c r="J479" i="62"/>
  <c r="F479" i="62"/>
  <c r="D479" i="62"/>
  <c r="J478" i="62"/>
  <c r="F478" i="62"/>
  <c r="D478" i="62"/>
  <c r="J477" i="62"/>
  <c r="F477" i="62"/>
  <c r="D477" i="62"/>
  <c r="J476" i="62"/>
  <c r="F476" i="62"/>
  <c r="D476" i="62"/>
  <c r="J475" i="62"/>
  <c r="F475" i="62"/>
  <c r="D475" i="62"/>
  <c r="J474" i="62"/>
  <c r="F474" i="62"/>
  <c r="D474" i="62"/>
  <c r="J473" i="62"/>
  <c r="F473" i="62"/>
  <c r="D473" i="62"/>
  <c r="J472" i="62"/>
  <c r="F472" i="62"/>
  <c r="D472" i="62"/>
  <c r="J471" i="62"/>
  <c r="F471" i="62"/>
  <c r="D471" i="62"/>
  <c r="J470" i="62"/>
  <c r="F470" i="62"/>
  <c r="D470" i="62"/>
  <c r="J469" i="62"/>
  <c r="F469" i="62"/>
  <c r="D469" i="62"/>
  <c r="J468" i="62"/>
  <c r="F468" i="62"/>
  <c r="D468" i="62"/>
  <c r="J467" i="62"/>
  <c r="F467" i="62"/>
  <c r="D467" i="62"/>
  <c r="J466" i="62"/>
  <c r="F466" i="62"/>
  <c r="D466" i="62"/>
  <c r="J465" i="62"/>
  <c r="F465" i="62"/>
  <c r="D465" i="62"/>
  <c r="J464" i="62"/>
  <c r="F464" i="62"/>
  <c r="D464" i="62"/>
  <c r="J463" i="62"/>
  <c r="F463" i="62"/>
  <c r="D463" i="62"/>
  <c r="J462" i="62"/>
  <c r="F462" i="62"/>
  <c r="D462" i="62"/>
  <c r="J461" i="62"/>
  <c r="F461" i="62"/>
  <c r="D461" i="62"/>
  <c r="J460" i="62"/>
  <c r="L460" i="62" s="1"/>
  <c r="F460" i="62"/>
  <c r="D460" i="62"/>
  <c r="J459" i="62"/>
  <c r="F459" i="62"/>
  <c r="D459" i="62"/>
  <c r="J458" i="62"/>
  <c r="F458" i="62"/>
  <c r="D458" i="62"/>
  <c r="J457" i="62"/>
  <c r="F457" i="62"/>
  <c r="D457" i="62"/>
  <c r="J456" i="62"/>
  <c r="F456" i="62"/>
  <c r="D456" i="62"/>
  <c r="J455" i="62"/>
  <c r="F455" i="62"/>
  <c r="D455" i="62"/>
  <c r="J454" i="62"/>
  <c r="F454" i="62"/>
  <c r="D454" i="62"/>
  <c r="J453" i="62"/>
  <c r="F453" i="62"/>
  <c r="D453" i="62"/>
  <c r="J452" i="62"/>
  <c r="L452" i="62" s="1"/>
  <c r="F452" i="62"/>
  <c r="D452" i="62"/>
  <c r="J451" i="62"/>
  <c r="F451" i="62"/>
  <c r="D451" i="62"/>
  <c r="J450" i="62"/>
  <c r="F450" i="62"/>
  <c r="D450" i="62"/>
  <c r="J449" i="62"/>
  <c r="F449" i="62"/>
  <c r="D449" i="62"/>
  <c r="J448" i="62"/>
  <c r="F448" i="62"/>
  <c r="D448" i="62"/>
  <c r="J447" i="62"/>
  <c r="F447" i="62"/>
  <c r="D447" i="62"/>
  <c r="J446" i="62"/>
  <c r="F446" i="62"/>
  <c r="D446" i="62"/>
  <c r="J445" i="62"/>
  <c r="F445" i="62"/>
  <c r="D445" i="62"/>
  <c r="J444" i="62"/>
  <c r="L444" i="62" s="1"/>
  <c r="F444" i="62"/>
  <c r="D444" i="62"/>
  <c r="J443" i="62"/>
  <c r="F443" i="62"/>
  <c r="D443" i="62"/>
  <c r="J442" i="62"/>
  <c r="F442" i="62"/>
  <c r="D442" i="62"/>
  <c r="J441" i="62"/>
  <c r="F441" i="62"/>
  <c r="D441" i="62"/>
  <c r="J440" i="62"/>
  <c r="F440" i="62"/>
  <c r="D440" i="62"/>
  <c r="J439" i="62"/>
  <c r="F439" i="62"/>
  <c r="D439" i="62"/>
  <c r="J438" i="62"/>
  <c r="F438" i="62"/>
  <c r="D438" i="62"/>
  <c r="J437" i="62"/>
  <c r="F437" i="62"/>
  <c r="D437" i="62"/>
  <c r="J436" i="62"/>
  <c r="L436" i="62" s="1"/>
  <c r="F436" i="62"/>
  <c r="D436" i="62"/>
  <c r="J435" i="62"/>
  <c r="F435" i="62"/>
  <c r="D435" i="62"/>
  <c r="J434" i="62"/>
  <c r="F434" i="62"/>
  <c r="D434" i="62"/>
  <c r="J433" i="62"/>
  <c r="F433" i="62"/>
  <c r="D433" i="62"/>
  <c r="J432" i="62"/>
  <c r="F432" i="62"/>
  <c r="D432" i="62"/>
  <c r="J431" i="62"/>
  <c r="F431" i="62"/>
  <c r="D431" i="62"/>
  <c r="J430" i="62"/>
  <c r="F430" i="62"/>
  <c r="D430" i="62"/>
  <c r="J429" i="62"/>
  <c r="F429" i="62"/>
  <c r="D429" i="62"/>
  <c r="J428" i="62"/>
  <c r="L428" i="62" s="1"/>
  <c r="F428" i="62"/>
  <c r="D428" i="62"/>
  <c r="J427" i="62"/>
  <c r="F427" i="62"/>
  <c r="D427" i="62"/>
  <c r="J426" i="62"/>
  <c r="F426" i="62"/>
  <c r="D426" i="62"/>
  <c r="J425" i="62"/>
  <c r="F425" i="62"/>
  <c r="D425" i="62"/>
  <c r="J424" i="62"/>
  <c r="F424" i="62"/>
  <c r="D424" i="62"/>
  <c r="J423" i="62"/>
  <c r="F423" i="62"/>
  <c r="D423" i="62"/>
  <c r="J422" i="62"/>
  <c r="F422" i="62"/>
  <c r="D422" i="62"/>
  <c r="J421" i="62"/>
  <c r="F421" i="62"/>
  <c r="D421" i="62"/>
  <c r="J420" i="62"/>
  <c r="L420" i="62" s="1"/>
  <c r="F420" i="62"/>
  <c r="D420" i="62"/>
  <c r="J419" i="62"/>
  <c r="F419" i="62"/>
  <c r="D419" i="62"/>
  <c r="J418" i="62"/>
  <c r="F418" i="62"/>
  <c r="D418" i="62"/>
  <c r="J417" i="62"/>
  <c r="F417" i="62"/>
  <c r="D417" i="62"/>
  <c r="J416" i="62"/>
  <c r="F416" i="62"/>
  <c r="D416" i="62"/>
  <c r="J415" i="62"/>
  <c r="F415" i="62"/>
  <c r="D415" i="62"/>
  <c r="J414" i="62"/>
  <c r="F414" i="62"/>
  <c r="D414" i="62"/>
  <c r="J413" i="62"/>
  <c r="F413" i="62"/>
  <c r="D413" i="62"/>
  <c r="J412" i="62"/>
  <c r="L412" i="62" s="1"/>
  <c r="F412" i="62"/>
  <c r="D412" i="62"/>
  <c r="J411" i="62"/>
  <c r="F411" i="62"/>
  <c r="D411" i="62"/>
  <c r="J410" i="62"/>
  <c r="F410" i="62"/>
  <c r="D410" i="62"/>
  <c r="J409" i="62"/>
  <c r="F409" i="62"/>
  <c r="D409" i="62"/>
  <c r="J408" i="62"/>
  <c r="F408" i="62"/>
  <c r="D408" i="62"/>
  <c r="J407" i="62"/>
  <c r="F407" i="62"/>
  <c r="D407" i="62"/>
  <c r="J406" i="62"/>
  <c r="F406" i="62"/>
  <c r="D406" i="62"/>
  <c r="J405" i="62"/>
  <c r="F405" i="62"/>
  <c r="D405" i="62"/>
  <c r="J404" i="62"/>
  <c r="L404" i="62" s="1"/>
  <c r="F404" i="62"/>
  <c r="D404" i="62"/>
  <c r="J403" i="62"/>
  <c r="F403" i="62"/>
  <c r="D403" i="62"/>
  <c r="J402" i="62"/>
  <c r="F402" i="62"/>
  <c r="D402" i="62"/>
  <c r="J401" i="62"/>
  <c r="F401" i="62"/>
  <c r="D401" i="62"/>
  <c r="J400" i="62"/>
  <c r="F400" i="62"/>
  <c r="D400" i="62"/>
  <c r="J399" i="62"/>
  <c r="F399" i="62"/>
  <c r="D399" i="62"/>
  <c r="J398" i="62"/>
  <c r="F398" i="62"/>
  <c r="D398" i="62"/>
  <c r="J397" i="62"/>
  <c r="F397" i="62"/>
  <c r="D397" i="62"/>
  <c r="J396" i="62"/>
  <c r="L396" i="62" s="1"/>
  <c r="F396" i="62"/>
  <c r="D396" i="62"/>
  <c r="J395" i="62"/>
  <c r="F395" i="62"/>
  <c r="D395" i="62"/>
  <c r="J394" i="62"/>
  <c r="F394" i="62"/>
  <c r="D394" i="62"/>
  <c r="J393" i="62"/>
  <c r="F393" i="62"/>
  <c r="D393" i="62"/>
  <c r="J392" i="62"/>
  <c r="F392" i="62"/>
  <c r="D392" i="62"/>
  <c r="J391" i="62"/>
  <c r="F391" i="62"/>
  <c r="D391" i="62"/>
  <c r="J390" i="62"/>
  <c r="F390" i="62"/>
  <c r="D390" i="62"/>
  <c r="J389" i="62"/>
  <c r="F389" i="62"/>
  <c r="D389" i="62"/>
  <c r="J388" i="62"/>
  <c r="L388" i="62" s="1"/>
  <c r="F388" i="62"/>
  <c r="D388" i="62"/>
  <c r="J387" i="62"/>
  <c r="F387" i="62"/>
  <c r="D387" i="62"/>
  <c r="J386" i="62"/>
  <c r="F386" i="62"/>
  <c r="D386" i="62"/>
  <c r="J385" i="62"/>
  <c r="F385" i="62"/>
  <c r="D385" i="62"/>
  <c r="J384" i="62"/>
  <c r="F384" i="62"/>
  <c r="D384" i="62"/>
  <c r="J383" i="62"/>
  <c r="F383" i="62"/>
  <c r="D383" i="62"/>
  <c r="J382" i="62"/>
  <c r="F382" i="62"/>
  <c r="D382" i="62"/>
  <c r="J381" i="62"/>
  <c r="F381" i="62"/>
  <c r="D381" i="62"/>
  <c r="J380" i="62"/>
  <c r="L380" i="62" s="1"/>
  <c r="F380" i="62"/>
  <c r="D380" i="62"/>
  <c r="J379" i="62"/>
  <c r="F379" i="62"/>
  <c r="D379" i="62"/>
  <c r="J378" i="62"/>
  <c r="F378" i="62"/>
  <c r="D378" i="62"/>
  <c r="J377" i="62"/>
  <c r="F377" i="62"/>
  <c r="D377" i="62"/>
  <c r="J376" i="62"/>
  <c r="F376" i="62"/>
  <c r="D376" i="62"/>
  <c r="J375" i="62"/>
  <c r="F375" i="62"/>
  <c r="D375" i="62"/>
  <c r="J374" i="62"/>
  <c r="F374" i="62"/>
  <c r="D374" i="62"/>
  <c r="J373" i="62"/>
  <c r="F373" i="62"/>
  <c r="D373" i="62"/>
  <c r="J372" i="62"/>
  <c r="L372" i="62" s="1"/>
  <c r="F372" i="62"/>
  <c r="D372" i="62"/>
  <c r="J371" i="62"/>
  <c r="F371" i="62"/>
  <c r="D371" i="62"/>
  <c r="J370" i="62"/>
  <c r="F370" i="62"/>
  <c r="D370" i="62"/>
  <c r="J369" i="62"/>
  <c r="F369" i="62"/>
  <c r="D369" i="62"/>
  <c r="J368" i="62"/>
  <c r="F368" i="62"/>
  <c r="D368" i="62"/>
  <c r="J367" i="62"/>
  <c r="F367" i="62"/>
  <c r="D367" i="62"/>
  <c r="J366" i="62"/>
  <c r="F366" i="62"/>
  <c r="D366" i="62"/>
  <c r="J365" i="62"/>
  <c r="F365" i="62"/>
  <c r="D365" i="62"/>
  <c r="J364" i="62"/>
  <c r="L364" i="62" s="1"/>
  <c r="F364" i="62"/>
  <c r="D364" i="62"/>
  <c r="J363" i="62"/>
  <c r="F363" i="62"/>
  <c r="D363" i="62"/>
  <c r="J362" i="62"/>
  <c r="F362" i="62"/>
  <c r="D362" i="62"/>
  <c r="J361" i="62"/>
  <c r="F361" i="62"/>
  <c r="D361" i="62"/>
  <c r="J360" i="62"/>
  <c r="F360" i="62"/>
  <c r="D360" i="62"/>
  <c r="J359" i="62"/>
  <c r="F359" i="62"/>
  <c r="D359" i="62"/>
  <c r="J358" i="62"/>
  <c r="F358" i="62"/>
  <c r="D358" i="62"/>
  <c r="J357" i="62"/>
  <c r="F357" i="62"/>
  <c r="D357" i="62"/>
  <c r="J356" i="62"/>
  <c r="L356" i="62" s="1"/>
  <c r="F356" i="62"/>
  <c r="D356" i="62"/>
  <c r="J355" i="62"/>
  <c r="F355" i="62"/>
  <c r="D355" i="62"/>
  <c r="J354" i="62"/>
  <c r="F354" i="62"/>
  <c r="D354" i="62"/>
  <c r="J353" i="62"/>
  <c r="F353" i="62"/>
  <c r="D353" i="62"/>
  <c r="J352" i="62"/>
  <c r="F352" i="62"/>
  <c r="D352" i="62"/>
  <c r="J351" i="62"/>
  <c r="F351" i="62"/>
  <c r="D351" i="62"/>
  <c r="J350" i="62"/>
  <c r="F350" i="62"/>
  <c r="D350" i="62"/>
  <c r="J349" i="62"/>
  <c r="L349" i="62" s="1"/>
  <c r="F349" i="62"/>
  <c r="D349" i="62"/>
  <c r="J348" i="62"/>
  <c r="L348" i="62" s="1"/>
  <c r="F348" i="62"/>
  <c r="D348" i="62"/>
  <c r="J347" i="62"/>
  <c r="F347" i="62"/>
  <c r="D347" i="62"/>
  <c r="J346" i="62"/>
  <c r="F346" i="62"/>
  <c r="D346" i="62"/>
  <c r="J345" i="62"/>
  <c r="F345" i="62"/>
  <c r="D345" i="62"/>
  <c r="J344" i="62"/>
  <c r="F344" i="62"/>
  <c r="D344" i="62"/>
  <c r="J343" i="62"/>
  <c r="F343" i="62"/>
  <c r="D343" i="62"/>
  <c r="J342" i="62"/>
  <c r="F342" i="62"/>
  <c r="D342" i="62"/>
  <c r="J341" i="62"/>
  <c r="L341" i="62" s="1"/>
  <c r="F341" i="62"/>
  <c r="D341" i="62"/>
  <c r="J340" i="62"/>
  <c r="L340" i="62" s="1"/>
  <c r="F340" i="62"/>
  <c r="D340" i="62"/>
  <c r="J339" i="62"/>
  <c r="F339" i="62"/>
  <c r="D339" i="62"/>
  <c r="J338" i="62"/>
  <c r="F338" i="62"/>
  <c r="D338" i="62"/>
  <c r="J337" i="62"/>
  <c r="F337" i="62"/>
  <c r="D337" i="62"/>
  <c r="J336" i="62"/>
  <c r="F336" i="62"/>
  <c r="D336" i="62"/>
  <c r="J335" i="62"/>
  <c r="F335" i="62"/>
  <c r="D335" i="62"/>
  <c r="J334" i="62"/>
  <c r="F334" i="62"/>
  <c r="D334" i="62"/>
  <c r="J333" i="62"/>
  <c r="L333" i="62" s="1"/>
  <c r="F333" i="62"/>
  <c r="D333" i="62"/>
  <c r="J332" i="62"/>
  <c r="L332" i="62" s="1"/>
  <c r="F332" i="62"/>
  <c r="D332" i="62"/>
  <c r="J331" i="62"/>
  <c r="F331" i="62"/>
  <c r="D331" i="62"/>
  <c r="J330" i="62"/>
  <c r="F330" i="62"/>
  <c r="D330" i="62"/>
  <c r="J329" i="62"/>
  <c r="F329" i="62"/>
  <c r="D329" i="62"/>
  <c r="J328" i="62"/>
  <c r="F328" i="62"/>
  <c r="D328" i="62"/>
  <c r="J327" i="62"/>
  <c r="F327" i="62"/>
  <c r="D327" i="62"/>
  <c r="J326" i="62"/>
  <c r="F326" i="62"/>
  <c r="D326" i="62"/>
  <c r="J325" i="62"/>
  <c r="L325" i="62" s="1"/>
  <c r="F325" i="62"/>
  <c r="D325" i="62"/>
  <c r="J324" i="62"/>
  <c r="L324" i="62" s="1"/>
  <c r="F324" i="62"/>
  <c r="D324" i="62"/>
  <c r="J323" i="62"/>
  <c r="F323" i="62"/>
  <c r="D323" i="62"/>
  <c r="J322" i="62"/>
  <c r="F322" i="62"/>
  <c r="D322" i="62"/>
  <c r="J321" i="62"/>
  <c r="F321" i="62"/>
  <c r="D321" i="62"/>
  <c r="J320" i="62"/>
  <c r="F320" i="62"/>
  <c r="D320" i="62"/>
  <c r="J319" i="62"/>
  <c r="F319" i="62"/>
  <c r="D319" i="62"/>
  <c r="J318" i="62"/>
  <c r="F318" i="62"/>
  <c r="D318" i="62"/>
  <c r="J317" i="62"/>
  <c r="L317" i="62" s="1"/>
  <c r="F317" i="62"/>
  <c r="D317" i="62"/>
  <c r="J316" i="62"/>
  <c r="F316" i="62"/>
  <c r="D316" i="62"/>
  <c r="J315" i="62"/>
  <c r="F315" i="62"/>
  <c r="D315" i="62"/>
  <c r="J314" i="62"/>
  <c r="F314" i="62"/>
  <c r="D314" i="62"/>
  <c r="J313" i="62"/>
  <c r="F313" i="62"/>
  <c r="D313" i="62"/>
  <c r="J312" i="62"/>
  <c r="F312" i="62"/>
  <c r="D312" i="62"/>
  <c r="J311" i="62"/>
  <c r="F311" i="62"/>
  <c r="D311" i="62"/>
  <c r="J310" i="62"/>
  <c r="F310" i="62"/>
  <c r="D310" i="62"/>
  <c r="J309" i="62"/>
  <c r="L309" i="62" s="1"/>
  <c r="F309" i="62"/>
  <c r="D309" i="62"/>
  <c r="J308" i="62"/>
  <c r="F308" i="62"/>
  <c r="D308" i="62"/>
  <c r="J307" i="62"/>
  <c r="F307" i="62"/>
  <c r="D307" i="62"/>
  <c r="J306" i="62"/>
  <c r="F306" i="62"/>
  <c r="D306" i="62"/>
  <c r="J305" i="62"/>
  <c r="F305" i="62"/>
  <c r="D305" i="62"/>
  <c r="J304" i="62"/>
  <c r="F304" i="62"/>
  <c r="D304" i="62"/>
  <c r="J303" i="62"/>
  <c r="F303" i="62"/>
  <c r="D303" i="62"/>
  <c r="J302" i="62"/>
  <c r="F302" i="62"/>
  <c r="D302" i="62"/>
  <c r="J301" i="62"/>
  <c r="L301" i="62" s="1"/>
  <c r="F301" i="62"/>
  <c r="D301" i="62"/>
  <c r="J300" i="62"/>
  <c r="F300" i="62"/>
  <c r="D300" i="62"/>
  <c r="J299" i="62"/>
  <c r="F299" i="62"/>
  <c r="D299" i="62"/>
  <c r="J298" i="62"/>
  <c r="F298" i="62"/>
  <c r="D298" i="62"/>
  <c r="J297" i="62"/>
  <c r="F297" i="62"/>
  <c r="D297" i="62"/>
  <c r="J296" i="62"/>
  <c r="F296" i="62"/>
  <c r="D296" i="62"/>
  <c r="J295" i="62"/>
  <c r="F295" i="62"/>
  <c r="D295" i="62"/>
  <c r="J294" i="62"/>
  <c r="F294" i="62"/>
  <c r="D294" i="62"/>
  <c r="J293" i="62"/>
  <c r="L293" i="62" s="1"/>
  <c r="F293" i="62"/>
  <c r="D293" i="62"/>
  <c r="J292" i="62"/>
  <c r="F292" i="62"/>
  <c r="D292" i="62"/>
  <c r="J291" i="62"/>
  <c r="F291" i="62"/>
  <c r="D291" i="62"/>
  <c r="J290" i="62"/>
  <c r="F290" i="62"/>
  <c r="D290" i="62"/>
  <c r="J289" i="62"/>
  <c r="F289" i="62"/>
  <c r="D289" i="62"/>
  <c r="J288" i="62"/>
  <c r="F288" i="62"/>
  <c r="D288" i="62"/>
  <c r="J287" i="62"/>
  <c r="F287" i="62"/>
  <c r="D287" i="62"/>
  <c r="J286" i="62"/>
  <c r="F286" i="62"/>
  <c r="D286" i="62"/>
  <c r="J285" i="62"/>
  <c r="L285" i="62" s="1"/>
  <c r="F285" i="62"/>
  <c r="D285" i="62"/>
  <c r="J284" i="62"/>
  <c r="F284" i="62"/>
  <c r="D284" i="62"/>
  <c r="J283" i="62"/>
  <c r="F283" i="62"/>
  <c r="D283" i="62"/>
  <c r="J282" i="62"/>
  <c r="F282" i="62"/>
  <c r="D282" i="62"/>
  <c r="J281" i="62"/>
  <c r="F281" i="62"/>
  <c r="D281" i="62"/>
  <c r="J280" i="62"/>
  <c r="F280" i="62"/>
  <c r="D280" i="62"/>
  <c r="J279" i="62"/>
  <c r="F279" i="62"/>
  <c r="D279" i="62"/>
  <c r="J278" i="62"/>
  <c r="F278" i="62"/>
  <c r="D278" i="62"/>
  <c r="J277" i="62"/>
  <c r="L277" i="62" s="1"/>
  <c r="F277" i="62"/>
  <c r="D277" i="62"/>
  <c r="J276" i="62"/>
  <c r="F276" i="62"/>
  <c r="D276" i="62"/>
  <c r="J275" i="62"/>
  <c r="F275" i="62"/>
  <c r="D275" i="62"/>
  <c r="J274" i="62"/>
  <c r="F274" i="62"/>
  <c r="D274" i="62"/>
  <c r="J273" i="62"/>
  <c r="F273" i="62"/>
  <c r="D273" i="62"/>
  <c r="J272" i="62"/>
  <c r="F272" i="62"/>
  <c r="D272" i="62"/>
  <c r="J271" i="62"/>
  <c r="F271" i="62"/>
  <c r="D271" i="62"/>
  <c r="J270" i="62"/>
  <c r="F270" i="62"/>
  <c r="D270" i="62"/>
  <c r="J269" i="62"/>
  <c r="L269" i="62" s="1"/>
  <c r="F269" i="62"/>
  <c r="D269" i="62"/>
  <c r="J268" i="62"/>
  <c r="F268" i="62"/>
  <c r="D268" i="62"/>
  <c r="J267" i="62"/>
  <c r="F267" i="62"/>
  <c r="D267" i="62"/>
  <c r="J266" i="62"/>
  <c r="F266" i="62"/>
  <c r="D266" i="62"/>
  <c r="J265" i="62"/>
  <c r="F265" i="62"/>
  <c r="D265" i="62"/>
  <c r="J264" i="62"/>
  <c r="F264" i="62"/>
  <c r="D264" i="62"/>
  <c r="J263" i="62"/>
  <c r="F263" i="62"/>
  <c r="D263" i="62"/>
  <c r="J262" i="62"/>
  <c r="F262" i="62"/>
  <c r="D262" i="62"/>
  <c r="J261" i="62"/>
  <c r="L261" i="62" s="1"/>
  <c r="F261" i="62"/>
  <c r="D261" i="62"/>
  <c r="J260" i="62"/>
  <c r="F260" i="62"/>
  <c r="D260" i="62"/>
  <c r="J259" i="62"/>
  <c r="F259" i="62"/>
  <c r="D259" i="62"/>
  <c r="J258" i="62"/>
  <c r="F258" i="62"/>
  <c r="D258" i="62"/>
  <c r="J257" i="62"/>
  <c r="F257" i="62"/>
  <c r="D257" i="62"/>
  <c r="J256" i="62"/>
  <c r="F256" i="62"/>
  <c r="D256" i="62"/>
  <c r="J255" i="62"/>
  <c r="F255" i="62"/>
  <c r="D255" i="62"/>
  <c r="J254" i="62"/>
  <c r="F254" i="62"/>
  <c r="D254" i="62"/>
  <c r="J253" i="62"/>
  <c r="L253" i="62" s="1"/>
  <c r="F253" i="62"/>
  <c r="D253" i="62"/>
  <c r="J252" i="62"/>
  <c r="F252" i="62"/>
  <c r="D252" i="62"/>
  <c r="J251" i="62"/>
  <c r="F251" i="62"/>
  <c r="D251" i="62"/>
  <c r="J250" i="62"/>
  <c r="F250" i="62"/>
  <c r="D250" i="62"/>
  <c r="J249" i="62"/>
  <c r="F249" i="62"/>
  <c r="D249" i="62"/>
  <c r="J248" i="62"/>
  <c r="F248" i="62"/>
  <c r="D248" i="62"/>
  <c r="J247" i="62"/>
  <c r="F247" i="62"/>
  <c r="D247" i="62"/>
  <c r="J246" i="62"/>
  <c r="F246" i="62"/>
  <c r="D246" i="62"/>
  <c r="J245" i="62"/>
  <c r="L245" i="62" s="1"/>
  <c r="F245" i="62"/>
  <c r="D245" i="62"/>
  <c r="J244" i="62"/>
  <c r="F244" i="62"/>
  <c r="D244" i="62"/>
  <c r="J243" i="62"/>
  <c r="F243" i="62"/>
  <c r="D243" i="62"/>
  <c r="J242" i="62"/>
  <c r="F242" i="62"/>
  <c r="D242" i="62"/>
  <c r="J241" i="62"/>
  <c r="F241" i="62"/>
  <c r="D241" i="62"/>
  <c r="J240" i="62"/>
  <c r="F240" i="62"/>
  <c r="D240" i="62"/>
  <c r="J239" i="62"/>
  <c r="F239" i="62"/>
  <c r="D239" i="62"/>
  <c r="J238" i="62"/>
  <c r="F238" i="62"/>
  <c r="D238" i="62"/>
  <c r="J237" i="62"/>
  <c r="L237" i="62" s="1"/>
  <c r="F237" i="62"/>
  <c r="D237" i="62"/>
  <c r="J236" i="62"/>
  <c r="F236" i="62"/>
  <c r="D236" i="62"/>
  <c r="J235" i="62"/>
  <c r="F235" i="62"/>
  <c r="D235" i="62"/>
  <c r="J234" i="62"/>
  <c r="F234" i="62"/>
  <c r="D234" i="62"/>
  <c r="J233" i="62"/>
  <c r="F233" i="62"/>
  <c r="D233" i="62"/>
  <c r="J232" i="62"/>
  <c r="F232" i="62"/>
  <c r="D232" i="62"/>
  <c r="J231" i="62"/>
  <c r="F231" i="62"/>
  <c r="D231" i="62"/>
  <c r="J230" i="62"/>
  <c r="F230" i="62"/>
  <c r="D230" i="62"/>
  <c r="J229" i="62"/>
  <c r="L229" i="62" s="1"/>
  <c r="F229" i="62"/>
  <c r="D229" i="62"/>
  <c r="J228" i="62"/>
  <c r="F228" i="62"/>
  <c r="D228" i="62"/>
  <c r="J227" i="62"/>
  <c r="F227" i="62"/>
  <c r="D227" i="62"/>
  <c r="J226" i="62"/>
  <c r="F226" i="62"/>
  <c r="D226" i="62"/>
  <c r="J225" i="62"/>
  <c r="F225" i="62"/>
  <c r="D225" i="62"/>
  <c r="J224" i="62"/>
  <c r="F224" i="62"/>
  <c r="D224" i="62"/>
  <c r="J223" i="62"/>
  <c r="F223" i="62"/>
  <c r="D223" i="62"/>
  <c r="J222" i="62"/>
  <c r="F222" i="62"/>
  <c r="D222" i="62"/>
  <c r="J221" i="62"/>
  <c r="L221" i="62" s="1"/>
  <c r="F221" i="62"/>
  <c r="D221" i="62"/>
  <c r="J220" i="62"/>
  <c r="F220" i="62"/>
  <c r="D220" i="62"/>
  <c r="J219" i="62"/>
  <c r="F219" i="62"/>
  <c r="D219" i="62"/>
  <c r="J218" i="62"/>
  <c r="F218" i="62"/>
  <c r="D218" i="62"/>
  <c r="J217" i="62"/>
  <c r="F217" i="62"/>
  <c r="D217" i="62"/>
  <c r="J216" i="62"/>
  <c r="F216" i="62"/>
  <c r="D216" i="62"/>
  <c r="J215" i="62"/>
  <c r="F215" i="62"/>
  <c r="D215" i="62"/>
  <c r="J214" i="62"/>
  <c r="F214" i="62"/>
  <c r="D214" i="62"/>
  <c r="J213" i="62"/>
  <c r="L213" i="62" s="1"/>
  <c r="F213" i="62"/>
  <c r="D213" i="62"/>
  <c r="J212" i="62"/>
  <c r="F212" i="62"/>
  <c r="D212" i="62"/>
  <c r="J211" i="62"/>
  <c r="F211" i="62"/>
  <c r="D211" i="62"/>
  <c r="J210" i="62"/>
  <c r="F210" i="62"/>
  <c r="D210" i="62"/>
  <c r="J209" i="62"/>
  <c r="F209" i="62"/>
  <c r="D209" i="62"/>
  <c r="J208" i="62"/>
  <c r="F208" i="62"/>
  <c r="D208" i="62"/>
  <c r="J207" i="62"/>
  <c r="F207" i="62"/>
  <c r="D207" i="62"/>
  <c r="J206" i="62"/>
  <c r="F206" i="62"/>
  <c r="D206" i="62"/>
  <c r="J205" i="62"/>
  <c r="L205" i="62" s="1"/>
  <c r="F205" i="62"/>
  <c r="D205" i="62"/>
  <c r="J204" i="62"/>
  <c r="F204" i="62"/>
  <c r="D204" i="62"/>
  <c r="J203" i="62"/>
  <c r="F203" i="62"/>
  <c r="D203" i="62"/>
  <c r="J202" i="62"/>
  <c r="F202" i="62"/>
  <c r="D202" i="62"/>
  <c r="J201" i="62"/>
  <c r="F201" i="62"/>
  <c r="D201" i="62"/>
  <c r="J200" i="62"/>
  <c r="F200" i="62"/>
  <c r="D200" i="62"/>
  <c r="J199" i="62"/>
  <c r="F199" i="62"/>
  <c r="D199" i="62"/>
  <c r="J198" i="62"/>
  <c r="F198" i="62"/>
  <c r="D198" i="62"/>
  <c r="J197" i="62"/>
  <c r="F197" i="62"/>
  <c r="D197" i="62"/>
  <c r="J196" i="62"/>
  <c r="F196" i="62"/>
  <c r="D196" i="62"/>
  <c r="J195" i="62"/>
  <c r="F195" i="62"/>
  <c r="D195" i="62"/>
  <c r="J194" i="62"/>
  <c r="F194" i="62"/>
  <c r="D194" i="62"/>
  <c r="J193" i="62"/>
  <c r="F193" i="62"/>
  <c r="D193" i="62"/>
  <c r="J192" i="62"/>
  <c r="F192" i="62"/>
  <c r="D192" i="62"/>
  <c r="J191" i="62"/>
  <c r="F191" i="62"/>
  <c r="D191" i="62"/>
  <c r="J190" i="62"/>
  <c r="F190" i="62"/>
  <c r="D190" i="62"/>
  <c r="J189" i="62"/>
  <c r="L189" i="62" s="1"/>
  <c r="F189" i="62"/>
  <c r="D189" i="62"/>
  <c r="J188" i="62"/>
  <c r="F188" i="62"/>
  <c r="D188" i="62"/>
  <c r="J187" i="62"/>
  <c r="F187" i="62"/>
  <c r="D187" i="62"/>
  <c r="J186" i="62"/>
  <c r="F186" i="62"/>
  <c r="D186" i="62"/>
  <c r="J185" i="62"/>
  <c r="F185" i="62"/>
  <c r="D185" i="62"/>
  <c r="J184" i="62"/>
  <c r="F184" i="62"/>
  <c r="D184" i="62"/>
  <c r="J183" i="62"/>
  <c r="F183" i="62"/>
  <c r="D183" i="62"/>
  <c r="J182" i="62"/>
  <c r="F182" i="62"/>
  <c r="D182" i="62"/>
  <c r="J181" i="62"/>
  <c r="L181" i="62" s="1"/>
  <c r="F181" i="62"/>
  <c r="D181" i="62"/>
  <c r="J180" i="62"/>
  <c r="F180" i="62"/>
  <c r="D180" i="62"/>
  <c r="J179" i="62"/>
  <c r="F179" i="62"/>
  <c r="D179" i="62"/>
  <c r="J178" i="62"/>
  <c r="F178" i="62"/>
  <c r="D178" i="62"/>
  <c r="J177" i="62"/>
  <c r="F177" i="62"/>
  <c r="D177" i="62"/>
  <c r="J176" i="62"/>
  <c r="F176" i="62"/>
  <c r="D176" i="62"/>
  <c r="J175" i="62"/>
  <c r="F175" i="62"/>
  <c r="D175" i="62"/>
  <c r="J174" i="62"/>
  <c r="F174" i="62"/>
  <c r="D174" i="62"/>
  <c r="J173" i="62"/>
  <c r="L173" i="62" s="1"/>
  <c r="F173" i="62"/>
  <c r="D173" i="62"/>
  <c r="J172" i="62"/>
  <c r="F172" i="62"/>
  <c r="D172" i="62"/>
  <c r="J171" i="62"/>
  <c r="F171" i="62"/>
  <c r="D171" i="62"/>
  <c r="J170" i="62"/>
  <c r="F170" i="62"/>
  <c r="D170" i="62"/>
  <c r="J169" i="62"/>
  <c r="F169" i="62"/>
  <c r="D169" i="62"/>
  <c r="J168" i="62"/>
  <c r="F168" i="62"/>
  <c r="D168" i="62"/>
  <c r="J167" i="62"/>
  <c r="F167" i="62"/>
  <c r="D167" i="62"/>
  <c r="J166" i="62"/>
  <c r="F166" i="62"/>
  <c r="D166" i="62"/>
  <c r="J165" i="62"/>
  <c r="L165" i="62" s="1"/>
  <c r="F165" i="62"/>
  <c r="D165" i="62"/>
  <c r="J164" i="62"/>
  <c r="F164" i="62"/>
  <c r="D164" i="62"/>
  <c r="J163" i="62"/>
  <c r="F163" i="62"/>
  <c r="D163" i="62"/>
  <c r="J162" i="62"/>
  <c r="F162" i="62"/>
  <c r="D162" i="62"/>
  <c r="J161" i="62"/>
  <c r="F161" i="62"/>
  <c r="D161" i="62"/>
  <c r="J160" i="62"/>
  <c r="F160" i="62"/>
  <c r="D160" i="62"/>
  <c r="J159" i="62"/>
  <c r="F159" i="62"/>
  <c r="D159" i="62"/>
  <c r="J158" i="62"/>
  <c r="F158" i="62"/>
  <c r="D158" i="62"/>
  <c r="J157" i="62"/>
  <c r="L157" i="62" s="1"/>
  <c r="F157" i="62"/>
  <c r="D157" i="62"/>
  <c r="J156" i="62"/>
  <c r="F156" i="62"/>
  <c r="D156" i="62"/>
  <c r="J155" i="62"/>
  <c r="F155" i="62"/>
  <c r="D155" i="62"/>
  <c r="J154" i="62"/>
  <c r="F154" i="62"/>
  <c r="D154" i="62"/>
  <c r="J153" i="62"/>
  <c r="F153" i="62"/>
  <c r="D153" i="62"/>
  <c r="J152" i="62"/>
  <c r="F152" i="62"/>
  <c r="D152" i="62"/>
  <c r="J151" i="62"/>
  <c r="F151" i="62"/>
  <c r="D151" i="62"/>
  <c r="J150" i="62"/>
  <c r="F150" i="62"/>
  <c r="D150" i="62"/>
  <c r="J149" i="62"/>
  <c r="L149" i="62" s="1"/>
  <c r="F149" i="62"/>
  <c r="D149" i="62"/>
  <c r="J148" i="62"/>
  <c r="F148" i="62"/>
  <c r="D148" i="62"/>
  <c r="J147" i="62"/>
  <c r="F147" i="62"/>
  <c r="D147" i="62"/>
  <c r="J146" i="62"/>
  <c r="F146" i="62"/>
  <c r="D146" i="62"/>
  <c r="J145" i="62"/>
  <c r="F145" i="62"/>
  <c r="D145" i="62"/>
  <c r="J144" i="62"/>
  <c r="F144" i="62"/>
  <c r="D144" i="62"/>
  <c r="J143" i="62"/>
  <c r="F143" i="62"/>
  <c r="D143" i="62"/>
  <c r="J142" i="62"/>
  <c r="F142" i="62"/>
  <c r="D142" i="62"/>
  <c r="J141" i="62"/>
  <c r="L141" i="62" s="1"/>
  <c r="F141" i="62"/>
  <c r="D141" i="62"/>
  <c r="J140" i="62"/>
  <c r="F140" i="62"/>
  <c r="D140" i="62"/>
  <c r="J139" i="62"/>
  <c r="F139" i="62"/>
  <c r="D139" i="62"/>
  <c r="J138" i="62"/>
  <c r="F138" i="62"/>
  <c r="D138" i="62"/>
  <c r="J137" i="62"/>
  <c r="F137" i="62"/>
  <c r="D137" i="62"/>
  <c r="J136" i="62"/>
  <c r="F136" i="62"/>
  <c r="D136" i="62"/>
  <c r="J135" i="62"/>
  <c r="F135" i="62"/>
  <c r="D135" i="62"/>
  <c r="J134" i="62"/>
  <c r="F134" i="62"/>
  <c r="D134" i="62"/>
  <c r="J133" i="62"/>
  <c r="F133" i="62"/>
  <c r="D133" i="62"/>
  <c r="J132" i="62"/>
  <c r="F132" i="62"/>
  <c r="D132" i="62"/>
  <c r="J131" i="62"/>
  <c r="F131" i="62"/>
  <c r="D131" i="62"/>
  <c r="J130" i="62"/>
  <c r="F130" i="62"/>
  <c r="D130" i="62"/>
  <c r="J129" i="62"/>
  <c r="F129" i="62"/>
  <c r="D129" i="62"/>
  <c r="J128" i="62"/>
  <c r="F128" i="62"/>
  <c r="D128" i="62"/>
  <c r="J127" i="62"/>
  <c r="F127" i="62"/>
  <c r="D127" i="62"/>
  <c r="J126" i="62"/>
  <c r="F126" i="62"/>
  <c r="D126" i="62"/>
  <c r="J125" i="62"/>
  <c r="F125" i="62"/>
  <c r="D125" i="62"/>
  <c r="J124" i="62"/>
  <c r="F124" i="62"/>
  <c r="D124" i="62"/>
  <c r="J123" i="62"/>
  <c r="F123" i="62"/>
  <c r="D123" i="62"/>
  <c r="J122" i="62"/>
  <c r="F122" i="62"/>
  <c r="D122" i="62"/>
  <c r="J121" i="62"/>
  <c r="F121" i="62"/>
  <c r="D121" i="62"/>
  <c r="J120" i="62"/>
  <c r="F120" i="62"/>
  <c r="D120" i="62"/>
  <c r="J119" i="62"/>
  <c r="F119" i="62"/>
  <c r="D119" i="62"/>
  <c r="J118" i="62"/>
  <c r="F118" i="62"/>
  <c r="D118" i="62"/>
  <c r="J117" i="62"/>
  <c r="F117" i="62"/>
  <c r="D117" i="62"/>
  <c r="J116" i="62"/>
  <c r="F116" i="62"/>
  <c r="D116" i="62"/>
  <c r="J115" i="62"/>
  <c r="F115" i="62"/>
  <c r="D115" i="62"/>
  <c r="J114" i="62"/>
  <c r="F114" i="62"/>
  <c r="D114" i="62"/>
  <c r="J113" i="62"/>
  <c r="F113" i="62"/>
  <c r="D113" i="62"/>
  <c r="J112" i="62"/>
  <c r="F112" i="62"/>
  <c r="D112" i="62"/>
  <c r="J111" i="62"/>
  <c r="F111" i="62"/>
  <c r="D111" i="62"/>
  <c r="J110" i="62"/>
  <c r="F110" i="62"/>
  <c r="D110" i="62"/>
  <c r="J109" i="62"/>
  <c r="F109" i="62"/>
  <c r="D109" i="62"/>
  <c r="J108" i="62"/>
  <c r="F108" i="62"/>
  <c r="D108" i="62"/>
  <c r="J107" i="62"/>
  <c r="F107" i="62"/>
  <c r="D107" i="62"/>
  <c r="J106" i="62"/>
  <c r="F106" i="62"/>
  <c r="D106" i="62"/>
  <c r="J105" i="62"/>
  <c r="F105" i="62"/>
  <c r="D105" i="62"/>
  <c r="J104" i="62"/>
  <c r="F104" i="62"/>
  <c r="D104" i="62"/>
  <c r="J103" i="62"/>
  <c r="F103" i="62"/>
  <c r="D103" i="62"/>
  <c r="J102" i="62"/>
  <c r="F102" i="62"/>
  <c r="D102" i="62"/>
  <c r="J101" i="62"/>
  <c r="F101" i="62"/>
  <c r="D101" i="62"/>
  <c r="J100" i="62"/>
  <c r="F100" i="62"/>
  <c r="D100" i="62"/>
  <c r="J99" i="62"/>
  <c r="F99" i="62"/>
  <c r="D99" i="62"/>
  <c r="J98" i="62"/>
  <c r="F98" i="62"/>
  <c r="D98" i="62"/>
  <c r="J97" i="62"/>
  <c r="F97" i="62"/>
  <c r="D97" i="62"/>
  <c r="J96" i="62"/>
  <c r="F96" i="62"/>
  <c r="D96" i="62"/>
  <c r="J95" i="62"/>
  <c r="F95" i="62"/>
  <c r="D95" i="62"/>
  <c r="J94" i="62"/>
  <c r="F94" i="62"/>
  <c r="D94" i="62"/>
  <c r="J93" i="62"/>
  <c r="F93" i="62"/>
  <c r="D93" i="62"/>
  <c r="J92" i="62"/>
  <c r="F92" i="62"/>
  <c r="D92" i="62"/>
  <c r="J91" i="62"/>
  <c r="F91" i="62"/>
  <c r="D91" i="62"/>
  <c r="J90" i="62"/>
  <c r="F90" i="62"/>
  <c r="D90" i="62"/>
  <c r="J89" i="62"/>
  <c r="F89" i="62"/>
  <c r="D89" i="62"/>
  <c r="J88" i="62"/>
  <c r="F88" i="62"/>
  <c r="D88" i="62"/>
  <c r="J87" i="62"/>
  <c r="F87" i="62"/>
  <c r="D87" i="62"/>
  <c r="J86" i="62"/>
  <c r="F86" i="62"/>
  <c r="D86" i="62"/>
  <c r="J85" i="62"/>
  <c r="F85" i="62"/>
  <c r="D85" i="62"/>
  <c r="J84" i="62"/>
  <c r="F84" i="62"/>
  <c r="D84" i="62"/>
  <c r="J83" i="62"/>
  <c r="F83" i="62"/>
  <c r="D83" i="62"/>
  <c r="J82" i="62"/>
  <c r="F82" i="62"/>
  <c r="D82" i="62"/>
  <c r="J81" i="62"/>
  <c r="F81" i="62"/>
  <c r="D81" i="62"/>
  <c r="J80" i="62"/>
  <c r="F80" i="62"/>
  <c r="D80" i="62"/>
  <c r="J79" i="62"/>
  <c r="F79" i="62"/>
  <c r="D79" i="62"/>
  <c r="J78" i="62"/>
  <c r="F78" i="62"/>
  <c r="D78" i="62"/>
  <c r="J77" i="62"/>
  <c r="F77" i="62"/>
  <c r="D77" i="62"/>
  <c r="J76" i="62"/>
  <c r="F76" i="62"/>
  <c r="D76" i="62"/>
  <c r="J75" i="62"/>
  <c r="F75" i="62"/>
  <c r="D75" i="62"/>
  <c r="J74" i="62"/>
  <c r="F74" i="62"/>
  <c r="D74" i="62"/>
  <c r="J73" i="62"/>
  <c r="F73" i="62"/>
  <c r="D73" i="62"/>
  <c r="J72" i="62"/>
  <c r="F72" i="62"/>
  <c r="D72" i="62"/>
  <c r="J71" i="62"/>
  <c r="F71" i="62"/>
  <c r="D71" i="62"/>
  <c r="J70" i="62"/>
  <c r="F70" i="62"/>
  <c r="D70" i="62"/>
  <c r="J69" i="62"/>
  <c r="F69" i="62"/>
  <c r="D69" i="62"/>
  <c r="J68" i="62"/>
  <c r="F68" i="62"/>
  <c r="D68" i="62"/>
  <c r="J67" i="62"/>
  <c r="F67" i="62"/>
  <c r="D67" i="62"/>
  <c r="J66" i="62"/>
  <c r="F66" i="62"/>
  <c r="D66" i="62"/>
  <c r="J65" i="62"/>
  <c r="F65" i="62"/>
  <c r="D65" i="62"/>
  <c r="J64" i="62"/>
  <c r="F64" i="62"/>
  <c r="D64" i="62"/>
  <c r="J63" i="62"/>
  <c r="F63" i="62"/>
  <c r="D63" i="62"/>
  <c r="J62" i="62"/>
  <c r="F62" i="62"/>
  <c r="D62" i="62"/>
  <c r="J61" i="62"/>
  <c r="F61" i="62"/>
  <c r="D61" i="62"/>
  <c r="J60" i="62"/>
  <c r="F60" i="62"/>
  <c r="D60" i="62"/>
  <c r="J59" i="62"/>
  <c r="F59" i="62"/>
  <c r="D59" i="62"/>
  <c r="J58" i="62"/>
  <c r="F58" i="62"/>
  <c r="D58" i="62"/>
  <c r="J57" i="62"/>
  <c r="F57" i="62"/>
  <c r="D57" i="62"/>
  <c r="J56" i="62"/>
  <c r="F56" i="62"/>
  <c r="D56" i="62"/>
  <c r="J55" i="62"/>
  <c r="F55" i="62"/>
  <c r="D55" i="62"/>
  <c r="J54" i="62"/>
  <c r="F54" i="62"/>
  <c r="D54" i="62"/>
  <c r="J53" i="62"/>
  <c r="F53" i="62"/>
  <c r="D53" i="62"/>
  <c r="J52" i="62"/>
  <c r="F52" i="62"/>
  <c r="D52" i="62"/>
  <c r="J51" i="62"/>
  <c r="F51" i="62"/>
  <c r="D51" i="62"/>
  <c r="J50" i="62"/>
  <c r="F50" i="62"/>
  <c r="D50" i="62"/>
  <c r="J49" i="62"/>
  <c r="F49" i="62"/>
  <c r="D49" i="62"/>
  <c r="J48" i="62"/>
  <c r="F48" i="62"/>
  <c r="D48" i="62"/>
  <c r="J47" i="62"/>
  <c r="F47" i="62"/>
  <c r="D47" i="62"/>
  <c r="J46" i="62"/>
  <c r="F46" i="62"/>
  <c r="D46" i="62"/>
  <c r="J45" i="62"/>
  <c r="F45" i="62"/>
  <c r="D45" i="62"/>
  <c r="J44" i="62"/>
  <c r="F44" i="62"/>
  <c r="D44" i="62"/>
  <c r="J43" i="62"/>
  <c r="F43" i="62"/>
  <c r="D43" i="62"/>
  <c r="J42" i="62"/>
  <c r="F42" i="62"/>
  <c r="D42" i="62"/>
  <c r="J41" i="62"/>
  <c r="F41" i="62"/>
  <c r="D41" i="62"/>
  <c r="J40" i="62"/>
  <c r="F40" i="62"/>
  <c r="D40" i="62"/>
  <c r="J39" i="62"/>
  <c r="F39" i="62"/>
  <c r="D39" i="62"/>
  <c r="J38" i="62"/>
  <c r="F38" i="62"/>
  <c r="D38" i="62"/>
  <c r="J37" i="62"/>
  <c r="F37" i="62"/>
  <c r="D37" i="62"/>
  <c r="J36" i="62"/>
  <c r="F36" i="62"/>
  <c r="D36" i="62"/>
  <c r="J35" i="62"/>
  <c r="F35" i="62"/>
  <c r="D35" i="62"/>
  <c r="J34" i="62"/>
  <c r="F34" i="62"/>
  <c r="D34" i="62"/>
  <c r="J33" i="62"/>
  <c r="F33" i="62"/>
  <c r="D33" i="62"/>
  <c r="J32" i="62"/>
  <c r="F32" i="62"/>
  <c r="D32" i="62"/>
  <c r="J31" i="62"/>
  <c r="F31" i="62"/>
  <c r="D31" i="62"/>
  <c r="J30" i="62"/>
  <c r="F30" i="62"/>
  <c r="D30" i="62"/>
  <c r="J29" i="62"/>
  <c r="F29" i="62"/>
  <c r="D29" i="62"/>
  <c r="J28" i="62"/>
  <c r="F28" i="62"/>
  <c r="D28" i="62"/>
  <c r="J27" i="62"/>
  <c r="F27" i="62"/>
  <c r="D27" i="62"/>
  <c r="J26" i="62"/>
  <c r="F26" i="62"/>
  <c r="D26" i="62"/>
  <c r="J25" i="62"/>
  <c r="F25" i="62"/>
  <c r="D25" i="62"/>
  <c r="J24" i="62"/>
  <c r="F24" i="62"/>
  <c r="D24" i="62"/>
  <c r="J23" i="62"/>
  <c r="F23" i="62"/>
  <c r="D23" i="62"/>
  <c r="J22" i="62"/>
  <c r="F22" i="62"/>
  <c r="D22" i="62"/>
  <c r="J21" i="62"/>
  <c r="F21" i="62"/>
  <c r="D21" i="62"/>
  <c r="J20" i="62"/>
  <c r="F20" i="62"/>
  <c r="D20" i="62"/>
  <c r="J19" i="62"/>
  <c r="F19" i="62"/>
  <c r="D19" i="62"/>
  <c r="J18" i="62"/>
  <c r="F18" i="62"/>
  <c r="D18" i="62"/>
  <c r="J17" i="62"/>
  <c r="F17" i="62"/>
  <c r="D17" i="62"/>
  <c r="J16" i="62"/>
  <c r="F16" i="62"/>
  <c r="D16" i="62"/>
  <c r="J15" i="62"/>
  <c r="F15" i="62"/>
  <c r="D15" i="62"/>
  <c r="J14" i="62"/>
  <c r="F14" i="62"/>
  <c r="D14" i="62"/>
  <c r="J13" i="62"/>
  <c r="F13" i="62"/>
  <c r="D13" i="62"/>
  <c r="J12" i="62"/>
  <c r="F12" i="62"/>
  <c r="D12" i="62"/>
  <c r="J11" i="62"/>
  <c r="F11" i="62"/>
  <c r="D11" i="62"/>
  <c r="J10" i="62"/>
  <c r="F10" i="62"/>
  <c r="D10" i="62"/>
  <c r="J9" i="62"/>
  <c r="F9" i="62"/>
  <c r="D9" i="62"/>
  <c r="J8" i="62"/>
  <c r="F8" i="62"/>
  <c r="D8" i="62"/>
  <c r="J7" i="62"/>
  <c r="F7" i="62"/>
  <c r="D7" i="62"/>
  <c r="J6" i="62"/>
  <c r="F6" i="62"/>
  <c r="D6" i="62"/>
  <c r="J5" i="62"/>
  <c r="F5" i="62"/>
  <c r="D5" i="62"/>
  <c r="D689" i="61"/>
  <c r="D693" i="61"/>
  <c r="D697" i="61"/>
  <c r="D701" i="61"/>
  <c r="D705" i="61"/>
  <c r="D709" i="61"/>
  <c r="D713" i="61"/>
  <c r="D717" i="61"/>
  <c r="D721" i="61"/>
  <c r="D725" i="61"/>
  <c r="D729" i="61"/>
  <c r="D733" i="61"/>
  <c r="D737" i="61"/>
  <c r="D741" i="61"/>
  <c r="D745" i="61"/>
  <c r="D749" i="61"/>
  <c r="D753" i="61"/>
  <c r="D757" i="61"/>
  <c r="D761" i="61"/>
  <c r="D765" i="61"/>
  <c r="D769" i="61"/>
  <c r="D773" i="61"/>
  <c r="D777" i="61"/>
  <c r="D781" i="61"/>
  <c r="D785" i="61"/>
  <c r="D789" i="61"/>
  <c r="D793" i="61"/>
  <c r="D797" i="61"/>
  <c r="D801" i="61"/>
  <c r="D805" i="61"/>
  <c r="D6" i="61"/>
  <c r="D7" i="61"/>
  <c r="D8" i="61"/>
  <c r="D9" i="61"/>
  <c r="D10" i="61"/>
  <c r="D11" i="61"/>
  <c r="D12" i="61"/>
  <c r="D13" i="61"/>
  <c r="D14" i="61"/>
  <c r="D15" i="61"/>
  <c r="D16" i="61"/>
  <c r="D17" i="61"/>
  <c r="D18" i="61"/>
  <c r="D19" i="61"/>
  <c r="D20" i="61"/>
  <c r="D21" i="61"/>
  <c r="D22" i="61"/>
  <c r="D23" i="61"/>
  <c r="D24" i="61"/>
  <c r="D25" i="61"/>
  <c r="D26" i="61"/>
  <c r="D27" i="61"/>
  <c r="D28" i="61"/>
  <c r="D29" i="61"/>
  <c r="D30" i="61"/>
  <c r="D31" i="61"/>
  <c r="D32" i="61"/>
  <c r="D33" i="61"/>
  <c r="D34" i="61"/>
  <c r="D35" i="61"/>
  <c r="D36" i="61"/>
  <c r="D37" i="61"/>
  <c r="D38" i="61"/>
  <c r="D39" i="61"/>
  <c r="D40" i="61"/>
  <c r="D41" i="61"/>
  <c r="D42" i="61"/>
  <c r="D43" i="61"/>
  <c r="D44" i="61"/>
  <c r="D45" i="61"/>
  <c r="D46" i="61"/>
  <c r="D47" i="61"/>
  <c r="D48" i="61"/>
  <c r="D49" i="61"/>
  <c r="D50" i="61"/>
  <c r="D51" i="61"/>
  <c r="D52" i="61"/>
  <c r="D53" i="61"/>
  <c r="D54" i="61"/>
  <c r="D55" i="61"/>
  <c r="D56" i="61"/>
  <c r="D57" i="61"/>
  <c r="D58" i="61"/>
  <c r="D59" i="61"/>
  <c r="D60" i="61"/>
  <c r="D61" i="61"/>
  <c r="D62" i="61"/>
  <c r="D63" i="61"/>
  <c r="D64" i="61"/>
  <c r="D65" i="61"/>
  <c r="D66" i="61"/>
  <c r="D67" i="61"/>
  <c r="D68" i="61"/>
  <c r="D69" i="61"/>
  <c r="D70" i="61"/>
  <c r="D71" i="61"/>
  <c r="D72" i="61"/>
  <c r="D73" i="61"/>
  <c r="D74" i="61"/>
  <c r="D75" i="61"/>
  <c r="D76" i="61"/>
  <c r="D77" i="61"/>
  <c r="D78" i="61"/>
  <c r="D79" i="61"/>
  <c r="D80" i="61"/>
  <c r="D81" i="61"/>
  <c r="D82" i="61"/>
  <c r="D83" i="61"/>
  <c r="D84" i="61"/>
  <c r="D85" i="61"/>
  <c r="D86" i="61"/>
  <c r="D87" i="61"/>
  <c r="D88" i="61"/>
  <c r="D89" i="61"/>
  <c r="D90" i="61"/>
  <c r="D91" i="61"/>
  <c r="D92" i="61"/>
  <c r="D93" i="61"/>
  <c r="D94" i="61"/>
  <c r="D95" i="61"/>
  <c r="D96" i="61"/>
  <c r="D97" i="61"/>
  <c r="D98" i="61"/>
  <c r="D99" i="61"/>
  <c r="D100" i="61"/>
  <c r="D101" i="61"/>
  <c r="D102" i="61"/>
  <c r="D103" i="61"/>
  <c r="D104" i="61"/>
  <c r="D105" i="61"/>
  <c r="D106" i="61"/>
  <c r="D107" i="61"/>
  <c r="D108" i="61"/>
  <c r="D109" i="61"/>
  <c r="D110" i="61"/>
  <c r="D111" i="61"/>
  <c r="D112" i="61"/>
  <c r="D113" i="61"/>
  <c r="D114" i="61"/>
  <c r="D115" i="61"/>
  <c r="D116" i="61"/>
  <c r="D117" i="61"/>
  <c r="D118" i="61"/>
  <c r="D119" i="61"/>
  <c r="D120" i="61"/>
  <c r="D121" i="61"/>
  <c r="D122" i="61"/>
  <c r="D123" i="61"/>
  <c r="D124" i="61"/>
  <c r="D125" i="61"/>
  <c r="D126" i="61"/>
  <c r="D127" i="61"/>
  <c r="D128" i="61"/>
  <c r="D129" i="61"/>
  <c r="D130" i="61"/>
  <c r="D131" i="61"/>
  <c r="D132" i="61"/>
  <c r="D133" i="61"/>
  <c r="D134" i="61"/>
  <c r="D135" i="61"/>
  <c r="D136" i="61"/>
  <c r="D137" i="61"/>
  <c r="D138" i="61"/>
  <c r="D139" i="61"/>
  <c r="D140" i="61"/>
  <c r="D141" i="61"/>
  <c r="D142" i="61"/>
  <c r="D143" i="61"/>
  <c r="D144" i="61"/>
  <c r="D145" i="61"/>
  <c r="D146" i="61"/>
  <c r="D147" i="61"/>
  <c r="D148" i="61"/>
  <c r="D149" i="61"/>
  <c r="D150" i="61"/>
  <c r="D151" i="61"/>
  <c r="D152" i="61"/>
  <c r="D153" i="61"/>
  <c r="D154" i="61"/>
  <c r="D155" i="61"/>
  <c r="D156" i="61"/>
  <c r="D157" i="61"/>
  <c r="D158" i="61"/>
  <c r="D159" i="61"/>
  <c r="D160" i="61"/>
  <c r="D161" i="61"/>
  <c r="D162" i="61"/>
  <c r="D163" i="61"/>
  <c r="D164" i="61"/>
  <c r="D165" i="61"/>
  <c r="D166" i="61"/>
  <c r="D167" i="61"/>
  <c r="D168" i="61"/>
  <c r="D169" i="61"/>
  <c r="D170" i="61"/>
  <c r="D171" i="61"/>
  <c r="D172" i="61"/>
  <c r="D173" i="61"/>
  <c r="D174" i="61"/>
  <c r="D175" i="61"/>
  <c r="D176" i="61"/>
  <c r="D177" i="61"/>
  <c r="D178" i="61"/>
  <c r="D179" i="61"/>
  <c r="D180" i="61"/>
  <c r="D181" i="61"/>
  <c r="D182" i="61"/>
  <c r="D183" i="61"/>
  <c r="D184" i="61"/>
  <c r="D185" i="61"/>
  <c r="D186" i="61"/>
  <c r="D187" i="61"/>
  <c r="D188" i="61"/>
  <c r="D189" i="61"/>
  <c r="D190" i="61"/>
  <c r="D191" i="61"/>
  <c r="D192" i="61"/>
  <c r="D193" i="61"/>
  <c r="D194" i="61"/>
  <c r="D195" i="61"/>
  <c r="D196" i="61"/>
  <c r="D197" i="61"/>
  <c r="D198" i="61"/>
  <c r="D199" i="61"/>
  <c r="D200" i="61"/>
  <c r="D201" i="61"/>
  <c r="D202" i="61"/>
  <c r="D203" i="61"/>
  <c r="D204" i="61"/>
  <c r="D205" i="61"/>
  <c r="D206" i="61"/>
  <c r="D207" i="61"/>
  <c r="D208" i="61"/>
  <c r="D209" i="61"/>
  <c r="D210" i="61"/>
  <c r="D211" i="61"/>
  <c r="D212" i="61"/>
  <c r="D213" i="61"/>
  <c r="D214" i="61"/>
  <c r="D215" i="61"/>
  <c r="D216" i="61"/>
  <c r="D217" i="61"/>
  <c r="D218" i="61"/>
  <c r="D219" i="61"/>
  <c r="D220" i="61"/>
  <c r="D221" i="61"/>
  <c r="D222" i="61"/>
  <c r="D223" i="61"/>
  <c r="D224" i="61"/>
  <c r="D225" i="61"/>
  <c r="D226" i="61"/>
  <c r="D227" i="61"/>
  <c r="D228" i="61"/>
  <c r="D229" i="61"/>
  <c r="D230" i="61"/>
  <c r="D231" i="61"/>
  <c r="D232" i="61"/>
  <c r="D233" i="61"/>
  <c r="D234" i="61"/>
  <c r="D235" i="61"/>
  <c r="D236" i="61"/>
  <c r="D237" i="61"/>
  <c r="D238" i="61"/>
  <c r="D239" i="61"/>
  <c r="D240" i="61"/>
  <c r="D241" i="61"/>
  <c r="D242" i="61"/>
  <c r="D243" i="61"/>
  <c r="D244" i="61"/>
  <c r="D245" i="61"/>
  <c r="D246" i="61"/>
  <c r="D247" i="61"/>
  <c r="D248" i="61"/>
  <c r="D249" i="61"/>
  <c r="D250" i="61"/>
  <c r="D251" i="61"/>
  <c r="D252" i="61"/>
  <c r="D253" i="61"/>
  <c r="D254" i="61"/>
  <c r="D255" i="61"/>
  <c r="D256" i="61"/>
  <c r="D257" i="61"/>
  <c r="D258" i="61"/>
  <c r="D259" i="61"/>
  <c r="D260" i="61"/>
  <c r="D261" i="61"/>
  <c r="D262" i="61"/>
  <c r="D263" i="61"/>
  <c r="D264" i="61"/>
  <c r="D265" i="61"/>
  <c r="D266" i="61"/>
  <c r="D267" i="61"/>
  <c r="D268" i="61"/>
  <c r="D269" i="61"/>
  <c r="D270" i="61"/>
  <c r="D271" i="61"/>
  <c r="D272" i="61"/>
  <c r="D273" i="61"/>
  <c r="D274" i="61"/>
  <c r="D275" i="61"/>
  <c r="D276" i="61"/>
  <c r="D277" i="61"/>
  <c r="D278" i="61"/>
  <c r="D279" i="61"/>
  <c r="D280" i="61"/>
  <c r="D281" i="61"/>
  <c r="D282" i="61"/>
  <c r="D283" i="61"/>
  <c r="D284" i="61"/>
  <c r="D285" i="61"/>
  <c r="D286" i="61"/>
  <c r="D287" i="61"/>
  <c r="D288" i="61"/>
  <c r="D289" i="61"/>
  <c r="D290" i="61"/>
  <c r="D291" i="61"/>
  <c r="D292" i="61"/>
  <c r="D293" i="61"/>
  <c r="D294" i="61"/>
  <c r="D295" i="61"/>
  <c r="D296" i="61"/>
  <c r="D297" i="61"/>
  <c r="D298" i="61"/>
  <c r="D299" i="61"/>
  <c r="D300" i="61"/>
  <c r="D301" i="61"/>
  <c r="D302" i="61"/>
  <c r="D303" i="61"/>
  <c r="D304" i="61"/>
  <c r="D305" i="61"/>
  <c r="D306" i="61"/>
  <c r="D307" i="61"/>
  <c r="D308" i="61"/>
  <c r="D309" i="61"/>
  <c r="D310" i="61"/>
  <c r="D311" i="61"/>
  <c r="D312" i="61"/>
  <c r="D313" i="61"/>
  <c r="D314" i="61"/>
  <c r="D315" i="61"/>
  <c r="D316" i="61"/>
  <c r="D317" i="61"/>
  <c r="D318" i="61"/>
  <c r="D319" i="61"/>
  <c r="D320" i="61"/>
  <c r="D321" i="61"/>
  <c r="D322" i="61"/>
  <c r="D323" i="61"/>
  <c r="D324" i="61"/>
  <c r="D325" i="61"/>
  <c r="D326" i="61"/>
  <c r="D327" i="61"/>
  <c r="D328" i="61"/>
  <c r="D329" i="61"/>
  <c r="D330" i="61"/>
  <c r="D331" i="61"/>
  <c r="D332" i="61"/>
  <c r="D333" i="61"/>
  <c r="D334" i="61"/>
  <c r="D335" i="61"/>
  <c r="D336" i="61"/>
  <c r="D337" i="61"/>
  <c r="D338" i="61"/>
  <c r="D339" i="61"/>
  <c r="D340" i="61"/>
  <c r="D341" i="61"/>
  <c r="D342" i="61"/>
  <c r="D343" i="61"/>
  <c r="D344" i="61"/>
  <c r="D345" i="61"/>
  <c r="D346" i="61"/>
  <c r="D347" i="61"/>
  <c r="D348" i="61"/>
  <c r="D349" i="61"/>
  <c r="D350" i="61"/>
  <c r="D351" i="61"/>
  <c r="D352" i="61"/>
  <c r="D353" i="61"/>
  <c r="D354" i="61"/>
  <c r="D355" i="61"/>
  <c r="D356" i="61"/>
  <c r="D357" i="61"/>
  <c r="D358" i="61"/>
  <c r="D359" i="61"/>
  <c r="D360" i="61"/>
  <c r="D361" i="61"/>
  <c r="D362" i="61"/>
  <c r="D363" i="61"/>
  <c r="D364" i="61"/>
  <c r="D365" i="61"/>
  <c r="D366" i="61"/>
  <c r="D367" i="61"/>
  <c r="D368" i="61"/>
  <c r="D369" i="61"/>
  <c r="D370" i="61"/>
  <c r="D371" i="61"/>
  <c r="D372" i="61"/>
  <c r="D373" i="61"/>
  <c r="D374" i="61"/>
  <c r="D375" i="61"/>
  <c r="D376" i="61"/>
  <c r="D377" i="61"/>
  <c r="D378" i="61"/>
  <c r="D379" i="61"/>
  <c r="D380" i="61"/>
  <c r="D381" i="61"/>
  <c r="D382" i="61"/>
  <c r="D383" i="61"/>
  <c r="D384" i="61"/>
  <c r="D385" i="61"/>
  <c r="D386" i="61"/>
  <c r="D387" i="61"/>
  <c r="D388" i="61"/>
  <c r="D389" i="61"/>
  <c r="D390" i="61"/>
  <c r="D391" i="61"/>
  <c r="D392" i="61"/>
  <c r="D393" i="61"/>
  <c r="D394" i="61"/>
  <c r="D395" i="61"/>
  <c r="D396" i="61"/>
  <c r="D397" i="61"/>
  <c r="D398" i="61"/>
  <c r="D399" i="61"/>
  <c r="D400" i="61"/>
  <c r="D401" i="61"/>
  <c r="D402" i="61"/>
  <c r="D403" i="61"/>
  <c r="D404" i="61"/>
  <c r="D405" i="61"/>
  <c r="D406" i="61"/>
  <c r="D407" i="61"/>
  <c r="D408" i="61"/>
  <c r="D409" i="61"/>
  <c r="D410" i="61"/>
  <c r="D411" i="61"/>
  <c r="D412" i="61"/>
  <c r="D413" i="61"/>
  <c r="D414" i="61"/>
  <c r="D415" i="61"/>
  <c r="D416" i="61"/>
  <c r="D417" i="61"/>
  <c r="D418" i="61"/>
  <c r="D419" i="61"/>
  <c r="D420" i="61"/>
  <c r="D421" i="61"/>
  <c r="D422" i="61"/>
  <c r="D423" i="61"/>
  <c r="D424" i="61"/>
  <c r="D425" i="61"/>
  <c r="D426" i="61"/>
  <c r="D427" i="61"/>
  <c r="D428" i="61"/>
  <c r="D429" i="61"/>
  <c r="D430" i="61"/>
  <c r="D431" i="61"/>
  <c r="D432" i="61"/>
  <c r="D433" i="61"/>
  <c r="D434" i="61"/>
  <c r="D435" i="61"/>
  <c r="D436" i="61"/>
  <c r="D437" i="61"/>
  <c r="D438" i="61"/>
  <c r="D439" i="61"/>
  <c r="D440" i="61"/>
  <c r="D441" i="61"/>
  <c r="D442" i="61"/>
  <c r="D443" i="61"/>
  <c r="D444" i="61"/>
  <c r="D445" i="61"/>
  <c r="D446" i="61"/>
  <c r="D447" i="61"/>
  <c r="D448" i="61"/>
  <c r="D449" i="61"/>
  <c r="D450" i="61"/>
  <c r="D451" i="61"/>
  <c r="D452" i="61"/>
  <c r="D453" i="61"/>
  <c r="D454" i="61"/>
  <c r="D455" i="61"/>
  <c r="D456" i="61"/>
  <c r="D457" i="61"/>
  <c r="D458" i="61"/>
  <c r="D459" i="61"/>
  <c r="D460" i="61"/>
  <c r="D461" i="61"/>
  <c r="D462" i="61"/>
  <c r="D463" i="61"/>
  <c r="D464" i="61"/>
  <c r="D465" i="61"/>
  <c r="D466" i="61"/>
  <c r="D467" i="61"/>
  <c r="D468" i="61"/>
  <c r="D469" i="61"/>
  <c r="D470" i="61"/>
  <c r="D471" i="61"/>
  <c r="D472" i="61"/>
  <c r="D473" i="61"/>
  <c r="D474" i="61"/>
  <c r="D475" i="61"/>
  <c r="D476" i="61"/>
  <c r="D477" i="61"/>
  <c r="D478" i="61"/>
  <c r="D479" i="61"/>
  <c r="D480" i="61"/>
  <c r="D481" i="61"/>
  <c r="D482" i="61"/>
  <c r="D483" i="61"/>
  <c r="D484" i="61"/>
  <c r="D485" i="61"/>
  <c r="D486" i="61"/>
  <c r="D487" i="61"/>
  <c r="D488" i="61"/>
  <c r="D489" i="61"/>
  <c r="D490" i="61"/>
  <c r="D491" i="61"/>
  <c r="D492" i="61"/>
  <c r="D493" i="61"/>
  <c r="D494" i="61"/>
  <c r="D495" i="61"/>
  <c r="D496" i="61"/>
  <c r="D497" i="61"/>
  <c r="D498" i="61"/>
  <c r="D499" i="61"/>
  <c r="D500" i="61"/>
  <c r="D501" i="61"/>
  <c r="D502" i="61"/>
  <c r="D503" i="61"/>
  <c r="D504" i="61"/>
  <c r="D505" i="61"/>
  <c r="D506" i="61"/>
  <c r="D507" i="61"/>
  <c r="D508" i="61"/>
  <c r="D509" i="61"/>
  <c r="D510" i="61"/>
  <c r="D511" i="61"/>
  <c r="D512" i="61"/>
  <c r="D513" i="61"/>
  <c r="D514" i="61"/>
  <c r="D515" i="61"/>
  <c r="D516" i="61"/>
  <c r="D517" i="61"/>
  <c r="D518" i="61"/>
  <c r="D519" i="61"/>
  <c r="D520" i="61"/>
  <c r="D521" i="61"/>
  <c r="D522" i="61"/>
  <c r="D523" i="61"/>
  <c r="D524" i="61"/>
  <c r="D525" i="61"/>
  <c r="D526" i="61"/>
  <c r="D527" i="61"/>
  <c r="D528" i="61"/>
  <c r="D529" i="61"/>
  <c r="D530" i="61"/>
  <c r="D531" i="61"/>
  <c r="D532" i="61"/>
  <c r="D533" i="61"/>
  <c r="D534" i="61"/>
  <c r="D535" i="61"/>
  <c r="D536" i="61"/>
  <c r="D537" i="61"/>
  <c r="D538" i="61"/>
  <c r="D539" i="61"/>
  <c r="D540" i="61"/>
  <c r="D541" i="61"/>
  <c r="D542" i="61"/>
  <c r="D543" i="61"/>
  <c r="D544" i="61"/>
  <c r="D545" i="61"/>
  <c r="D546" i="61"/>
  <c r="D547" i="61"/>
  <c r="D548" i="61"/>
  <c r="D549" i="61"/>
  <c r="D550" i="61"/>
  <c r="D551" i="61"/>
  <c r="D552" i="61"/>
  <c r="D553" i="61"/>
  <c r="D554" i="61"/>
  <c r="D555" i="61"/>
  <c r="D556" i="61"/>
  <c r="D557" i="61"/>
  <c r="D558" i="61"/>
  <c r="D559" i="61"/>
  <c r="D560" i="61"/>
  <c r="D561" i="61"/>
  <c r="D562" i="61"/>
  <c r="D563" i="61"/>
  <c r="D564" i="61"/>
  <c r="D565" i="61"/>
  <c r="D566" i="61"/>
  <c r="D567" i="61"/>
  <c r="D568" i="61"/>
  <c r="D569" i="61"/>
  <c r="D570" i="61"/>
  <c r="D571" i="61"/>
  <c r="D572" i="61"/>
  <c r="D573" i="61"/>
  <c r="D574" i="61"/>
  <c r="D575" i="61"/>
  <c r="D576" i="61"/>
  <c r="D577" i="61"/>
  <c r="D578" i="61"/>
  <c r="D579" i="61"/>
  <c r="D580" i="61"/>
  <c r="D581" i="61"/>
  <c r="D582" i="61"/>
  <c r="D583" i="61"/>
  <c r="D584" i="61"/>
  <c r="D585" i="61"/>
  <c r="D586" i="61"/>
  <c r="D587" i="61"/>
  <c r="D588" i="61"/>
  <c r="D589" i="61"/>
  <c r="D590" i="61"/>
  <c r="D591" i="61"/>
  <c r="D592" i="61"/>
  <c r="D593" i="61"/>
  <c r="D594" i="61"/>
  <c r="D595" i="61"/>
  <c r="D596" i="61"/>
  <c r="D597" i="61"/>
  <c r="D598" i="61"/>
  <c r="D599" i="61"/>
  <c r="D600" i="61"/>
  <c r="D601" i="61"/>
  <c r="D602" i="61"/>
  <c r="D603" i="61"/>
  <c r="D604" i="61"/>
  <c r="D605" i="61"/>
  <c r="D606" i="61"/>
  <c r="D607" i="61"/>
  <c r="D608" i="61"/>
  <c r="D609" i="61"/>
  <c r="D610" i="61"/>
  <c r="D611" i="61"/>
  <c r="D612" i="61"/>
  <c r="D613" i="61"/>
  <c r="D614" i="61"/>
  <c r="D615" i="61"/>
  <c r="D616" i="61"/>
  <c r="D617" i="61"/>
  <c r="D618" i="61"/>
  <c r="D619" i="61"/>
  <c r="D620" i="61"/>
  <c r="D621" i="61"/>
  <c r="D622" i="61"/>
  <c r="D623" i="61"/>
  <c r="D624" i="61"/>
  <c r="D625" i="61"/>
  <c r="D626" i="61"/>
  <c r="D627" i="61"/>
  <c r="D628" i="61"/>
  <c r="D629" i="61"/>
  <c r="D630" i="61"/>
  <c r="D631" i="61"/>
  <c r="D632" i="61"/>
  <c r="D633" i="61"/>
  <c r="D634" i="61"/>
  <c r="D635" i="61"/>
  <c r="D636" i="61"/>
  <c r="D637" i="61"/>
  <c r="D638" i="61"/>
  <c r="D639" i="61"/>
  <c r="D640" i="61"/>
  <c r="D641" i="61"/>
  <c r="D642" i="61"/>
  <c r="D643" i="61"/>
  <c r="D644" i="61"/>
  <c r="D645" i="61"/>
  <c r="D646" i="61"/>
  <c r="D647" i="61"/>
  <c r="D648" i="61"/>
  <c r="D649" i="61"/>
  <c r="D650" i="61"/>
  <c r="D651" i="61"/>
  <c r="D652" i="61"/>
  <c r="D653" i="61"/>
  <c r="D654" i="61"/>
  <c r="D655" i="61"/>
  <c r="D656" i="61"/>
  <c r="D657" i="61"/>
  <c r="D658" i="61"/>
  <c r="D659" i="61"/>
  <c r="D660" i="61"/>
  <c r="D661" i="61"/>
  <c r="D662" i="61"/>
  <c r="D663" i="61"/>
  <c r="D664" i="61"/>
  <c r="D666" i="61"/>
  <c r="D667" i="61"/>
  <c r="D668" i="61"/>
  <c r="D670" i="61"/>
  <c r="D671" i="61"/>
  <c r="D672" i="61"/>
  <c r="D674" i="61"/>
  <c r="D675" i="61"/>
  <c r="D676" i="61"/>
  <c r="D678" i="61"/>
  <c r="D679" i="61"/>
  <c r="D680" i="61"/>
  <c r="D682" i="61"/>
  <c r="D683" i="61"/>
  <c r="D684" i="61"/>
  <c r="D686" i="61"/>
  <c r="D687" i="61"/>
  <c r="D688" i="61"/>
  <c r="D690" i="61"/>
  <c r="D691" i="61"/>
  <c r="D692" i="61"/>
  <c r="D694" i="61"/>
  <c r="D695" i="61"/>
  <c r="D696" i="61"/>
  <c r="D698" i="61"/>
  <c r="D699" i="61"/>
  <c r="D700" i="61"/>
  <c r="D702" i="61"/>
  <c r="D703" i="61"/>
  <c r="D704" i="61"/>
  <c r="D706" i="61"/>
  <c r="D707" i="61"/>
  <c r="D708" i="61"/>
  <c r="D710" i="61"/>
  <c r="D711" i="61"/>
  <c r="D712" i="61"/>
  <c r="D714" i="61"/>
  <c r="D715" i="61"/>
  <c r="D716" i="61"/>
  <c r="D718" i="61"/>
  <c r="D719" i="61"/>
  <c r="D720" i="61"/>
  <c r="D722" i="61"/>
  <c r="D723" i="61"/>
  <c r="D724" i="61"/>
  <c r="D726" i="61"/>
  <c r="D727" i="61"/>
  <c r="D728" i="61"/>
  <c r="D730" i="61"/>
  <c r="D731" i="61"/>
  <c r="D732" i="61"/>
  <c r="D734" i="61"/>
  <c r="D735" i="61"/>
  <c r="D736" i="61"/>
  <c r="D738" i="61"/>
  <c r="D739" i="61"/>
  <c r="D740" i="61"/>
  <c r="D742" i="61"/>
  <c r="D743" i="61"/>
  <c r="D744" i="61"/>
  <c r="D746" i="61"/>
  <c r="D747" i="61"/>
  <c r="D748" i="61"/>
  <c r="D750" i="61"/>
  <c r="D751" i="61"/>
  <c r="D752" i="61"/>
  <c r="D754" i="61"/>
  <c r="D755" i="61"/>
  <c r="D756" i="61"/>
  <c r="D758" i="61"/>
  <c r="D759" i="61"/>
  <c r="D760" i="61"/>
  <c r="D762" i="61"/>
  <c r="D763" i="61"/>
  <c r="D764" i="61"/>
  <c r="D766" i="61"/>
  <c r="D767" i="61"/>
  <c r="D768" i="61"/>
  <c r="D770" i="61"/>
  <c r="D771" i="61"/>
  <c r="D772" i="61"/>
  <c r="D774" i="61"/>
  <c r="D775" i="61"/>
  <c r="D776" i="61"/>
  <c r="D778" i="61"/>
  <c r="D779" i="61"/>
  <c r="D780" i="61"/>
  <c r="D782" i="61"/>
  <c r="D783" i="61"/>
  <c r="D784" i="61"/>
  <c r="D786" i="61"/>
  <c r="D787" i="61"/>
  <c r="D788" i="61"/>
  <c r="D790" i="61"/>
  <c r="D791" i="61"/>
  <c r="D792" i="61"/>
  <c r="D794" i="61"/>
  <c r="D795" i="61"/>
  <c r="D796" i="61"/>
  <c r="D798" i="61"/>
  <c r="D799" i="61"/>
  <c r="D800" i="61"/>
  <c r="D802" i="61"/>
  <c r="D803" i="61"/>
  <c r="D804" i="61"/>
  <c r="D806" i="61"/>
  <c r="D5" i="61"/>
  <c r="I35" i="60"/>
  <c r="I34" i="60"/>
  <c r="F35" i="60" a="1"/>
  <c r="F35" i="60" s="1"/>
  <c r="F34" i="60" a="1"/>
  <c r="F34" i="60" s="1"/>
  <c r="F29" i="60" a="1"/>
  <c r="F29" i="60" s="1"/>
  <c r="F28" i="60" a="1"/>
  <c r="F28" i="60" s="1"/>
  <c r="F23" i="60" a="1"/>
  <c r="F23" i="60" s="1"/>
  <c r="F22" i="60" a="1"/>
  <c r="F22" i="60" s="1"/>
  <c r="F17" i="60" a="1"/>
  <c r="F17" i="60" s="1"/>
  <c r="F16" i="60" a="1"/>
  <c r="F16" i="60" s="1"/>
  <c r="I17" i="60"/>
  <c r="I16" i="60"/>
  <c r="F10" i="60" a="1"/>
  <c r="F10" i="60" s="1"/>
  <c r="B45" i="51"/>
  <c r="B46" i="51"/>
  <c r="B47" i="51"/>
  <c r="B48" i="51"/>
  <c r="B49" i="51"/>
  <c r="B50" i="51"/>
  <c r="L328" i="62" l="1"/>
  <c r="L336" i="62"/>
  <c r="L344" i="62"/>
  <c r="L352" i="62"/>
  <c r="L360" i="62"/>
  <c r="L368" i="62"/>
  <c r="L376" i="62"/>
  <c r="L384" i="62"/>
  <c r="L392" i="62"/>
  <c r="L400" i="62"/>
  <c r="L408" i="62"/>
  <c r="L416" i="62"/>
  <c r="L424" i="62"/>
  <c r="L432" i="62"/>
  <c r="L440" i="62"/>
  <c r="L448" i="62"/>
  <c r="L456" i="62"/>
  <c r="L464" i="62"/>
  <c r="L472" i="62"/>
  <c r="L480" i="62"/>
  <c r="L488" i="62"/>
  <c r="L496" i="62"/>
  <c r="L504" i="62"/>
  <c r="L512" i="62"/>
  <c r="L520" i="62"/>
  <c r="L528" i="62"/>
  <c r="L536" i="62"/>
  <c r="L544" i="62"/>
  <c r="L552" i="62"/>
  <c r="L560" i="62"/>
  <c r="L568" i="62"/>
  <c r="L576" i="62"/>
  <c r="L584" i="62"/>
  <c r="L592" i="62"/>
  <c r="L600" i="62"/>
  <c r="L608" i="62"/>
  <c r="L616" i="62"/>
  <c r="L624" i="62"/>
  <c r="L632" i="62"/>
  <c r="L640" i="62"/>
  <c r="L648" i="62"/>
  <c r="L656" i="62"/>
  <c r="L664" i="62"/>
  <c r="L672" i="62"/>
  <c r="L680" i="62"/>
  <c r="L688" i="62"/>
  <c r="L696" i="62"/>
  <c r="L704" i="62"/>
  <c r="L712" i="62"/>
  <c r="L720" i="62"/>
  <c r="L728" i="62"/>
  <c r="L736" i="62"/>
  <c r="L744" i="62"/>
  <c r="L752" i="62"/>
  <c r="L760" i="62"/>
  <c r="L468" i="62"/>
  <c r="L476" i="62"/>
  <c r="L484" i="62"/>
  <c r="L492" i="62"/>
  <c r="L500" i="62"/>
  <c r="L508" i="62"/>
  <c r="L516" i="62"/>
  <c r="L524" i="62"/>
  <c r="L532" i="62"/>
  <c r="L540" i="62"/>
  <c r="L548" i="62"/>
  <c r="L556" i="62"/>
  <c r="L564" i="62"/>
  <c r="L572" i="62"/>
  <c r="L580" i="62"/>
  <c r="L588" i="62"/>
  <c r="L596" i="62"/>
  <c r="L604" i="62"/>
  <c r="L612" i="62"/>
  <c r="L620" i="62"/>
  <c r="L628" i="62"/>
  <c r="L636" i="62"/>
  <c r="L644" i="62"/>
  <c r="L652" i="62"/>
  <c r="L660" i="62"/>
  <c r="L668" i="62"/>
  <c r="L676" i="62"/>
  <c r="L684" i="62"/>
  <c r="L692" i="62"/>
  <c r="L700" i="62"/>
  <c r="L708" i="62"/>
  <c r="L716" i="62"/>
  <c r="L724" i="62"/>
  <c r="L732" i="62"/>
  <c r="L740" i="62"/>
  <c r="L748" i="62"/>
  <c r="L756" i="62"/>
  <c r="L145" i="62"/>
  <c r="L153" i="62"/>
  <c r="L161" i="62"/>
  <c r="L169" i="62"/>
  <c r="L177" i="62"/>
  <c r="L185" i="62"/>
  <c r="L193" i="62"/>
  <c r="L201" i="62"/>
  <c r="L209" i="62"/>
  <c r="L217" i="62"/>
  <c r="L225" i="62"/>
  <c r="L233" i="62"/>
  <c r="L241" i="62"/>
  <c r="L249" i="62"/>
  <c r="L257" i="62"/>
  <c r="L265" i="62"/>
  <c r="L273" i="62"/>
  <c r="L281" i="62"/>
  <c r="L289" i="62"/>
  <c r="L297" i="62"/>
  <c r="L305" i="62"/>
  <c r="L313" i="62"/>
  <c r="L329" i="62"/>
  <c r="L337" i="62"/>
  <c r="L345" i="62"/>
  <c r="L353" i="62"/>
  <c r="L357" i="62"/>
  <c r="L7" i="62"/>
  <c r="L11" i="62"/>
  <c r="L15" i="62"/>
  <c r="L19" i="62"/>
  <c r="L23" i="62"/>
  <c r="L27" i="62"/>
  <c r="L31" i="62"/>
  <c r="L35" i="62"/>
  <c r="L39" i="62"/>
  <c r="L43" i="62"/>
  <c r="L47" i="62"/>
  <c r="L51" i="62"/>
  <c r="L55" i="62"/>
  <c r="L59" i="62"/>
  <c r="L63" i="62"/>
  <c r="L67" i="62"/>
  <c r="L71" i="62"/>
  <c r="L75" i="62"/>
  <c r="L79" i="62"/>
  <c r="L83" i="62"/>
  <c r="L87" i="62"/>
  <c r="L91" i="62"/>
  <c r="L95" i="62"/>
  <c r="L99" i="62"/>
  <c r="L103" i="62"/>
  <c r="L107" i="62"/>
  <c r="L111" i="62"/>
  <c r="L115" i="62"/>
  <c r="L326" i="62"/>
  <c r="L330" i="62"/>
  <c r="L334" i="62"/>
  <c r="L338" i="62"/>
  <c r="L342" i="62"/>
  <c r="L346" i="62"/>
  <c r="L350" i="62"/>
  <c r="L354" i="62"/>
  <c r="L358" i="62"/>
  <c r="L119" i="62"/>
  <c r="L123" i="62"/>
  <c r="L127" i="62"/>
  <c r="L131" i="62"/>
  <c r="L135" i="62"/>
  <c r="L139" i="62"/>
  <c r="L143" i="62"/>
  <c r="L147" i="62"/>
  <c r="L151" i="62"/>
  <c r="L155" i="62"/>
  <c r="L159" i="62"/>
  <c r="L163" i="62"/>
  <c r="L167" i="62"/>
  <c r="L171" i="62"/>
  <c r="L175" i="62"/>
  <c r="L179" i="62"/>
  <c r="L183" i="62"/>
  <c r="L187" i="62"/>
  <c r="L191" i="62"/>
  <c r="L195" i="62"/>
  <c r="L199" i="62"/>
  <c r="L203" i="62"/>
  <c r="L207" i="62"/>
  <c r="L211" i="62"/>
  <c r="L215" i="62"/>
  <c r="L219" i="62"/>
  <c r="L223" i="62"/>
  <c r="L227" i="62"/>
  <c r="L231" i="62"/>
  <c r="L235" i="62"/>
  <c r="L239" i="62"/>
  <c r="L243" i="62"/>
  <c r="L247" i="62"/>
  <c r="L251" i="62"/>
  <c r="L255" i="62"/>
  <c r="L259" i="62"/>
  <c r="L263" i="62"/>
  <c r="L267" i="62"/>
  <c r="L271" i="62"/>
  <c r="L275" i="62"/>
  <c r="L279" i="62"/>
  <c r="L283" i="62"/>
  <c r="L287" i="62"/>
  <c r="L291" i="62"/>
  <c r="L295" i="62"/>
  <c r="L299" i="62"/>
  <c r="L303" i="62"/>
  <c r="L307" i="62"/>
  <c r="L311" i="62"/>
  <c r="L315" i="62"/>
  <c r="L319" i="62"/>
  <c r="L323" i="62"/>
  <c r="L327" i="62"/>
  <c r="L331" i="62"/>
  <c r="L335" i="62"/>
  <c r="L339" i="62"/>
  <c r="L343" i="62"/>
  <c r="L347" i="62"/>
  <c r="L351" i="62"/>
  <c r="L355" i="62"/>
  <c r="L359" i="62"/>
  <c r="L363" i="62"/>
  <c r="L367" i="62"/>
  <c r="L371" i="62"/>
  <c r="L375" i="62"/>
  <c r="L379" i="62"/>
  <c r="L383" i="62"/>
  <c r="L387" i="62"/>
  <c r="L391" i="62"/>
  <c r="L411" i="62"/>
  <c r="L415" i="62"/>
  <c r="L419" i="62"/>
  <c r="L423" i="62"/>
  <c r="L427" i="62"/>
  <c r="L431" i="62"/>
  <c r="L435" i="62"/>
  <c r="L443" i="62"/>
  <c r="L447" i="62"/>
  <c r="L451" i="62"/>
  <c r="L783" i="62"/>
  <c r="L787" i="62"/>
  <c r="L791" i="62"/>
  <c r="L795" i="62"/>
  <c r="L799" i="62"/>
  <c r="L803" i="62"/>
  <c r="G32" i="54"/>
  <c r="C32" i="54"/>
  <c r="F31" i="54"/>
  <c r="I30" i="54"/>
  <c r="E30" i="54"/>
  <c r="H29" i="54"/>
  <c r="D29" i="54"/>
  <c r="G28" i="54"/>
  <c r="C28" i="54"/>
  <c r="F27" i="54"/>
  <c r="I32" i="54"/>
  <c r="E32" i="54"/>
  <c r="H31" i="54"/>
  <c r="D31" i="54"/>
  <c r="G30" i="54"/>
  <c r="C30" i="54"/>
  <c r="F29" i="54"/>
  <c r="I28" i="54"/>
  <c r="E28" i="54"/>
  <c r="H27" i="54"/>
  <c r="D27" i="54"/>
  <c r="C29" i="54"/>
  <c r="E27" i="54"/>
  <c r="H32" i="54"/>
  <c r="D32" i="54"/>
  <c r="G31" i="54"/>
  <c r="C31" i="54"/>
  <c r="F30" i="54"/>
  <c r="I29" i="54"/>
  <c r="E29" i="54"/>
  <c r="H28" i="54"/>
  <c r="D28" i="54"/>
  <c r="G27" i="54"/>
  <c r="C27" i="54"/>
  <c r="F32" i="54"/>
  <c r="I31" i="54"/>
  <c r="E31" i="54"/>
  <c r="H30" i="54"/>
  <c r="D30" i="54"/>
  <c r="G29" i="54"/>
  <c r="F28" i="54"/>
  <c r="I27" i="54"/>
  <c r="L5" i="62"/>
  <c r="L9" i="62"/>
  <c r="L13" i="62"/>
  <c r="L17" i="62"/>
  <c r="L21" i="62"/>
  <c r="L25" i="62"/>
  <c r="L29" i="62"/>
  <c r="L33" i="62"/>
  <c r="L37" i="62"/>
  <c r="L41" i="62"/>
  <c r="L197" i="62"/>
  <c r="L140" i="62"/>
  <c r="L144" i="62"/>
  <c r="L148" i="62"/>
  <c r="L152" i="62"/>
  <c r="L156" i="62"/>
  <c r="L160" i="62"/>
  <c r="L164" i="62"/>
  <c r="L168" i="62"/>
  <c r="L172" i="62"/>
  <c r="L176" i="62"/>
  <c r="L180" i="62"/>
  <c r="L184" i="62"/>
  <c r="L188" i="62"/>
  <c r="L192" i="62"/>
  <c r="L196" i="62"/>
  <c r="L6" i="62"/>
  <c r="L10" i="62"/>
  <c r="L14" i="62"/>
  <c r="L18" i="62"/>
  <c r="L22" i="62"/>
  <c r="L26" i="62"/>
  <c r="L30" i="62"/>
  <c r="L34" i="62"/>
  <c r="L38" i="62"/>
  <c r="L42" i="62"/>
  <c r="L46" i="62"/>
  <c r="L50" i="62"/>
  <c r="L54" i="62"/>
  <c r="L58" i="62"/>
  <c r="L62" i="62"/>
  <c r="L66" i="62"/>
  <c r="L70" i="62"/>
  <c r="L74" i="62"/>
  <c r="L78" i="62"/>
  <c r="L82" i="62"/>
  <c r="L86" i="62"/>
  <c r="L90" i="62"/>
  <c r="L94" i="62"/>
  <c r="L98" i="62"/>
  <c r="L102" i="62"/>
  <c r="L106" i="62"/>
  <c r="L138" i="62"/>
  <c r="L142" i="62"/>
  <c r="L146" i="62"/>
  <c r="L150" i="62"/>
  <c r="L154" i="62"/>
  <c r="L158" i="62"/>
  <c r="L162" i="62"/>
  <c r="L166" i="62"/>
  <c r="L170" i="62"/>
  <c r="L174" i="62"/>
  <c r="L178" i="62"/>
  <c r="L182" i="62"/>
  <c r="L186" i="62"/>
  <c r="L190" i="62"/>
  <c r="L194" i="62"/>
  <c r="L45" i="62"/>
  <c r="L49" i="62"/>
  <c r="L53" i="62"/>
  <c r="L57" i="62"/>
  <c r="L61" i="62"/>
  <c r="L65" i="62"/>
  <c r="L69" i="62"/>
  <c r="L73" i="62"/>
  <c r="L77" i="62"/>
  <c r="L81" i="62"/>
  <c r="L85" i="62"/>
  <c r="L89" i="62"/>
  <c r="L93" i="62"/>
  <c r="L97" i="62"/>
  <c r="L101" i="62"/>
  <c r="L105" i="62"/>
  <c r="L109" i="62"/>
  <c r="L113" i="62"/>
  <c r="L117" i="62"/>
  <c r="L121" i="62"/>
  <c r="L125" i="62"/>
  <c r="L129" i="62"/>
  <c r="L133" i="62"/>
  <c r="L137" i="62"/>
  <c r="L321" i="62"/>
  <c r="L200" i="62"/>
  <c r="L204" i="62"/>
  <c r="L208" i="62"/>
  <c r="L212" i="62"/>
  <c r="L216" i="62"/>
  <c r="L220" i="62"/>
  <c r="L224" i="62"/>
  <c r="L228" i="62"/>
  <c r="L232" i="62"/>
  <c r="L236" i="62"/>
  <c r="L240" i="62"/>
  <c r="L244" i="62"/>
  <c r="L248" i="62"/>
  <c r="L252" i="62"/>
  <c r="L256" i="62"/>
  <c r="L260" i="62"/>
  <c r="L264" i="62"/>
  <c r="L268" i="62"/>
  <c r="L272" i="62"/>
  <c r="L276" i="62"/>
  <c r="L280" i="62"/>
  <c r="L284" i="62"/>
  <c r="L288" i="62"/>
  <c r="L292" i="62"/>
  <c r="L296" i="62"/>
  <c r="L300" i="62"/>
  <c r="L304" i="62"/>
  <c r="L308" i="62"/>
  <c r="L312" i="62"/>
  <c r="L316" i="62"/>
  <c r="L320" i="62"/>
  <c r="L110" i="62"/>
  <c r="L114" i="62"/>
  <c r="L118" i="62"/>
  <c r="L122" i="62"/>
  <c r="L126" i="62"/>
  <c r="L130" i="62"/>
  <c r="L134" i="62"/>
  <c r="L198" i="62"/>
  <c r="L202" i="62"/>
  <c r="L206" i="62"/>
  <c r="L210" i="62"/>
  <c r="L214" i="62"/>
  <c r="L218" i="62"/>
  <c r="L222" i="62"/>
  <c r="L226" i="62"/>
  <c r="L230" i="62"/>
  <c r="L234" i="62"/>
  <c r="L238" i="62"/>
  <c r="L242" i="62"/>
  <c r="L246" i="62"/>
  <c r="L250" i="62"/>
  <c r="L254" i="62"/>
  <c r="L258" i="62"/>
  <c r="L262" i="62"/>
  <c r="L266" i="62"/>
  <c r="L270" i="62"/>
  <c r="L274" i="62"/>
  <c r="L278" i="62"/>
  <c r="L282" i="62"/>
  <c r="L286" i="62"/>
  <c r="L290" i="62"/>
  <c r="L294" i="62"/>
  <c r="L298" i="62"/>
  <c r="L302" i="62"/>
  <c r="L306" i="62"/>
  <c r="L310" i="62"/>
  <c r="L314" i="62"/>
  <c r="L318" i="62"/>
  <c r="L322" i="62"/>
  <c r="L361" i="62"/>
  <c r="L365" i="62"/>
  <c r="L369" i="62"/>
  <c r="L373" i="62"/>
  <c r="L377" i="62"/>
  <c r="L381" i="62"/>
  <c r="L385" i="62"/>
  <c r="L389" i="62"/>
  <c r="L393" i="62"/>
  <c r="L362" i="62"/>
  <c r="L366" i="62"/>
  <c r="L370" i="62"/>
  <c r="L374" i="62"/>
  <c r="L378" i="62"/>
  <c r="L382" i="62"/>
  <c r="L386" i="62"/>
  <c r="L390" i="62"/>
  <c r="L394" i="62"/>
  <c r="L445" i="62"/>
  <c r="L449" i="62"/>
  <c r="L764" i="62"/>
  <c r="L768" i="62"/>
  <c r="L398" i="62"/>
  <c r="L402" i="62"/>
  <c r="L406" i="62"/>
  <c r="L410" i="62"/>
  <c r="L414" i="62"/>
  <c r="L418" i="62"/>
  <c r="L422" i="62"/>
  <c r="L426" i="62"/>
  <c r="L430" i="62"/>
  <c r="L434" i="62"/>
  <c r="L438" i="62"/>
  <c r="L442" i="62"/>
  <c r="L446" i="62"/>
  <c r="L450" i="62"/>
  <c r="L454" i="62"/>
  <c r="L458" i="62"/>
  <c r="L462" i="62"/>
  <c r="L466" i="62"/>
  <c r="L470" i="62"/>
  <c r="L474" i="62"/>
  <c r="L478" i="62"/>
  <c r="L482" i="62"/>
  <c r="L486" i="62"/>
  <c r="L490" i="62"/>
  <c r="L494" i="62"/>
  <c r="L714" i="62"/>
  <c r="L718" i="62"/>
  <c r="L722" i="62"/>
  <c r="L726" i="62"/>
  <c r="L730" i="62"/>
  <c r="L734" i="62"/>
  <c r="L738" i="62"/>
  <c r="L742" i="62"/>
  <c r="L746" i="62"/>
  <c r="L750" i="62"/>
  <c r="L754" i="62"/>
  <c r="L758" i="62"/>
  <c r="L762" i="62"/>
  <c r="L766" i="62"/>
  <c r="L770" i="62"/>
  <c r="L774" i="62"/>
  <c r="L778" i="62"/>
  <c r="L782" i="62"/>
  <c r="L786" i="62"/>
  <c r="L790" i="62"/>
  <c r="L794" i="62"/>
  <c r="L798" i="62"/>
  <c r="L802" i="62"/>
  <c r="L806" i="62"/>
  <c r="L395" i="62"/>
  <c r="L399" i="62"/>
  <c r="L403" i="62"/>
  <c r="L407" i="62"/>
  <c r="L439" i="62"/>
  <c r="F18" i="70"/>
  <c r="D18" i="70"/>
  <c r="C15" i="70"/>
  <c r="B12" i="70"/>
  <c r="F16" i="70"/>
  <c r="E13" i="70"/>
  <c r="B16" i="70"/>
  <c r="F12" i="70"/>
  <c r="L8" i="62"/>
  <c r="L12" i="62"/>
  <c r="L16" i="62"/>
  <c r="L20" i="62"/>
  <c r="L24" i="62"/>
  <c r="L28" i="62"/>
  <c r="L32" i="62"/>
  <c r="L36" i="62"/>
  <c r="L40" i="62"/>
  <c r="L44" i="62"/>
  <c r="L48" i="62"/>
  <c r="L52" i="62"/>
  <c r="L56" i="62"/>
  <c r="L60" i="62"/>
  <c r="L64" i="62"/>
  <c r="L68" i="62"/>
  <c r="L72" i="62"/>
  <c r="L76" i="62"/>
  <c r="L80" i="62"/>
  <c r="L84" i="62"/>
  <c r="L88" i="62"/>
  <c r="L92" i="62"/>
  <c r="L96" i="62"/>
  <c r="L100" i="62"/>
  <c r="L104" i="62"/>
  <c r="L108" i="62"/>
  <c r="L112" i="62"/>
  <c r="L116" i="62"/>
  <c r="L120" i="62"/>
  <c r="L124" i="62"/>
  <c r="L128" i="62"/>
  <c r="L132" i="62"/>
  <c r="L136" i="62"/>
  <c r="L397" i="62"/>
  <c r="L401" i="62"/>
  <c r="L405" i="62"/>
  <c r="L409" i="62"/>
  <c r="L413" i="62"/>
  <c r="L417" i="62"/>
  <c r="L421" i="62"/>
  <c r="L425" i="62"/>
  <c r="L429" i="62"/>
  <c r="L433" i="62"/>
  <c r="L437" i="62"/>
  <c r="L441" i="62"/>
  <c r="D14" i="70"/>
  <c r="E17" i="70"/>
  <c r="L772" i="62"/>
  <c r="L776" i="62"/>
  <c r="L780" i="62"/>
  <c r="L784" i="62"/>
  <c r="L788" i="62"/>
  <c r="L792" i="62"/>
  <c r="L796" i="62"/>
  <c r="L800" i="62"/>
  <c r="L804" i="62"/>
  <c r="L455" i="62"/>
  <c r="L459" i="62"/>
  <c r="L463" i="62"/>
  <c r="L467" i="62"/>
  <c r="L471" i="62"/>
  <c r="L475" i="62"/>
  <c r="L479" i="62"/>
  <c r="L483" i="62"/>
  <c r="L487" i="62"/>
  <c r="L491" i="62"/>
  <c r="L495" i="62"/>
  <c r="L663" i="62"/>
  <c r="L667" i="62"/>
  <c r="L671" i="62"/>
  <c r="L675" i="62"/>
  <c r="L679" i="62"/>
  <c r="L683" i="62"/>
  <c r="L687" i="62"/>
  <c r="L691" i="62"/>
  <c r="L695" i="62"/>
  <c r="L699" i="62"/>
  <c r="L703" i="62"/>
  <c r="L707" i="62"/>
  <c r="L711" i="62"/>
  <c r="L715" i="62"/>
  <c r="L719" i="62"/>
  <c r="L453" i="62"/>
  <c r="L457" i="62"/>
  <c r="L461" i="62"/>
  <c r="L465" i="62"/>
  <c r="L469" i="62"/>
  <c r="L473" i="62"/>
  <c r="L477" i="62"/>
  <c r="L481" i="62"/>
  <c r="L485" i="62"/>
  <c r="L489" i="62"/>
  <c r="L493" i="62"/>
  <c r="L713" i="62"/>
  <c r="L717" i="62"/>
  <c r="L721" i="62"/>
  <c r="L781" i="62"/>
  <c r="L785" i="62"/>
  <c r="L789" i="62"/>
  <c r="L793" i="62"/>
  <c r="L797" i="62"/>
  <c r="L801" i="62"/>
  <c r="L805" i="62"/>
  <c r="E12" i="70"/>
  <c r="D13" i="70"/>
  <c r="C14" i="70"/>
  <c r="B15" i="70"/>
  <c r="F15" i="70"/>
  <c r="E16" i="70"/>
  <c r="D17" i="70"/>
  <c r="C18" i="70"/>
  <c r="C12" i="70"/>
  <c r="B13" i="70"/>
  <c r="F13" i="70"/>
  <c r="E14" i="70"/>
  <c r="D15" i="70"/>
  <c r="C16" i="70"/>
  <c r="B17" i="70"/>
  <c r="F17" i="70"/>
  <c r="E18" i="70"/>
  <c r="D12" i="70"/>
  <c r="C13" i="70"/>
  <c r="B14" i="70"/>
  <c r="F14" i="70"/>
  <c r="E15" i="70"/>
  <c r="D16" i="70"/>
  <c r="C17" i="70"/>
  <c r="B18" i="70"/>
  <c r="L497" i="62"/>
  <c r="L501" i="62"/>
  <c r="L505" i="62"/>
  <c r="L509" i="62"/>
  <c r="L513" i="62"/>
  <c r="L517" i="62"/>
  <c r="L521" i="62"/>
  <c r="L525" i="62"/>
  <c r="L529" i="62"/>
  <c r="L533" i="62"/>
  <c r="L537" i="62"/>
  <c r="L541" i="62"/>
  <c r="L545" i="62"/>
  <c r="L549" i="62"/>
  <c r="L553" i="62"/>
  <c r="L557" i="62"/>
  <c r="L561" i="62"/>
  <c r="L565" i="62"/>
  <c r="L569" i="62"/>
  <c r="L573" i="62"/>
  <c r="L577" i="62"/>
  <c r="L581" i="62"/>
  <c r="L585" i="62"/>
  <c r="L589" i="62"/>
  <c r="L593" i="62"/>
  <c r="L597" i="62"/>
  <c r="L601" i="62"/>
  <c r="L605" i="62"/>
  <c r="L609" i="62"/>
  <c r="L613" i="62"/>
  <c r="L617" i="62"/>
  <c r="L621" i="62"/>
  <c r="L625" i="62"/>
  <c r="L629" i="62"/>
  <c r="L633" i="62"/>
  <c r="L637" i="62"/>
  <c r="L641" i="62"/>
  <c r="L645" i="62"/>
  <c r="L649" i="62"/>
  <c r="L499" i="62"/>
  <c r="L503" i="62"/>
  <c r="L507" i="62"/>
  <c r="L511" i="62"/>
  <c r="L515" i="62"/>
  <c r="L519" i="62"/>
  <c r="L523" i="62"/>
  <c r="L527" i="62"/>
  <c r="L531" i="62"/>
  <c r="L535" i="62"/>
  <c r="L539" i="62"/>
  <c r="L543" i="62"/>
  <c r="L547" i="62"/>
  <c r="L551" i="62"/>
  <c r="L555" i="62"/>
  <c r="L559" i="62"/>
  <c r="L563" i="62"/>
  <c r="L567" i="62"/>
  <c r="L571" i="62"/>
  <c r="L575" i="62"/>
  <c r="L579" i="62"/>
  <c r="L583" i="62"/>
  <c r="L587" i="62"/>
  <c r="L591" i="62"/>
  <c r="L595" i="62"/>
  <c r="L599" i="62"/>
  <c r="L603" i="62"/>
  <c r="L607" i="62"/>
  <c r="L611" i="62"/>
  <c r="L615" i="62"/>
  <c r="L619" i="62"/>
  <c r="L623" i="62"/>
  <c r="L627" i="62"/>
  <c r="L631" i="62"/>
  <c r="L635" i="62"/>
  <c r="L639" i="62"/>
  <c r="L643" i="62"/>
  <c r="L647" i="62"/>
  <c r="L651" i="62"/>
  <c r="L655" i="62"/>
  <c r="L659" i="62"/>
  <c r="L498" i="62"/>
  <c r="L502" i="62"/>
  <c r="L506" i="62"/>
  <c r="L510" i="62"/>
  <c r="L514" i="62"/>
  <c r="L518" i="62"/>
  <c r="L522" i="62"/>
  <c r="L526" i="62"/>
  <c r="L530" i="62"/>
  <c r="L534" i="62"/>
  <c r="L538" i="62"/>
  <c r="L542" i="62"/>
  <c r="L546" i="62"/>
  <c r="L550" i="62"/>
  <c r="L554" i="62"/>
  <c r="L558" i="62"/>
  <c r="L562" i="62"/>
  <c r="L566" i="62"/>
  <c r="L570" i="62"/>
  <c r="L574" i="62"/>
  <c r="L578" i="62"/>
  <c r="L582" i="62"/>
  <c r="L586" i="62"/>
  <c r="L590" i="62"/>
  <c r="L594" i="62"/>
  <c r="L598" i="62"/>
  <c r="L602" i="62"/>
  <c r="L606" i="62"/>
  <c r="L610" i="62"/>
  <c r="L614" i="62"/>
  <c r="L618" i="62"/>
  <c r="L622" i="62"/>
  <c r="L626" i="62"/>
  <c r="L630" i="62"/>
  <c r="L634" i="62"/>
  <c r="L638" i="62"/>
  <c r="L642" i="62"/>
  <c r="L646" i="62"/>
  <c r="L650" i="62"/>
  <c r="L653" i="62"/>
  <c r="L657" i="62"/>
  <c r="L661" i="62"/>
  <c r="L665" i="62"/>
  <c r="L669" i="62"/>
  <c r="L673" i="62"/>
  <c r="L677" i="62"/>
  <c r="L681" i="62"/>
  <c r="L685" i="62"/>
  <c r="L689" i="62"/>
  <c r="L693" i="62"/>
  <c r="L697" i="62"/>
  <c r="L701" i="62"/>
  <c r="L705" i="62"/>
  <c r="L709" i="62"/>
  <c r="L654" i="62"/>
  <c r="L658" i="62"/>
  <c r="L662" i="62"/>
  <c r="L666" i="62"/>
  <c r="L670" i="62"/>
  <c r="L674" i="62"/>
  <c r="L678" i="62"/>
  <c r="L682" i="62"/>
  <c r="L686" i="62"/>
  <c r="L690" i="62"/>
  <c r="L694" i="62"/>
  <c r="L698" i="62"/>
  <c r="L702" i="62"/>
  <c r="L706" i="62"/>
  <c r="L710" i="62"/>
  <c r="L725" i="62"/>
  <c r="L729" i="62"/>
  <c r="L733" i="62"/>
  <c r="L737" i="62"/>
  <c r="L741" i="62"/>
  <c r="L745" i="62"/>
  <c r="L749" i="62"/>
  <c r="L753" i="62"/>
  <c r="L757" i="62"/>
  <c r="L761" i="62"/>
  <c r="L765" i="62"/>
  <c r="L769" i="62"/>
  <c r="L773" i="62"/>
  <c r="L777" i="62"/>
  <c r="L723" i="62"/>
  <c r="L727" i="62"/>
  <c r="L731" i="62"/>
  <c r="L735" i="62"/>
  <c r="L739" i="62"/>
  <c r="L743" i="62"/>
  <c r="L747" i="62"/>
  <c r="L751" i="62"/>
  <c r="L755" i="62"/>
  <c r="L759" i="62"/>
  <c r="L763" i="62"/>
  <c r="L767" i="62"/>
  <c r="L771" i="62"/>
  <c r="L775" i="62"/>
  <c r="L779" i="62"/>
  <c r="D685" i="61"/>
  <c r="D681" i="61"/>
  <c r="D677" i="61"/>
  <c r="D673" i="61"/>
  <c r="D669" i="61"/>
  <c r="D665" i="61"/>
  <c r="I11" i="60"/>
  <c r="I10" i="60"/>
  <c r="F11" i="60" a="1"/>
  <c r="F11" i="60" s="1"/>
  <c r="I29" i="60" l="1"/>
  <c r="I28" i="60"/>
  <c r="E5" i="60"/>
  <c r="C20" i="58"/>
  <c r="C21" i="58"/>
  <c r="C22" i="58"/>
  <c r="C23" i="58"/>
  <c r="C24" i="58"/>
  <c r="C25" i="58"/>
  <c r="C26" i="58"/>
  <c r="C27" i="58"/>
  <c r="C28" i="58"/>
  <c r="C29" i="58"/>
  <c r="C30" i="58"/>
  <c r="C31" i="58"/>
  <c r="C32" i="58"/>
  <c r="C33" i="58"/>
  <c r="C34" i="58"/>
  <c r="C35" i="58"/>
  <c r="C36" i="58"/>
  <c r="C37" i="58"/>
  <c r="C38" i="58"/>
  <c r="C39" i="58"/>
  <c r="C40" i="58"/>
  <c r="C41" i="58"/>
  <c r="C42" i="58"/>
  <c r="C43" i="58"/>
  <c r="C44" i="58"/>
  <c r="C45" i="58"/>
  <c r="C46" i="58"/>
  <c r="C47" i="58"/>
  <c r="C48" i="58"/>
  <c r="C49" i="58"/>
  <c r="C50" i="58"/>
  <c r="C51" i="58"/>
  <c r="C52" i="58"/>
  <c r="C53" i="58"/>
  <c r="C54" i="58"/>
  <c r="C55" i="58"/>
  <c r="C56" i="58"/>
  <c r="C57" i="58"/>
  <c r="C58" i="58"/>
  <c r="C59" i="58"/>
  <c r="C60" i="58"/>
  <c r="C61" i="58"/>
  <c r="C62" i="58"/>
  <c r="C63" i="58"/>
  <c r="C64" i="58"/>
  <c r="C65" i="58"/>
  <c r="C66" i="58"/>
  <c r="C67" i="58"/>
  <c r="C68" i="58"/>
  <c r="C69" i="58"/>
  <c r="C70" i="58"/>
  <c r="C71" i="58"/>
  <c r="C72" i="58"/>
  <c r="C73" i="58"/>
  <c r="C74" i="58"/>
  <c r="C75" i="58"/>
  <c r="C76" i="58"/>
  <c r="C77" i="58"/>
  <c r="C78" i="58"/>
  <c r="C79" i="58"/>
  <c r="C80" i="58"/>
  <c r="C81" i="58"/>
  <c r="C82" i="58"/>
  <c r="C83" i="58"/>
  <c r="C84" i="58"/>
  <c r="C85" i="58"/>
  <c r="C86" i="58"/>
  <c r="C87" i="58"/>
  <c r="C88" i="58"/>
  <c r="C89" i="58"/>
  <c r="C90" i="58"/>
  <c r="C91" i="58"/>
  <c r="C92" i="58"/>
  <c r="C93" i="58"/>
  <c r="C94" i="58"/>
  <c r="C95" i="58"/>
  <c r="C96" i="58"/>
  <c r="C97" i="58"/>
  <c r="C98" i="58"/>
  <c r="C99" i="58"/>
  <c r="C100" i="58"/>
  <c r="C101" i="58"/>
  <c r="C102" i="58"/>
  <c r="C103" i="58"/>
  <c r="C104" i="58"/>
  <c r="C105" i="58"/>
  <c r="C106" i="58"/>
  <c r="C107" i="58"/>
  <c r="C108" i="58"/>
  <c r="C109" i="58"/>
  <c r="C110" i="58"/>
  <c r="C111" i="58"/>
  <c r="C112" i="58"/>
  <c r="C113" i="58"/>
  <c r="C114" i="58"/>
  <c r="C115" i="58"/>
  <c r="C116" i="58"/>
  <c r="C117" i="58"/>
  <c r="C118" i="58"/>
  <c r="C119" i="58"/>
  <c r="C120" i="58"/>
  <c r="C121" i="58"/>
  <c r="C122" i="58"/>
  <c r="C123" i="58"/>
  <c r="C124" i="58"/>
  <c r="C125" i="58"/>
  <c r="C126" i="58"/>
  <c r="C127" i="58"/>
  <c r="C128" i="58"/>
  <c r="C129" i="58"/>
  <c r="C130" i="58"/>
  <c r="C131" i="58"/>
  <c r="C132" i="58"/>
  <c r="C133" i="58"/>
  <c r="C134" i="58"/>
  <c r="C135" i="58"/>
  <c r="C136" i="58"/>
  <c r="C137" i="58"/>
  <c r="C138" i="58"/>
  <c r="C139" i="58"/>
  <c r="C140" i="58"/>
  <c r="C141" i="58"/>
  <c r="C142" i="58"/>
  <c r="C143" i="58"/>
  <c r="C144" i="58"/>
  <c r="C145" i="58"/>
  <c r="C146" i="58"/>
  <c r="C147" i="58"/>
  <c r="C148" i="58"/>
  <c r="C149" i="58"/>
  <c r="C150" i="58"/>
  <c r="C151" i="58"/>
  <c r="C152" i="58"/>
  <c r="C153" i="58"/>
  <c r="C154" i="58"/>
  <c r="C155" i="58"/>
  <c r="C156" i="58"/>
  <c r="C157" i="58"/>
  <c r="C158" i="58"/>
  <c r="C159" i="58"/>
  <c r="C160" i="58"/>
  <c r="C161" i="58"/>
  <c r="C162" i="58"/>
  <c r="C163" i="58"/>
  <c r="C164" i="58"/>
  <c r="C165" i="58"/>
  <c r="C166" i="58"/>
  <c r="C167" i="58"/>
  <c r="C168" i="58"/>
  <c r="C169" i="58"/>
  <c r="C170" i="58"/>
  <c r="C171" i="58"/>
  <c r="C172" i="58"/>
  <c r="C173" i="58"/>
  <c r="C174" i="58"/>
  <c r="C175" i="58"/>
  <c r="C176" i="58"/>
  <c r="C177" i="58"/>
  <c r="C178" i="58"/>
  <c r="C179" i="58"/>
  <c r="C180" i="58"/>
  <c r="C181" i="58"/>
  <c r="C182" i="58"/>
  <c r="C183" i="58"/>
  <c r="C184" i="58"/>
  <c r="C185" i="58"/>
  <c r="C186" i="58"/>
  <c r="C187" i="58"/>
  <c r="C188" i="58"/>
  <c r="C189" i="58"/>
  <c r="C190" i="58"/>
  <c r="C191" i="58"/>
  <c r="C192" i="58"/>
  <c r="C193" i="58"/>
  <c r="C194" i="58"/>
  <c r="C195" i="58"/>
  <c r="C196" i="58"/>
  <c r="C197" i="58"/>
  <c r="C198" i="58"/>
  <c r="C199" i="58"/>
  <c r="C200" i="58"/>
  <c r="C201" i="58"/>
  <c r="C202" i="58"/>
  <c r="C203" i="58"/>
  <c r="C204" i="58"/>
  <c r="C205" i="58"/>
  <c r="C206" i="58"/>
  <c r="C207" i="58"/>
  <c r="C208" i="58"/>
  <c r="C209" i="58"/>
  <c r="C210" i="58"/>
  <c r="C211" i="58"/>
  <c r="C212" i="58"/>
  <c r="C213" i="58"/>
  <c r="C214" i="58"/>
  <c r="C215" i="58"/>
  <c r="C216" i="58"/>
  <c r="C217" i="58"/>
  <c r="C218" i="58"/>
  <c r="C219" i="58"/>
  <c r="C220" i="58"/>
  <c r="C221" i="58"/>
  <c r="C222" i="58"/>
  <c r="C223" i="58"/>
  <c r="C224" i="58"/>
  <c r="C225" i="58"/>
  <c r="C226" i="58"/>
  <c r="C227" i="58"/>
  <c r="C228" i="58"/>
  <c r="C229" i="58"/>
  <c r="C230" i="58"/>
  <c r="C231" i="58"/>
  <c r="C232" i="58"/>
  <c r="C233" i="58"/>
  <c r="C234" i="58"/>
  <c r="C235" i="58"/>
  <c r="C236" i="58"/>
  <c r="C237" i="58"/>
  <c r="C238" i="58"/>
  <c r="C239" i="58"/>
  <c r="C240" i="58"/>
  <c r="C241" i="58"/>
  <c r="C242" i="58"/>
  <c r="C243" i="58"/>
  <c r="C244" i="58"/>
  <c r="C245" i="58"/>
  <c r="C246" i="58"/>
  <c r="C247" i="58"/>
  <c r="C248" i="58"/>
  <c r="C249" i="58"/>
  <c r="C250" i="58"/>
  <c r="C251" i="58"/>
  <c r="C252" i="58"/>
  <c r="C253" i="58"/>
  <c r="C254" i="58"/>
  <c r="C19" i="58"/>
  <c r="B16" i="58"/>
  <c r="B12" i="58"/>
  <c r="B9" i="58"/>
  <c r="F19" i="57"/>
  <c r="B30" i="56"/>
  <c r="B31" i="56"/>
  <c r="B32" i="56"/>
  <c r="B33" i="56"/>
  <c r="B34" i="56"/>
  <c r="B35" i="56"/>
  <c r="B36" i="56"/>
  <c r="B37" i="56"/>
  <c r="B38" i="56"/>
  <c r="B29" i="56"/>
  <c r="B18" i="56"/>
  <c r="B19" i="56"/>
  <c r="B20" i="56"/>
  <c r="B21" i="56"/>
  <c r="B22" i="56"/>
  <c r="B23" i="56"/>
  <c r="B24" i="56"/>
  <c r="B25" i="56"/>
  <c r="B26" i="56"/>
  <c r="B17" i="56"/>
  <c r="B6" i="56"/>
  <c r="B7" i="56"/>
  <c r="B8" i="56"/>
  <c r="B9" i="56"/>
  <c r="B10" i="56"/>
  <c r="B11" i="56"/>
  <c r="B12" i="56"/>
  <c r="B13" i="56"/>
  <c r="B14" i="56"/>
  <c r="B5" i="56"/>
  <c r="G25" i="42"/>
  <c r="F25" i="42"/>
  <c r="E25" i="42"/>
  <c r="D25" i="42"/>
  <c r="H24" i="42"/>
  <c r="H23" i="42"/>
  <c r="H22" i="42"/>
  <c r="H21" i="42"/>
  <c r="H20" i="42"/>
  <c r="H39" i="38"/>
  <c r="H38" i="38"/>
  <c r="H37" i="38"/>
  <c r="H36" i="38"/>
  <c r="H35" i="38"/>
  <c r="H34" i="38"/>
  <c r="H33" i="38"/>
  <c r="T60" i="51"/>
  <c r="S60" i="51"/>
  <c r="R60" i="51"/>
  <c r="Q60" i="51"/>
  <c r="T59" i="51"/>
  <c r="S59" i="51"/>
  <c r="R59" i="51"/>
  <c r="Q59" i="51"/>
  <c r="T58" i="51"/>
  <c r="S58" i="51"/>
  <c r="R58" i="51"/>
  <c r="Q58" i="51"/>
  <c r="T57" i="51"/>
  <c r="S57" i="51"/>
  <c r="R57" i="51"/>
  <c r="Q57" i="51"/>
  <c r="T56" i="51"/>
  <c r="S56" i="51"/>
  <c r="R56" i="51"/>
  <c r="Q56" i="51"/>
  <c r="T55" i="51"/>
  <c r="S55" i="51"/>
  <c r="R55" i="51"/>
  <c r="Q55" i="51"/>
  <c r="T54" i="51"/>
  <c r="S54" i="51"/>
  <c r="R54" i="51"/>
  <c r="Q54" i="51"/>
  <c r="T53" i="51"/>
  <c r="S53" i="51"/>
  <c r="R53" i="51"/>
  <c r="Q53" i="51"/>
  <c r="T52" i="51"/>
  <c r="S52" i="51"/>
  <c r="R52" i="51"/>
  <c r="Q52" i="51"/>
  <c r="T51" i="51"/>
  <c r="S51" i="51"/>
  <c r="R51" i="51"/>
  <c r="Q51" i="51"/>
  <c r="T50" i="51"/>
  <c r="S50" i="51"/>
  <c r="R50" i="51"/>
  <c r="Q50" i="51"/>
  <c r="T49" i="51"/>
  <c r="S49" i="51"/>
  <c r="R49" i="51"/>
  <c r="Q49" i="51"/>
  <c r="T48" i="51"/>
  <c r="S48" i="51"/>
  <c r="R48" i="51"/>
  <c r="Q48" i="51"/>
  <c r="T47" i="51"/>
  <c r="S47" i="51"/>
  <c r="R47" i="51"/>
  <c r="Q47" i="51"/>
  <c r="T46" i="51"/>
  <c r="S46" i="51"/>
  <c r="R46" i="51"/>
  <c r="Q46" i="51"/>
  <c r="T45" i="51"/>
  <c r="S45" i="51"/>
  <c r="R45" i="51"/>
  <c r="Q45" i="51"/>
  <c r="T44" i="51"/>
  <c r="S44" i="51"/>
  <c r="R44" i="51"/>
  <c r="Q44" i="51"/>
  <c r="T43" i="51"/>
  <c r="S43" i="51"/>
  <c r="R43" i="51"/>
  <c r="Q43" i="51"/>
  <c r="T42" i="51"/>
  <c r="S42" i="51"/>
  <c r="R42" i="51"/>
  <c r="Q42" i="51"/>
  <c r="B42" i="51"/>
  <c r="T41" i="51"/>
  <c r="S41" i="51"/>
  <c r="R41" i="51"/>
  <c r="Q41" i="51"/>
  <c r="B41" i="51"/>
  <c r="T40" i="51"/>
  <c r="S40" i="51"/>
  <c r="R40" i="51"/>
  <c r="Q40" i="51"/>
  <c r="B40" i="51"/>
  <c r="T39" i="51"/>
  <c r="S39" i="51"/>
  <c r="R39" i="51"/>
  <c r="Q39" i="51"/>
  <c r="B39" i="51"/>
  <c r="T38" i="51"/>
  <c r="S38" i="51"/>
  <c r="R38" i="51"/>
  <c r="Q38" i="51"/>
  <c r="B38" i="51"/>
  <c r="T37" i="51"/>
  <c r="S37" i="51"/>
  <c r="R37" i="51"/>
  <c r="Q37" i="51"/>
  <c r="B37" i="51"/>
  <c r="T36" i="51"/>
  <c r="S36" i="51"/>
  <c r="R36" i="51"/>
  <c r="Q36" i="51"/>
  <c r="T35" i="51"/>
  <c r="S35" i="51"/>
  <c r="R35" i="51"/>
  <c r="Q35" i="51"/>
  <c r="T34" i="51"/>
  <c r="S34" i="51"/>
  <c r="R34" i="51"/>
  <c r="Q34" i="51"/>
  <c r="T33" i="51"/>
  <c r="S33" i="51"/>
  <c r="R33" i="51"/>
  <c r="Q33" i="51"/>
  <c r="B33" i="51"/>
  <c r="T32" i="51"/>
  <c r="S32" i="51"/>
  <c r="R32" i="51"/>
  <c r="Q32" i="51"/>
  <c r="B32" i="51"/>
  <c r="T31" i="51"/>
  <c r="S31" i="51"/>
  <c r="R31" i="51"/>
  <c r="Q31" i="51"/>
  <c r="T30" i="51"/>
  <c r="S30" i="51"/>
  <c r="R30" i="51"/>
  <c r="Q30" i="51"/>
  <c r="T29" i="51"/>
  <c r="S29" i="51"/>
  <c r="R29" i="51"/>
  <c r="Q29" i="51"/>
  <c r="T28" i="51"/>
  <c r="S28" i="51"/>
  <c r="R28" i="51"/>
  <c r="Q28" i="51"/>
  <c r="B28" i="51"/>
  <c r="T27" i="51"/>
  <c r="S27" i="51"/>
  <c r="R27" i="51"/>
  <c r="Q27" i="51"/>
  <c r="B27" i="51"/>
  <c r="T26" i="51"/>
  <c r="S26" i="51"/>
  <c r="R26" i="51"/>
  <c r="Q26" i="51"/>
  <c r="T25" i="51"/>
  <c r="S25" i="51"/>
  <c r="R25" i="51"/>
  <c r="Q25" i="51"/>
  <c r="T24" i="51"/>
  <c r="S24" i="51"/>
  <c r="R24" i="51"/>
  <c r="Q24" i="51"/>
  <c r="T23" i="51"/>
  <c r="S23" i="51"/>
  <c r="R23" i="51"/>
  <c r="Q23" i="51"/>
  <c r="B23" i="51"/>
  <c r="T22" i="51"/>
  <c r="S22" i="51"/>
  <c r="R22" i="51"/>
  <c r="Q22" i="51"/>
  <c r="T21" i="51"/>
  <c r="S21" i="51"/>
  <c r="R21" i="51"/>
  <c r="Q21" i="51"/>
  <c r="T20" i="51"/>
  <c r="S20" i="51"/>
  <c r="R20" i="51"/>
  <c r="Q20" i="51"/>
  <c r="T19" i="51"/>
  <c r="S19" i="51"/>
  <c r="R19" i="51"/>
  <c r="Q19" i="51"/>
  <c r="T18" i="51"/>
  <c r="S18" i="51"/>
  <c r="R18" i="51"/>
  <c r="Q18" i="51"/>
  <c r="T17" i="51"/>
  <c r="S17" i="51"/>
  <c r="R17" i="51"/>
  <c r="Q17" i="51"/>
  <c r="T16" i="51"/>
  <c r="S16" i="51"/>
  <c r="R16" i="51"/>
  <c r="Q16" i="51"/>
  <c r="B14" i="51"/>
  <c r="B13" i="51"/>
  <c r="Q60" i="50"/>
  <c r="Q59" i="50"/>
  <c r="Q58" i="50"/>
  <c r="Q57" i="50"/>
  <c r="Q56" i="50"/>
  <c r="Q55" i="50"/>
  <c r="Q54" i="50"/>
  <c r="Q53" i="50"/>
  <c r="Q52" i="50"/>
  <c r="Q51" i="50"/>
  <c r="Q50" i="50"/>
  <c r="Q49" i="50"/>
  <c r="Q48" i="50"/>
  <c r="Q47" i="50"/>
  <c r="Q46" i="50"/>
  <c r="Q45" i="50"/>
  <c r="Q44" i="50"/>
  <c r="Q43" i="50"/>
  <c r="Q42" i="50"/>
  <c r="Q41" i="50"/>
  <c r="Q40" i="50"/>
  <c r="Q39" i="50"/>
  <c r="Q38" i="50"/>
  <c r="Q37" i="50"/>
  <c r="Q36" i="50"/>
  <c r="Q35" i="50"/>
  <c r="Q34" i="50"/>
  <c r="Q33" i="50"/>
  <c r="Q32" i="50"/>
  <c r="Q31" i="50"/>
  <c r="Q30" i="50"/>
  <c r="Q29" i="50"/>
  <c r="Q28" i="50"/>
  <c r="Q27" i="50"/>
  <c r="Q26" i="50"/>
  <c r="Q25" i="50"/>
  <c r="Q24" i="50"/>
  <c r="Q23" i="50"/>
  <c r="Q22" i="50"/>
  <c r="Q21" i="50"/>
  <c r="Q20" i="50"/>
  <c r="Q19" i="50"/>
  <c r="Q18" i="50"/>
  <c r="Q17" i="50"/>
  <c r="Q16" i="50"/>
  <c r="B70" i="49"/>
  <c r="B69" i="49"/>
  <c r="B68" i="49"/>
  <c r="B67" i="49"/>
  <c r="B66" i="49"/>
  <c r="B65" i="49"/>
  <c r="B64" i="49"/>
  <c r="B63" i="49"/>
  <c r="E62" i="49"/>
  <c r="B62" i="49"/>
  <c r="B7" i="49"/>
  <c r="B6" i="49"/>
  <c r="B5" i="49"/>
  <c r="B4" i="49"/>
  <c r="B18" i="48"/>
  <c r="B17" i="48"/>
  <c r="B17" i="47"/>
  <c r="B18" i="47"/>
  <c r="D38" i="46"/>
  <c r="D35" i="46"/>
  <c r="D34" i="46"/>
  <c r="F32" i="46"/>
  <c r="E62" i="33"/>
  <c r="F21" i="58" l="1"/>
  <c r="F20" i="58"/>
  <c r="F19" i="58"/>
  <c r="F21" i="57"/>
  <c r="F20" i="57"/>
  <c r="H25" i="42"/>
  <c r="K22" i="38"/>
  <c r="C28" i="38"/>
  <c r="D5" i="32" l="1"/>
  <c r="D8" i="32"/>
  <c r="D7" i="32"/>
  <c r="D6" i="32"/>
  <c r="D5" i="27"/>
  <c r="D6" i="27"/>
  <c r="D7" i="27"/>
  <c r="D8" i="27"/>
  <c r="O6" i="30"/>
  <c r="N6" i="30" s="1"/>
  <c r="O7" i="30"/>
  <c r="N7" i="30" s="1"/>
  <c r="O8" i="30"/>
  <c r="N8" i="30" s="1"/>
  <c r="O9" i="30"/>
  <c r="N9" i="30" s="1"/>
  <c r="O10" i="30"/>
  <c r="N10" i="30" s="1"/>
  <c r="O11" i="30"/>
  <c r="N11" i="30" s="1"/>
  <c r="O12" i="30"/>
  <c r="N12" i="30" s="1"/>
  <c r="O13" i="30"/>
  <c r="N13" i="30" s="1"/>
  <c r="O14" i="30"/>
  <c r="N14" i="30" s="1"/>
  <c r="O15" i="30"/>
  <c r="N15" i="30" s="1"/>
  <c r="O16" i="30"/>
  <c r="N16" i="30" s="1"/>
  <c r="O17" i="30"/>
  <c r="N17" i="30" s="1"/>
  <c r="O18" i="30"/>
  <c r="N18" i="30" s="1"/>
  <c r="O19" i="30"/>
  <c r="N19" i="30" s="1"/>
  <c r="O20" i="30"/>
  <c r="N20" i="30" s="1"/>
  <c r="O21" i="30"/>
  <c r="N21" i="30" s="1"/>
  <c r="O22" i="30"/>
  <c r="N22" i="30" s="1"/>
  <c r="O23" i="30"/>
  <c r="N23" i="30" s="1"/>
  <c r="O24" i="30"/>
  <c r="N24" i="30" s="1"/>
  <c r="O25" i="30"/>
  <c r="N25" i="30" s="1"/>
  <c r="O26" i="30"/>
  <c r="N26" i="30" s="1"/>
  <c r="O27" i="30"/>
  <c r="N27" i="30" s="1"/>
  <c r="O28" i="30"/>
  <c r="N28" i="30" s="1"/>
  <c r="O29" i="30"/>
  <c r="N29" i="30" s="1"/>
  <c r="O30" i="30"/>
  <c r="N30" i="30" s="1"/>
  <c r="O31" i="30"/>
  <c r="N31" i="30" s="1"/>
  <c r="O32" i="30"/>
  <c r="N32" i="30" s="1"/>
  <c r="O33" i="30"/>
  <c r="N33" i="30" s="1"/>
  <c r="O34" i="30"/>
  <c r="N34" i="30" s="1"/>
  <c r="O35" i="30"/>
  <c r="N35" i="30" s="1"/>
  <c r="O36" i="30"/>
  <c r="N36" i="30" s="1"/>
  <c r="O37" i="30"/>
  <c r="N37" i="30" s="1"/>
  <c r="O38" i="30"/>
  <c r="N38" i="30" s="1"/>
  <c r="O39" i="30"/>
  <c r="N39" i="30" s="1"/>
  <c r="O40" i="30"/>
  <c r="N40" i="30" s="1"/>
  <c r="O41" i="30"/>
  <c r="N41" i="30" s="1"/>
  <c r="O42" i="30"/>
  <c r="N42" i="30" s="1"/>
  <c r="O43" i="30"/>
  <c r="N43" i="30" s="1"/>
  <c r="O44" i="30"/>
  <c r="N44" i="30" s="1"/>
  <c r="O45" i="30"/>
  <c r="N45" i="30" s="1"/>
  <c r="O46" i="30"/>
  <c r="N46" i="30" s="1"/>
  <c r="O47" i="30"/>
  <c r="N47" i="30" s="1"/>
  <c r="O48" i="30"/>
  <c r="N48" i="30" s="1"/>
  <c r="O49" i="30"/>
  <c r="N49" i="30" s="1"/>
  <c r="O50" i="30"/>
  <c r="N50" i="30" s="1"/>
  <c r="O51" i="30"/>
  <c r="N51" i="30" s="1"/>
  <c r="O52" i="30"/>
  <c r="N52" i="30" s="1"/>
  <c r="O53" i="30"/>
  <c r="N53" i="30" s="1"/>
  <c r="O54" i="30"/>
  <c r="N54" i="30" s="1"/>
  <c r="O55" i="30"/>
  <c r="N55" i="30" s="1"/>
  <c r="O56" i="30"/>
  <c r="N56" i="30" s="1"/>
  <c r="O57" i="30"/>
  <c r="N57" i="30" s="1"/>
  <c r="O58" i="30"/>
  <c r="N58" i="30" s="1"/>
  <c r="O59" i="30"/>
  <c r="N59" i="30" s="1"/>
  <c r="O60" i="30"/>
  <c r="N60" i="30" s="1"/>
  <c r="O61" i="30"/>
  <c r="N61" i="30" s="1"/>
  <c r="O62" i="30"/>
  <c r="N62" i="30" s="1"/>
  <c r="O63" i="30"/>
  <c r="N63" i="30" s="1"/>
  <c r="O64" i="30"/>
  <c r="N64" i="30" s="1"/>
  <c r="O65" i="30"/>
  <c r="N65" i="30" s="1"/>
  <c r="O66" i="30"/>
  <c r="N66" i="30" s="1"/>
  <c r="O67" i="30"/>
  <c r="N67" i="30" s="1"/>
  <c r="O68" i="30"/>
  <c r="N68" i="30" s="1"/>
  <c r="O69" i="30"/>
  <c r="N69" i="30" s="1"/>
  <c r="O70" i="30"/>
  <c r="N70" i="30" s="1"/>
  <c r="O71" i="30"/>
  <c r="N71" i="30" s="1"/>
  <c r="O72" i="30"/>
  <c r="N72" i="30" s="1"/>
  <c r="O73" i="30"/>
  <c r="N73" i="30" s="1"/>
  <c r="O74" i="30"/>
  <c r="N74" i="30" s="1"/>
  <c r="O75" i="30"/>
  <c r="N75" i="30" s="1"/>
  <c r="O76" i="30"/>
  <c r="N76" i="30" s="1"/>
  <c r="O77" i="30"/>
  <c r="N77" i="30" s="1"/>
  <c r="O78" i="30"/>
  <c r="N78" i="30" s="1"/>
  <c r="O79" i="30"/>
  <c r="N79" i="30" s="1"/>
  <c r="O80" i="30"/>
  <c r="N80" i="30" s="1"/>
  <c r="O81" i="30"/>
  <c r="N81" i="30" s="1"/>
  <c r="O82" i="30"/>
  <c r="N82" i="30" s="1"/>
  <c r="O83" i="30"/>
  <c r="N83" i="30" s="1"/>
  <c r="O84" i="30"/>
  <c r="N84" i="30" s="1"/>
  <c r="O85" i="30"/>
  <c r="N85" i="30" s="1"/>
  <c r="O86" i="30"/>
  <c r="N86" i="30" s="1"/>
  <c r="O87" i="30"/>
  <c r="N87" i="30" s="1"/>
  <c r="O88" i="30"/>
  <c r="N88" i="30" s="1"/>
  <c r="O89" i="30"/>
  <c r="N89" i="30" s="1"/>
  <c r="O90" i="30"/>
  <c r="N90" i="30" s="1"/>
  <c r="O91" i="30"/>
  <c r="N91" i="30" s="1"/>
  <c r="O92" i="30"/>
  <c r="N92" i="30" s="1"/>
  <c r="O93" i="30"/>
  <c r="N93" i="30" s="1"/>
  <c r="O94" i="30"/>
  <c r="N94" i="30" s="1"/>
  <c r="O95" i="30"/>
  <c r="N95" i="30" s="1"/>
  <c r="O96" i="30"/>
  <c r="N96" i="30" s="1"/>
  <c r="O97" i="30"/>
  <c r="N97" i="30" s="1"/>
  <c r="O98" i="30"/>
  <c r="N98" i="30" s="1"/>
  <c r="O99" i="30"/>
  <c r="N99" i="30" s="1"/>
  <c r="O100" i="30"/>
  <c r="N100" i="30" s="1"/>
  <c r="O101" i="30"/>
  <c r="N101" i="30" s="1"/>
  <c r="O102" i="30"/>
  <c r="N102" i="30" s="1"/>
  <c r="O103" i="30"/>
  <c r="N103" i="30" s="1"/>
  <c r="O104" i="30"/>
  <c r="N104" i="30" s="1"/>
  <c r="O105" i="30"/>
  <c r="N105" i="30" s="1"/>
  <c r="O106" i="30"/>
  <c r="N106" i="30" s="1"/>
  <c r="O107" i="30"/>
  <c r="N107" i="30" s="1"/>
  <c r="O108" i="30"/>
  <c r="N108" i="30" s="1"/>
  <c r="O109" i="30"/>
  <c r="N109" i="30" s="1"/>
  <c r="O110" i="30"/>
  <c r="N110" i="30" s="1"/>
  <c r="O111" i="30"/>
  <c r="N111" i="30" s="1"/>
  <c r="O112" i="30"/>
  <c r="N112" i="30" s="1"/>
  <c r="O113" i="30"/>
  <c r="N113" i="30" s="1"/>
  <c r="O114" i="30"/>
  <c r="N114" i="30" s="1"/>
  <c r="O115" i="30"/>
  <c r="N115" i="30" s="1"/>
  <c r="O116" i="30"/>
  <c r="N116" i="30" s="1"/>
  <c r="O117" i="30"/>
  <c r="N117" i="30" s="1"/>
  <c r="O118" i="30"/>
  <c r="N118" i="30" s="1"/>
  <c r="O119" i="30"/>
  <c r="N119" i="30" s="1"/>
  <c r="O120" i="30"/>
  <c r="N120" i="30" s="1"/>
  <c r="O121" i="30"/>
  <c r="N121" i="30" s="1"/>
  <c r="O122" i="30"/>
  <c r="N122" i="30" s="1"/>
  <c r="O123" i="30"/>
  <c r="N123" i="30" s="1"/>
  <c r="O124" i="30"/>
  <c r="N124" i="30" s="1"/>
  <c r="O125" i="30"/>
  <c r="N125" i="30" s="1"/>
  <c r="O126" i="30"/>
  <c r="N126" i="30" s="1"/>
  <c r="O127" i="30"/>
  <c r="N127" i="30" s="1"/>
  <c r="O128" i="30"/>
  <c r="N128" i="30" s="1"/>
  <c r="O129" i="30"/>
  <c r="N129" i="30" s="1"/>
  <c r="O130" i="30"/>
  <c r="N130" i="30" s="1"/>
  <c r="O131" i="30"/>
  <c r="N131" i="30" s="1"/>
  <c r="O132" i="30"/>
  <c r="N132" i="30" s="1"/>
  <c r="O133" i="30"/>
  <c r="N133" i="30" s="1"/>
  <c r="O134" i="30"/>
  <c r="N134" i="30" s="1"/>
  <c r="O135" i="30"/>
  <c r="N135" i="30" s="1"/>
  <c r="O136" i="30"/>
  <c r="N136" i="30" s="1"/>
  <c r="O137" i="30"/>
  <c r="N137" i="30" s="1"/>
  <c r="O138" i="30"/>
  <c r="N138" i="30" s="1"/>
  <c r="O139" i="30"/>
  <c r="N139" i="30" s="1"/>
  <c r="O140" i="30"/>
  <c r="N140" i="30" s="1"/>
  <c r="O141" i="30"/>
  <c r="N141" i="30" s="1"/>
  <c r="O142" i="30"/>
  <c r="N142" i="30" s="1"/>
  <c r="O143" i="30"/>
  <c r="N143" i="30" s="1"/>
  <c r="O144" i="30"/>
  <c r="N144" i="30" s="1"/>
  <c r="O145" i="30"/>
  <c r="N145" i="30" s="1"/>
  <c r="O146" i="30"/>
  <c r="N146" i="30" s="1"/>
  <c r="O147" i="30"/>
  <c r="N147" i="30" s="1"/>
  <c r="O148" i="30"/>
  <c r="N148" i="30" s="1"/>
  <c r="O149" i="30"/>
  <c r="N149" i="30" s="1"/>
  <c r="O150" i="30"/>
  <c r="N150" i="30" s="1"/>
  <c r="O151" i="30"/>
  <c r="N151" i="30" s="1"/>
  <c r="O152" i="30"/>
  <c r="N152" i="30" s="1"/>
  <c r="O153" i="30"/>
  <c r="N153" i="30" s="1"/>
  <c r="O154" i="30"/>
  <c r="N154" i="30" s="1"/>
  <c r="O155" i="30"/>
  <c r="N155" i="30" s="1"/>
  <c r="O156" i="30"/>
  <c r="N156" i="30" s="1"/>
  <c r="O157" i="30"/>
  <c r="N157" i="30" s="1"/>
  <c r="O158" i="30"/>
  <c r="N158" i="30" s="1"/>
  <c r="O159" i="30"/>
  <c r="N159" i="30" s="1"/>
  <c r="O160" i="30"/>
  <c r="N160" i="30" s="1"/>
  <c r="O161" i="30"/>
  <c r="N161" i="30" s="1"/>
  <c r="O162" i="30"/>
  <c r="N162" i="30" s="1"/>
  <c r="O163" i="30"/>
  <c r="N163" i="30" s="1"/>
  <c r="O164" i="30"/>
  <c r="N164" i="30" s="1"/>
  <c r="O165" i="30"/>
  <c r="N165" i="30" s="1"/>
  <c r="O166" i="30"/>
  <c r="N166" i="30" s="1"/>
  <c r="O167" i="30"/>
  <c r="N167" i="30" s="1"/>
  <c r="O168" i="30"/>
  <c r="N168" i="30" s="1"/>
  <c r="O169" i="30"/>
  <c r="N169" i="30" s="1"/>
  <c r="O170" i="30"/>
  <c r="N170" i="30" s="1"/>
  <c r="O171" i="30"/>
  <c r="N171" i="30" s="1"/>
  <c r="O172" i="30"/>
  <c r="N172" i="30" s="1"/>
  <c r="O173" i="30"/>
  <c r="N173" i="30" s="1"/>
  <c r="O174" i="30"/>
  <c r="N174" i="30" s="1"/>
  <c r="O175" i="30"/>
  <c r="N175" i="30" s="1"/>
  <c r="O176" i="30"/>
  <c r="N176" i="30" s="1"/>
  <c r="O177" i="30"/>
  <c r="N177" i="30" s="1"/>
  <c r="O178" i="30"/>
  <c r="N178" i="30" s="1"/>
  <c r="O179" i="30"/>
  <c r="N179" i="30" s="1"/>
  <c r="O180" i="30"/>
  <c r="N180" i="30" s="1"/>
  <c r="O181" i="30"/>
  <c r="N181" i="30" s="1"/>
  <c r="O182" i="30"/>
  <c r="N182" i="30" s="1"/>
  <c r="O183" i="30"/>
  <c r="N183" i="30" s="1"/>
  <c r="O184" i="30"/>
  <c r="N184" i="30" s="1"/>
  <c r="O185" i="30"/>
  <c r="N185" i="30" s="1"/>
  <c r="O186" i="30"/>
  <c r="N186" i="30" s="1"/>
  <c r="O187" i="30"/>
  <c r="N187" i="30" s="1"/>
  <c r="O188" i="30"/>
  <c r="N188" i="30" s="1"/>
  <c r="O189" i="30"/>
  <c r="N189" i="30" s="1"/>
  <c r="O190" i="30"/>
  <c r="N190" i="30" s="1"/>
  <c r="O191" i="30"/>
  <c r="N191" i="30" s="1"/>
  <c r="O192" i="30"/>
  <c r="N192" i="30" s="1"/>
  <c r="O193" i="30"/>
  <c r="N193" i="30" s="1"/>
  <c r="O194" i="30"/>
  <c r="N194" i="30" s="1"/>
  <c r="O195" i="30"/>
  <c r="N195" i="30" s="1"/>
  <c r="O196" i="30"/>
  <c r="N196" i="30" s="1"/>
  <c r="O197" i="30"/>
  <c r="N197" i="30" s="1"/>
  <c r="O198" i="30"/>
  <c r="N198" i="30" s="1"/>
  <c r="O199" i="30"/>
  <c r="N199" i="30" s="1"/>
  <c r="O200" i="30"/>
  <c r="N200" i="30" s="1"/>
  <c r="O201" i="30"/>
  <c r="N201" i="30" s="1"/>
  <c r="O202" i="30"/>
  <c r="N202" i="30" s="1"/>
  <c r="O203" i="30"/>
  <c r="N203" i="30" s="1"/>
  <c r="O204" i="30"/>
  <c r="N204" i="30" s="1"/>
  <c r="O205" i="30"/>
  <c r="N205" i="30" s="1"/>
  <c r="O206" i="30"/>
  <c r="N206" i="30" s="1"/>
  <c r="O207" i="30"/>
  <c r="N207" i="30" s="1"/>
  <c r="O208" i="30"/>
  <c r="N208" i="30" s="1"/>
  <c r="O209" i="30"/>
  <c r="N209" i="30" s="1"/>
  <c r="O210" i="30"/>
  <c r="N210" i="30" s="1"/>
  <c r="O211" i="30"/>
  <c r="N211" i="30" s="1"/>
  <c r="O212" i="30"/>
  <c r="N212" i="30" s="1"/>
  <c r="O213" i="30"/>
  <c r="N213" i="30" s="1"/>
  <c r="O214" i="30"/>
  <c r="N214" i="30" s="1"/>
  <c r="O215" i="30"/>
  <c r="N215" i="30" s="1"/>
  <c r="O216" i="30"/>
  <c r="N216" i="30" s="1"/>
  <c r="O217" i="30"/>
  <c r="N217" i="30" s="1"/>
  <c r="O218" i="30"/>
  <c r="N218" i="30" s="1"/>
  <c r="O219" i="30"/>
  <c r="N219" i="30" s="1"/>
  <c r="O220" i="30"/>
  <c r="N220" i="30" s="1"/>
  <c r="O221" i="30"/>
  <c r="N221" i="30" s="1"/>
  <c r="O222" i="30"/>
  <c r="N222" i="30" s="1"/>
  <c r="O5" i="30"/>
  <c r="N5" i="30" s="1"/>
  <c r="K222" i="30"/>
  <c r="K221" i="30"/>
  <c r="K220" i="30"/>
  <c r="K219" i="30"/>
  <c r="K218" i="30"/>
  <c r="K217" i="30"/>
  <c r="K216" i="30"/>
  <c r="K215" i="30"/>
  <c r="K214" i="30"/>
  <c r="K213" i="30"/>
  <c r="K212"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106" i="30"/>
  <c r="G107" i="30"/>
  <c r="G108" i="30"/>
  <c r="G109" i="30"/>
  <c r="G110" i="30"/>
  <c r="G111" i="30"/>
  <c r="G112" i="30"/>
  <c r="G113" i="30"/>
  <c r="G114" i="30"/>
  <c r="G115" i="30"/>
  <c r="G116" i="30"/>
  <c r="G117" i="30"/>
  <c r="G118" i="30"/>
  <c r="G119" i="30"/>
  <c r="G120" i="30"/>
  <c r="G121" i="30"/>
  <c r="G122" i="30"/>
  <c r="G123" i="30"/>
  <c r="G124" i="30"/>
  <c r="G125" i="30"/>
  <c r="G126" i="30"/>
  <c r="G127" i="30"/>
  <c r="G128" i="30"/>
  <c r="G129" i="30"/>
  <c r="G130" i="30"/>
  <c r="G131" i="30"/>
  <c r="G132" i="30"/>
  <c r="G133" i="30"/>
  <c r="G134" i="30"/>
  <c r="G135" i="30"/>
  <c r="G136" i="30"/>
  <c r="G137" i="30"/>
  <c r="G138" i="30"/>
  <c r="G139" i="30"/>
  <c r="G140" i="30"/>
  <c r="G141" i="30"/>
  <c r="G142" i="30"/>
  <c r="G143" i="30"/>
  <c r="G144" i="30"/>
  <c r="G145" i="30"/>
  <c r="G146" i="30"/>
  <c r="G147" i="30"/>
  <c r="G148" i="30"/>
  <c r="G149" i="30"/>
  <c r="G150" i="30"/>
  <c r="G151" i="30"/>
  <c r="G152" i="30"/>
  <c r="G153" i="30"/>
  <c r="G154" i="30"/>
  <c r="G155" i="30"/>
  <c r="G156" i="30"/>
  <c r="G157" i="30"/>
  <c r="G158" i="30"/>
  <c r="G159" i="30"/>
  <c r="G160" i="30"/>
  <c r="G161" i="30"/>
  <c r="G162" i="30"/>
  <c r="G163" i="30"/>
  <c r="G164" i="30"/>
  <c r="G165" i="30"/>
  <c r="G166" i="30"/>
  <c r="G167" i="30"/>
  <c r="G168" i="30"/>
  <c r="G169" i="30"/>
  <c r="G170" i="30"/>
  <c r="G171" i="30"/>
  <c r="G172" i="30"/>
  <c r="G173" i="30"/>
  <c r="G174" i="30"/>
  <c r="G175" i="30"/>
  <c r="G176" i="30"/>
  <c r="G177" i="30"/>
  <c r="G178" i="30"/>
  <c r="G179" i="30"/>
  <c r="G180" i="30"/>
  <c r="G181" i="30"/>
  <c r="G182" i="30"/>
  <c r="G183" i="30"/>
  <c r="G184" i="30"/>
  <c r="G185" i="30"/>
  <c r="G186" i="30"/>
  <c r="G187" i="30"/>
  <c r="G188" i="30"/>
  <c r="G189" i="30"/>
  <c r="G190" i="30"/>
  <c r="G191" i="30"/>
  <c r="G192" i="30"/>
  <c r="G193" i="30"/>
  <c r="G194" i="30"/>
  <c r="G195" i="30"/>
  <c r="G196" i="30"/>
  <c r="G197" i="30"/>
  <c r="G198" i="30"/>
  <c r="G199" i="30"/>
  <c r="G200" i="30"/>
  <c r="G201" i="30"/>
  <c r="G202" i="30"/>
  <c r="G203" i="30"/>
  <c r="G204" i="30"/>
  <c r="G205" i="30"/>
  <c r="G206" i="30"/>
  <c r="G207" i="30"/>
  <c r="G208" i="30"/>
  <c r="G209" i="30"/>
  <c r="G210" i="30"/>
  <c r="G211" i="30"/>
  <c r="G212" i="30"/>
  <c r="G213" i="30"/>
  <c r="G214" i="30"/>
  <c r="G215" i="30"/>
  <c r="G216" i="30"/>
  <c r="G217" i="30"/>
  <c r="G218" i="30"/>
  <c r="G219" i="30"/>
  <c r="G220" i="30"/>
  <c r="G221" i="30"/>
  <c r="G222" i="30"/>
  <c r="G5" i="30"/>
  <c r="D222" i="30"/>
  <c r="D221" i="30"/>
  <c r="D220" i="30"/>
  <c r="D219" i="30"/>
  <c r="D218" i="30"/>
  <c r="D217" i="30"/>
  <c r="D216" i="30"/>
  <c r="D215" i="30"/>
  <c r="D214" i="30"/>
  <c r="D213" i="30"/>
  <c r="D212" i="30"/>
  <c r="D211" i="30"/>
  <c r="D210" i="30"/>
  <c r="D209" i="30"/>
  <c r="D208" i="30"/>
  <c r="D207" i="30"/>
  <c r="D206" i="30"/>
  <c r="D205" i="30"/>
  <c r="D204" i="30"/>
  <c r="D203" i="30"/>
  <c r="D202" i="30"/>
  <c r="D201" i="30"/>
  <c r="D200" i="30"/>
  <c r="D199" i="30"/>
  <c r="D198" i="30"/>
  <c r="D197" i="30"/>
  <c r="D196" i="30"/>
  <c r="D195" i="30"/>
  <c r="D194" i="30"/>
  <c r="D193" i="30"/>
  <c r="D192" i="30"/>
  <c r="D191" i="30"/>
  <c r="D190" i="30"/>
  <c r="D189" i="30"/>
  <c r="D188" i="30"/>
  <c r="D187" i="30"/>
  <c r="D186" i="30"/>
  <c r="D185" i="30"/>
  <c r="D184" i="30"/>
  <c r="D183" i="30"/>
  <c r="D182" i="30"/>
  <c r="D181" i="30"/>
  <c r="D180" i="30"/>
  <c r="D179" i="30"/>
  <c r="D178" i="30"/>
  <c r="D177" i="30"/>
  <c r="D176" i="30"/>
  <c r="D175" i="30"/>
  <c r="D174" i="30"/>
  <c r="D173" i="30"/>
  <c r="D172" i="30"/>
  <c r="D171" i="30"/>
  <c r="D170" i="30"/>
  <c r="D169" i="30"/>
  <c r="D168" i="30"/>
  <c r="D167" i="30"/>
  <c r="D166" i="30"/>
  <c r="D165" i="30"/>
  <c r="D164" i="30"/>
  <c r="D163" i="30"/>
  <c r="D162" i="30"/>
  <c r="D161" i="30"/>
  <c r="D160" i="30"/>
  <c r="D159" i="30"/>
  <c r="D158" i="30"/>
  <c r="D157" i="30"/>
  <c r="D156" i="30"/>
  <c r="D155" i="30"/>
  <c r="D154" i="30"/>
  <c r="D153" i="30"/>
  <c r="D152" i="30"/>
  <c r="D151" i="30"/>
  <c r="D150" i="30"/>
  <c r="D149" i="30"/>
  <c r="D148" i="30"/>
  <c r="D147" i="30"/>
  <c r="D146" i="30"/>
  <c r="D145" i="30"/>
  <c r="D144" i="30"/>
  <c r="D143" i="30"/>
  <c r="D142" i="30"/>
  <c r="D141" i="30"/>
  <c r="D140" i="30"/>
  <c r="D139" i="30"/>
  <c r="D138" i="30"/>
  <c r="D137" i="30"/>
  <c r="D136" i="30"/>
  <c r="D135" i="30"/>
  <c r="D134" i="30"/>
  <c r="D133" i="30"/>
  <c r="D132" i="30"/>
  <c r="D131" i="30"/>
  <c r="D130" i="30"/>
  <c r="D129" i="30"/>
  <c r="D128" i="30"/>
  <c r="D127" i="30"/>
  <c r="D126" i="30"/>
  <c r="D125" i="30"/>
  <c r="D124" i="30"/>
  <c r="D123" i="30"/>
  <c r="D122" i="30"/>
  <c r="D121" i="30"/>
  <c r="D120" i="30"/>
  <c r="D119" i="30"/>
  <c r="D118" i="30"/>
  <c r="D117" i="30"/>
  <c r="D116" i="30"/>
  <c r="D115" i="30"/>
  <c r="D114" i="30"/>
  <c r="D113" i="30"/>
  <c r="D112" i="30"/>
  <c r="D111" i="30"/>
  <c r="D110" i="30"/>
  <c r="D109" i="30"/>
  <c r="D108" i="30"/>
  <c r="D107" i="30"/>
  <c r="D106" i="30"/>
  <c r="D105" i="30"/>
  <c r="D104" i="30"/>
  <c r="D103" i="30"/>
  <c r="D102" i="30"/>
  <c r="D101" i="30"/>
  <c r="D100" i="30"/>
  <c r="D99" i="30"/>
  <c r="D98" i="30"/>
  <c r="D97" i="30"/>
  <c r="D96" i="30"/>
  <c r="D95" i="30"/>
  <c r="D94" i="30"/>
  <c r="D93" i="30"/>
  <c r="D92" i="30"/>
  <c r="D91" i="30"/>
  <c r="D90" i="30"/>
  <c r="D89" i="30"/>
  <c r="D88" i="30"/>
  <c r="D87" i="30"/>
  <c r="D86" i="30"/>
  <c r="D85" i="30"/>
  <c r="D84" i="30"/>
  <c r="D83" i="30"/>
  <c r="D82" i="30"/>
  <c r="D81" i="30"/>
  <c r="D80" i="30"/>
  <c r="D79" i="30"/>
  <c r="D78" i="30"/>
  <c r="D77" i="30"/>
  <c r="D76" i="30"/>
  <c r="D75" i="30"/>
  <c r="D74" i="30"/>
  <c r="D73" i="30"/>
  <c r="D72" i="30"/>
  <c r="D71" i="30"/>
  <c r="D70" i="30"/>
  <c r="D69" i="30"/>
  <c r="D68" i="30"/>
  <c r="D67" i="30"/>
  <c r="D66" i="30"/>
  <c r="D65" i="30"/>
  <c r="D64" i="30"/>
  <c r="D63" i="30"/>
  <c r="D62" i="30"/>
  <c r="D61" i="30"/>
  <c r="D60" i="30"/>
  <c r="D59" i="30"/>
  <c r="D58" i="30"/>
  <c r="D57" i="30"/>
  <c r="D56" i="30"/>
  <c r="D55" i="30"/>
  <c r="D54" i="30"/>
  <c r="D53" i="30"/>
  <c r="D52" i="30"/>
  <c r="D51" i="30"/>
  <c r="D50" i="30"/>
  <c r="D49" i="30"/>
  <c r="D48" i="30"/>
  <c r="D47" i="30"/>
  <c r="D46" i="30"/>
  <c r="D45" i="30"/>
  <c r="D44" i="30"/>
  <c r="D43" i="30"/>
  <c r="D42" i="30"/>
  <c r="D41" i="30"/>
  <c r="D40" i="30"/>
  <c r="D39" i="30"/>
  <c r="D38" i="30"/>
  <c r="D37" i="30"/>
  <c r="D36" i="30"/>
  <c r="D35" i="30"/>
  <c r="D34" i="30"/>
  <c r="D33" i="30"/>
  <c r="D32" i="30"/>
  <c r="D31" i="30"/>
  <c r="D30" i="30"/>
  <c r="D29" i="30"/>
  <c r="D28" i="30"/>
  <c r="D27" i="30"/>
  <c r="D26" i="30"/>
  <c r="D25" i="30"/>
  <c r="D24" i="30"/>
  <c r="D23" i="30"/>
  <c r="D22" i="30"/>
  <c r="D21" i="30"/>
  <c r="D20" i="30"/>
  <c r="D19" i="30"/>
  <c r="D18" i="30"/>
  <c r="D17" i="30"/>
  <c r="D16" i="30"/>
  <c r="D15" i="30"/>
  <c r="D14" i="30"/>
  <c r="D13" i="30"/>
  <c r="D12" i="30"/>
  <c r="D11" i="30"/>
  <c r="D10" i="30"/>
  <c r="D9" i="30"/>
  <c r="D8" i="30"/>
  <c r="D7" i="30"/>
  <c r="D6" i="30"/>
  <c r="D5" i="30"/>
  <c r="V1" i="30"/>
  <c r="G13" i="25"/>
  <c r="G25" i="25"/>
  <c r="G29" i="25"/>
  <c r="G33" i="25"/>
  <c r="G37" i="25"/>
  <c r="G41" i="25"/>
  <c r="G45" i="25"/>
  <c r="G49" i="25"/>
  <c r="G57" i="25"/>
  <c r="G61" i="25"/>
  <c r="G65" i="25"/>
  <c r="G69" i="25"/>
  <c r="G77" i="25"/>
  <c r="G89" i="25"/>
  <c r="G93" i="25"/>
  <c r="G97" i="25"/>
  <c r="G101" i="25"/>
  <c r="G105" i="25"/>
  <c r="G109" i="25"/>
  <c r="G113" i="25"/>
  <c r="G121" i="25"/>
  <c r="G125" i="25"/>
  <c r="G129" i="25"/>
  <c r="G133" i="25"/>
  <c r="G141" i="25"/>
  <c r="G153" i="25"/>
  <c r="G161" i="25"/>
  <c r="G165" i="25"/>
  <c r="G169" i="25"/>
  <c r="G173" i="25"/>
  <c r="G177" i="25"/>
  <c r="G181" i="25"/>
  <c r="G189" i="25"/>
  <c r="G193" i="25"/>
  <c r="G197" i="25"/>
  <c r="G201" i="25"/>
  <c r="G205" i="25"/>
  <c r="G213" i="25"/>
  <c r="G217" i="25"/>
  <c r="G221" i="25"/>
  <c r="G5" i="25"/>
  <c r="G8" i="25"/>
  <c r="G9" i="25"/>
  <c r="G12" i="25"/>
  <c r="G20" i="25"/>
  <c r="G21" i="25"/>
  <c r="G24" i="25"/>
  <c r="G32" i="25"/>
  <c r="G40" i="25"/>
  <c r="G44" i="25"/>
  <c r="G48" i="25"/>
  <c r="G52" i="25"/>
  <c r="G53" i="25"/>
  <c r="G60" i="25"/>
  <c r="G64" i="25"/>
  <c r="G68" i="25"/>
  <c r="G72" i="25"/>
  <c r="G73" i="25"/>
  <c r="G76" i="25"/>
  <c r="G84" i="25"/>
  <c r="G85" i="25"/>
  <c r="G88" i="25"/>
  <c r="G96" i="25"/>
  <c r="G104" i="25"/>
  <c r="G108" i="25"/>
  <c r="G112" i="25"/>
  <c r="G116" i="25"/>
  <c r="G117" i="25"/>
  <c r="G124" i="25"/>
  <c r="G128" i="25"/>
  <c r="G132" i="25"/>
  <c r="G136" i="25"/>
  <c r="G137" i="25"/>
  <c r="G140" i="25"/>
  <c r="G148" i="25"/>
  <c r="G149" i="25"/>
  <c r="G152" i="25"/>
  <c r="G156" i="25"/>
  <c r="G157" i="25"/>
  <c r="G160" i="25"/>
  <c r="G164" i="25"/>
  <c r="G168" i="25"/>
  <c r="G172" i="25"/>
  <c r="G176" i="25"/>
  <c r="G180" i="25"/>
  <c r="G184" i="25"/>
  <c r="G185" i="25"/>
  <c r="G188" i="25"/>
  <c r="G192" i="25"/>
  <c r="G196" i="25"/>
  <c r="G200" i="25"/>
  <c r="G204" i="25"/>
  <c r="G212" i="25"/>
  <c r="G216" i="25"/>
  <c r="G16" i="25"/>
  <c r="G36" i="25"/>
  <c r="G56" i="25"/>
  <c r="G80" i="25"/>
  <c r="G100" i="25"/>
  <c r="G120" i="25"/>
  <c r="G144" i="25"/>
  <c r="G208" i="25"/>
  <c r="G28" i="25"/>
  <c r="G92" i="25"/>
  <c r="G220" i="25"/>
  <c r="G6" i="25"/>
  <c r="G7" i="25"/>
  <c r="G10" i="25"/>
  <c r="G11" i="25"/>
  <c r="G14" i="25"/>
  <c r="G15" i="25"/>
  <c r="G17" i="25"/>
  <c r="G18" i="25"/>
  <c r="G19" i="25"/>
  <c r="G22" i="25"/>
  <c r="G23" i="25"/>
  <c r="G26" i="25"/>
  <c r="G27" i="25"/>
  <c r="G30" i="25"/>
  <c r="G31" i="25"/>
  <c r="G34" i="25"/>
  <c r="G35" i="25"/>
  <c r="G38" i="25"/>
  <c r="G39" i="25"/>
  <c r="G42" i="25"/>
  <c r="G43" i="25"/>
  <c r="G46" i="25"/>
  <c r="G47" i="25"/>
  <c r="G50" i="25"/>
  <c r="G51" i="25"/>
  <c r="G54" i="25"/>
  <c r="G55" i="25"/>
  <c r="G58" i="25"/>
  <c r="G59" i="25"/>
  <c r="G62" i="25"/>
  <c r="G63" i="25"/>
  <c r="G66" i="25"/>
  <c r="G67" i="25"/>
  <c r="G70" i="25"/>
  <c r="G71" i="25"/>
  <c r="G74" i="25"/>
  <c r="G75" i="25"/>
  <c r="G78" i="25"/>
  <c r="G79" i="25"/>
  <c r="G81" i="25"/>
  <c r="G82" i="25"/>
  <c r="G83" i="25"/>
  <c r="G86" i="25"/>
  <c r="G87" i="25"/>
  <c r="G90" i="25"/>
  <c r="G91" i="25"/>
  <c r="G94" i="25"/>
  <c r="G95" i="25"/>
  <c r="G98" i="25"/>
  <c r="G99" i="25"/>
  <c r="G102" i="25"/>
  <c r="G103" i="25"/>
  <c r="G106" i="25"/>
  <c r="G107" i="25"/>
  <c r="G110" i="25"/>
  <c r="G111" i="25"/>
  <c r="G114" i="25"/>
  <c r="G115" i="25"/>
  <c r="G118" i="25"/>
  <c r="G119" i="25"/>
  <c r="G122" i="25"/>
  <c r="G123" i="25"/>
  <c r="G126" i="25"/>
  <c r="G127" i="25"/>
  <c r="G130" i="25"/>
  <c r="G131" i="25"/>
  <c r="G134" i="25"/>
  <c r="G135" i="25"/>
  <c r="G138" i="25"/>
  <c r="G139" i="25"/>
  <c r="G142" i="25"/>
  <c r="G143" i="25"/>
  <c r="G145" i="25"/>
  <c r="G146" i="25"/>
  <c r="G147" i="25"/>
  <c r="G150" i="25"/>
  <c r="G151" i="25"/>
  <c r="G154" i="25"/>
  <c r="G155" i="25"/>
  <c r="G158" i="25"/>
  <c r="G159" i="25"/>
  <c r="G162" i="25"/>
  <c r="G163" i="25"/>
  <c r="G166" i="25"/>
  <c r="G167" i="25"/>
  <c r="G170" i="25"/>
  <c r="G171" i="25"/>
  <c r="G174" i="25"/>
  <c r="G175" i="25"/>
  <c r="G178" i="25"/>
  <c r="G179" i="25"/>
  <c r="G182" i="25"/>
  <c r="G183" i="25"/>
  <c r="G186" i="25"/>
  <c r="G187" i="25"/>
  <c r="G190" i="25"/>
  <c r="G191" i="25"/>
  <c r="G194" i="25"/>
  <c r="G195" i="25"/>
  <c r="G198" i="25"/>
  <c r="G199" i="25"/>
  <c r="G202" i="25"/>
  <c r="G203" i="25"/>
  <c r="G206" i="25"/>
  <c r="G207" i="25"/>
  <c r="G209" i="25"/>
  <c r="G210" i="25"/>
  <c r="G211" i="25"/>
  <c r="G214" i="25"/>
  <c r="G215" i="25"/>
  <c r="G218" i="25"/>
  <c r="G219" i="25"/>
  <c r="G222" i="25"/>
  <c r="D6" i="25"/>
  <c r="D7" i="25"/>
  <c r="D8" i="25"/>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5" i="25"/>
  <c r="O1" i="25"/>
  <c r="J4" i="29"/>
  <c r="K4" i="29" s="1"/>
  <c r="J5" i="29"/>
  <c r="K5" i="29" s="1"/>
  <c r="J6" i="29"/>
  <c r="K6" i="29" s="1"/>
  <c r="J7" i="29"/>
  <c r="K7" i="29" s="1"/>
  <c r="J8" i="29"/>
  <c r="K8" i="29" s="1"/>
  <c r="J9" i="29"/>
  <c r="K9" i="29" s="1"/>
  <c r="J10" i="29"/>
  <c r="K10" i="29" s="1"/>
  <c r="J11" i="29"/>
  <c r="K11" i="29" s="1"/>
  <c r="J12" i="29"/>
  <c r="K12" i="29" s="1"/>
  <c r="J13" i="29"/>
  <c r="K13" i="29" s="1"/>
  <c r="J14" i="29"/>
  <c r="K14" i="29" s="1"/>
  <c r="J15" i="29"/>
  <c r="K15" i="29" s="1"/>
  <c r="J16" i="29"/>
  <c r="K16" i="29" s="1"/>
  <c r="J17" i="29"/>
  <c r="K17" i="29" s="1"/>
  <c r="J18" i="29"/>
  <c r="K18" i="29" s="1"/>
  <c r="E5" i="29"/>
  <c r="E6" i="29"/>
  <c r="E7" i="29"/>
  <c r="E8" i="29"/>
  <c r="E9" i="29"/>
  <c r="E10" i="29"/>
  <c r="E11" i="29"/>
  <c r="E12" i="29"/>
  <c r="E13" i="29"/>
  <c r="E14" i="29"/>
  <c r="E15" i="29"/>
  <c r="E16" i="29"/>
  <c r="E17" i="29"/>
  <c r="E18" i="29"/>
  <c r="E4" i="29"/>
  <c r="E5" i="24"/>
  <c r="E6" i="24"/>
  <c r="E8" i="24"/>
  <c r="E9" i="24"/>
  <c r="E10" i="24"/>
  <c r="E11" i="24"/>
  <c r="E12" i="24"/>
  <c r="E13" i="24"/>
  <c r="E14" i="24"/>
  <c r="E15" i="24"/>
  <c r="E16" i="24"/>
  <c r="E17" i="24"/>
  <c r="E18" i="24"/>
  <c r="E7" i="24"/>
  <c r="E4" i="24"/>
  <c r="L5" i="24"/>
  <c r="L6" i="24"/>
  <c r="L7" i="24"/>
  <c r="L8" i="24"/>
  <c r="L9" i="24"/>
  <c r="L10" i="24"/>
  <c r="L11" i="24"/>
  <c r="L12" i="24"/>
  <c r="L13" i="24"/>
  <c r="L14" i="24"/>
  <c r="L15" i="24"/>
  <c r="L16" i="24"/>
  <c r="L17" i="24"/>
  <c r="L18" i="24"/>
  <c r="L4" i="24"/>
  <c r="D34" i="28"/>
  <c r="F27" i="28"/>
  <c r="F20" i="28"/>
  <c r="F13" i="28"/>
  <c r="F5" i="28"/>
  <c r="F5" i="23"/>
  <c r="F27" i="23"/>
  <c r="D34" i="23"/>
  <c r="F20" i="23"/>
  <c r="F13" i="23"/>
  <c r="C72" i="18"/>
  <c r="C71" i="18"/>
  <c r="D70" i="18" s="1"/>
  <c r="D71" i="18" s="1"/>
  <c r="E70" i="18" s="1"/>
  <c r="E88" i="2"/>
  <c r="E89" i="2"/>
  <c r="E90" i="2"/>
  <c r="E91" i="2"/>
  <c r="E92" i="2"/>
  <c r="E93" i="2"/>
  <c r="E94" i="2"/>
  <c r="E87" i="2"/>
  <c r="E72" i="18" l="1"/>
  <c r="E71" i="18"/>
  <c r="D72" i="18"/>
  <c r="G2" i="19"/>
  <c r="F2" i="19" a="1"/>
  <c r="F2" i="19" s="1"/>
  <c r="G1" i="19"/>
  <c r="F1" i="19" a="1"/>
  <c r="F1" i="19" s="1"/>
  <c r="E6" i="19" s="1"/>
  <c r="D7" i="17"/>
  <c r="I13" i="13"/>
  <c r="B13" i="13"/>
  <c r="B14" i="13"/>
  <c r="B15" i="13"/>
  <c r="B16" i="13"/>
  <c r="B17" i="13"/>
  <c r="D11" i="12"/>
  <c r="F13" i="13"/>
  <c r="F6" i="19" l="1"/>
  <c r="E7" i="19" s="1"/>
  <c r="D10" i="12"/>
  <c r="C7" i="12"/>
  <c r="D5" i="12"/>
  <c r="C5" i="12"/>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2" i="9"/>
  <c r="G2" i="9"/>
  <c r="G6" i="19" l="1"/>
  <c r="F7" i="19"/>
  <c r="E8" i="19" s="1"/>
  <c r="I12" i="4"/>
  <c r="I13" i="4"/>
  <c r="I14" i="4"/>
  <c r="I15" i="4"/>
  <c r="I11" i="4"/>
  <c r="F11" i="4"/>
  <c r="B12" i="4"/>
  <c r="B13" i="4"/>
  <c r="B14" i="4"/>
  <c r="B15" i="4"/>
  <c r="B11" i="4"/>
  <c r="E11" i="17"/>
  <c r="E10" i="17"/>
  <c r="D10" i="17"/>
  <c r="E9" i="17"/>
  <c r="D9" i="17"/>
  <c r="E8" i="17"/>
  <c r="D8" i="17"/>
  <c r="E7" i="17"/>
  <c r="E6" i="17"/>
  <c r="D6" i="17"/>
  <c r="E5" i="17"/>
  <c r="E4" i="17"/>
  <c r="D4" i="17"/>
  <c r="E3" i="17"/>
  <c r="D3" i="17"/>
  <c r="K2" i="15"/>
  <c r="F2" i="15" a="1"/>
  <c r="F2" i="15" s="1"/>
  <c r="K1" i="15"/>
  <c r="F1" i="15" a="1"/>
  <c r="F1" i="15" s="1"/>
  <c r="E6" i="15" s="1"/>
  <c r="G6" i="14"/>
  <c r="G5" i="14"/>
  <c r="G4" i="14"/>
  <c r="G3" i="14"/>
  <c r="G2" i="14"/>
  <c r="C10" i="12"/>
  <c r="D9" i="12"/>
  <c r="C9" i="12"/>
  <c r="C8" i="12"/>
  <c r="D8" i="12"/>
  <c r="D7" i="12"/>
  <c r="D6" i="12"/>
  <c r="C6" i="12"/>
  <c r="D4" i="12"/>
  <c r="C4" i="12"/>
  <c r="C3" i="12"/>
  <c r="D3" i="12"/>
  <c r="G2" i="11"/>
  <c r="F2" i="11" a="1"/>
  <c r="F2" i="11" s="1"/>
  <c r="G1" i="11"/>
  <c r="F1" i="11" a="1"/>
  <c r="F1" i="11" s="1"/>
  <c r="E6" i="11" s="1"/>
  <c r="E6" i="10"/>
  <c r="D5" i="17"/>
  <c r="G7" i="19" l="1"/>
  <c r="F8" i="19"/>
  <c r="E9" i="19" s="1"/>
  <c r="F6" i="10"/>
  <c r="E7" i="10" s="1"/>
  <c r="F6" i="15"/>
  <c r="E7" i="15" s="1"/>
  <c r="F6" i="11"/>
  <c r="E7" i="11" s="1"/>
  <c r="G4" i="9"/>
  <c r="G5" i="9"/>
  <c r="G6" i="9"/>
  <c r="G3" i="9"/>
  <c r="K6" i="15" l="1"/>
  <c r="G8" i="19"/>
  <c r="F9" i="19"/>
  <c r="E10" i="19" s="1"/>
  <c r="G6" i="10"/>
  <c r="F7" i="10"/>
  <c r="E8" i="10" s="1"/>
  <c r="F7" i="15"/>
  <c r="E8" i="15" s="1"/>
  <c r="F7" i="11"/>
  <c r="E8" i="11" s="1"/>
  <c r="G9" i="19" l="1"/>
  <c r="K7" i="15"/>
  <c r="F10" i="19"/>
  <c r="E11" i="19" s="1"/>
  <c r="G7" i="10"/>
  <c r="F8" i="10"/>
  <c r="E9" i="10" s="1"/>
  <c r="F8" i="15"/>
  <c r="E9" i="15" s="1"/>
  <c r="F8" i="11"/>
  <c r="E9" i="11" s="1"/>
  <c r="G10" i="19" l="1"/>
  <c r="K8" i="15"/>
  <c r="F11" i="19"/>
  <c r="G11" i="19" s="1"/>
  <c r="G8" i="10"/>
  <c r="F9" i="10"/>
  <c r="E10" i="10" s="1"/>
  <c r="F9" i="15"/>
  <c r="E10" i="15" s="1"/>
  <c r="F9" i="11"/>
  <c r="E10" i="11" s="1"/>
  <c r="K9" i="15" l="1"/>
  <c r="G9" i="10"/>
  <c r="F10" i="10"/>
  <c r="E11" i="10" s="1"/>
  <c r="F10" i="15"/>
  <c r="E11" i="15" s="1"/>
  <c r="K10" i="15"/>
  <c r="F10" i="11"/>
  <c r="E11" i="11" s="1"/>
  <c r="G10" i="10" l="1"/>
  <c r="F11" i="10"/>
  <c r="G11" i="10" s="1"/>
  <c r="K11" i="15"/>
  <c r="F11" i="15"/>
  <c r="F11" i="11"/>
  <c r="C72" i="2" l="1"/>
  <c r="C71" i="2"/>
  <c r="D70" i="2" s="1"/>
  <c r="D71" i="2" l="1"/>
  <c r="E70" i="2" s="1"/>
  <c r="D72" i="2"/>
  <c r="E72" i="2" l="1"/>
  <c r="E71" i="2"/>
  <c r="I13" i="12" l="1"/>
</calcChain>
</file>

<file path=xl/sharedStrings.xml><?xml version="1.0" encoding="utf-8"?>
<sst xmlns="http://schemas.openxmlformats.org/spreadsheetml/2006/main" count="13899" uniqueCount="1486">
  <si>
    <t>Topics:</t>
  </si>
  <si>
    <t>Data Validation</t>
  </si>
  <si>
    <t>Flash Fill</t>
  </si>
  <si>
    <t>Date Formulas</t>
  </si>
  <si>
    <t>Array Formulas</t>
  </si>
  <si>
    <t>Video</t>
  </si>
  <si>
    <t>Copy and Paste will overwrite Data Validation</t>
  </si>
  <si>
    <t>Keyboard: Alt, D, L</t>
  </si>
  <si>
    <t>Allow text box:</t>
  </si>
  <si>
    <t>Whole Number: 1) Choose comparative operator and 2) Set limits</t>
  </si>
  <si>
    <t>Decimal: 1) Choose comparative operator and 2) Set limits</t>
  </si>
  <si>
    <t>List: values in "Source" text box can be cells, Defined Names, Range from Excel Table, Values typed in separated by commas</t>
  </si>
  <si>
    <t>Date: 1) Choose comparative operator and 2) Set limits</t>
  </si>
  <si>
    <t>Time: 1) Choose comparative operator and 2) Set limits</t>
  </si>
  <si>
    <t>Text length: 1) Choose comparative operator and 2) Set limits</t>
  </si>
  <si>
    <t>Custom: Logical Formula that evaluates to TRUE (value allowed) or FALSE (value not allowed).</t>
  </si>
  <si>
    <t>Input Message</t>
  </si>
  <si>
    <t>Text that shows up if you click in the cell with DV</t>
  </si>
  <si>
    <t>Error Alter</t>
  </si>
  <si>
    <t>"Stop" means that you cannot violate the rule</t>
  </si>
  <si>
    <t>"Warning" gives an option to adhere to or not adhere to the data validation</t>
  </si>
  <si>
    <t>"Information" just gives information without enforcement of rule.</t>
  </si>
  <si>
    <t>Lower Limit</t>
  </si>
  <si>
    <t>Upper Limit</t>
  </si>
  <si>
    <t>Bolt 01</t>
  </si>
  <si>
    <t>Bolt 02</t>
  </si>
  <si>
    <t>Bolt 03</t>
  </si>
  <si>
    <t>Size</t>
  </si>
  <si>
    <t>Product</t>
  </si>
  <si>
    <t>Hammer</t>
  </si>
  <si>
    <t>Cost</t>
  </si>
  <si>
    <t>Range</t>
  </si>
  <si>
    <t>Defined Name</t>
  </si>
  <si>
    <t>Excel table: Dynamic Range</t>
  </si>
  <si>
    <t>Products</t>
  </si>
  <si>
    <t>Sunset</t>
  </si>
  <si>
    <t>Sunshine</t>
  </si>
  <si>
    <t>Quad</t>
  </si>
  <si>
    <t>Wholesale/Resale?</t>
  </si>
  <si>
    <t>Carlota</t>
  </si>
  <si>
    <t>Start</t>
  </si>
  <si>
    <t>End</t>
  </si>
  <si>
    <t>Date</t>
  </si>
  <si>
    <t>Time</t>
  </si>
  <si>
    <t>Desciption</t>
  </si>
  <si>
    <t>Price</t>
  </si>
  <si>
    <t>Playlist with more videos about Data Validation:</t>
  </si>
  <si>
    <t>Excel Data Validation</t>
  </si>
  <si>
    <t>https://www.youtube.com/playlist?list=PL0EB55D99E9CF7E13</t>
  </si>
  <si>
    <t>If incorrect data is in cells BEFORE you add DV, when you add DV, it won't automatically tell you about the incorrect data.</t>
  </si>
  <si>
    <t>Data Validation = DV = Validate that the correct data goes into the cell.</t>
  </si>
  <si>
    <t>Unless you: Data menu, Data Tools group, Data Validation, "Circle invalid data".</t>
  </si>
  <si>
    <t>Error Message</t>
  </si>
  <si>
    <t>Description of Error</t>
  </si>
  <si>
    <t>Formula errors:</t>
  </si>
  <si>
    <t>Divide by zero</t>
  </si>
  <si>
    <t>Formula is using cell reference that has been deleted, or other invalid cell reference</t>
  </si>
  <si>
    <t>Excel built-in function misspelled, Defined Name misspelled, or "text" (word data) in formula is not in double quotes.</t>
  </si>
  <si>
    <t>Not Available/ No Answer</t>
  </si>
  <si>
    <t>Invalid operand or argument type (argument in a function), or Array Formula was entered without Ctrl + Shift + Enter</t>
  </si>
  <si>
    <t>No Intersection</t>
  </si>
  <si>
    <t>Invalid numeric values in a formula or function, or an iterative function like IRR cannot find an answer, or the number is too big or small (number must be between -1*10^307 and 1*10^307)</t>
  </si>
  <si>
    <t>Other errors</t>
  </si>
  <si>
    <t>#######</t>
  </si>
  <si>
    <t>Column width not wide enough to display data (values), or negative date or time</t>
  </si>
  <si>
    <t>Circular Cell Reference</t>
  </si>
  <si>
    <t>Cell reference in formula refers to the formulas result (itself). You see a dialog message about this error</t>
  </si>
  <si>
    <t>wrong answer</t>
  </si>
  <si>
    <t>Region/Product</t>
  </si>
  <si>
    <t>Bellen</t>
  </si>
  <si>
    <t>Yanaki</t>
  </si>
  <si>
    <t>Flattop</t>
  </si>
  <si>
    <t>Eagle Boom</t>
  </si>
  <si>
    <t>Majestic Beaut</t>
  </si>
  <si>
    <t>West</t>
  </si>
  <si>
    <t>East</t>
  </si>
  <si>
    <t>South</t>
  </si>
  <si>
    <t>Midwest</t>
  </si>
  <si>
    <t>Northwest</t>
  </si>
  <si>
    <t>Southwest</t>
  </si>
  <si>
    <t>Region</t>
  </si>
  <si>
    <t>2 way lookup</t>
  </si>
  <si>
    <t>Total</t>
  </si>
  <si>
    <t>Majestic B</t>
  </si>
  <si>
    <t>1) F2: Look at Formula, Look at Range Finder</t>
  </si>
  <si>
    <t>4) Raw Data clean?</t>
  </si>
  <si>
    <t>3) Formula Inputs Correct?</t>
  </si>
  <si>
    <t xml:space="preserve">Quad   </t>
  </si>
  <si>
    <t>Lookup whole column</t>
  </si>
  <si>
    <t>Two Way Lookup</t>
  </si>
  <si>
    <t xml:space="preserve">Majestic B  </t>
  </si>
  <si>
    <t>Dates</t>
  </si>
  <si>
    <t>Sales Reps</t>
  </si>
  <si>
    <t>Sales</t>
  </si>
  <si>
    <t>Sioux</t>
  </si>
  <si>
    <t>Phil</t>
  </si>
  <si>
    <t>Gigi</t>
  </si>
  <si>
    <t>Battalion</t>
  </si>
  <si>
    <t>Gardenia</t>
  </si>
  <si>
    <t>Sioux Rad</t>
  </si>
  <si>
    <t>Phil Cool</t>
  </si>
  <si>
    <t>Gigi Sup</t>
  </si>
  <si>
    <t>Battalion Calm</t>
  </si>
  <si>
    <t>Gardenia Pretty</t>
  </si>
  <si>
    <t>Rad</t>
  </si>
  <si>
    <t>Cool</t>
  </si>
  <si>
    <t>Sup</t>
  </si>
  <si>
    <t>Calm</t>
  </si>
  <si>
    <t>Pretty</t>
  </si>
  <si>
    <t>11/18/2013</t>
  </si>
  <si>
    <t>09/09/2013</t>
  </si>
  <si>
    <t>09/11/2013</t>
  </si>
  <si>
    <t>12/27/2013</t>
  </si>
  <si>
    <t>12/25/2013</t>
  </si>
  <si>
    <t>10/06/2013</t>
  </si>
  <si>
    <t>01/09/2014</t>
  </si>
  <si>
    <t>12/03/2013</t>
  </si>
  <si>
    <t>11/26/2013</t>
  </si>
  <si>
    <t>08/28/2013</t>
  </si>
  <si>
    <t>12/12/2013</t>
  </si>
  <si>
    <t>08/22/2013</t>
  </si>
  <si>
    <t>11/24/2013</t>
  </si>
  <si>
    <t>08/30/2013</t>
  </si>
  <si>
    <t>10/07/2013</t>
  </si>
  <si>
    <t>10/26/2013</t>
  </si>
  <si>
    <t>11/11/2013</t>
  </si>
  <si>
    <t>09/14/2013</t>
  </si>
  <si>
    <t>12/15/2013</t>
  </si>
  <si>
    <t>12/09/2013</t>
  </si>
  <si>
    <t>10/22/2013</t>
  </si>
  <si>
    <t>12/29/2013</t>
  </si>
  <si>
    <t>11/25/2013</t>
  </si>
  <si>
    <t>11/03/2013</t>
  </si>
  <si>
    <t>11/20/2013</t>
  </si>
  <si>
    <t>11/28/2013</t>
  </si>
  <si>
    <t>11/17/2013</t>
  </si>
  <si>
    <t>11/22/2013</t>
  </si>
  <si>
    <t>11/02/2013</t>
  </si>
  <si>
    <t>12/14/2013</t>
  </si>
  <si>
    <t>12/20/2013</t>
  </si>
  <si>
    <t>08/21/2013</t>
  </si>
  <si>
    <t>10/21/2013</t>
  </si>
  <si>
    <t>10/05/2013</t>
  </si>
  <si>
    <t>09/08/2013</t>
  </si>
  <si>
    <t>12/30/2013</t>
  </si>
  <si>
    <t>08/24/2013</t>
  </si>
  <si>
    <t>12/13/2013</t>
  </si>
  <si>
    <t>01/02/2014</t>
  </si>
  <si>
    <t>11/04/2013</t>
  </si>
  <si>
    <t>10/04/2013</t>
  </si>
  <si>
    <t>12/01/2013</t>
  </si>
  <si>
    <t>12/26/2013</t>
  </si>
  <si>
    <t>10/25/2013</t>
  </si>
  <si>
    <t>08/15/2013</t>
  </si>
  <si>
    <t>09/24/2013</t>
  </si>
  <si>
    <t>08/17/2013</t>
  </si>
  <si>
    <t>11/15/2013</t>
  </si>
  <si>
    <t>11/14/2013</t>
  </si>
  <si>
    <t>10/02/2013</t>
  </si>
  <si>
    <t>09/15/2013</t>
  </si>
  <si>
    <t>01/08/2014</t>
  </si>
  <si>
    <t>12/22/2013</t>
  </si>
  <si>
    <t>10/24/2013</t>
  </si>
  <si>
    <t>08/27/2013</t>
  </si>
  <si>
    <t>09/13/2013</t>
  </si>
  <si>
    <t>10/23/2013</t>
  </si>
  <si>
    <t>10/01/2013</t>
  </si>
  <si>
    <t>11/08/2013</t>
  </si>
  <si>
    <t>09/23/2013</t>
  </si>
  <si>
    <t>01/06/2014</t>
  </si>
  <si>
    <t>09/30/2013</t>
  </si>
  <si>
    <t>09/21/2013</t>
  </si>
  <si>
    <t>09/19/2013</t>
  </si>
  <si>
    <t>11/19/2013</t>
  </si>
  <si>
    <t>09/17/2013</t>
  </si>
  <si>
    <t>09/25/2013</t>
  </si>
  <si>
    <t>12/16/2013</t>
  </si>
  <si>
    <t>01/07/2014</t>
  </si>
  <si>
    <t>12/07/2013</t>
  </si>
  <si>
    <t>11/05/2013</t>
  </si>
  <si>
    <t>12/17/2013</t>
  </si>
  <si>
    <t>10/13/2013</t>
  </si>
  <si>
    <t>01/01/2014</t>
  </si>
  <si>
    <t>01/03/2014</t>
  </si>
  <si>
    <t>09/05/2013</t>
  </si>
  <si>
    <t>10/08/2013</t>
  </si>
  <si>
    <t>01/05/2014</t>
  </si>
  <si>
    <t>10/20/2013</t>
  </si>
  <si>
    <t>12/06/2013</t>
  </si>
  <si>
    <t>09/03/2013</t>
  </si>
  <si>
    <t>10/29/2013</t>
  </si>
  <si>
    <t>12/08/2013</t>
  </si>
  <si>
    <t>09/07/2013</t>
  </si>
  <si>
    <t>10/14/2013</t>
  </si>
  <si>
    <t>08/16/2013</t>
  </si>
  <si>
    <t>11/01/2013</t>
  </si>
  <si>
    <t>08/14/2013</t>
  </si>
  <si>
    <t>09/27/2013</t>
  </si>
  <si>
    <t>11/16/2013</t>
  </si>
  <si>
    <t>08/31/2013</t>
  </si>
  <si>
    <t>10/12/2013</t>
  </si>
  <si>
    <t>12/10/2013</t>
  </si>
  <si>
    <t>10/28/2013</t>
  </si>
  <si>
    <t>10/18/2013</t>
  </si>
  <si>
    <t>11/09/2013</t>
  </si>
  <si>
    <t>12/11/2013</t>
  </si>
  <si>
    <t>11/10/2013</t>
  </si>
  <si>
    <t>10/17/2013</t>
  </si>
  <si>
    <t>11/13/2013</t>
  </si>
  <si>
    <t>09/28/2013</t>
  </si>
  <si>
    <t>10/09/2013</t>
  </si>
  <si>
    <t>08/19/2013</t>
  </si>
  <si>
    <t>10/30/2013</t>
  </si>
  <si>
    <t>09/04/2013</t>
  </si>
  <si>
    <t>09/02/2013</t>
  </si>
  <si>
    <t>09/20/2013</t>
  </si>
  <si>
    <t>12/19/2013</t>
  </si>
  <si>
    <t>01/10/2014</t>
  </si>
  <si>
    <t>12/04/2013</t>
  </si>
  <si>
    <t>11/12/2013</t>
  </si>
  <si>
    <t>12/21/2013</t>
  </si>
  <si>
    <t>11/06/2013</t>
  </si>
  <si>
    <t>10/03/2013</t>
  </si>
  <si>
    <t>10/16/2013</t>
  </si>
  <si>
    <t>09/26/2013</t>
  </si>
  <si>
    <t>10/11/2013</t>
  </si>
  <si>
    <t>09/01/2013</t>
  </si>
  <si>
    <t>11/23/2013</t>
  </si>
  <si>
    <t>09/22/2013</t>
  </si>
  <si>
    <t>10/27/2013</t>
  </si>
  <si>
    <t>09/06/2013</t>
  </si>
  <si>
    <t>08/26/2013</t>
  </si>
  <si>
    <t>08/20/2013</t>
  </si>
  <si>
    <t>12/28/2013</t>
  </si>
  <si>
    <t>08/29/2013</t>
  </si>
  <si>
    <t>08/23/2013</t>
  </si>
  <si>
    <t>12/05/2013</t>
  </si>
  <si>
    <t>01/04/2014</t>
  </si>
  <si>
    <t>10/15/2013</t>
  </si>
  <si>
    <t>11/27/2013</t>
  </si>
  <si>
    <t>11/21/2013</t>
  </si>
  <si>
    <t>09/12/2013</t>
  </si>
  <si>
    <t>01/11/2014</t>
  </si>
  <si>
    <t>10/31/2013</t>
  </si>
  <si>
    <t>08/18/2013</t>
  </si>
  <si>
    <t>12/24/2013</t>
  </si>
  <si>
    <t>12/23/2013</t>
  </si>
  <si>
    <t>08/25/2013</t>
  </si>
  <si>
    <t>09/16/2013</t>
  </si>
  <si>
    <t>10/19/2013</t>
  </si>
  <si>
    <t>09/29/2013</t>
  </si>
  <si>
    <t>10/10/2013</t>
  </si>
  <si>
    <t>11/07/2013</t>
  </si>
  <si>
    <t>11/30/2013</t>
  </si>
  <si>
    <t>12/31/2013</t>
  </si>
  <si>
    <t>11/29/2013</t>
  </si>
  <si>
    <t>12/18/2013</t>
  </si>
  <si>
    <t>09/10/2013</t>
  </si>
  <si>
    <t>09/18/2013</t>
  </si>
  <si>
    <t xml:space="preserve"> Battalion  Pretty  </t>
  </si>
  <si>
    <t xml:space="preserve"> Gigi  Rad  </t>
  </si>
  <si>
    <t xml:space="preserve"> Gigi  Pretty  </t>
  </si>
  <si>
    <t xml:space="preserve">Gigi  Pretty      </t>
  </si>
  <si>
    <t xml:space="preserve">Phil Sup     </t>
  </si>
  <si>
    <t xml:space="preserve"> Battalion  Pretty      </t>
  </si>
  <si>
    <t xml:space="preserve"> Gigi  Calm     </t>
  </si>
  <si>
    <t xml:space="preserve"> Gigi Sup   </t>
  </si>
  <si>
    <t xml:space="preserve"> Sioux  Rad     </t>
  </si>
  <si>
    <t xml:space="preserve">Gardenia Pretty </t>
  </si>
  <si>
    <t xml:space="preserve"> Gigi Pretty </t>
  </si>
  <si>
    <t xml:space="preserve">Gigi Pretty  </t>
  </si>
  <si>
    <t xml:space="preserve">Gardenia Pretty     </t>
  </si>
  <si>
    <t xml:space="preserve">Phil Rad </t>
  </si>
  <si>
    <t xml:space="preserve">Gigi  Rad    </t>
  </si>
  <si>
    <t xml:space="preserve">Battalion Calm     </t>
  </si>
  <si>
    <t xml:space="preserve"> Battalion  Pretty    </t>
  </si>
  <si>
    <t xml:space="preserve">Sioux Cool     </t>
  </si>
  <si>
    <t xml:space="preserve">Phil  Sup     </t>
  </si>
  <si>
    <t xml:space="preserve">Sioux Calm      </t>
  </si>
  <si>
    <t xml:space="preserve">Battalion Rad   </t>
  </si>
  <si>
    <t xml:space="preserve"> Sioux  Cool  </t>
  </si>
  <si>
    <t xml:space="preserve"> Gardenia  Sup  </t>
  </si>
  <si>
    <t xml:space="preserve"> Battalion Sup </t>
  </si>
  <si>
    <t xml:space="preserve">Gigi  Rad  </t>
  </si>
  <si>
    <t xml:space="preserve">Sioux  Cool      </t>
  </si>
  <si>
    <t xml:space="preserve">Gardenia  Cool </t>
  </si>
  <si>
    <t xml:space="preserve">Gigi  Pretty </t>
  </si>
  <si>
    <t xml:space="preserve">Battalion  Cool    </t>
  </si>
  <si>
    <t xml:space="preserve"> Sioux  Calm  </t>
  </si>
  <si>
    <t xml:space="preserve">Gardenia Cool </t>
  </si>
  <si>
    <t xml:space="preserve">Phil  Calm  </t>
  </si>
  <si>
    <t xml:space="preserve"> Phil  Pretty  </t>
  </si>
  <si>
    <t xml:space="preserve">Gardenia Rad   </t>
  </si>
  <si>
    <t xml:space="preserve"> Battalion Pretty  </t>
  </si>
  <si>
    <t xml:space="preserve"> Gigi Calm    </t>
  </si>
  <si>
    <t xml:space="preserve">Gigi  Cool </t>
  </si>
  <si>
    <t xml:space="preserve"> Phil Calm      </t>
  </si>
  <si>
    <t xml:space="preserve">Gigi Cool </t>
  </si>
  <si>
    <t xml:space="preserve"> Gigi  Calm </t>
  </si>
  <si>
    <t xml:space="preserve">Phil Pretty </t>
  </si>
  <si>
    <t xml:space="preserve"> Sioux  Sup   </t>
  </si>
  <si>
    <t xml:space="preserve"> Gardenia  Cool    </t>
  </si>
  <si>
    <t xml:space="preserve"> Gigi Calm  </t>
  </si>
  <si>
    <t xml:space="preserve"> Gardenia Pretty    </t>
  </si>
  <si>
    <t xml:space="preserve"> Gardenia Pretty  </t>
  </si>
  <si>
    <t xml:space="preserve">Battalion  Calm </t>
  </si>
  <si>
    <t xml:space="preserve"> Battalion Sup    </t>
  </si>
  <si>
    <t xml:space="preserve">Phil  Rad      </t>
  </si>
  <si>
    <t xml:space="preserve"> Gigi  Calm      </t>
  </si>
  <si>
    <t xml:space="preserve">Gardenia Sup </t>
  </si>
  <si>
    <t xml:space="preserve">Phil  Cool </t>
  </si>
  <si>
    <t xml:space="preserve">Sioux  Sup   </t>
  </si>
  <si>
    <t xml:space="preserve"> Phil Cool    </t>
  </si>
  <si>
    <t xml:space="preserve"> Gardenia Sup      </t>
  </si>
  <si>
    <t xml:space="preserve">Sioux  Pretty      </t>
  </si>
  <si>
    <t xml:space="preserve"> Gardenia Calm    </t>
  </si>
  <si>
    <t xml:space="preserve">Phil  Calm    </t>
  </si>
  <si>
    <t xml:space="preserve">Battalion  Sup    </t>
  </si>
  <si>
    <t xml:space="preserve">Sioux Rad    </t>
  </si>
  <si>
    <t xml:space="preserve"> Gigi Cool  </t>
  </si>
  <si>
    <t xml:space="preserve"> Gardenia  Calm  </t>
  </si>
  <si>
    <t xml:space="preserve">Gardenia Rad      </t>
  </si>
  <si>
    <t xml:space="preserve"> Gigi  Rad      </t>
  </si>
  <si>
    <t xml:space="preserve">Sioux Sup   </t>
  </si>
  <si>
    <t xml:space="preserve">Sioux Rad  </t>
  </si>
  <si>
    <t xml:space="preserve"> Sioux Rad     </t>
  </si>
  <si>
    <t xml:space="preserve"> Battalion Calm   </t>
  </si>
  <si>
    <t xml:space="preserve"> Gardenia Calm     </t>
  </si>
  <si>
    <t xml:space="preserve">Battalion  Calm   </t>
  </si>
  <si>
    <t xml:space="preserve">Sioux  Calm </t>
  </si>
  <si>
    <t xml:space="preserve"> Gardenia  Calm </t>
  </si>
  <si>
    <t xml:space="preserve">Gardenia  Cool      </t>
  </si>
  <si>
    <t xml:space="preserve">Gardenia Cool     </t>
  </si>
  <si>
    <t xml:space="preserve"> Phil  Rad  </t>
  </si>
  <si>
    <t xml:space="preserve">Gardenia Rad </t>
  </si>
  <si>
    <t xml:space="preserve">Phil  Rad     </t>
  </si>
  <si>
    <t xml:space="preserve">Battalion  Pretty  </t>
  </si>
  <si>
    <t xml:space="preserve">Gigi Rad  </t>
  </si>
  <si>
    <t xml:space="preserve">Phil  Cool   </t>
  </si>
  <si>
    <t xml:space="preserve"> Gardenia  Pretty      </t>
  </si>
  <si>
    <t xml:space="preserve">Gardenia  Sup    </t>
  </si>
  <si>
    <t xml:space="preserve"> Gigi Sup  </t>
  </si>
  <si>
    <t xml:space="preserve"> Gigi  Calm    </t>
  </si>
  <si>
    <t xml:space="preserve"> Sioux  Pretty </t>
  </si>
  <si>
    <t xml:space="preserve"> Gigi  Sup </t>
  </si>
  <si>
    <t xml:space="preserve"> Sioux Cool   </t>
  </si>
  <si>
    <t xml:space="preserve">Phil  Rad   </t>
  </si>
  <si>
    <t xml:space="preserve">Gigi Rad </t>
  </si>
  <si>
    <t xml:space="preserve">Gardenia Rad  </t>
  </si>
  <si>
    <t xml:space="preserve">Phil  Calm      </t>
  </si>
  <si>
    <t xml:space="preserve">Gardenia  Rad  </t>
  </si>
  <si>
    <t xml:space="preserve">Sioux Pretty   </t>
  </si>
  <si>
    <t xml:space="preserve">Gigi Pretty      </t>
  </si>
  <si>
    <t xml:space="preserve">Battalion  Sup   </t>
  </si>
  <si>
    <t xml:space="preserve">Gigi  Pretty    </t>
  </si>
  <si>
    <t xml:space="preserve">Sioux  Cool </t>
  </si>
  <si>
    <t xml:space="preserve">Gardenia Cool   </t>
  </si>
  <si>
    <t xml:space="preserve">Sioux Calm     </t>
  </si>
  <si>
    <t xml:space="preserve">Gigi  Sup      </t>
  </si>
  <si>
    <t xml:space="preserve"> Battalion Calm  </t>
  </si>
  <si>
    <t xml:space="preserve">Battalion  Sup </t>
  </si>
  <si>
    <t xml:space="preserve">Gigi  Calm </t>
  </si>
  <si>
    <t xml:space="preserve"> Battalion  Calm    </t>
  </si>
  <si>
    <t xml:space="preserve">Gardenia  Calm  </t>
  </si>
  <si>
    <t xml:space="preserve"> Gigi Sup     </t>
  </si>
  <si>
    <t xml:space="preserve">Phil  Calm   </t>
  </si>
  <si>
    <t xml:space="preserve">Gardenia Cool      </t>
  </si>
  <si>
    <t xml:space="preserve"> Phil  Calm </t>
  </si>
  <si>
    <t xml:space="preserve">Gardenia  Cool    </t>
  </si>
  <si>
    <t xml:space="preserve">Gardenia  Calm      </t>
  </si>
  <si>
    <t xml:space="preserve">Gigi  Calm     </t>
  </si>
  <si>
    <t xml:space="preserve">Battalion Pretty    </t>
  </si>
  <si>
    <t xml:space="preserve"> Battalion Cool   </t>
  </si>
  <si>
    <t xml:space="preserve">Phil Cool     </t>
  </si>
  <si>
    <t xml:space="preserve"> Battalion  Calm   </t>
  </si>
  <si>
    <t xml:space="preserve"> Gardenia  Pretty   </t>
  </si>
  <si>
    <t xml:space="preserve">Phil Sup    </t>
  </si>
  <si>
    <t xml:space="preserve"> Phil  Cool </t>
  </si>
  <si>
    <t xml:space="preserve"> Gardenia Pretty   </t>
  </si>
  <si>
    <t xml:space="preserve">Phil  Sup  </t>
  </si>
  <si>
    <t xml:space="preserve"> Phil  Cool  </t>
  </si>
  <si>
    <t xml:space="preserve"> Sioux  Rad      </t>
  </si>
  <si>
    <t xml:space="preserve">Gardenia Calm </t>
  </si>
  <si>
    <t xml:space="preserve"> Sioux Sup  </t>
  </si>
  <si>
    <t xml:space="preserve"> Gigi Sup </t>
  </si>
  <si>
    <t xml:space="preserve"> Gardenia Pretty      </t>
  </si>
  <si>
    <t xml:space="preserve"> Battalion  Sup     </t>
  </si>
  <si>
    <t xml:space="preserve"> Phil Calm </t>
  </si>
  <si>
    <t xml:space="preserve"> Gigi  Sup   </t>
  </si>
  <si>
    <t xml:space="preserve"> Gardenia  Cool   </t>
  </si>
  <si>
    <t xml:space="preserve">Sioux Sup      </t>
  </si>
  <si>
    <t xml:space="preserve">Battalion Rad  </t>
  </si>
  <si>
    <t xml:space="preserve">Battalion  Pretty    </t>
  </si>
  <si>
    <t xml:space="preserve"> Gardenia Cool    </t>
  </si>
  <si>
    <t xml:space="preserve">Gigi Sup     </t>
  </si>
  <si>
    <t xml:space="preserve">Battalion  Pretty   </t>
  </si>
  <si>
    <t xml:space="preserve">Gigi Sup </t>
  </si>
  <si>
    <t xml:space="preserve">Phil  Calm     </t>
  </si>
  <si>
    <t xml:space="preserve">Gardenia Pretty    </t>
  </si>
  <si>
    <t xml:space="preserve"> Sioux Cool    </t>
  </si>
  <si>
    <t xml:space="preserve"> Gardenia  Pretty    </t>
  </si>
  <si>
    <t xml:space="preserve"> Gardenia Cool      </t>
  </si>
  <si>
    <t xml:space="preserve"> Gigi Pretty  </t>
  </si>
  <si>
    <t xml:space="preserve">Gigi  Cool    </t>
  </si>
  <si>
    <t xml:space="preserve"> Phil Sup   </t>
  </si>
  <si>
    <t xml:space="preserve">Gigi  Cool  </t>
  </si>
  <si>
    <t xml:space="preserve"> Phil  Pretty    </t>
  </si>
  <si>
    <t xml:space="preserve">Gigi  Pretty     </t>
  </si>
  <si>
    <t xml:space="preserve"> Gardenia Cool     </t>
  </si>
  <si>
    <t xml:space="preserve"> Sioux  Pretty     </t>
  </si>
  <si>
    <t xml:space="preserve">Gardenia  Cool     </t>
  </si>
  <si>
    <t xml:space="preserve">Gardenia  Cool   </t>
  </si>
  <si>
    <t xml:space="preserve"> Gardenia  Pretty     </t>
  </si>
  <si>
    <t xml:space="preserve"> Gardenia  Rad    </t>
  </si>
  <si>
    <t xml:space="preserve">Sioux Rad   </t>
  </si>
  <si>
    <t xml:space="preserve">Sioux Pretty </t>
  </si>
  <si>
    <t xml:space="preserve">Gigi Sup      </t>
  </si>
  <si>
    <t xml:space="preserve">Sioux Calm </t>
  </si>
  <si>
    <t xml:space="preserve"> Gardenia  Sup     </t>
  </si>
  <si>
    <t xml:space="preserve"> Battalion Calm     </t>
  </si>
  <si>
    <t xml:space="preserve">Sioux  Sup    </t>
  </si>
  <si>
    <t xml:space="preserve"> Gigi Rad   </t>
  </si>
  <si>
    <t xml:space="preserve"> Gardenia Sup     </t>
  </si>
  <si>
    <t xml:space="preserve"> Battalion Rad   </t>
  </si>
  <si>
    <t xml:space="preserve"> Sioux  Calm   </t>
  </si>
  <si>
    <t xml:space="preserve"> Gardenia Rad </t>
  </si>
  <si>
    <t xml:space="preserve"> Gigi Calm </t>
  </si>
  <si>
    <t xml:space="preserve">Sioux Sup    </t>
  </si>
  <si>
    <t xml:space="preserve"> Gardenia Cool </t>
  </si>
  <si>
    <t xml:space="preserve"> Phil Pretty    </t>
  </si>
  <si>
    <t xml:space="preserve">Sioux  Pretty   </t>
  </si>
  <si>
    <t xml:space="preserve">Phil  Calm </t>
  </si>
  <si>
    <t xml:space="preserve">Gardenia  Sup  </t>
  </si>
  <si>
    <t xml:space="preserve"> Battalion  Cool      </t>
  </si>
  <si>
    <t xml:space="preserve">Gardenia  Pretty   </t>
  </si>
  <si>
    <t xml:space="preserve">Phil Pretty     </t>
  </si>
  <si>
    <t xml:space="preserve"> Phil  Calm      </t>
  </si>
  <si>
    <t xml:space="preserve"> Battalion  Rad      </t>
  </si>
  <si>
    <t xml:space="preserve"> Phil Rad   </t>
  </si>
  <si>
    <t xml:space="preserve">Sioux Calm    </t>
  </si>
  <si>
    <t xml:space="preserve"> Phil  Calm    </t>
  </si>
  <si>
    <t xml:space="preserve"> Gigi Sup      </t>
  </si>
  <si>
    <t xml:space="preserve">Gigi  Calm  </t>
  </si>
  <si>
    <t xml:space="preserve">Sioux Sup     </t>
  </si>
  <si>
    <t xml:space="preserve"> Battalion Cool    </t>
  </si>
  <si>
    <t xml:space="preserve">Battalion  Cool </t>
  </si>
  <si>
    <t xml:space="preserve"> Gigi Pretty      </t>
  </si>
  <si>
    <t xml:space="preserve"> Battalion Cool      </t>
  </si>
  <si>
    <t xml:space="preserve"> Phil  Rad </t>
  </si>
  <si>
    <t xml:space="preserve">Phil Pretty  </t>
  </si>
  <si>
    <t xml:space="preserve"> Sioux  Calm    </t>
  </si>
  <si>
    <t xml:space="preserve"> Gardenia Sup   </t>
  </si>
  <si>
    <t xml:space="preserve"> Battalion Pretty </t>
  </si>
  <si>
    <t xml:space="preserve">Sioux  Rad     </t>
  </si>
  <si>
    <t xml:space="preserve"> Battalion Pretty    </t>
  </si>
  <si>
    <t xml:space="preserve"> Gardenia Cool  </t>
  </si>
  <si>
    <t xml:space="preserve"> Gardenia  Sup    </t>
  </si>
  <si>
    <t xml:space="preserve">Battalion Cool  </t>
  </si>
  <si>
    <t xml:space="preserve">Battalion  Sup      </t>
  </si>
  <si>
    <t xml:space="preserve"> Phil Pretty   </t>
  </si>
  <si>
    <t xml:space="preserve">Gigi  Cool     </t>
  </si>
  <si>
    <t xml:space="preserve"> Phil Cool   </t>
  </si>
  <si>
    <t xml:space="preserve"> Gardenia Sup </t>
  </si>
  <si>
    <t xml:space="preserve">Battalion Sup    </t>
  </si>
  <si>
    <t xml:space="preserve"> Sioux Sup </t>
  </si>
  <si>
    <t xml:space="preserve"> Phil  Rad    </t>
  </si>
  <si>
    <t xml:space="preserve"> Gigi  Cool   </t>
  </si>
  <si>
    <t xml:space="preserve"> Battalion  Rad  </t>
  </si>
  <si>
    <t xml:space="preserve">Phil Calm </t>
  </si>
  <si>
    <t xml:space="preserve"> Sioux Pretty      </t>
  </si>
  <si>
    <t xml:space="preserve"> Battalion  Calm     </t>
  </si>
  <si>
    <t xml:space="preserve"> Battalion Calm    </t>
  </si>
  <si>
    <t xml:space="preserve"> Gigi  Cool    </t>
  </si>
  <si>
    <t xml:space="preserve"> Phil  Sup </t>
  </si>
  <si>
    <t xml:space="preserve">Sioux Pretty  </t>
  </si>
  <si>
    <t xml:space="preserve">Gardenia Rad     </t>
  </si>
  <si>
    <t xml:space="preserve">Gardenia  Rad      </t>
  </si>
  <si>
    <t xml:space="preserve"> Battalion Sup     </t>
  </si>
  <si>
    <t xml:space="preserve">Battalion Sup     </t>
  </si>
  <si>
    <t xml:space="preserve">Phil  Sup   </t>
  </si>
  <si>
    <t xml:space="preserve">Gardenia  Pretty </t>
  </si>
  <si>
    <t xml:space="preserve"> Phil  Rad     </t>
  </si>
  <si>
    <t xml:space="preserve">Battalion Pretty     </t>
  </si>
  <si>
    <t xml:space="preserve"> Gigi  Pretty    </t>
  </si>
  <si>
    <t xml:space="preserve"> Phil Sup </t>
  </si>
  <si>
    <t xml:space="preserve"> Phil Rad      </t>
  </si>
  <si>
    <t xml:space="preserve"> Gardenia Calm      </t>
  </si>
  <si>
    <t xml:space="preserve">Battalion Cool </t>
  </si>
  <si>
    <t xml:space="preserve">Gigi Rad      </t>
  </si>
  <si>
    <t xml:space="preserve"> Gardenia  Pretty  </t>
  </si>
  <si>
    <t xml:space="preserve"> Phil  Cool   </t>
  </si>
  <si>
    <t xml:space="preserve">Gardenia Calm      </t>
  </si>
  <si>
    <t xml:space="preserve"> Battalion  Sup      </t>
  </si>
  <si>
    <t xml:space="preserve"> Gigi Cool </t>
  </si>
  <si>
    <t xml:space="preserve"> Gardenia Rad     </t>
  </si>
  <si>
    <t xml:space="preserve"> Phil  Cool    </t>
  </si>
  <si>
    <t xml:space="preserve"> Sioux  Cool      </t>
  </si>
  <si>
    <t xml:space="preserve"> Phil  Pretty      </t>
  </si>
  <si>
    <t xml:space="preserve">Battalion  Rad   </t>
  </si>
  <si>
    <t xml:space="preserve"> Phil  Pretty   </t>
  </si>
  <si>
    <t xml:space="preserve"> Phil Sup     </t>
  </si>
  <si>
    <t xml:space="preserve"> Phil Rad     </t>
  </si>
  <si>
    <t xml:space="preserve">Phil  Pretty      </t>
  </si>
  <si>
    <t xml:space="preserve"> Gigi Cool    </t>
  </si>
  <si>
    <t xml:space="preserve"> Sioux Cool     </t>
  </si>
  <si>
    <t xml:space="preserve"> Phil Pretty     </t>
  </si>
  <si>
    <t xml:space="preserve"> Phil  Calm     </t>
  </si>
  <si>
    <t xml:space="preserve"> Gardenia  Cool </t>
  </si>
  <si>
    <t xml:space="preserve">Phil Pretty      </t>
  </si>
  <si>
    <t xml:space="preserve">Battalion Pretty      </t>
  </si>
  <si>
    <t xml:space="preserve">Gigi Calm   </t>
  </si>
  <si>
    <t xml:space="preserve">Gardenia  Sup </t>
  </si>
  <si>
    <t xml:space="preserve"> Gardenia Rad      </t>
  </si>
  <si>
    <t xml:space="preserve"> Sioux Calm     </t>
  </si>
  <si>
    <t xml:space="preserve"> Gardenia  Calm   </t>
  </si>
  <si>
    <t xml:space="preserve"> Gardenia Calm </t>
  </si>
  <si>
    <t xml:space="preserve">Battalion Cool   </t>
  </si>
  <si>
    <t xml:space="preserve">Battalion Calm   </t>
  </si>
  <si>
    <t xml:space="preserve"> Sioux Sup     </t>
  </si>
  <si>
    <t xml:space="preserve">Gardenia  Pretty     </t>
  </si>
  <si>
    <t xml:space="preserve"> Sioux Calm </t>
  </si>
  <si>
    <t xml:space="preserve">Battalion  Calm     </t>
  </si>
  <si>
    <t xml:space="preserve">Phil  Rad    </t>
  </si>
  <si>
    <t xml:space="preserve">Gardenia  Rad </t>
  </si>
  <si>
    <t xml:space="preserve"> Sioux  Calm      </t>
  </si>
  <si>
    <t xml:space="preserve"> Gardenia  Sup </t>
  </si>
  <si>
    <t xml:space="preserve"> Sioux Rad  </t>
  </si>
  <si>
    <t xml:space="preserve">Sioux  Rad   </t>
  </si>
  <si>
    <t xml:space="preserve">Gardenia  Calm </t>
  </si>
  <si>
    <t xml:space="preserve"> Phil Cool  </t>
  </si>
  <si>
    <t xml:space="preserve">Sioux  Sup     </t>
  </si>
  <si>
    <t xml:space="preserve"> Battalion Pretty      </t>
  </si>
  <si>
    <t xml:space="preserve">Gigi  Sup  </t>
  </si>
  <si>
    <t xml:space="preserve"> Sioux Rad      </t>
  </si>
  <si>
    <t xml:space="preserve">Battalion Pretty  </t>
  </si>
  <si>
    <t xml:space="preserve"> Battalion  Sup  </t>
  </si>
  <si>
    <t xml:space="preserve">Battalion Calm  </t>
  </si>
  <si>
    <t xml:space="preserve"> Gigi Rad    </t>
  </si>
  <si>
    <t xml:space="preserve"> Battalion Rad      </t>
  </si>
  <si>
    <t xml:space="preserve">Gigi Calm     </t>
  </si>
  <si>
    <t xml:space="preserve">Battalion Cool      </t>
  </si>
  <si>
    <t xml:space="preserve">Sioux  Rad  </t>
  </si>
  <si>
    <t xml:space="preserve">Sioux Rad     </t>
  </si>
  <si>
    <t xml:space="preserve">Gardenia Sup   </t>
  </si>
  <si>
    <t xml:space="preserve"> Sioux Rad    </t>
  </si>
  <si>
    <t xml:space="preserve">Phil  Pretty     </t>
  </si>
  <si>
    <t xml:space="preserve"> Sioux Calm  </t>
  </si>
  <si>
    <t xml:space="preserve">Phil  Cool     </t>
  </si>
  <si>
    <t xml:space="preserve">Gardenia Pretty   </t>
  </si>
  <si>
    <t xml:space="preserve"> Battalion  Cool     </t>
  </si>
  <si>
    <t xml:space="preserve"> Phil Calm    </t>
  </si>
  <si>
    <t xml:space="preserve">Gigi  Pretty  </t>
  </si>
  <si>
    <t xml:space="preserve"> Phil Sup      </t>
  </si>
  <si>
    <t xml:space="preserve"> Sioux  Sup      </t>
  </si>
  <si>
    <t xml:space="preserve">Sioux  Cool   </t>
  </si>
  <si>
    <t xml:space="preserve">Gigi  Cool   </t>
  </si>
  <si>
    <t xml:space="preserve"> Battalion  Pretty   </t>
  </si>
  <si>
    <t xml:space="preserve"> Phil Cool      </t>
  </si>
  <si>
    <t xml:space="preserve"> Sioux  Pretty   </t>
  </si>
  <si>
    <t xml:space="preserve"> Battalion  Calm      </t>
  </si>
  <si>
    <t xml:space="preserve">Gardenia  Rad   </t>
  </si>
  <si>
    <t xml:space="preserve"> Sioux Cool  </t>
  </si>
  <si>
    <t xml:space="preserve"> Battalion  Rad </t>
  </si>
  <si>
    <t xml:space="preserve">Gardenia Calm    </t>
  </si>
  <si>
    <t xml:space="preserve">Gigi Cool    </t>
  </si>
  <si>
    <t xml:space="preserve">Gigi  Rad     </t>
  </si>
  <si>
    <t xml:space="preserve"> Gigi  Rad    </t>
  </si>
  <si>
    <t xml:space="preserve"> Gardenia  Rad </t>
  </si>
  <si>
    <t xml:space="preserve">Gardenia  Pretty    </t>
  </si>
  <si>
    <t xml:space="preserve">Sioux Sup  </t>
  </si>
  <si>
    <t xml:space="preserve"> Phil Calm  </t>
  </si>
  <si>
    <t xml:space="preserve"> Gigi  Cool      </t>
  </si>
  <si>
    <t xml:space="preserve"> Phil  Sup     </t>
  </si>
  <si>
    <t xml:space="preserve"> Battalion Cool     </t>
  </si>
  <si>
    <t xml:space="preserve">Gardenia  Rad    </t>
  </si>
  <si>
    <t xml:space="preserve"> Gigi Calm     </t>
  </si>
  <si>
    <t xml:space="preserve"> Phil Pretty  </t>
  </si>
  <si>
    <t xml:space="preserve">Sioux  Pretty </t>
  </si>
  <si>
    <t xml:space="preserve"> Battalion Calm      </t>
  </si>
  <si>
    <t xml:space="preserve">Phil Rad  </t>
  </si>
  <si>
    <t xml:space="preserve">Gardenia  Calm     </t>
  </si>
  <si>
    <t xml:space="preserve">Phil Cool      </t>
  </si>
  <si>
    <t xml:space="preserve"> Battalion Cool </t>
  </si>
  <si>
    <t xml:space="preserve">Gigi  Sup    </t>
  </si>
  <si>
    <t xml:space="preserve">Battalion  Pretty </t>
  </si>
  <si>
    <t xml:space="preserve">Phil  Rad  </t>
  </si>
  <si>
    <t xml:space="preserve">Phil Pretty   </t>
  </si>
  <si>
    <t xml:space="preserve">Sioux Pretty     </t>
  </si>
  <si>
    <t xml:space="preserve"> Phil  Cool     </t>
  </si>
  <si>
    <t xml:space="preserve">Battalion  Calm    </t>
  </si>
  <si>
    <t xml:space="preserve">Phil  Sup      </t>
  </si>
  <si>
    <t xml:space="preserve">Sioux  Rad    </t>
  </si>
  <si>
    <t xml:space="preserve">Phil Cool </t>
  </si>
  <si>
    <t xml:space="preserve"> Sioux  Rad   </t>
  </si>
  <si>
    <t xml:space="preserve"> Phil  Sup      </t>
  </si>
  <si>
    <t xml:space="preserve">Gigi Sup  </t>
  </si>
  <si>
    <t xml:space="preserve">Sioux  Pretty     </t>
  </si>
  <si>
    <t xml:space="preserve">Gigi Calm    </t>
  </si>
  <si>
    <t xml:space="preserve"> Sioux Pretty     </t>
  </si>
  <si>
    <t xml:space="preserve"> Battalion Pretty   </t>
  </si>
  <si>
    <t xml:space="preserve"> Phil Rad    </t>
  </si>
  <si>
    <t xml:space="preserve"> Battalion  Rad     </t>
  </si>
  <si>
    <t xml:space="preserve"> Phil Cool     </t>
  </si>
  <si>
    <t xml:space="preserve">Sioux  Calm      </t>
  </si>
  <si>
    <t xml:space="preserve">Gigi  Calm   </t>
  </si>
  <si>
    <t xml:space="preserve"> Phil Calm     </t>
  </si>
  <si>
    <t xml:space="preserve"> Gardenia Rad   </t>
  </si>
  <si>
    <t xml:space="preserve">Battalion Rad    </t>
  </si>
  <si>
    <t xml:space="preserve">Gigi Pretty   </t>
  </si>
  <si>
    <t xml:space="preserve">Phil Sup   </t>
  </si>
  <si>
    <t xml:space="preserve"> Phil Pretty </t>
  </si>
  <si>
    <t xml:space="preserve">Phil Rad   </t>
  </si>
  <si>
    <t xml:space="preserve"> Battalion  Pretty </t>
  </si>
  <si>
    <t xml:space="preserve">Gigi Rad     </t>
  </si>
  <si>
    <t xml:space="preserve"> Phil  Calm   </t>
  </si>
  <si>
    <t xml:space="preserve">Battalion  Rad </t>
  </si>
  <si>
    <t xml:space="preserve">Sioux Cool      </t>
  </si>
  <si>
    <t xml:space="preserve"> Battalion  Calm </t>
  </si>
  <si>
    <t xml:space="preserve">Sioux  Calm    </t>
  </si>
  <si>
    <t xml:space="preserve"> Sioux Rad   </t>
  </si>
  <si>
    <t xml:space="preserve">Battalion  Sup     </t>
  </si>
  <si>
    <t xml:space="preserve">Sioux  Sup      </t>
  </si>
  <si>
    <t xml:space="preserve">Gardenia  Pretty      </t>
  </si>
  <si>
    <t xml:space="preserve">Gigi Calm      </t>
  </si>
  <si>
    <t xml:space="preserve"> Gigi  Pretty      </t>
  </si>
  <si>
    <t xml:space="preserve"> Battalion  Cool    </t>
  </si>
  <si>
    <t xml:space="preserve"> Gigi Cool   </t>
  </si>
  <si>
    <t xml:space="preserve"> Sioux  Cool    </t>
  </si>
  <si>
    <t xml:space="preserve">Sioux Rad </t>
  </si>
  <si>
    <t xml:space="preserve">Phil  Cool      </t>
  </si>
  <si>
    <t xml:space="preserve">Phil Cool  </t>
  </si>
  <si>
    <t xml:space="preserve"> Gardenia Cool   </t>
  </si>
  <si>
    <t xml:space="preserve"> Sioux  Pretty      </t>
  </si>
  <si>
    <t xml:space="preserve"> Phil Cool </t>
  </si>
  <si>
    <t xml:space="preserve"> Gigi  Rad </t>
  </si>
  <si>
    <t xml:space="preserve">Gigi  Calm      </t>
  </si>
  <si>
    <t xml:space="preserve">Gardenia Cool  </t>
  </si>
  <si>
    <t xml:space="preserve"> Battalion  Rad    </t>
  </si>
  <si>
    <t xml:space="preserve">Gardenia  Calm    </t>
  </si>
  <si>
    <t xml:space="preserve"> Sioux Calm    </t>
  </si>
  <si>
    <t xml:space="preserve"> Gigi Pretty     </t>
  </si>
  <si>
    <t xml:space="preserve"> Phil  Pretty </t>
  </si>
  <si>
    <t xml:space="preserve">Gardenia Sup  </t>
  </si>
  <si>
    <t xml:space="preserve"> Gigi Cool      </t>
  </si>
  <si>
    <t xml:space="preserve">Gigi Calm </t>
  </si>
  <si>
    <t xml:space="preserve"> Sioux  Cool     </t>
  </si>
  <si>
    <t xml:space="preserve">Sioux Pretty      </t>
  </si>
  <si>
    <t xml:space="preserve"> Gigi  Calm   </t>
  </si>
  <si>
    <t xml:space="preserve">Phil Cool    </t>
  </si>
  <si>
    <t xml:space="preserve">Sioux Cool    </t>
  </si>
  <si>
    <t xml:space="preserve">Battalion  Rad  </t>
  </si>
  <si>
    <t xml:space="preserve">Gigi  Sup </t>
  </si>
  <si>
    <t xml:space="preserve"> Sioux  Sup  </t>
  </si>
  <si>
    <t xml:space="preserve">Gardenia Rad    </t>
  </si>
  <si>
    <t xml:space="preserve">Battalion  Sup  </t>
  </si>
  <si>
    <t xml:space="preserve"> Battalion  Sup   </t>
  </si>
  <si>
    <t xml:space="preserve"> Gigi  Cool  </t>
  </si>
  <si>
    <t xml:space="preserve">Battalion Sup      </t>
  </si>
  <si>
    <t xml:space="preserve">Gardenia Cool    </t>
  </si>
  <si>
    <t xml:space="preserve"> Gardenia  Cool     </t>
  </si>
  <si>
    <t xml:space="preserve">Sioux  Rad </t>
  </si>
  <si>
    <t xml:space="preserve">Gigi Pretty </t>
  </si>
  <si>
    <t xml:space="preserve"> Gardenia  Rad   </t>
  </si>
  <si>
    <t xml:space="preserve">Battalion Rad     </t>
  </si>
  <si>
    <t xml:space="preserve"> Sioux Pretty </t>
  </si>
  <si>
    <t xml:space="preserve">Sioux  Cool    </t>
  </si>
  <si>
    <t xml:space="preserve">Gigi Sup   </t>
  </si>
  <si>
    <t xml:space="preserve">Phil Sup  </t>
  </si>
  <si>
    <t xml:space="preserve">Sioux  Pretty    </t>
  </si>
  <si>
    <t xml:space="preserve">Phil  Pretty  </t>
  </si>
  <si>
    <t xml:space="preserve"> Gigi Rad      </t>
  </si>
  <si>
    <t xml:space="preserve"> Phil  Sup   </t>
  </si>
  <si>
    <t xml:space="preserve">Gardenia  Cool  </t>
  </si>
  <si>
    <t xml:space="preserve">Phil  Sup    </t>
  </si>
  <si>
    <t xml:space="preserve"> Sioux  Pretty  </t>
  </si>
  <si>
    <t xml:space="preserve"> Gardenia  Rad     </t>
  </si>
  <si>
    <t xml:space="preserve">Battalion  Cool   </t>
  </si>
  <si>
    <t xml:space="preserve">Sioux  Sup </t>
  </si>
  <si>
    <t xml:space="preserve">Battalion Rad      </t>
  </si>
  <si>
    <t xml:space="preserve"> Gardenia Pretty </t>
  </si>
  <si>
    <t xml:space="preserve">Battalion Sup </t>
  </si>
  <si>
    <t xml:space="preserve">Gigi Cool     </t>
  </si>
  <si>
    <t xml:space="preserve">Gigi  Rad </t>
  </si>
  <si>
    <t xml:space="preserve">Gigi Rad   </t>
  </si>
  <si>
    <t xml:space="preserve"> Battalion Rad    </t>
  </si>
  <si>
    <t xml:space="preserve">Phil  Pretty   </t>
  </si>
  <si>
    <t xml:space="preserve"> Battalion  Pretty     </t>
  </si>
  <si>
    <t xml:space="preserve">Phil  Sup </t>
  </si>
  <si>
    <t xml:space="preserve"> Battalion Pretty     </t>
  </si>
  <si>
    <t xml:space="preserve"> Gigi  Rad   </t>
  </si>
  <si>
    <t xml:space="preserve"> Battalion  Sup    </t>
  </si>
  <si>
    <t xml:space="preserve">Battalion Rad </t>
  </si>
  <si>
    <t xml:space="preserve">Gardenia  Rad     </t>
  </si>
  <si>
    <t xml:space="preserve"> Gigi  Pretty </t>
  </si>
  <si>
    <t xml:space="preserve"> Sioux  Rad </t>
  </si>
  <si>
    <t xml:space="preserve"> Gigi  Pretty   </t>
  </si>
  <si>
    <t xml:space="preserve"> Gigi  Cool </t>
  </si>
  <si>
    <t xml:space="preserve"> Sioux Cool </t>
  </si>
  <si>
    <t xml:space="preserve">Phil Calm  </t>
  </si>
  <si>
    <t xml:space="preserve">Phil Rad      </t>
  </si>
  <si>
    <t xml:space="preserve"> Gigi  Sup  </t>
  </si>
  <si>
    <t xml:space="preserve">Battalion  Cool      </t>
  </si>
  <si>
    <t xml:space="preserve"> Gigi Cool     </t>
  </si>
  <si>
    <t xml:space="preserve"> Battalion  Cool  </t>
  </si>
  <si>
    <t>Min</t>
  </si>
  <si>
    <t>Max</t>
  </si>
  <si>
    <t>Start Date</t>
  </si>
  <si>
    <t>End Date</t>
  </si>
  <si>
    <t>When building formulas, if cell references is black, the formula is not working (Sheet and Workbook references are always black)</t>
  </si>
  <si>
    <t>Cell Reference is black</t>
  </si>
  <si>
    <t>Gigi Pretty</t>
  </si>
  <si>
    <t>Sioux Calm</t>
  </si>
  <si>
    <t>Phil Sup</t>
  </si>
  <si>
    <t>Gardenia Cool</t>
  </si>
  <si>
    <t>Gigi Rad</t>
  </si>
  <si>
    <t>Gardenia Rad</t>
  </si>
  <si>
    <t>Battalion Pretty</t>
  </si>
  <si>
    <t>Battalion Rad</t>
  </si>
  <si>
    <t>Sioux Cool</t>
  </si>
  <si>
    <t>Sioux Pretty</t>
  </si>
  <si>
    <t>Gardenia Calm</t>
  </si>
  <si>
    <t>Battalion Cool</t>
  </si>
  <si>
    <t>Battalion Sup</t>
  </si>
  <si>
    <t>Gigi Calm</t>
  </si>
  <si>
    <t>Phil Pretty</t>
  </si>
  <si>
    <t>Phil Rad</t>
  </si>
  <si>
    <t>Sioux Sup</t>
  </si>
  <si>
    <t>Phil Calm</t>
  </si>
  <si>
    <t>Gigi Cool</t>
  </si>
  <si>
    <t>Gardenia Sup</t>
  </si>
  <si>
    <t>4 Steps To Track Down Formula Errors</t>
  </si>
  <si>
    <t>Error messages:</t>
  </si>
  <si>
    <t>E(1) to E(4)</t>
  </si>
  <si>
    <t>E(5)</t>
  </si>
  <si>
    <t>Message</t>
  </si>
  <si>
    <t>What it is</t>
  </si>
  <si>
    <t>Example</t>
  </si>
  <si>
    <t>Jan</t>
  </si>
  <si>
    <t>Feb</t>
  </si>
  <si>
    <t>Mar</t>
  </si>
  <si>
    <t>P1</t>
  </si>
  <si>
    <t>P2</t>
  </si>
  <si>
    <t>P3</t>
  </si>
  <si>
    <t>P4</t>
  </si>
  <si>
    <t>P5</t>
  </si>
  <si>
    <t>Number:</t>
  </si>
  <si>
    <t>End Time</t>
  </si>
  <si>
    <t>Begin Time</t>
  </si>
  <si>
    <t xml:space="preserve"> =SUM(H3:H7,d11)</t>
  </si>
  <si>
    <t>Highline Excel 2013 Class Video 27:</t>
  </si>
  <si>
    <t>4 Steps To Track Down Excel Formula Errors (16 Examples)</t>
  </si>
  <si>
    <t>1) F2 (Edit Mode) and look at formula, look at Range Finder
2) Run Evaluate Formula or use F9 key on a formula element while in Edit Mode to see what part of the formula is causing error, then examine that part of the formula
3) Look at formula input cells
4) Look at raw data</t>
  </si>
  <si>
    <t>2) Evaluate Formula: Alt, M, V or F9 Formula Element in Edit Mode</t>
  </si>
  <si>
    <t xml:space="preserve"> =SUM(H3:H7,C11)</t>
  </si>
  <si>
    <t>Boomerangs:</t>
  </si>
  <si>
    <t>Freestyle</t>
  </si>
  <si>
    <t>Fast</t>
  </si>
  <si>
    <t>Aussie</t>
  </si>
  <si>
    <t>Wind</t>
  </si>
  <si>
    <t>C Double</t>
  </si>
  <si>
    <t>GelFast</t>
  </si>
  <si>
    <t>Darnell</t>
  </si>
  <si>
    <t>V</t>
  </si>
  <si>
    <t>W Sunset</t>
  </si>
  <si>
    <t>BWD</t>
  </si>
  <si>
    <t>Hole MB</t>
  </si>
  <si>
    <t>Hole Sunshine</t>
  </si>
  <si>
    <t>Wind Pig</t>
  </si>
  <si>
    <t>Type</t>
  </si>
  <si>
    <t>Boom</t>
  </si>
  <si>
    <r>
      <rPr>
        <b/>
        <sz val="11"/>
        <color theme="1"/>
        <rFont val="Calibri"/>
        <family val="2"/>
        <scheme val="minor"/>
      </rPr>
      <t>Data Validation:</t>
    </r>
    <r>
      <rPr>
        <sz val="11"/>
        <color theme="1"/>
        <rFont val="Calibri"/>
        <family val="2"/>
        <scheme val="minor"/>
      </rPr>
      <t xml:space="preserve"> Validate that the correct information goes into the cell.</t>
    </r>
  </si>
  <si>
    <r>
      <rPr>
        <b/>
        <sz val="11"/>
        <color theme="1"/>
        <rFont val="Calibri"/>
        <family val="2"/>
        <scheme val="minor"/>
      </rPr>
      <t>Keyboard:</t>
    </r>
    <r>
      <rPr>
        <sz val="11"/>
        <color theme="1"/>
        <rFont val="Calibri"/>
        <family val="2"/>
        <scheme val="minor"/>
      </rPr>
      <t xml:space="preserve"> Alt, D, L</t>
    </r>
  </si>
  <si>
    <t>Highline Excel 2013 Class Video 28:</t>
  </si>
  <si>
    <t>Excel Data Validation (10 Examples)</t>
  </si>
  <si>
    <t>Wholesale</t>
  </si>
  <si>
    <t>Meeting</t>
  </si>
  <si>
    <t>Information</t>
  </si>
  <si>
    <t>No Duplicates</t>
  </si>
  <si>
    <t>SB Weight</t>
  </si>
  <si>
    <t>** INDIRECT function takes text that represents a</t>
  </si>
  <si>
    <t>reference and converts it back to a reference.</t>
  </si>
  <si>
    <t>SP Daft</t>
  </si>
  <si>
    <t>FreestyleANSWER</t>
  </si>
  <si>
    <t>FastANSWER</t>
  </si>
  <si>
    <t>AussieANSWER</t>
  </si>
  <si>
    <t>WindANSWER</t>
  </si>
  <si>
    <t>There are five formulas with errors. Fix the errors.</t>
  </si>
  <si>
    <t>Error 1:</t>
  </si>
  <si>
    <t>Error 2:</t>
  </si>
  <si>
    <t>Error 3:</t>
  </si>
  <si>
    <t>Error5:</t>
  </si>
  <si>
    <t>Error 4:</t>
  </si>
  <si>
    <t>Kelly</t>
  </si>
  <si>
    <t>Cody</t>
  </si>
  <si>
    <t>Darin Jenkins</t>
  </si>
  <si>
    <t xml:space="preserve">Gina  Stone     </t>
  </si>
  <si>
    <t xml:space="preserve"> Lois Luna      </t>
  </si>
  <si>
    <t xml:space="preserve"> Gregg  Lawson </t>
  </si>
  <si>
    <t xml:space="preserve"> Kelly  Fowler    </t>
  </si>
  <si>
    <t xml:space="preserve"> Bradley Hodges  </t>
  </si>
  <si>
    <t xml:space="preserve">Ray  Silva </t>
  </si>
  <si>
    <t xml:space="preserve">Roderick White  </t>
  </si>
  <si>
    <t xml:space="preserve"> Diana  Holt     </t>
  </si>
  <si>
    <t xml:space="preserve"> Pat  Anderson </t>
  </si>
  <si>
    <t xml:space="preserve">Beulah  Howell     </t>
  </si>
  <si>
    <t xml:space="preserve">Krystal  Hubbard    </t>
  </si>
  <si>
    <t xml:space="preserve"> Roger  Henderson     </t>
  </si>
  <si>
    <t xml:space="preserve">Dave Martin     </t>
  </si>
  <si>
    <t xml:space="preserve">Nathan  Nguyen     </t>
  </si>
  <si>
    <t>Name</t>
  </si>
  <si>
    <t>Commision Rate</t>
  </si>
  <si>
    <t>Gina Stone</t>
  </si>
  <si>
    <t>Lois Luna</t>
  </si>
  <si>
    <t>Gregg Lawson</t>
  </si>
  <si>
    <t>Kelly Fowler</t>
  </si>
  <si>
    <t>Bradley Hodges</t>
  </si>
  <si>
    <t>Ray Silva</t>
  </si>
  <si>
    <t>Roderick White</t>
  </si>
  <si>
    <t>Diana Holt</t>
  </si>
  <si>
    <t>Pat Anderson</t>
  </si>
  <si>
    <t>Beulah Howell</t>
  </si>
  <si>
    <t>Krystal Hubbard</t>
  </si>
  <si>
    <t>Roger Henderson</t>
  </si>
  <si>
    <t>Dave Martin</t>
  </si>
  <si>
    <t>Nathan Nguyen</t>
  </si>
  <si>
    <t>Calls made</t>
  </si>
  <si>
    <t>Total Calls</t>
  </si>
  <si>
    <t xml:space="preserve">Darin Jenkins </t>
  </si>
  <si>
    <t>Find what is causing the problem with the SUMIFS formula in the E column and fix it.</t>
  </si>
  <si>
    <t>or</t>
  </si>
  <si>
    <t>TRIM</t>
  </si>
  <si>
    <t>Lookup Table:</t>
  </si>
  <si>
    <t>Data Set:</t>
  </si>
  <si>
    <t>Sales Rep</t>
  </si>
  <si>
    <t>sales Rep</t>
  </si>
  <si>
    <t>Lookup Commission Rate</t>
  </si>
  <si>
    <t xml:space="preserve">Krystal Hubbard </t>
  </si>
  <si>
    <t xml:space="preserve">Pat Anderson  </t>
  </si>
  <si>
    <t xml:space="preserve">Nathan Nguyen </t>
  </si>
  <si>
    <t xml:space="preserve">Bradley Hodges </t>
  </si>
  <si>
    <t xml:space="preserve">Lois Luna  </t>
  </si>
  <si>
    <t xml:space="preserve">Diana Holt  </t>
  </si>
  <si>
    <t xml:space="preserve">Roger Henderson  </t>
  </si>
  <si>
    <t xml:space="preserve">Dave Martin  </t>
  </si>
  <si>
    <t xml:space="preserve">Beulah Howell </t>
  </si>
  <si>
    <t xml:space="preserve">Gina Stone </t>
  </si>
  <si>
    <t xml:space="preserve">Gregg Lawson </t>
  </si>
  <si>
    <t xml:space="preserve">Gregg Lawson  </t>
  </si>
  <si>
    <t xml:space="preserve">Ray Silva </t>
  </si>
  <si>
    <t xml:space="preserve">Roderick White </t>
  </si>
  <si>
    <t xml:space="preserve">Lois Luna </t>
  </si>
  <si>
    <t xml:space="preserve">Nathan Nguyen  </t>
  </si>
  <si>
    <t xml:space="preserve">Kelly Fowler  </t>
  </si>
  <si>
    <t xml:space="preserve">Roger Henderson </t>
  </si>
  <si>
    <t xml:space="preserve">Diana Holt </t>
  </si>
  <si>
    <t xml:space="preserve">Beulah Howell  </t>
  </si>
  <si>
    <t xml:space="preserve">Dave Martin </t>
  </si>
  <si>
    <t xml:space="preserve">Ray Silva  </t>
  </si>
  <si>
    <t xml:space="preserve">Gina Stone  </t>
  </si>
  <si>
    <t xml:space="preserve">Bradley Hodges  </t>
  </si>
  <si>
    <t>Darin  Jenkins</t>
  </si>
  <si>
    <t xml:space="preserve">Diana  Holt </t>
  </si>
  <si>
    <t xml:space="preserve">Ray  Silva  </t>
  </si>
  <si>
    <t xml:space="preserve">Beulah  Howell </t>
  </si>
  <si>
    <t>Diana   Holt</t>
  </si>
  <si>
    <t>Roderick  White</t>
  </si>
  <si>
    <t xml:space="preserve">Roger  Henderson </t>
  </si>
  <si>
    <t xml:space="preserve">Nathan   Nguyen </t>
  </si>
  <si>
    <t xml:space="preserve">Lois   Luna  </t>
  </si>
  <si>
    <t>Roger  Henderson</t>
  </si>
  <si>
    <t xml:space="preserve">Krystal  Hubbard </t>
  </si>
  <si>
    <t xml:space="preserve">Pat  Anderson </t>
  </si>
  <si>
    <t xml:space="preserve">Darin   Jenkins </t>
  </si>
  <si>
    <t>Lois   Luna</t>
  </si>
  <si>
    <t>Bradley   Hodges</t>
  </si>
  <si>
    <t>Ray  Silva</t>
  </si>
  <si>
    <t xml:space="preserve">Nathan  Nguyen </t>
  </si>
  <si>
    <t>Pat  Anderson</t>
  </si>
  <si>
    <t xml:space="preserve">Gregg  Lawson  </t>
  </si>
  <si>
    <t xml:space="preserve">Darin   Jenkins  </t>
  </si>
  <si>
    <t>Ray   Silva</t>
  </si>
  <si>
    <t>Nathan   Nguyen</t>
  </si>
  <si>
    <t xml:space="preserve">Beulah   Howell  </t>
  </si>
  <si>
    <t>Beulah  Howell</t>
  </si>
  <si>
    <t xml:space="preserve">Pat  Anderson  </t>
  </si>
  <si>
    <t xml:space="preserve">Roderick   White  </t>
  </si>
  <si>
    <t>Dave  Martin</t>
  </si>
  <si>
    <t xml:space="preserve">Lois   Luna </t>
  </si>
  <si>
    <t xml:space="preserve">Gina   Stone </t>
  </si>
  <si>
    <t>Kelly  Fowler</t>
  </si>
  <si>
    <t xml:space="preserve">Gregg   Lawson </t>
  </si>
  <si>
    <t xml:space="preserve">Diana  Holt  </t>
  </si>
  <si>
    <t xml:space="preserve">Bradley   Hodges  </t>
  </si>
  <si>
    <t>Gregg   Lawson</t>
  </si>
  <si>
    <t>Diana  Holt</t>
  </si>
  <si>
    <t xml:space="preserve">Roderick   White </t>
  </si>
  <si>
    <t xml:space="preserve">Kelly   Fowler </t>
  </si>
  <si>
    <t xml:space="preserve">Nathan   Nguyen  </t>
  </si>
  <si>
    <t>Krystal  Hubbard</t>
  </si>
  <si>
    <t xml:space="preserve">Pat   Anderson </t>
  </si>
  <si>
    <t xml:space="preserve">Ray   Silva </t>
  </si>
  <si>
    <t xml:space="preserve">Roger  Henderson  </t>
  </si>
  <si>
    <t>Krystal   Hubbard</t>
  </si>
  <si>
    <t>Gregg  Lawson</t>
  </si>
  <si>
    <t xml:space="preserve">Dave   Martin  </t>
  </si>
  <si>
    <t xml:space="preserve">Kelly   Fowler  </t>
  </si>
  <si>
    <t xml:space="preserve">Nathan  Nguyen  </t>
  </si>
  <si>
    <t>Beulah   Howell</t>
  </si>
  <si>
    <t>Lois  Luna</t>
  </si>
  <si>
    <t xml:space="preserve">Gina  Stone  </t>
  </si>
  <si>
    <t>Roderick   White</t>
  </si>
  <si>
    <t xml:space="preserve">Bradley   Hodges </t>
  </si>
  <si>
    <t>Gina  Stone</t>
  </si>
  <si>
    <t xml:space="preserve">Dave   Martin </t>
  </si>
  <si>
    <t>Dave   Martin</t>
  </si>
  <si>
    <t xml:space="preserve">Diana   Holt </t>
  </si>
  <si>
    <t xml:space="preserve">Dave  Martin </t>
  </si>
  <si>
    <t xml:space="preserve">Lois  Luna  </t>
  </si>
  <si>
    <t xml:space="preserve">Pat   Anderson  </t>
  </si>
  <si>
    <t xml:space="preserve">Krystal   Hubbard  </t>
  </si>
  <si>
    <t xml:space="preserve">Kelly  Fowler  </t>
  </si>
  <si>
    <t xml:space="preserve">Roderick  White  </t>
  </si>
  <si>
    <t xml:space="preserve">Roderick  White </t>
  </si>
  <si>
    <t>Roger   Henderson</t>
  </si>
  <si>
    <t xml:space="preserve">Krystal  Hubbard  </t>
  </si>
  <si>
    <t xml:space="preserve">Gina   Stone  </t>
  </si>
  <si>
    <t xml:space="preserve">Darin  Jenkins  </t>
  </si>
  <si>
    <t xml:space="preserve">Dave  Martin  </t>
  </si>
  <si>
    <t xml:space="preserve">Gina  Stone </t>
  </si>
  <si>
    <t xml:space="preserve">Bradley  Hodges </t>
  </si>
  <si>
    <t xml:space="preserve">Beulah  Howell  </t>
  </si>
  <si>
    <t xml:space="preserve">Gregg   Lawson  </t>
  </si>
  <si>
    <t xml:space="preserve">Roger   Henderson </t>
  </si>
  <si>
    <t>Supervisor</t>
  </si>
  <si>
    <t>Supervisees</t>
  </si>
  <si>
    <t>Greg</t>
  </si>
  <si>
    <t>Jonn</t>
  </si>
  <si>
    <t>Sue</t>
  </si>
  <si>
    <t>Bob</t>
  </si>
  <si>
    <t>Kip</t>
  </si>
  <si>
    <t>Manny</t>
  </si>
  <si>
    <t>Yesler</t>
  </si>
  <si>
    <t>Tim</t>
  </si>
  <si>
    <t>Lin</t>
  </si>
  <si>
    <t>Lynn</t>
  </si>
  <si>
    <t>Jin</t>
  </si>
  <si>
    <t>Shela</t>
  </si>
  <si>
    <t>Tyron</t>
  </si>
  <si>
    <t>Supervisor:</t>
  </si>
  <si>
    <t>Supervisees:</t>
  </si>
  <si>
    <t>Using Defined Names, the INDIRECT function and Data Validation List, create a drop down list in cell A6</t>
  </si>
  <si>
    <t>that will show a different dropdown list depending on what supervisor name is selected in cell A6.</t>
  </si>
  <si>
    <t>for the Supervisors (Jo Sims, Tina Chin, Franny Pham, Gigi Giggles) and then a dependent drop down list in cell B6</t>
  </si>
  <si>
    <t>Tina</t>
  </si>
  <si>
    <t>Franny</t>
  </si>
  <si>
    <t>JonnANSWER</t>
  </si>
  <si>
    <t>TinaANSWER</t>
  </si>
  <si>
    <t>FrannyANSWER</t>
  </si>
  <si>
    <t>GigiANSWER</t>
  </si>
  <si>
    <t>Wrench</t>
  </si>
  <si>
    <t>Screw Drivers</t>
  </si>
  <si>
    <t>Cost Sheet:</t>
  </si>
  <si>
    <t>Qty</t>
  </si>
  <si>
    <t>Drill</t>
  </si>
  <si>
    <t>Max Numbers:</t>
  </si>
  <si>
    <t>Assumptions:</t>
  </si>
  <si>
    <t>Add data validation in the Cost Sheet to the Cost and Qty columns based on the max numbers in the assumption table.</t>
  </si>
  <si>
    <t>"Programming-by-example"</t>
  </si>
  <si>
    <t>Two or more examples help flash fill to "see" what you want.</t>
  </si>
  <si>
    <t>Flash Fill does not recognize changes in source data, but formulas do.</t>
  </si>
  <si>
    <t>Flash Fill: Ctrl + E</t>
  </si>
  <si>
    <t>Names</t>
  </si>
  <si>
    <t>First</t>
  </si>
  <si>
    <t>Last</t>
  </si>
  <si>
    <t>Initials</t>
  </si>
  <si>
    <t>Reverse</t>
  </si>
  <si>
    <t>Insert</t>
  </si>
  <si>
    <t>Change Case</t>
  </si>
  <si>
    <t>Althea Bertin</t>
  </si>
  <si>
    <t>Kelly Gamblin</t>
  </si>
  <si>
    <t>Chandra Valenzula</t>
  </si>
  <si>
    <t>Cody Castillon</t>
  </si>
  <si>
    <t>Tyrone Brazier</t>
  </si>
  <si>
    <t>Althea Buhl</t>
  </si>
  <si>
    <t>Dollie Munsey</t>
  </si>
  <si>
    <t>Allyson Phou</t>
  </si>
  <si>
    <t>Combine</t>
  </si>
  <si>
    <t>Althea</t>
  </si>
  <si>
    <t>Bertin</t>
  </si>
  <si>
    <t>Gamblin</t>
  </si>
  <si>
    <t>Chandra</t>
  </si>
  <si>
    <t>Valenzula</t>
  </si>
  <si>
    <t>Castillon</t>
  </si>
  <si>
    <t>Tyrone</t>
  </si>
  <si>
    <t>Brazier</t>
  </si>
  <si>
    <t>Buhl</t>
  </si>
  <si>
    <t>Dollie</t>
  </si>
  <si>
    <t>Munsey</t>
  </si>
  <si>
    <t>Allyson</t>
  </si>
  <si>
    <t>Phou</t>
  </si>
  <si>
    <t>First &amp; Middle</t>
  </si>
  <si>
    <t>Julie Franks Thomas</t>
  </si>
  <si>
    <t>Sioux Radcoolinator</t>
  </si>
  <si>
    <t>Fran Mills</t>
  </si>
  <si>
    <t>Thomas J. Kilmond</t>
  </si>
  <si>
    <t>Hans C. Joey</t>
  </si>
  <si>
    <t>Gin Blondy</t>
  </si>
  <si>
    <t>Yin Pham</t>
  </si>
  <si>
    <t>Tom Rino</t>
  </si>
  <si>
    <t>Empty Cell…</t>
  </si>
  <si>
    <t>First example, highlight range, Ctrl + E</t>
  </si>
  <si>
    <t>First &amp; Last Initial</t>
  </si>
  <si>
    <t>Second Example sometimes helps!</t>
  </si>
  <si>
    <t>Staus Bar reports: 7 changes, 2 "Blank"</t>
  </si>
  <si>
    <t>Then it works</t>
  </si>
  <si>
    <t>Help Flash Fill To "see" by giving it a few examples</t>
  </si>
  <si>
    <t>But then try:</t>
  </si>
  <si>
    <t>Year</t>
  </si>
  <si>
    <t>Day</t>
  </si>
  <si>
    <t>Month</t>
  </si>
  <si>
    <t>Date No Pre-Format</t>
  </si>
  <si>
    <t>Date Pre-Format</t>
  </si>
  <si>
    <t>Help Flash Fill To "see" Dates by Pre Formatting</t>
  </si>
  <si>
    <t>mm/dd/yyy</t>
  </si>
  <si>
    <t>Phone</t>
  </si>
  <si>
    <t>Pennies</t>
  </si>
  <si>
    <t>Interger</t>
  </si>
  <si>
    <t>Dollar</t>
  </si>
  <si>
    <t>Hour</t>
  </si>
  <si>
    <t>Minute</t>
  </si>
  <si>
    <t>Ctrl + Shift + ~ (`)</t>
  </si>
  <si>
    <t>General Number Formatting</t>
  </si>
  <si>
    <t>Student ID</t>
  </si>
  <si>
    <t>Choices</t>
  </si>
  <si>
    <t>Last Choice</t>
  </si>
  <si>
    <t>Red-Red</t>
  </si>
  <si>
    <t>Blue-Green</t>
  </si>
  <si>
    <t>Gray-Blue</t>
  </si>
  <si>
    <t>Violet-Pink</t>
  </si>
  <si>
    <t>Green-Blue</t>
  </si>
  <si>
    <t>Sand-Sand</t>
  </si>
  <si>
    <t>Yellow-Pink</t>
  </si>
  <si>
    <t>Custom Number Formatting &amp; Text Formulas</t>
  </si>
  <si>
    <t>rad</t>
  </si>
  <si>
    <t>Custom Number Format to have word appear in cell with number. This allows you to still use the number in a formula</t>
  </si>
  <si>
    <t>Units</t>
  </si>
  <si>
    <t>The TEXT function converts a number to text with a Custom Number Format that you specify. TEXT(number, "Custom Number Format in quotes")</t>
  </si>
  <si>
    <t>TEXT function with custom number format and &amp; (ampersand) to make label</t>
  </si>
  <si>
    <t>RIGHT extracts a given number of characters from the right</t>
  </si>
  <si>
    <t>LEFT extracts a given number of characters from the left</t>
  </si>
  <si>
    <t>MID extracts from the midele giben a starting point and the number of charactesr that you want</t>
  </si>
  <si>
    <t>Some Other Text Functions we have already seen:</t>
  </si>
  <si>
    <t>TRIM removes spaces from a text string except for single spaces between words</t>
  </si>
  <si>
    <t>Here are a few more:</t>
  </si>
  <si>
    <t>REPLACE function replaces part of a text string with text you specify, given a starting number and the number of characters</t>
  </si>
  <si>
    <t>PROPER function changes all capital letters or all lower case letters to all lower case except for first letter in each word</t>
  </si>
  <si>
    <t>SUBSTITUTE function finds some text and replaces it with some different text</t>
  </si>
  <si>
    <t>LOWER converts all letters to lower case</t>
  </si>
  <si>
    <t>UPPER converts all letters to upper case</t>
  </si>
  <si>
    <t>NEIL LIEBER</t>
  </si>
  <si>
    <t>MAT PRISCO</t>
  </si>
  <si>
    <t>ALTHEA BERTIN</t>
  </si>
  <si>
    <t>KELLY GAMBLIN</t>
  </si>
  <si>
    <t>CHANDRA VALENZULA</t>
  </si>
  <si>
    <t>CODY CASTILLON</t>
  </si>
  <si>
    <t>TYRONE BRAZIER</t>
  </si>
  <si>
    <t>ALTHEA BUHL</t>
  </si>
  <si>
    <t>DOLLIE MUNSEY</t>
  </si>
  <si>
    <t>ALLYSON PHOU</t>
  </si>
  <si>
    <t>Just Last</t>
  </si>
  <si>
    <t>Create e-mail alas</t>
  </si>
  <si>
    <t>The LEN function counts characters</t>
  </si>
  <si>
    <t>SEARCH tells you the starting position in a text string of text you specify. FIND is similar to SEARCH, but it is case sensitive.</t>
  </si>
  <si>
    <t>Len</t>
  </si>
  <si>
    <t>Business e-mail:</t>
  </si>
  <si>
    <t>Download Names</t>
  </si>
  <si>
    <t>DATE function builds a date for you. Example: DATE(2004,2,2) = 2/2/2004</t>
  </si>
  <si>
    <t>DAY</t>
  </si>
  <si>
    <t>MONTH</t>
  </si>
  <si>
    <t>YEAR</t>
  </si>
  <si>
    <t>Hire Date</t>
  </si>
  <si>
    <t>Vest Date</t>
  </si>
  <si>
    <t>Dina</t>
  </si>
  <si>
    <t>Dan</t>
  </si>
  <si>
    <t>Abdisamad A</t>
  </si>
  <si>
    <t>Hassan M</t>
  </si>
  <si>
    <t>Vivien R</t>
  </si>
  <si>
    <t>Michael G</t>
  </si>
  <si>
    <t>Catherine W</t>
  </si>
  <si>
    <t>Toni M</t>
  </si>
  <si>
    <t>Nikol M</t>
  </si>
  <si>
    <t>Dana L</t>
  </si>
  <si>
    <t>Desiree A</t>
  </si>
  <si>
    <t>Sarabeth L</t>
  </si>
  <si>
    <t>Tonya J</t>
  </si>
  <si>
    <t>Analyssa C</t>
  </si>
  <si>
    <t>Donald Wayne</t>
  </si>
  <si>
    <t>Cherry M</t>
  </si>
  <si>
    <t>Suzanne M</t>
  </si>
  <si>
    <t>Barbara C</t>
  </si>
  <si>
    <t>Shannon L</t>
  </si>
  <si>
    <t>Anastasiya A</t>
  </si>
  <si>
    <t>Definition of array formula:</t>
  </si>
  <si>
    <t>An array formula is a formula that contains an operation (math, comparative, join,</t>
  </si>
  <si>
    <t>or function argument) on an array of items rather than on single items, and, the</t>
  </si>
  <si>
    <t>operation delivers a resultant array of items rather than a single item.</t>
  </si>
  <si>
    <t>This operation is called an array operation and is distinguished from an aggregate</t>
  </si>
  <si>
    <t>operation, which delivers a single item.</t>
  </si>
  <si>
    <t>The resultant array of items can be used as a formula element in a larger formulas,</t>
  </si>
  <si>
    <t>or it can be the final answer.</t>
  </si>
  <si>
    <t>The final answer from an array formula can either be a single item or an array of items.</t>
  </si>
  <si>
    <t>We have seen:</t>
  </si>
  <si>
    <t>Goal: Use SUMPRODUCT to add an array calculation.</t>
  </si>
  <si>
    <t>Total Profit</t>
  </si>
  <si>
    <t>Calls</t>
  </si>
  <si>
    <t>Team1</t>
  </si>
  <si>
    <t>Rev</t>
  </si>
  <si>
    <t>Profit</t>
  </si>
  <si>
    <t>Jo</t>
  </si>
  <si>
    <t>Pham</t>
  </si>
  <si>
    <t>Mo</t>
  </si>
  <si>
    <t>Total Sales</t>
  </si>
  <si>
    <t>COGS</t>
  </si>
  <si>
    <t>Total Gross Profit</t>
  </si>
  <si>
    <t>Location</t>
  </si>
  <si>
    <t>Time (Minutes) To Assemble Product</t>
  </si>
  <si>
    <t>AVERAGE Time</t>
  </si>
  <si>
    <t>MIN Time</t>
  </si>
  <si>
    <t>MAX Time</t>
  </si>
  <si>
    <t>MODE Time</t>
  </si>
  <si>
    <t>Seattle</t>
  </si>
  <si>
    <t>Tom</t>
  </si>
  <si>
    <t>Oakland</t>
  </si>
  <si>
    <t>SF</t>
  </si>
  <si>
    <t>Category</t>
  </si>
  <si>
    <t>Frequency</t>
  </si>
  <si>
    <t>January Sales</t>
  </si>
  <si>
    <t>Sales Rep1</t>
  </si>
  <si>
    <t>Sales Rep2</t>
  </si>
  <si>
    <t>Sales Rep3</t>
  </si>
  <si>
    <t>Sales Rep4</t>
  </si>
  <si>
    <t>Totals</t>
  </si>
  <si>
    <t>Pro1</t>
  </si>
  <si>
    <t>Pro2</t>
  </si>
  <si>
    <t>Pro3</t>
  </si>
  <si>
    <t>Pro4</t>
  </si>
  <si>
    <t>Pro5</t>
  </si>
  <si>
    <t>EDATE function jumps forward or backwards through the months given a start date (like 11/7/2011)</t>
  </si>
  <si>
    <t>Invoice Date (Date on Invoice)</t>
  </si>
  <si>
    <t>Same Day Next Month</t>
  </si>
  <si>
    <t>EOMONTH function tells you what date is at the end of the month (including leap year)</t>
  </si>
  <si>
    <t>End of the Month</t>
  </si>
  <si>
    <t>You give one or more examples and it will extrapolate what you want to do.</t>
  </si>
  <si>
    <t>Highline Excel 2013 Class Video 29:</t>
  </si>
  <si>
    <t>Excel Flash Fill To Extract, Combine Insert or Reverse Data (Text, Dates, Numbers, Time)</t>
  </si>
  <si>
    <t>MO DIM</t>
  </si>
  <si>
    <t>GIGI TRAN</t>
  </si>
  <si>
    <t>Dim</t>
  </si>
  <si>
    <t>Tran</t>
  </si>
  <si>
    <t>Mo Jo Dim</t>
  </si>
  <si>
    <t>Gigi Tran</t>
  </si>
  <si>
    <t>Mo Dim</t>
  </si>
  <si>
    <t>Try just "Mo D" in cell C58</t>
  </si>
  <si>
    <t>"Mo D" in cell C58 and Kelly in cell C61, Ctrl + E</t>
  </si>
  <si>
    <t>In B70 type "Mo Jo", In B71 type "Tom", Ctrl + E</t>
  </si>
  <si>
    <t>In B70 type "Mo Jo", In B75 type "Thomas J.", Ctrl + E</t>
  </si>
  <si>
    <t>MO</t>
  </si>
  <si>
    <t>GIGI</t>
  </si>
  <si>
    <t>ALTHEA</t>
  </si>
  <si>
    <t>KELLY</t>
  </si>
  <si>
    <t>CHANDRA</t>
  </si>
  <si>
    <t>CODY</t>
  </si>
  <si>
    <t>TYRONE</t>
  </si>
  <si>
    <t>DOLLIE</t>
  </si>
  <si>
    <t>ALLYSON</t>
  </si>
  <si>
    <t>DIM</t>
  </si>
  <si>
    <t>TRAN</t>
  </si>
  <si>
    <t>BERTIN</t>
  </si>
  <si>
    <t>GAMBLIN</t>
  </si>
  <si>
    <t>VALENZULA</t>
  </si>
  <si>
    <t>CASTILLON</t>
  </si>
  <si>
    <t>BRAZIER</t>
  </si>
  <si>
    <t>BUHL</t>
  </si>
  <si>
    <t>MUNSEY</t>
  </si>
  <si>
    <t>PHOU</t>
  </si>
  <si>
    <t>M D</t>
  </si>
  <si>
    <t>G T</t>
  </si>
  <si>
    <t>A B</t>
  </si>
  <si>
    <t>K G</t>
  </si>
  <si>
    <t>C V</t>
  </si>
  <si>
    <t>C C</t>
  </si>
  <si>
    <t>T B</t>
  </si>
  <si>
    <t>D M</t>
  </si>
  <si>
    <t>A P</t>
  </si>
  <si>
    <t>DIM MO</t>
  </si>
  <si>
    <t>TRAN GIGI</t>
  </si>
  <si>
    <t>BERTIN ALTHEA</t>
  </si>
  <si>
    <t>GAMBLIN KELLY</t>
  </si>
  <si>
    <t>VALENZULA CHANDRA</t>
  </si>
  <si>
    <t>CASTILLON CODY</t>
  </si>
  <si>
    <t>BRAZIER TYRONE</t>
  </si>
  <si>
    <t>BUHL ALTHEA</t>
  </si>
  <si>
    <t>MUNSEY DOLLIE</t>
  </si>
  <si>
    <t>PHOU ALLYSON</t>
  </si>
  <si>
    <t>DIM, MO</t>
  </si>
  <si>
    <t>TRAN, GIGI</t>
  </si>
  <si>
    <t>BERTIN, ALTHEA</t>
  </si>
  <si>
    <t>GAMBLIN, KELLY</t>
  </si>
  <si>
    <t>VALENZULA, CHANDRA</t>
  </si>
  <si>
    <t>CASTILLON, CODY</t>
  </si>
  <si>
    <t>BRAZIER, TYRONE</t>
  </si>
  <si>
    <t>BUHL, ALTHEA</t>
  </si>
  <si>
    <t>MUNSEY, DOLLIE</t>
  </si>
  <si>
    <t>PHOU, ALLYSON</t>
  </si>
  <si>
    <t>Mo Jo</t>
  </si>
  <si>
    <t>Julie Franks</t>
  </si>
  <si>
    <t>Fran</t>
  </si>
  <si>
    <t>Gin</t>
  </si>
  <si>
    <t>Yin</t>
  </si>
  <si>
    <t>Thomas J.</t>
  </si>
  <si>
    <t>Hans C.</t>
  </si>
  <si>
    <t>Red</t>
  </si>
  <si>
    <t>Blue</t>
  </si>
  <si>
    <t>Green</t>
  </si>
  <si>
    <t>Sand</t>
  </si>
  <si>
    <t>Pink</t>
  </si>
  <si>
    <t>Mo D</t>
  </si>
  <si>
    <t>Gigi T</t>
  </si>
  <si>
    <t>Althea B</t>
  </si>
  <si>
    <t>Chandra V</t>
  </si>
  <si>
    <t>Cody C</t>
  </si>
  <si>
    <t>Tyrone B</t>
  </si>
  <si>
    <t>Dollie M</t>
  </si>
  <si>
    <t>Allyson P</t>
  </si>
  <si>
    <t>AND</t>
  </si>
  <si>
    <t>Give it two examples</t>
  </si>
  <si>
    <t>(206) 587-4545</t>
  </si>
  <si>
    <t>(253) 698-7455</t>
  </si>
  <si>
    <t>(215) 987-4439</t>
  </si>
  <si>
    <t>(415) 655-9933</t>
  </si>
  <si>
    <t>(510) 555-7845</t>
  </si>
  <si>
    <t>880-71-2259</t>
  </si>
  <si>
    <t>880-70-9467</t>
  </si>
  <si>
    <t>880-52-7987</t>
  </si>
  <si>
    <t>998-61-3133</t>
  </si>
  <si>
    <t>880-94-5725</t>
  </si>
  <si>
    <t>Try to do the Flash Fill examples below (these are the same as the video, but you try to do thwem with refering back to the video example.</t>
  </si>
  <si>
    <t>Flash</t>
  </si>
  <si>
    <t>0645</t>
  </si>
  <si>
    <t>\ backslash and</t>
  </si>
  <si>
    <t>0212</t>
  </si>
  <si>
    <t>then a single</t>
  </si>
  <si>
    <t>1236</t>
  </si>
  <si>
    <t>character inserts</t>
  </si>
  <si>
    <t>1520</t>
  </si>
  <si>
    <t>text into a</t>
  </si>
  <si>
    <t>0840</t>
  </si>
  <si>
    <t>number format</t>
  </si>
  <si>
    <t>0505</t>
  </si>
  <si>
    <t>0635</t>
  </si>
  <si>
    <t>0932</t>
  </si>
  <si>
    <t>0322</t>
  </si>
  <si>
    <t>Mr Excel post by Barry Houdini:</t>
  </si>
  <si>
    <t>http://www.mrexcel.com/forum/showthread.php?t=492579</t>
  </si>
  <si>
    <t>Times:</t>
  </si>
  <si>
    <t>Flash:</t>
  </si>
  <si>
    <t>Symbol</t>
  </si>
  <si>
    <t>Usage</t>
  </si>
  <si>
    <t>Typed digits</t>
  </si>
  <si>
    <t>Displayed value</t>
  </si>
  <si>
    <t>#</t>
  </si>
  <si>
    <t>Digit placeholder that displays significant digits only; example ####.#</t>
  </si>
  <si>
    <t>Digit placeholder that displays significant and insignificant zeroes; example: 0.00</t>
  </si>
  <si>
    <t>Zeros before digit like 00345; example: 00000</t>
  </si>
  <si>
    <t>display many digits 0.000000000000000</t>
  </si>
  <si>
    <t>.125489632586635</t>
  </si>
  <si>
    <t>?</t>
  </si>
  <si>
    <t>Acts as a digit placeholder that does not display insignificant digits but does hold a place so that decimal points will align; example: 0.00?</t>
  </si>
  <si>
    <t>Scoots the decimal over; example: 0.00????</t>
  </si>
  <si>
    <t>%</t>
  </si>
  <si>
    <t>Rules for formatting a % (times 100 and add symbol); example 0.00%</t>
  </si>
  <si>
    <t>,</t>
  </si>
  <si>
    <t>Inserts a comma for thousands; example: #,###</t>
  </si>
  <si>
    <t>Use as a scaling operator; example #,,</t>
  </si>
  <si>
    <t>*</t>
  </si>
  <si>
    <t>Tells the cell to put enough of the character (space) after it to fill the column; example $* 0.00</t>
  </si>
  <si>
    <t>Tells the cell to put enough of the character (^) after it to fill the column; example $*^0.01</t>
  </si>
  <si>
    <t>_</t>
  </si>
  <si>
    <t>Skip the width of the next character - often used with ) to help positive numbers align with negative numbers; example: _($* #,###0.00_);_($* (#,###0.00);_(* "-"??_);_(@_)</t>
  </si>
  <si>
    <t>example: _($* #,###0.00_);_($* (#,###0.00);_(* "-"??_);_(@_)</t>
  </si>
  <si>
    <t>" "</t>
  </si>
  <si>
    <t>adds text; example: 0.00" Rad"</t>
  </si>
  <si>
    <t>"surplus";"deficit"</t>
  </si>
  <si>
    <t>@</t>
  </si>
  <si>
    <t>Indicates the location where text should be inserted in cells formatted with custom format; if the @ is not included in the code, the text will not be displayed; example: _($@_)</t>
  </si>
  <si>
    <t>none</t>
  </si>
  <si>
    <t>Use formatting to hide words; example: 0.00;-0.00;"--";</t>
  </si>
  <si>
    <t>How to put a single character in front of a word; example: _(* #,##0.00_);_(* (#,##0.00);_(* "-"??_);_(^@_)</t>
  </si>
  <si>
    <t>This scoots the text over one width of a parenthesis; example: _($* #,###0.00_);_($* (#,###0.00);_(* "-"??_);_(@_)</t>
  </si>
  <si>
    <t>d</t>
  </si>
  <si>
    <t>day; example: dddd</t>
  </si>
  <si>
    <t>m</t>
  </si>
  <si>
    <t>month; example: mmm.</t>
  </si>
  <si>
    <t>y</t>
  </si>
  <si>
    <t>year; example: yy</t>
  </si>
  <si>
    <t>day; example: d</t>
  </si>
  <si>
    <t>month; example: m</t>
  </si>
  <si>
    <t>Be careful ==&gt;</t>
  </si>
  <si>
    <t>year; example: yyyy</t>
  </si>
  <si>
    <t>hh:mm:ss AM/PM</t>
  </si>
  <si>
    <t>[h]:mm</t>
  </si>
  <si>
    <t>Show time greater than 24 hours</t>
  </si>
  <si>
    <t>Note 1==&gt;</t>
  </si>
  <si>
    <t>If you specify only two formats, the first is used for positive and zero</t>
  </si>
  <si>
    <t>Note 2==&gt;</t>
  </si>
  <si>
    <t>If you specify only one formats, it is used for all numbers</t>
  </si>
  <si>
    <t>\</t>
  </si>
  <si>
    <t>\ backslash and then a single character inserts text into a number format</t>
  </si>
  <si>
    <t>#.##</t>
  </si>
  <si>
    <t>0.00</t>
  </si>
  <si>
    <t>Date: m = month, d = day, y = year</t>
  </si>
  <si>
    <t>Time: h = hour, m = minute, s = second</t>
  </si>
  <si>
    <t>Time Greater than 24 hours: use square brackets</t>
  </si>
  <si>
    <t>Digit placeholder that displays significant digits only: #</t>
  </si>
  <si>
    <t>Digit placeholder that displays significant and insignificant zeroes: 0</t>
  </si>
  <si>
    <t>Percenatges: %</t>
  </si>
  <si>
    <t>0.00%</t>
  </si>
  <si>
    <t>Fractions: ?/?</t>
  </si>
  <si>
    <t>?/?</t>
  </si>
  <si>
    <t>0.0</t>
  </si>
  <si>
    <t>0.0%</t>
  </si>
  <si>
    <t>??/??</t>
  </si>
  <si>
    <t>m/d/yyyy</t>
  </si>
  <si>
    <t>dddd</t>
  </si>
  <si>
    <t>dddd, mmm, d, yyy</t>
  </si>
  <si>
    <t>h:mm AM/PM</t>
  </si>
  <si>
    <t>hh:mm</t>
  </si>
  <si>
    <t>Insert Words, use double quotes: " unit price"</t>
  </si>
  <si>
    <t>$0.00" unit price"</t>
  </si>
  <si>
    <t>Insert a single character, use back slash</t>
  </si>
  <si>
    <t>$0.00\u</t>
  </si>
  <si>
    <t>Four sections separated by three semi-colons: POS;ZERO;NEG;TEXT</t>
  </si>
  <si>
    <t>Use commas with # to have thousand separators</t>
  </si>
  <si>
    <t>#,###.00</t>
  </si>
  <si>
    <t>"M" for million</t>
  </si>
  <si>
    <t>K for thousands</t>
  </si>
  <si>
    <t>No AM/PM to show military time</t>
  </si>
  <si>
    <t>Use extra comma at end to remove three zeros</t>
  </si>
  <si>
    <t>#,###,</t>
  </si>
  <si>
    <t>#,###,,</t>
  </si>
  <si>
    <t>#,###,," M"</t>
  </si>
  <si>
    <t>Nothing: ;;;</t>
  </si>
  <si>
    <t>;;;</t>
  </si>
  <si>
    <t>$0.00;-$0.00;" - "</t>
  </si>
  <si>
    <t>Hide words</t>
  </si>
  <si>
    <t>$0.00;-$0.00;" - ";</t>
  </si>
  <si>
    <t>YEAR function looks at a date and tells you what year it is. Example YEAR(1/1/2005) = 2005</t>
  </si>
  <si>
    <t>MONTH function looks at a date and tells you what month it is. Example MONTH(1/1/2005) = 1</t>
  </si>
  <si>
    <t>DAY function looks at a date and tells you what day it is. Example DAY(1/1/2005) = 1</t>
  </si>
  <si>
    <t>TODAY function shows today's date (whole number)</t>
  </si>
  <si>
    <t>NOW function shows today's date and time (whole number &amp; decimal)</t>
  </si>
  <si>
    <t>Number Years until Pension Vests</t>
  </si>
  <si>
    <t>Examples ==&gt;&gt;</t>
  </si>
  <si>
    <t>0 = this month, -1 = last month. 1 = next month.</t>
  </si>
  <si>
    <t xml:space="preserve"> -1 = last month. 1 = next month. 2 = two months ahead.</t>
  </si>
  <si>
    <t>Some Date Functions:</t>
  </si>
  <si>
    <t>1) SUMIFS and COUNTIFS function argument array operation</t>
  </si>
  <si>
    <t>2) Use SUMPRODUCT to add an array calculation.</t>
  </si>
  <si>
    <t>Criteria</t>
  </si>
  <si>
    <t>&lt;&lt;== 1 criteria in argument</t>
  </si>
  <si>
    <t>&lt;&lt;== 2 criteria in argument, therefore SUMIFS spits out two answers</t>
  </si>
  <si>
    <t>** Not all functions can handle array operations.</t>
  </si>
  <si>
    <t>For most functions you have to use the special keystroke, Ctrl + Shift + Enter to tell the function to make the array operation.</t>
  </si>
  <si>
    <t>Standard Deviation</t>
  </si>
  <si>
    <t>For array formulas, #VALUE errors mean that you forgot the keystroke to tell Excel to make an array operation: Ctrl + Shift + Enter.</t>
  </si>
  <si>
    <t>AGGREGATE functions 14 to 19 can make array calculations without Ctrl + Shift + Enter</t>
  </si>
  <si>
    <t>We have seen two functions that can handle array operations without Ctrl + Shift + Enter:</t>
  </si>
  <si>
    <t>SUMPRODUCT</t>
  </si>
  <si>
    <t>AGGREGATE</t>
  </si>
  <si>
    <t>We have seen these functions that can NOT handle array operations without Ctrl + Shift + Enter:</t>
  </si>
  <si>
    <t>MAX</t>
  </si>
  <si>
    <t>MIN</t>
  </si>
  <si>
    <t>STDEV.S</t>
  </si>
  <si>
    <t>MODE.SNGL</t>
  </si>
  <si>
    <t>The array_1, array_2, etc. arguments in SUMPRODUCT</t>
  </si>
  <si>
    <t>The lookup_vector argument in the LOOKUP function</t>
  </si>
  <si>
    <t>The result_vector argument in the LOOKUP function</t>
  </si>
  <si>
    <t>The array argument in INDEX</t>
  </si>
  <si>
    <t>The array argument in AGGREGATE for functions 14 to 19</t>
  </si>
  <si>
    <t>Of the 450 Excel functions, only these contain arguments that can handle array operations without Ctrl + Shift + Enter:</t>
  </si>
  <si>
    <t>** In these examples we need to filter the values before the functions process the numbers. We can do this with an array operation in the IF function.</t>
  </si>
  <si>
    <t>FREQUENCY Notes ==&gt;&gt;</t>
  </si>
  <si>
    <t>Extract first name &amp; capitalize only first letter</t>
  </si>
  <si>
    <t>Extract last name &amp; capitalize only first letter</t>
  </si>
  <si>
    <t>Create text formulas in the green cells below.</t>
  </si>
  <si>
    <t>ExtractFirst initial of first name and first initial of last name separated by a space.</t>
  </si>
  <si>
    <t>In the green cells below, calculate these required dates:</t>
  </si>
  <si>
    <t>Revenue</t>
  </si>
  <si>
    <t>Calculate Gross Profit (Revenue - COGS)  in cell D5:</t>
  </si>
  <si>
    <t>Gross Profit:</t>
  </si>
  <si>
    <t>Calculate Max Gross Profit for Mo and Jo:</t>
  </si>
  <si>
    <t>Calculate MIN Gross Profit for Mo and Jo:</t>
  </si>
  <si>
    <t>Calculate Average Gross Profit for Mo and Jo:</t>
  </si>
  <si>
    <t>These function argumnets can NEVER perform array operations:</t>
  </si>
  <si>
    <t>lookup_value argument in VLOOKUP</t>
  </si>
  <si>
    <t>lookup_value argument in HLOOKUP</t>
  </si>
  <si>
    <t>range argument in COUNTIF</t>
  </si>
  <si>
    <t>criteria_range argument in COUNTIFS</t>
  </si>
  <si>
    <t>range and sum_range arguments in SUMIF</t>
  </si>
  <si>
    <t>range and average_range arguments in AVERAGEIF</t>
  </si>
  <si>
    <t>criteria_range and sum_range arguments in SUMIFS</t>
  </si>
  <si>
    <t>criteria_range and average_range arguments in AVEARGEIFS</t>
  </si>
  <si>
    <t>Calculate Gross Profit Standard Deviation for Mo and Jo:</t>
  </si>
  <si>
    <t>Calculate Median Standard Deviation for Mo and Jo:</t>
  </si>
  <si>
    <t>Invoice Number</t>
  </si>
  <si>
    <t>Amount</t>
  </si>
  <si>
    <t>Terms</t>
  </si>
  <si>
    <t>Due Date</t>
  </si>
  <si>
    <t>Days after EOM to get Discount</t>
  </si>
  <si>
    <t>Discount Date</t>
  </si>
  <si>
    <t>In the Discount Date column create a formula that will calculate a date that is "Days after EOM to get Discount" days past the end of the month for the date in the Date column.</t>
  </si>
  <si>
    <t>For example, if the date in the Date column is 10/3/2013 and the days in the "Days after EOM to get Discount" column is 10, the Discount Date should be 11/10/2013.</t>
  </si>
  <si>
    <t>Equal?</t>
  </si>
  <si>
    <t>Due Date is 1 month ahead.</t>
  </si>
  <si>
    <t>Calculate the Due Date for each invoice.</t>
  </si>
  <si>
    <t>Change the Number Formatting in the Date column to show the full day and month so that the date looks like this: Thursday, October 3, 2013</t>
  </si>
  <si>
    <t>Text Formula:</t>
  </si>
  <si>
    <t>In cell B6 create a text formula to create the label "The due date for the invoice is Friday, November 8, 2013".</t>
  </si>
  <si>
    <t>Region/Sales Rep</t>
  </si>
  <si>
    <t>NorthWest</t>
  </si>
  <si>
    <t>Chin</t>
  </si>
  <si>
    <t>Timmy</t>
  </si>
  <si>
    <t>Using the array function, TRANSPOSE, transpose the table below somewhere on this worksheet.</t>
  </si>
  <si>
    <t>Highline Excel 2013 Class Video 32:</t>
  </si>
  <si>
    <t>Introduction To Array Formulas</t>
  </si>
  <si>
    <t>Book:</t>
  </si>
  <si>
    <t>Ctrl + Shift + Enter: Mastering Excel Array Formulas</t>
  </si>
  <si>
    <t>Video Series at YouTube in Dec 2013</t>
  </si>
  <si>
    <t>M 2</t>
  </si>
  <si>
    <t>M 3</t>
  </si>
  <si>
    <t>M 4</t>
  </si>
  <si>
    <t>M 5</t>
  </si>
  <si>
    <t>M 6</t>
  </si>
  <si>
    <t>M 7</t>
  </si>
  <si>
    <t>M 8</t>
  </si>
  <si>
    <t>Key in definition: operation on an array of items rather than single items.</t>
  </si>
  <si>
    <t>** SUMPRODUCT is a special function that can handle array operations without any special keystroke.</t>
  </si>
  <si>
    <t>** Subtraction math operation is not just on single cell, but many cells, therefore, operation spits out many answers.</t>
  </si>
  <si>
    <t>** Math operation is not just on single cell, but many cells, therefore, operation spits out many answers.</t>
  </si>
  <si>
    <t>Playlist of videos ALL about AGGREGATE:</t>
  </si>
  <si>
    <t>http://www.youtube.com/playlist?list=PL95781BFAAB4162C0</t>
  </si>
  <si>
    <t>If the function argument cannot handle array operations, you must enter the formula with the keystrokes Ctrl + Shift + Enter.</t>
  </si>
  <si>
    <t>If the formula is next to the data set and you forget to use Ctrl + Shift + Enter, you may get an incorrect annswer from implicit intersection.</t>
  </si>
  <si>
    <t>Always verify that an array formula that requires Ctrl + Shift + Enter was entered with Ctrl + Shift + Enter by looking to see whether Excel has placed the curly brackets in the formula bar.</t>
  </si>
  <si>
    <t>These formulas require Ctrl + Shift + Enter because the IF can't make array operations without this keystroke.  3 important points to right ==&gt;&gt;</t>
  </si>
  <si>
    <t>Just First</t>
  </si>
  <si>
    <t>mdb.com</t>
  </si>
  <si>
    <t>Your appointment time is 02:00 PM</t>
  </si>
  <si>
    <t>The rate is 25.55%</t>
  </si>
  <si>
    <t>The due date is 12/15/2010</t>
  </si>
  <si>
    <t>nlieber@mdb.com</t>
  </si>
  <si>
    <t>mprisco@mdb.com</t>
  </si>
  <si>
    <t>abertin@mdb.com</t>
  </si>
  <si>
    <t>kgamblin@mdb.com</t>
  </si>
  <si>
    <t>cvalenzula@mdb.com</t>
  </si>
  <si>
    <t>ccastillon@mdb.com</t>
  </si>
  <si>
    <t>tbrazier@mdb.com</t>
  </si>
  <si>
    <t>abuhl@mdb.com</t>
  </si>
  <si>
    <t>dmunsey@mdb.com</t>
  </si>
  <si>
    <t>aphou@mdb.com</t>
  </si>
  <si>
    <t>Colors allowed:</t>
  </si>
  <si>
    <t>Black</t>
  </si>
  <si>
    <t>White</t>
  </si>
  <si>
    <t>Yellow</t>
  </si>
  <si>
    <t>Magenta</t>
  </si>
  <si>
    <t>Cyan</t>
  </si>
  <si>
    <t>$0.00;-$0.00[Red];" - "</t>
  </si>
  <si>
    <t>$0.00;[Red]-$0.00;0;</t>
  </si>
  <si>
    <t>Company 1</t>
  </si>
  <si>
    <t>Asset Value</t>
  </si>
  <si>
    <t>GE</t>
  </si>
  <si>
    <t>MSFT</t>
  </si>
  <si>
    <t>GOOGLE</t>
  </si>
  <si>
    <t>CAT</t>
  </si>
  <si>
    <t>Number Format the Asset Value cells so that the Chart shows the numbers in the vertical axis in millions. Make sure that a zero shows up as a zero.</t>
  </si>
  <si>
    <t>https://people.highline.edu/mgirvin/AllClasses/214_2013/214/Busn214_2013.htm</t>
  </si>
</sst>
</file>

<file path=xl/styles.xml><?xml version="1.0" encoding="utf-8"?>
<styleSheet xmlns="http://schemas.openxmlformats.org/spreadsheetml/2006/main" xmlns:mc="http://schemas.openxmlformats.org/markup-compatibility/2006" xmlns:x14ac="http://schemas.microsoft.com/office/spreadsheetml/2009/9/ac" mc:Ignorable="x14ac">
  <numFmts count="57">
    <numFmt numFmtId="6" formatCode="&quot;$&quot;#,##0_);[Red]\(&quot;$&quot;#,##0\)"/>
    <numFmt numFmtId="7" formatCode="&quot;$&quot;#,##0.00_);\(&quot;$&quot;#,##0.00\)"/>
    <numFmt numFmtId="8" formatCode="&quot;$&quot;#,##0.00_);[Red]\(&quot;$&quot;#,##0.00\)"/>
    <numFmt numFmtId="43" formatCode="_(* #,##0.00_);_(* \(#,##0.00\);_(* &quot;-&quot;??_);_(@_)"/>
    <numFmt numFmtId="164" formatCode="mmm"/>
    <numFmt numFmtId="165" formatCode="hh:mm:ss\ AM/PM"/>
    <numFmt numFmtId="166" formatCode="[h]:mm"/>
    <numFmt numFmtId="167" formatCode="?/?"/>
    <numFmt numFmtId="168" formatCode=";;;"/>
    <numFmt numFmtId="169" formatCode="&quot;$&quot;0.00&quot; per unit&quot;"/>
    <numFmt numFmtId="170" formatCode="&quot;$&quot;#,##0.00"/>
    <numFmt numFmtId="171" formatCode="m/d/yy"/>
    <numFmt numFmtId="172" formatCode="_(* #,##0_);_(* \(#,##0\);_(* &quot;-&quot;??_);_(@_)"/>
    <numFmt numFmtId="173" formatCode="0.0"/>
    <numFmt numFmtId="174" formatCode="mm/dd/yyyy"/>
    <numFmt numFmtId="175" formatCode="[$-409]h:mm\ AM/PM;@"/>
    <numFmt numFmtId="176" formatCode="hh:mm"/>
    <numFmt numFmtId="177" formatCode="####.#"/>
    <numFmt numFmtId="178" formatCode="00000"/>
    <numFmt numFmtId="179" formatCode="0.000000000000000"/>
    <numFmt numFmtId="180" formatCode="0.00?"/>
    <numFmt numFmtId="181" formatCode="0.00????"/>
    <numFmt numFmtId="182" formatCode=".#"/>
    <numFmt numFmtId="183" formatCode="#,###"/>
    <numFmt numFmtId="184" formatCode="#,,"/>
    <numFmt numFmtId="185" formatCode="&quot;$&quot;* 0.00"/>
    <numFmt numFmtId="186" formatCode="&quot;$&quot;*^0.0\1"/>
    <numFmt numFmtId="187" formatCode="_(&quot;$&quot;* ##,##0.00_);_(&quot;$&quot;* \(##,##0.00\);_(* &quot;-&quot;_);_(@_)"/>
    <numFmt numFmtId="188" formatCode="0.00&quot; Rad&quot;"/>
    <numFmt numFmtId="189" formatCode="&quot;surplus&quot;;&quot;deficit&quot;"/>
    <numFmt numFmtId="190" formatCode="_(&quot;$&quot;@_)"/>
    <numFmt numFmtId="191" formatCode="0.00;\-0.00;&quot;--&quot;;"/>
    <numFmt numFmtId="192" formatCode="_(* #,##0.00_);_(* \(#,##0.00\);_(* &quot;-&quot;??_);_(\^@_)"/>
    <numFmt numFmtId="193" formatCode="dddd"/>
    <numFmt numFmtId="194" formatCode="mmm\."/>
    <numFmt numFmtId="195" formatCode="yy"/>
    <numFmt numFmtId="196" formatCode="d"/>
    <numFmt numFmtId="197" formatCode="m"/>
    <numFmt numFmtId="198" formatCode="yyyy"/>
    <numFmt numFmtId="199" formatCode="0\q"/>
    <numFmt numFmtId="200" formatCode="dddd\,\ mmm\,\ d\,\ yyyy"/>
    <numFmt numFmtId="201" formatCode="#,###.00"/>
    <numFmt numFmtId="202" formatCode="#,###,"/>
    <numFmt numFmtId="203" formatCode="#,###,,"/>
    <numFmt numFmtId="204" formatCode="#,###,,&quot; M&quot;"/>
    <numFmt numFmtId="205" formatCode="#,###,\K"/>
    <numFmt numFmtId="206" formatCode="0.0%"/>
    <numFmt numFmtId="207" formatCode="??/??"/>
    <numFmt numFmtId="208" formatCode="&quot;$&quot;0.00&quot; unit price&quot;"/>
    <numFmt numFmtId="209" formatCode="&quot;$&quot;0.00\u"/>
    <numFmt numFmtId="210" formatCode="0.000"/>
    <numFmt numFmtId="211" formatCode="dddd\,\ mmmm\ d\,\ yyyy"/>
    <numFmt numFmtId="212" formatCode="##.#"/>
    <numFmt numFmtId="213" formatCode="#,\K"/>
    <numFmt numFmtId="214" formatCode="&quot;$&quot;0.00;[Red]\-&quot;$&quot;0.00;&quot; - &quot;"/>
    <numFmt numFmtId="215" formatCode="&quot;$&quot;0.00;[Red]\-&quot;$&quot;0.00;0;"/>
    <numFmt numFmtId="216" formatCode="#,###,,&quot; M&quot;;#,###,,&quot; M&quot;;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0"/>
      <name val="Arial"/>
      <family val="2"/>
    </font>
    <font>
      <sz val="10"/>
      <color theme="0"/>
      <name val="Arial"/>
      <family val="2"/>
    </font>
    <font>
      <b/>
      <sz val="20"/>
      <color rgb="FFFF0000"/>
      <name val="Calibri"/>
      <family val="2"/>
      <scheme val="minor"/>
    </font>
    <font>
      <b/>
      <sz val="16"/>
      <color rgb="FFFF0000"/>
      <name val="Calibri"/>
      <family val="2"/>
      <scheme val="minor"/>
    </font>
    <font>
      <sz val="11"/>
      <color theme="1"/>
      <name val="Calibri"/>
      <family val="2"/>
      <scheme val="minor"/>
    </font>
    <font>
      <sz val="12"/>
      <color theme="1"/>
      <name val="Calibri"/>
      <family val="2"/>
      <scheme val="minor"/>
    </font>
    <font>
      <sz val="11"/>
      <name val="Calibri"/>
      <family val="2"/>
      <scheme val="minor"/>
    </font>
    <font>
      <u/>
      <sz val="12.65"/>
      <color theme="10"/>
      <name val="Calibri"/>
      <family val="2"/>
    </font>
    <font>
      <b/>
      <sz val="11"/>
      <color rgb="FFFFFFFF"/>
      <name val="Calibri"/>
      <family val="2"/>
    </font>
    <font>
      <b/>
      <sz val="11"/>
      <color rgb="FFFF0000"/>
      <name val="Calibri"/>
      <family val="2"/>
      <scheme val="minor"/>
    </font>
    <font>
      <b/>
      <sz val="18"/>
      <color rgb="FFFF0000"/>
      <name val="Calibri"/>
      <family val="2"/>
      <scheme val="minor"/>
    </font>
    <font>
      <b/>
      <sz val="10"/>
      <color theme="0"/>
      <name val="Arial"/>
      <family val="2"/>
    </font>
    <font>
      <sz val="18"/>
      <color theme="1"/>
      <name val="Calibri"/>
      <family val="2"/>
      <scheme val="minor"/>
    </font>
    <font>
      <b/>
      <sz val="18"/>
      <color theme="1"/>
      <name val="Calibri"/>
      <family val="2"/>
      <scheme val="minor"/>
    </font>
    <font>
      <sz val="10"/>
      <color rgb="FF000000"/>
      <name val="Arial"/>
      <family val="2"/>
    </font>
    <font>
      <sz val="10"/>
      <color rgb="FFFFFFFF"/>
      <name val="Arial"/>
      <family val="2"/>
    </font>
  </fonts>
  <fills count="21">
    <fill>
      <patternFill patternType="none"/>
    </fill>
    <fill>
      <patternFill patternType="gray125"/>
    </fill>
    <fill>
      <patternFill patternType="solid">
        <fgColor rgb="FFFF0000"/>
        <bgColor indexed="64"/>
      </patternFill>
    </fill>
    <fill>
      <patternFill patternType="solid">
        <fgColor rgb="FF002060"/>
        <bgColor indexed="64"/>
      </patternFill>
    </fill>
    <fill>
      <patternFill patternType="solid">
        <fgColor theme="1"/>
        <bgColor indexed="64"/>
      </patternFill>
    </fill>
    <fill>
      <patternFill patternType="solid">
        <fgColor rgb="FF0070C0"/>
        <bgColor indexed="64"/>
      </patternFill>
    </fill>
    <fill>
      <patternFill patternType="solid">
        <fgColor rgb="FFCCFFCC"/>
        <bgColor indexed="64"/>
      </patternFill>
    </fill>
    <fill>
      <patternFill patternType="solid">
        <fgColor rgb="FF0000FF"/>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theme="6" tint="0.59999389629810485"/>
        <bgColor indexed="64"/>
      </patternFill>
    </fill>
    <fill>
      <patternFill patternType="solid">
        <fgColor rgb="FFFFFF99"/>
        <bgColor indexed="64"/>
      </patternFill>
    </fill>
    <fill>
      <patternFill patternType="solid">
        <fgColor rgb="FF002060"/>
        <bgColor rgb="FF000000"/>
      </patternFill>
    </fill>
    <fill>
      <patternFill patternType="solid">
        <fgColor rgb="FFFFFFFF"/>
        <bgColor indexed="64"/>
      </patternFill>
    </fill>
    <fill>
      <patternFill patternType="solid">
        <fgColor rgb="FF000000"/>
        <bgColor indexed="64"/>
      </patternFill>
    </fill>
    <fill>
      <patternFill patternType="solid">
        <fgColor rgb="FF00FF00"/>
        <bgColor indexed="64"/>
      </patternFill>
    </fill>
    <fill>
      <patternFill patternType="solid">
        <fgColor rgb="FFFFFF00"/>
        <bgColor indexed="64"/>
      </patternFill>
    </fill>
    <fill>
      <patternFill patternType="solid">
        <fgColor rgb="FFFF00FF"/>
        <bgColor indexed="64"/>
      </patternFill>
    </fill>
    <fill>
      <patternFill patternType="solid">
        <fgColor rgb="FF00FFFF"/>
        <bgColor indexed="64"/>
      </patternFill>
    </fill>
    <fill>
      <patternFill patternType="solid">
        <fgColor rgb="FFFFFFCC"/>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indexed="64"/>
      </right>
      <top style="medium">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rgb="FFB2B2B2"/>
      </left>
      <right style="thin">
        <color rgb="FFB2B2B2"/>
      </right>
      <top style="thin">
        <color rgb="FFB2B2B2"/>
      </top>
      <bottom style="thin">
        <color rgb="FFB2B2B2"/>
      </bottom>
      <diagonal/>
    </border>
  </borders>
  <cellStyleXfs count="7">
    <xf numFmtId="0" fontId="0" fillId="0" borderId="0"/>
    <xf numFmtId="0" fontId="4" fillId="0" borderId="0" applyNumberFormat="0" applyFill="0" applyBorder="0" applyAlignment="0" applyProtection="0"/>
    <xf numFmtId="0" fontId="6" fillId="3" borderId="1">
      <alignment wrapText="1"/>
    </xf>
    <xf numFmtId="0" fontId="5" fillId="0" borderId="0"/>
    <xf numFmtId="0" fontId="12" fillId="0" borderId="0" applyNumberFormat="0" applyFill="0" applyBorder="0" applyAlignment="0" applyProtection="0">
      <alignment vertical="top"/>
      <protection locked="0"/>
    </xf>
    <xf numFmtId="43" fontId="9" fillId="0" borderId="0" applyFont="0" applyFill="0" applyBorder="0" applyAlignment="0" applyProtection="0"/>
    <xf numFmtId="0" fontId="9" fillId="20" borderId="19" applyNumberFormat="0" applyFont="0" applyAlignment="0" applyProtection="0"/>
  </cellStyleXfs>
  <cellXfs count="223">
    <xf numFmtId="0" fontId="0" fillId="0" borderId="0" xfId="0"/>
    <xf numFmtId="0" fontId="0" fillId="0" borderId="0" xfId="0" applyAlignment="1">
      <alignment horizontal="left" indent="1"/>
    </xf>
    <xf numFmtId="0" fontId="2" fillId="0" borderId="0" xfId="0" applyFont="1"/>
    <xf numFmtId="0" fontId="3" fillId="2" borderId="1" xfId="0" applyFont="1" applyFill="1" applyBorder="1"/>
    <xf numFmtId="0" fontId="0" fillId="0" borderId="1" xfId="0" applyBorder="1"/>
    <xf numFmtId="0" fontId="3" fillId="3" borderId="1" xfId="0" applyFont="1" applyFill="1" applyBorder="1"/>
    <xf numFmtId="0" fontId="2" fillId="0" borderId="0" xfId="0" applyFont="1" applyAlignment="1">
      <alignment wrapText="1"/>
    </xf>
    <xf numFmtId="0" fontId="0" fillId="3" borderId="0" xfId="0" applyFill="1"/>
    <xf numFmtId="14" fontId="0" fillId="0" borderId="1" xfId="0" applyNumberFormat="1" applyBorder="1"/>
    <xf numFmtId="164" fontId="3" fillId="3" borderId="1" xfId="0" applyNumberFormat="1" applyFont="1" applyFill="1" applyBorder="1"/>
    <xf numFmtId="0" fontId="4" fillId="0" borderId="0" xfId="1"/>
    <xf numFmtId="0" fontId="6" fillId="3" borderId="1" xfId="2" applyBorder="1">
      <alignment wrapText="1"/>
    </xf>
    <xf numFmtId="0" fontId="3" fillId="4" borderId="0" xfId="0" applyFont="1" applyFill="1"/>
    <xf numFmtId="0" fontId="5" fillId="0" borderId="1" xfId="3" applyBorder="1"/>
    <xf numFmtId="0" fontId="5" fillId="0" borderId="2" xfId="3" applyFill="1" applyBorder="1" applyAlignment="1">
      <alignment wrapText="1"/>
    </xf>
    <xf numFmtId="0" fontId="5" fillId="0" borderId="1" xfId="3" applyBorder="1" applyAlignment="1">
      <alignment wrapText="1"/>
    </xf>
    <xf numFmtId="0" fontId="5" fillId="0" borderId="1" xfId="3" applyFill="1" applyBorder="1" applyAlignment="1">
      <alignment wrapText="1"/>
    </xf>
    <xf numFmtId="0" fontId="5" fillId="0" borderId="3" xfId="3" applyBorder="1"/>
    <xf numFmtId="0" fontId="2" fillId="0" borderId="1" xfId="0" applyFont="1" applyBorder="1"/>
    <xf numFmtId="0" fontId="3" fillId="5" borderId="1" xfId="0" applyFont="1" applyFill="1" applyBorder="1"/>
    <xf numFmtId="8" fontId="0" fillId="0" borderId="0" xfId="0" applyNumberFormat="1"/>
    <xf numFmtId="0" fontId="3" fillId="5" borderId="0" xfId="0" applyFont="1" applyFill="1" applyBorder="1"/>
    <xf numFmtId="0" fontId="0" fillId="6" borderId="1" xfId="0" applyFill="1" applyBorder="1"/>
    <xf numFmtId="6" fontId="0" fillId="0" borderId="1" xfId="0" applyNumberFormat="1" applyBorder="1"/>
    <xf numFmtId="8" fontId="2" fillId="0" borderId="0" xfId="0" applyNumberFormat="1" applyFont="1"/>
    <xf numFmtId="14" fontId="0" fillId="0" borderId="0" xfId="0" applyNumberFormat="1"/>
    <xf numFmtId="0" fontId="1" fillId="3" borderId="1" xfId="0" applyFont="1" applyFill="1" applyBorder="1"/>
    <xf numFmtId="0" fontId="6" fillId="3" borderId="1" xfId="2">
      <alignment wrapText="1"/>
    </xf>
    <xf numFmtId="0" fontId="6" fillId="3" borderId="4" xfId="2" applyBorder="1">
      <alignment wrapText="1"/>
    </xf>
    <xf numFmtId="0" fontId="6" fillId="7" borderId="1" xfId="2" applyFill="1" applyBorder="1">
      <alignment wrapText="1"/>
    </xf>
    <xf numFmtId="8" fontId="0" fillId="6" borderId="1" xfId="0" applyNumberFormat="1" applyFill="1" applyBorder="1"/>
    <xf numFmtId="18" fontId="0" fillId="6" borderId="1" xfId="0" applyNumberFormat="1" applyFill="1" applyBorder="1"/>
    <xf numFmtId="18" fontId="0" fillId="0" borderId="1" xfId="0" applyNumberFormat="1" applyBorder="1"/>
    <xf numFmtId="0" fontId="7" fillId="0" borderId="0" xfId="0" applyFont="1" applyAlignment="1">
      <alignment vertical="center"/>
    </xf>
    <xf numFmtId="0" fontId="0" fillId="8" borderId="6" xfId="0" applyFill="1" applyBorder="1"/>
    <xf numFmtId="0" fontId="0" fillId="8" borderId="7" xfId="0" applyFill="1" applyBorder="1"/>
    <xf numFmtId="0" fontId="0" fillId="8" borderId="0" xfId="0" applyFill="1" applyBorder="1"/>
    <xf numFmtId="0" fontId="0" fillId="8" borderId="8" xfId="0" applyFill="1" applyBorder="1"/>
    <xf numFmtId="0" fontId="0" fillId="8" borderId="4" xfId="0" applyFill="1" applyBorder="1" applyAlignment="1">
      <alignment horizontal="left" indent="3"/>
    </xf>
    <xf numFmtId="0" fontId="0" fillId="8" borderId="4" xfId="0" applyFill="1" applyBorder="1" applyAlignment="1">
      <alignment horizontal="left" indent="1"/>
    </xf>
    <xf numFmtId="0" fontId="0" fillId="8" borderId="9" xfId="0" applyFill="1" applyBorder="1"/>
    <xf numFmtId="0" fontId="0" fillId="8" borderId="10" xfId="0" applyFill="1" applyBorder="1"/>
    <xf numFmtId="0" fontId="0" fillId="8" borderId="11" xfId="0" applyFill="1" applyBorder="1"/>
    <xf numFmtId="0" fontId="0" fillId="0" borderId="0" xfId="0" applyAlignment="1">
      <alignment vertical="center"/>
    </xf>
    <xf numFmtId="0" fontId="2" fillId="8" borderId="4" xfId="0" applyFont="1" applyFill="1" applyBorder="1"/>
    <xf numFmtId="0" fontId="2" fillId="8" borderId="5" xfId="0" applyFont="1" applyFill="1" applyBorder="1"/>
    <xf numFmtId="0" fontId="8" fillId="0" borderId="0" xfId="0" applyFont="1" applyAlignment="1">
      <alignment vertical="center"/>
    </xf>
    <xf numFmtId="0" fontId="8" fillId="0" borderId="0" xfId="0" applyFont="1"/>
    <xf numFmtId="0" fontId="1" fillId="3" borderId="12" xfId="0" applyFont="1" applyFill="1" applyBorder="1"/>
    <xf numFmtId="0" fontId="0" fillId="9" borderId="12" xfId="0" applyFont="1" applyFill="1" applyBorder="1"/>
    <xf numFmtId="0" fontId="0" fillId="0" borderId="12" xfId="0" applyFont="1" applyBorder="1"/>
    <xf numFmtId="0" fontId="0" fillId="0" borderId="1" xfId="0" applyFont="1" applyBorder="1"/>
    <xf numFmtId="0" fontId="0" fillId="0" borderId="6" xfId="0" applyFont="1" applyBorder="1"/>
    <xf numFmtId="0" fontId="0" fillId="0" borderId="14" xfId="0" applyFont="1" applyBorder="1"/>
    <xf numFmtId="0" fontId="0" fillId="9" borderId="14" xfId="0" applyFont="1" applyFill="1" applyBorder="1"/>
    <xf numFmtId="0" fontId="1" fillId="3" borderId="10" xfId="0" applyFont="1" applyFill="1" applyBorder="1"/>
    <xf numFmtId="0" fontId="0" fillId="0" borderId="0" xfId="0" applyFont="1" applyBorder="1"/>
    <xf numFmtId="8" fontId="0" fillId="0" borderId="1" xfId="0" applyNumberFormat="1" applyBorder="1"/>
    <xf numFmtId="0" fontId="0" fillId="0" borderId="15" xfId="0" applyBorder="1"/>
    <xf numFmtId="0" fontId="6" fillId="3" borderId="15" xfId="2" applyBorder="1">
      <alignment wrapText="1"/>
    </xf>
    <xf numFmtId="0" fontId="6" fillId="3" borderId="13" xfId="2" applyBorder="1">
      <alignment wrapText="1"/>
    </xf>
    <xf numFmtId="0" fontId="0" fillId="0" borderId="16" xfId="0" applyBorder="1"/>
    <xf numFmtId="10" fontId="0" fillId="0" borderId="1" xfId="0" applyNumberFormat="1" applyBorder="1"/>
    <xf numFmtId="0" fontId="0" fillId="8" borderId="15" xfId="0" applyFill="1" applyBorder="1"/>
    <xf numFmtId="0" fontId="0" fillId="8" borderId="14" xfId="0" applyFill="1" applyBorder="1"/>
    <xf numFmtId="0" fontId="0" fillId="8" borderId="13" xfId="0" applyFill="1" applyBorder="1"/>
    <xf numFmtId="0" fontId="0" fillId="0" borderId="0" xfId="0" applyAlignment="1">
      <alignment horizontal="center"/>
    </xf>
    <xf numFmtId="0" fontId="3" fillId="3" borderId="1" xfId="0" applyFont="1" applyFill="1" applyBorder="1" applyAlignment="1">
      <alignment wrapText="1"/>
    </xf>
    <xf numFmtId="0" fontId="0" fillId="10" borderId="5" xfId="0" applyFill="1" applyBorder="1"/>
    <xf numFmtId="0" fontId="0" fillId="10" borderId="6" xfId="0" applyFill="1" applyBorder="1"/>
    <xf numFmtId="0" fontId="0" fillId="10" borderId="7" xfId="0" applyFill="1" applyBorder="1"/>
    <xf numFmtId="0" fontId="0" fillId="10" borderId="4" xfId="0" applyFill="1" applyBorder="1"/>
    <xf numFmtId="0" fontId="0" fillId="10" borderId="0" xfId="0" applyFill="1" applyBorder="1"/>
    <xf numFmtId="0" fontId="0" fillId="10" borderId="8" xfId="0" applyFill="1" applyBorder="1"/>
    <xf numFmtId="0" fontId="0" fillId="10" borderId="9" xfId="0" applyFill="1" applyBorder="1"/>
    <xf numFmtId="0" fontId="0" fillId="10" borderId="10" xfId="0" applyFill="1" applyBorder="1"/>
    <xf numFmtId="0" fontId="0" fillId="10" borderId="11" xfId="0" applyFill="1" applyBorder="1"/>
    <xf numFmtId="0" fontId="2" fillId="11" borderId="5" xfId="0" applyFont="1" applyFill="1" applyBorder="1"/>
    <xf numFmtId="0" fontId="2" fillId="11" borderId="6" xfId="0" applyFont="1" applyFill="1" applyBorder="1"/>
    <xf numFmtId="0" fontId="2" fillId="11" borderId="7" xfId="0" applyFont="1" applyFill="1" applyBorder="1"/>
    <xf numFmtId="0" fontId="0" fillId="11" borderId="4" xfId="0" applyFill="1" applyBorder="1"/>
    <xf numFmtId="0" fontId="0" fillId="11" borderId="9" xfId="0" applyFill="1" applyBorder="1"/>
    <xf numFmtId="0" fontId="0" fillId="11" borderId="1" xfId="0" applyFill="1" applyBorder="1"/>
    <xf numFmtId="0" fontId="3" fillId="2" borderId="15" xfId="0" applyFont="1" applyFill="1" applyBorder="1"/>
    <xf numFmtId="0" fontId="3" fillId="2" borderId="14" xfId="0" applyFont="1" applyFill="1" applyBorder="1"/>
    <xf numFmtId="0" fontId="3" fillId="2" borderId="13" xfId="0" applyFont="1" applyFill="1" applyBorder="1"/>
    <xf numFmtId="0" fontId="0" fillId="10" borderId="15" xfId="0" applyFill="1" applyBorder="1"/>
    <xf numFmtId="0" fontId="0" fillId="10" borderId="14" xfId="0" applyFill="1" applyBorder="1"/>
    <xf numFmtId="0" fontId="0" fillId="10" borderId="13" xfId="0" applyFill="1" applyBorder="1"/>
    <xf numFmtId="8" fontId="0" fillId="11" borderId="1" xfId="0" applyNumberFormat="1" applyFill="1" applyBorder="1"/>
    <xf numFmtId="0" fontId="0" fillId="0" borderId="1" xfId="0" applyNumberFormat="1" applyBorder="1"/>
    <xf numFmtId="165" fontId="0" fillId="0" borderId="1" xfId="0" applyNumberFormat="1" applyBorder="1"/>
    <xf numFmtId="0" fontId="0" fillId="0" borderId="0" xfId="0" applyNumberFormat="1"/>
    <xf numFmtId="0" fontId="10" fillId="0" borderId="0" xfId="0" applyFont="1"/>
    <xf numFmtId="166" fontId="0" fillId="0" borderId="1" xfId="0" applyNumberFormat="1" applyBorder="1"/>
    <xf numFmtId="167" fontId="0" fillId="0" borderId="1" xfId="0" applyNumberFormat="1" applyBorder="1"/>
    <xf numFmtId="168" fontId="0" fillId="0" borderId="1" xfId="0" applyNumberFormat="1" applyBorder="1"/>
    <xf numFmtId="0" fontId="3" fillId="3" borderId="1" xfId="0" applyFont="1" applyFill="1" applyBorder="1" applyAlignment="1">
      <alignment horizontal="centerContinuous" wrapText="1"/>
    </xf>
    <xf numFmtId="0" fontId="3" fillId="3" borderId="0" xfId="0" applyFont="1" applyFill="1" applyAlignment="1">
      <alignment horizontal="centerContinuous" wrapText="1"/>
    </xf>
    <xf numFmtId="169" fontId="3" fillId="2" borderId="12" xfId="0" applyNumberFormat="1" applyFont="1" applyFill="1" applyBorder="1"/>
    <xf numFmtId="170" fontId="0" fillId="6" borderId="1" xfId="0" applyNumberFormat="1" applyFill="1" applyBorder="1"/>
    <xf numFmtId="0" fontId="11" fillId="12" borderId="1" xfId="0" applyFont="1" applyFill="1" applyBorder="1" applyAlignment="1">
      <alignment horizontal="centerContinuous" wrapText="1"/>
    </xf>
    <xf numFmtId="0" fontId="3" fillId="3" borderId="3" xfId="0" applyFont="1" applyFill="1" applyBorder="1" applyAlignment="1">
      <alignment horizontal="centerContinuous" wrapText="1"/>
    </xf>
    <xf numFmtId="0" fontId="0" fillId="6" borderId="1" xfId="0" applyFill="1" applyBorder="1" applyAlignment="1">
      <alignment wrapText="1"/>
    </xf>
    <xf numFmtId="14" fontId="0" fillId="6" borderId="1" xfId="0" applyNumberFormat="1" applyFill="1" applyBorder="1"/>
    <xf numFmtId="22" fontId="0" fillId="6" borderId="1" xfId="0" applyNumberFormat="1" applyFill="1" applyBorder="1"/>
    <xf numFmtId="0" fontId="0" fillId="10" borderId="15" xfId="0" applyFont="1" applyFill="1" applyBorder="1"/>
    <xf numFmtId="0" fontId="0" fillId="10" borderId="13" xfId="0" applyFont="1" applyFill="1" applyBorder="1"/>
    <xf numFmtId="0" fontId="3" fillId="3" borderId="3" xfId="0" applyFont="1" applyFill="1" applyBorder="1"/>
    <xf numFmtId="171" fontId="0" fillId="0" borderId="1" xfId="0" applyNumberFormat="1" applyBorder="1"/>
    <xf numFmtId="172" fontId="0" fillId="0" borderId="1" xfId="5" applyNumberFormat="1" applyFont="1" applyBorder="1"/>
    <xf numFmtId="172" fontId="0" fillId="6" borderId="1" xfId="0" applyNumberFormat="1" applyFill="1" applyBorder="1"/>
    <xf numFmtId="0" fontId="3" fillId="3" borderId="15" xfId="0" applyFont="1" applyFill="1" applyBorder="1" applyAlignment="1"/>
    <xf numFmtId="0" fontId="3" fillId="3" borderId="14" xfId="0" applyFont="1" applyFill="1" applyBorder="1" applyAlignment="1"/>
    <xf numFmtId="0" fontId="3" fillId="3" borderId="13" xfId="0" applyFont="1" applyFill="1" applyBorder="1" applyAlignment="1"/>
    <xf numFmtId="0" fontId="1" fillId="3" borderId="5" xfId="0" applyFont="1" applyFill="1" applyBorder="1" applyAlignment="1">
      <alignment wrapText="1"/>
    </xf>
    <xf numFmtId="0" fontId="1" fillId="3" borderId="12" xfId="0" applyFont="1" applyFill="1" applyBorder="1" applyAlignment="1">
      <alignment wrapText="1"/>
    </xf>
    <xf numFmtId="0" fontId="0" fillId="9" borderId="5" xfId="0" applyFont="1" applyFill="1" applyBorder="1"/>
    <xf numFmtId="0" fontId="0" fillId="0" borderId="5" xfId="0" applyFont="1" applyBorder="1"/>
    <xf numFmtId="0" fontId="13" fillId="13" borderId="1" xfId="0" applyFont="1" applyFill="1" applyBorder="1"/>
    <xf numFmtId="8" fontId="0" fillId="0" borderId="1" xfId="0" applyNumberFormat="1" applyFill="1" applyBorder="1"/>
    <xf numFmtId="0" fontId="3" fillId="3" borderId="15" xfId="0" applyFont="1" applyFill="1" applyBorder="1"/>
    <xf numFmtId="0" fontId="3" fillId="3" borderId="14" xfId="0" applyFont="1" applyFill="1" applyBorder="1"/>
    <xf numFmtId="0" fontId="3" fillId="3" borderId="13" xfId="0" applyFont="1" applyFill="1" applyBorder="1"/>
    <xf numFmtId="0" fontId="0" fillId="0" borderId="3" xfId="0" applyBorder="1"/>
    <xf numFmtId="14" fontId="0" fillId="0" borderId="3" xfId="0" applyNumberFormat="1" applyBorder="1"/>
    <xf numFmtId="14" fontId="0" fillId="6" borderId="1" xfId="0" applyNumberFormat="1" applyFill="1" applyBorder="1" applyAlignment="1"/>
    <xf numFmtId="0" fontId="0" fillId="0" borderId="1" xfId="0" applyFill="1" applyBorder="1"/>
    <xf numFmtId="0" fontId="14" fillId="0" borderId="0" xfId="0" applyFont="1"/>
    <xf numFmtId="0" fontId="15" fillId="0" borderId="0" xfId="0" applyFont="1"/>
    <xf numFmtId="174" fontId="0" fillId="0" borderId="1" xfId="0" applyNumberFormat="1" applyBorder="1"/>
    <xf numFmtId="175" fontId="0" fillId="6" borderId="1" xfId="0" applyNumberFormat="1" applyFill="1" applyBorder="1"/>
    <xf numFmtId="49" fontId="0" fillId="0" borderId="0" xfId="0" applyNumberFormat="1" applyFill="1" applyBorder="1"/>
    <xf numFmtId="0" fontId="16" fillId="3" borderId="1" xfId="0" applyFont="1" applyFill="1" applyBorder="1" applyAlignment="1">
      <alignment wrapText="1"/>
    </xf>
    <xf numFmtId="0" fontId="0" fillId="0" borderId="0" xfId="0" applyAlignment="1">
      <alignment wrapText="1"/>
    </xf>
    <xf numFmtId="0" fontId="17" fillId="0" borderId="1" xfId="0" applyFont="1" applyBorder="1" applyAlignment="1">
      <alignment wrapText="1"/>
    </xf>
    <xf numFmtId="0" fontId="0" fillId="0" borderId="1" xfId="0" applyBorder="1" applyAlignment="1">
      <alignment wrapText="1"/>
    </xf>
    <xf numFmtId="177" fontId="0" fillId="0" borderId="1" xfId="0" applyNumberFormat="1" applyBorder="1" applyAlignment="1">
      <alignment wrapText="1"/>
    </xf>
    <xf numFmtId="0" fontId="17" fillId="0" borderId="1" xfId="0" applyFont="1" applyBorder="1"/>
    <xf numFmtId="2" fontId="0" fillId="0" borderId="1" xfId="0" applyNumberFormat="1" applyBorder="1"/>
    <xf numFmtId="178" fontId="0" fillId="0" borderId="1" xfId="0" applyNumberFormat="1" applyBorder="1"/>
    <xf numFmtId="0" fontId="0" fillId="0" borderId="1" xfId="0" quotePrefix="1" applyBorder="1"/>
    <xf numFmtId="179" fontId="0" fillId="0" borderId="1" xfId="0" applyNumberFormat="1" applyBorder="1"/>
    <xf numFmtId="180" fontId="0" fillId="0" borderId="1" xfId="0" applyNumberFormat="1" applyBorder="1"/>
    <xf numFmtId="181" fontId="0" fillId="0" borderId="1" xfId="0" applyNumberFormat="1" applyBorder="1"/>
    <xf numFmtId="182" fontId="0" fillId="0" borderId="1" xfId="0" applyNumberFormat="1" applyBorder="1"/>
    <xf numFmtId="183" fontId="0" fillId="0" borderId="1" xfId="0" applyNumberFormat="1" applyBorder="1"/>
    <xf numFmtId="184" fontId="0" fillId="0" borderId="1" xfId="0" applyNumberFormat="1" applyBorder="1"/>
    <xf numFmtId="185" fontId="0" fillId="0" borderId="1" xfId="0" applyNumberFormat="1" applyBorder="1"/>
    <xf numFmtId="186" fontId="0" fillId="0" borderId="1" xfId="0" applyNumberFormat="1" applyBorder="1"/>
    <xf numFmtId="187" fontId="0" fillId="0" borderId="1" xfId="0" applyNumberFormat="1" applyBorder="1"/>
    <xf numFmtId="0" fontId="17" fillId="0" borderId="1" xfId="0" applyFont="1" applyFill="1" applyBorder="1"/>
    <xf numFmtId="188" fontId="0" fillId="0" borderId="1" xfId="0" applyNumberFormat="1" applyBorder="1"/>
    <xf numFmtId="189" fontId="0" fillId="0" borderId="1" xfId="0" applyNumberFormat="1" applyBorder="1"/>
    <xf numFmtId="190" fontId="0" fillId="0" borderId="1" xfId="0" applyNumberFormat="1" applyBorder="1"/>
    <xf numFmtId="191" fontId="0" fillId="0" borderId="1" xfId="0" applyNumberFormat="1" applyBorder="1"/>
    <xf numFmtId="192" fontId="9" fillId="0" borderId="1" xfId="5" applyNumberFormat="1" applyFont="1" applyBorder="1"/>
    <xf numFmtId="193" fontId="0" fillId="0" borderId="1" xfId="0" applyNumberFormat="1" applyBorder="1"/>
    <xf numFmtId="194" fontId="0" fillId="0" borderId="1" xfId="0" applyNumberFormat="1" applyBorder="1"/>
    <xf numFmtId="195" fontId="0" fillId="0" borderId="1" xfId="0" applyNumberFormat="1" applyBorder="1"/>
    <xf numFmtId="196" fontId="0" fillId="0" borderId="1" xfId="0" applyNumberFormat="1" applyBorder="1"/>
    <xf numFmtId="197" fontId="0" fillId="0" borderId="1" xfId="0" applyNumberFormat="1" applyBorder="1"/>
    <xf numFmtId="198" fontId="0" fillId="0" borderId="1" xfId="0" applyNumberFormat="1" applyBorder="1"/>
    <xf numFmtId="0" fontId="0" fillId="0" borderId="13" xfId="0" applyBorder="1" applyAlignment="1">
      <alignment wrapText="1"/>
    </xf>
    <xf numFmtId="199" fontId="0" fillId="0" borderId="1" xfId="0" applyNumberFormat="1" applyBorder="1"/>
    <xf numFmtId="176" fontId="0" fillId="0" borderId="1" xfId="0" applyNumberFormat="1" applyBorder="1"/>
    <xf numFmtId="200" fontId="0" fillId="0" borderId="1" xfId="0" applyNumberFormat="1" applyBorder="1"/>
    <xf numFmtId="173" fontId="0" fillId="0" borderId="1" xfId="0" applyNumberFormat="1" applyBorder="1"/>
    <xf numFmtId="201" fontId="0" fillId="0" borderId="1" xfId="0" applyNumberFormat="1" applyBorder="1"/>
    <xf numFmtId="202" fontId="0" fillId="0" borderId="1" xfId="0" applyNumberFormat="1" applyBorder="1"/>
    <xf numFmtId="203" fontId="0" fillId="0" borderId="1" xfId="0" applyNumberFormat="1" applyBorder="1"/>
    <xf numFmtId="204" fontId="0" fillId="0" borderId="1" xfId="0" applyNumberFormat="1" applyBorder="1"/>
    <xf numFmtId="205" fontId="0" fillId="0" borderId="1" xfId="0" applyNumberFormat="1" applyBorder="1"/>
    <xf numFmtId="206" fontId="0" fillId="0" borderId="1" xfId="0" applyNumberFormat="1" applyBorder="1"/>
    <xf numFmtId="207" fontId="0" fillId="0" borderId="1" xfId="0" applyNumberFormat="1" applyBorder="1"/>
    <xf numFmtId="208" fontId="0" fillId="0" borderId="1" xfId="0" applyNumberFormat="1" applyBorder="1"/>
    <xf numFmtId="209" fontId="0" fillId="0" borderId="1" xfId="0" applyNumberFormat="1" applyBorder="1"/>
    <xf numFmtId="0" fontId="3" fillId="2" borderId="12" xfId="0" applyNumberFormat="1" applyFont="1" applyFill="1" applyBorder="1"/>
    <xf numFmtId="0" fontId="2" fillId="0" borderId="1" xfId="0" applyFont="1" applyBorder="1" applyAlignment="1">
      <alignment wrapText="1"/>
    </xf>
    <xf numFmtId="0" fontId="2" fillId="10" borderId="5" xfId="0" applyFont="1" applyFill="1" applyBorder="1"/>
    <xf numFmtId="0" fontId="18" fillId="0" borderId="0" xfId="0" applyFont="1"/>
    <xf numFmtId="8" fontId="0" fillId="6" borderId="17" xfId="0" applyNumberFormat="1" applyFill="1" applyBorder="1"/>
    <xf numFmtId="0" fontId="3" fillId="3" borderId="2" xfId="0" applyFont="1" applyFill="1" applyBorder="1" applyAlignment="1">
      <alignment wrapText="1"/>
    </xf>
    <xf numFmtId="0" fontId="0" fillId="0" borderId="0" xfId="0" applyAlignment="1">
      <alignment horizontal="left" indent="2"/>
    </xf>
    <xf numFmtId="0" fontId="11" fillId="0" borderId="1" xfId="0" applyFont="1" applyFill="1" applyBorder="1"/>
    <xf numFmtId="7" fontId="11" fillId="0" borderId="1" xfId="5" applyNumberFormat="1" applyFont="1" applyFill="1" applyBorder="1"/>
    <xf numFmtId="39" fontId="11" fillId="0" borderId="1" xfId="5" applyNumberFormat="1" applyFont="1" applyFill="1" applyBorder="1"/>
    <xf numFmtId="210" fontId="0" fillId="6" borderId="1" xfId="0" applyNumberFormat="1" applyFill="1" applyBorder="1"/>
    <xf numFmtId="0" fontId="2" fillId="0" borderId="1" xfId="0" applyFont="1" applyFill="1" applyBorder="1"/>
    <xf numFmtId="0" fontId="2" fillId="10" borderId="4" xfId="0" applyFont="1" applyFill="1" applyBorder="1" applyAlignment="1">
      <alignment horizontal="left" indent="1"/>
    </xf>
    <xf numFmtId="0" fontId="2" fillId="10" borderId="9" xfId="0" applyFont="1" applyFill="1" applyBorder="1" applyAlignment="1">
      <alignment horizontal="left" indent="1"/>
    </xf>
    <xf numFmtId="0" fontId="0" fillId="6" borderId="3" xfId="0" applyFill="1" applyBorder="1"/>
    <xf numFmtId="0" fontId="6" fillId="3" borderId="3" xfId="2" applyBorder="1">
      <alignment wrapText="1"/>
    </xf>
    <xf numFmtId="0" fontId="0" fillId="0" borderId="0" xfId="0" applyAlignment="1">
      <alignment horizontal="left" vertical="center" indent="2"/>
    </xf>
    <xf numFmtId="0" fontId="0" fillId="0" borderId="0" xfId="0" applyAlignment="1">
      <alignment horizontal="left" vertical="center" indent="4"/>
    </xf>
    <xf numFmtId="0" fontId="0" fillId="8" borderId="5" xfId="0" applyFill="1" applyBorder="1"/>
    <xf numFmtId="211" fontId="0" fillId="0" borderId="1" xfId="0" applyNumberFormat="1" applyBorder="1"/>
    <xf numFmtId="0" fontId="2" fillId="6" borderId="1" xfId="0" applyFont="1" applyFill="1" applyBorder="1"/>
    <xf numFmtId="0" fontId="7" fillId="0" borderId="0" xfId="0" applyFont="1"/>
    <xf numFmtId="0" fontId="2" fillId="0" borderId="0" xfId="0" applyFont="1" applyAlignment="1">
      <alignment horizontal="left" vertical="center" indent="2"/>
    </xf>
    <xf numFmtId="0" fontId="2" fillId="0" borderId="0" xfId="0" applyFont="1" applyAlignment="1">
      <alignment horizontal="left" vertical="center" indent="4"/>
    </xf>
    <xf numFmtId="0" fontId="0" fillId="10" borderId="4" xfId="0" applyFill="1" applyBorder="1" applyAlignment="1">
      <alignment horizontal="left" indent="1"/>
    </xf>
    <xf numFmtId="0" fontId="0" fillId="10" borderId="9" xfId="0" applyFill="1" applyBorder="1" applyAlignment="1">
      <alignment horizontal="left" indent="1"/>
    </xf>
    <xf numFmtId="0" fontId="4" fillId="0" borderId="0" xfId="1" applyAlignment="1">
      <alignment horizontal="left" vertical="center" indent="2"/>
    </xf>
    <xf numFmtId="0" fontId="0" fillId="6" borderId="1" xfId="0" applyNumberFormat="1" applyFill="1" applyBorder="1"/>
    <xf numFmtId="20" fontId="0" fillId="0" borderId="0" xfId="0" applyNumberFormat="1"/>
    <xf numFmtId="0" fontId="0" fillId="0" borderId="8" xfId="0" applyFill="1" applyBorder="1" applyAlignment="1">
      <alignment wrapText="1"/>
    </xf>
    <xf numFmtId="0" fontId="20" fillId="15" borderId="18" xfId="0" applyFont="1" applyFill="1" applyBorder="1" applyAlignment="1">
      <alignment vertical="center" wrapText="1"/>
    </xf>
    <xf numFmtId="0" fontId="19" fillId="14" borderId="18" xfId="0" applyFont="1" applyFill="1" applyBorder="1" applyAlignment="1">
      <alignment vertical="center" wrapText="1"/>
    </xf>
    <xf numFmtId="0" fontId="19" fillId="2" borderId="18" xfId="0" applyFont="1" applyFill="1" applyBorder="1" applyAlignment="1">
      <alignment vertical="center" wrapText="1"/>
    </xf>
    <xf numFmtId="0" fontId="19" fillId="16" borderId="18" xfId="0" applyFont="1" applyFill="1" applyBorder="1" applyAlignment="1">
      <alignment vertical="center" wrapText="1"/>
    </xf>
    <xf numFmtId="0" fontId="19" fillId="7" borderId="18" xfId="0" applyFont="1" applyFill="1" applyBorder="1" applyAlignment="1">
      <alignment vertical="center" wrapText="1"/>
    </xf>
    <xf numFmtId="0" fontId="19" fillId="17" borderId="18" xfId="0" applyFont="1" applyFill="1" applyBorder="1" applyAlignment="1">
      <alignment vertical="center" wrapText="1"/>
    </xf>
    <xf numFmtId="0" fontId="19" fillId="18" borderId="18" xfId="0" applyFont="1" applyFill="1" applyBorder="1" applyAlignment="1">
      <alignment vertical="center" wrapText="1"/>
    </xf>
    <xf numFmtId="0" fontId="19" fillId="19" borderId="18" xfId="0" applyFont="1" applyFill="1" applyBorder="1" applyAlignment="1">
      <alignment vertical="center" wrapText="1"/>
    </xf>
    <xf numFmtId="212" fontId="0" fillId="0" borderId="1" xfId="0" applyNumberFormat="1" applyBorder="1"/>
    <xf numFmtId="213" fontId="0" fillId="0" borderId="1" xfId="0" applyNumberFormat="1" applyBorder="1"/>
    <xf numFmtId="214" fontId="0" fillId="0" borderId="1" xfId="0" applyNumberFormat="1" applyBorder="1"/>
    <xf numFmtId="215" fontId="0" fillId="0" borderId="1" xfId="0" applyNumberFormat="1" applyBorder="1"/>
    <xf numFmtId="0" fontId="0" fillId="20" borderId="19" xfId="6" applyFont="1"/>
    <xf numFmtId="216" fontId="0" fillId="0" borderId="1" xfId="0" applyNumberFormat="1" applyBorder="1"/>
    <xf numFmtId="0" fontId="3" fillId="3" borderId="4" xfId="0" applyFont="1" applyFill="1" applyBorder="1" applyAlignment="1">
      <alignment horizontal="center" wrapText="1"/>
    </xf>
    <xf numFmtId="0" fontId="3" fillId="3" borderId="0" xfId="0" applyFont="1" applyFill="1" applyBorder="1" applyAlignment="1">
      <alignment horizontal="center" wrapText="1"/>
    </xf>
  </cellXfs>
  <cellStyles count="7">
    <cellStyle name="blue" xfId="2"/>
    <cellStyle name="Comma" xfId="5" builtinId="3"/>
    <cellStyle name="Hyperlink" xfId="1" builtinId="8"/>
    <cellStyle name="Hyperlink 2" xfId="4"/>
    <cellStyle name="Normal" xfId="0" builtinId="0"/>
    <cellStyle name="Normal 2" xfId="3"/>
    <cellStyle name="Note" xfId="6" builtinId="10"/>
  </cellStyles>
  <dxfs count="4">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dxf>
  </dxfs>
  <tableStyles count="0" defaultTableStyle="TableStyleMedium2" defaultPivotStyle="PivotStyleLight16"/>
  <colors>
    <mruColors>
      <color rgb="FF0000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'HW(13)'!$B$4</c:f>
              <c:strCache>
                <c:ptCount val="1"/>
                <c:pt idx="0">
                  <c:v>Asset Value</c:v>
                </c:pt>
              </c:strCache>
            </c:strRef>
          </c:tx>
          <c:invertIfNegative val="0"/>
          <c:dPt>
            <c:idx val="0"/>
            <c:invertIfNegative val="0"/>
            <c:bubble3D val="0"/>
            <c:spPr>
              <a:solidFill>
                <a:schemeClr val="accent1"/>
              </a:solidFill>
              <a:ln>
                <a:noFill/>
              </a:ln>
              <a:effectLst/>
            </c:spPr>
          </c:dPt>
          <c:dPt>
            <c:idx val="1"/>
            <c:invertIfNegative val="0"/>
            <c:bubble3D val="0"/>
            <c:spPr>
              <a:solidFill>
                <a:schemeClr val="accent2"/>
              </a:solidFill>
              <a:ln>
                <a:noFill/>
              </a:ln>
              <a:effectLst/>
            </c:spPr>
          </c:dPt>
          <c:dPt>
            <c:idx val="2"/>
            <c:invertIfNegative val="0"/>
            <c:bubble3D val="0"/>
            <c:spPr>
              <a:solidFill>
                <a:schemeClr val="accent3"/>
              </a:solidFill>
              <a:ln>
                <a:noFill/>
              </a:ln>
              <a:effectLst/>
            </c:spPr>
          </c:dPt>
          <c:dPt>
            <c:idx val="3"/>
            <c:invertIfNegative val="0"/>
            <c:bubble3D val="0"/>
            <c:spPr>
              <a:solidFill>
                <a:schemeClr val="accent4"/>
              </a:solidFill>
              <a:ln>
                <a:noFill/>
              </a:ln>
              <a:effectLst/>
            </c:spPr>
          </c:dPt>
          <c:cat>
            <c:strRef>
              <c:f>'HW(13)'!$A$5:$A$8</c:f>
              <c:strCache>
                <c:ptCount val="4"/>
                <c:pt idx="0">
                  <c:v>GE</c:v>
                </c:pt>
                <c:pt idx="1">
                  <c:v>MSFT</c:v>
                </c:pt>
                <c:pt idx="2">
                  <c:v>GOOGLE</c:v>
                </c:pt>
                <c:pt idx="3">
                  <c:v>CAT</c:v>
                </c:pt>
              </c:strCache>
            </c:strRef>
          </c:cat>
          <c:val>
            <c:numRef>
              <c:f>'HW(13)'!$B$5:$B$8</c:f>
              <c:numCache>
                <c:formatCode>General</c:formatCode>
                <c:ptCount val="4"/>
                <c:pt idx="0">
                  <c:v>24000000000</c:v>
                </c:pt>
                <c:pt idx="1">
                  <c:v>5000000000</c:v>
                </c:pt>
                <c:pt idx="2">
                  <c:v>17000000000</c:v>
                </c:pt>
                <c:pt idx="3">
                  <c:v>4500000000</c:v>
                </c:pt>
              </c:numCache>
            </c:numRef>
          </c:val>
        </c:ser>
        <c:dLbls>
          <c:showLegendKey val="0"/>
          <c:showVal val="0"/>
          <c:showCatName val="0"/>
          <c:showSerName val="0"/>
          <c:showPercent val="0"/>
          <c:showBubbleSize val="0"/>
        </c:dLbls>
        <c:gapWidth val="219"/>
        <c:overlap val="-27"/>
        <c:axId val="663223440"/>
        <c:axId val="663228336"/>
      </c:barChart>
      <c:catAx>
        <c:axId val="66322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228336"/>
        <c:crosses val="autoZero"/>
        <c:auto val="1"/>
        <c:lblAlgn val="ctr"/>
        <c:lblOffset val="100"/>
        <c:noMultiLvlLbl val="0"/>
      </c:catAx>
      <c:valAx>
        <c:axId val="66322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223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'HW(13an)'!$B$4</c:f>
              <c:strCache>
                <c:ptCount val="1"/>
                <c:pt idx="0">
                  <c:v>Asset Value</c:v>
                </c:pt>
              </c:strCache>
            </c:strRef>
          </c:tx>
          <c:invertIfNegative val="0"/>
          <c:dPt>
            <c:idx val="0"/>
            <c:invertIfNegative val="0"/>
            <c:bubble3D val="0"/>
            <c:spPr>
              <a:solidFill>
                <a:schemeClr val="accent1"/>
              </a:solidFill>
              <a:ln>
                <a:noFill/>
              </a:ln>
              <a:effectLst/>
            </c:spPr>
          </c:dPt>
          <c:dPt>
            <c:idx val="1"/>
            <c:invertIfNegative val="0"/>
            <c:bubble3D val="0"/>
            <c:spPr>
              <a:solidFill>
                <a:schemeClr val="accent2"/>
              </a:solidFill>
              <a:ln>
                <a:noFill/>
              </a:ln>
              <a:effectLst/>
            </c:spPr>
          </c:dPt>
          <c:dPt>
            <c:idx val="2"/>
            <c:invertIfNegative val="0"/>
            <c:bubble3D val="0"/>
            <c:spPr>
              <a:solidFill>
                <a:schemeClr val="accent3"/>
              </a:solidFill>
              <a:ln>
                <a:noFill/>
              </a:ln>
              <a:effectLst/>
            </c:spPr>
          </c:dPt>
          <c:dPt>
            <c:idx val="3"/>
            <c:invertIfNegative val="0"/>
            <c:bubble3D val="0"/>
            <c:spPr>
              <a:solidFill>
                <a:schemeClr val="accent4"/>
              </a:solidFill>
              <a:ln>
                <a:noFill/>
              </a:ln>
              <a:effectLst/>
            </c:spPr>
          </c:dPt>
          <c:cat>
            <c:strRef>
              <c:f>'HW(13an)'!$A$5:$A$8</c:f>
              <c:strCache>
                <c:ptCount val="4"/>
                <c:pt idx="0">
                  <c:v>GE</c:v>
                </c:pt>
                <c:pt idx="1">
                  <c:v>MSFT</c:v>
                </c:pt>
                <c:pt idx="2">
                  <c:v>GOOGLE</c:v>
                </c:pt>
                <c:pt idx="3">
                  <c:v>CAT</c:v>
                </c:pt>
              </c:strCache>
            </c:strRef>
          </c:cat>
          <c:val>
            <c:numRef>
              <c:f>'HW(13an)'!$B$5:$B$8</c:f>
              <c:numCache>
                <c:formatCode>#,###,," M";#,###,," M";0</c:formatCode>
                <c:ptCount val="4"/>
                <c:pt idx="0">
                  <c:v>24000000000</c:v>
                </c:pt>
                <c:pt idx="1">
                  <c:v>5000000000</c:v>
                </c:pt>
                <c:pt idx="2">
                  <c:v>17000000000</c:v>
                </c:pt>
                <c:pt idx="3">
                  <c:v>4500000000</c:v>
                </c:pt>
              </c:numCache>
            </c:numRef>
          </c:val>
        </c:ser>
        <c:dLbls>
          <c:showLegendKey val="0"/>
          <c:showVal val="0"/>
          <c:showCatName val="0"/>
          <c:showSerName val="0"/>
          <c:showPercent val="0"/>
          <c:showBubbleSize val="0"/>
        </c:dLbls>
        <c:gapWidth val="219"/>
        <c:overlap val="-27"/>
        <c:axId val="1968815264"/>
        <c:axId val="1968805472"/>
      </c:barChart>
      <c:catAx>
        <c:axId val="196881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805472"/>
        <c:crosses val="autoZero"/>
        <c:auto val="1"/>
        <c:lblAlgn val="ctr"/>
        <c:lblOffset val="100"/>
        <c:noMultiLvlLbl val="0"/>
      </c:catAx>
      <c:valAx>
        <c:axId val="1968805472"/>
        <c:scaling>
          <c:orientation val="minMax"/>
        </c:scaling>
        <c:delete val="0"/>
        <c:axPos val="l"/>
        <c:majorGridlines>
          <c:spPr>
            <a:ln w="9525" cap="flat" cmpd="sng" algn="ctr">
              <a:solidFill>
                <a:schemeClr val="tx1">
                  <a:lumMod val="15000"/>
                  <a:lumOff val="85000"/>
                </a:schemeClr>
              </a:solidFill>
              <a:round/>
            </a:ln>
            <a:effectLst/>
          </c:spPr>
        </c:majorGridlines>
        <c:numFmt formatCode="#,###,,&quot; M&quot;;#,###,,&quot; M&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8815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38100</xdr:rowOff>
        </xdr:from>
        <xdr:to>
          <xdr:col>7</xdr:col>
          <xdr:colOff>445939</xdr:colOff>
          <xdr:row>25</xdr:row>
          <xdr:rowOff>67102</xdr:rowOff>
        </xdr:to>
        <xdr:pic>
          <xdr:nvPicPr>
            <xdr:cNvPr id="2" name="Picture 1"/>
            <xdr:cNvPicPr>
              <a:picLocks noChangeAspect="1" noChangeArrowheads="1"/>
              <a:extLst>
                <a:ext uri="{84589F7E-364E-4C9E-8A38-B11213B215E9}">
                  <a14:cameraTool cellRange="'E(1an)'!$P$1:$P$4" spid="_x0000_s8369"/>
                </a:ext>
              </a:extLst>
            </xdr:cNvPicPr>
          </xdr:nvPicPr>
          <xdr:blipFill>
            <a:blip xmlns:r="http://schemas.openxmlformats.org/officeDocument/2006/relationships" r:embed="rId1"/>
            <a:srcRect/>
            <a:stretch>
              <a:fillRect/>
            </a:stretch>
          </xdr:blipFill>
          <xdr:spPr bwMode="auto">
            <a:xfrm>
              <a:off x="0" y="3467100"/>
              <a:ext cx="6170464" cy="1362502"/>
            </a:xfrm>
            <a:prstGeom prst="rect">
              <a:avLst/>
            </a:prstGeom>
            <a:solidFill>
              <a:schemeClr val="bg1"/>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21801</xdr:colOff>
          <xdr:row>15</xdr:row>
          <xdr:rowOff>115834</xdr:rowOff>
        </xdr:from>
        <xdr:to>
          <xdr:col>7</xdr:col>
          <xdr:colOff>477265</xdr:colOff>
          <xdr:row>22</xdr:row>
          <xdr:rowOff>134885</xdr:rowOff>
        </xdr:to>
        <xdr:pic>
          <xdr:nvPicPr>
            <xdr:cNvPr id="10" name="Picture 9"/>
            <xdr:cNvPicPr>
              <a:picLocks noChangeAspect="1" noChangeArrowheads="1"/>
              <a:extLst>
                <a:ext uri="{84589F7E-364E-4C9E-8A38-B11213B215E9}">
                  <a14:cameraTool cellRange="'E(1an)'!$P$1:$P$4" spid="_x0000_s4326"/>
                </a:ext>
              </a:extLst>
            </xdr:cNvPicPr>
          </xdr:nvPicPr>
          <xdr:blipFill>
            <a:blip xmlns:r="http://schemas.openxmlformats.org/officeDocument/2006/relationships" r:embed="rId1"/>
            <a:srcRect/>
            <a:stretch>
              <a:fillRect/>
            </a:stretch>
          </xdr:blipFill>
          <xdr:spPr bwMode="auto">
            <a:xfrm>
              <a:off x="21801" y="2994659"/>
              <a:ext cx="6170464" cy="1362502"/>
            </a:xfrm>
            <a:prstGeom prst="rect">
              <a:avLst/>
            </a:prstGeom>
            <a:solidFill>
              <a:schemeClr val="bg1"/>
            </a:solidFill>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11</xdr:col>
          <xdr:colOff>57150</xdr:colOff>
          <xdr:row>138</xdr:row>
          <xdr:rowOff>142875</xdr:rowOff>
        </xdr:to>
        <xdr:sp macro="" textlink="">
          <xdr:nvSpPr>
            <xdr:cNvPr id="60418" name="Object 2" hidden="1">
              <a:extLst>
                <a:ext uri="{63B3BB69-23CF-44E3-9099-C40C66FF867C}">
                  <a14:compatExt spid="_x0000_s6041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11</xdr:col>
          <xdr:colOff>57150</xdr:colOff>
          <xdr:row>170</xdr:row>
          <xdr:rowOff>85725</xdr:rowOff>
        </xdr:to>
        <xdr:sp macro="" textlink="">
          <xdr:nvSpPr>
            <xdr:cNvPr id="60419" name="Object 3" hidden="1">
              <a:extLst>
                <a:ext uri="{63B3BB69-23CF-44E3-9099-C40C66FF867C}">
                  <a14:compatExt spid="_x0000_s6041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11</xdr:col>
          <xdr:colOff>57150</xdr:colOff>
          <xdr:row>138</xdr:row>
          <xdr:rowOff>142875</xdr:rowOff>
        </xdr:to>
        <xdr:sp macro="" textlink="">
          <xdr:nvSpPr>
            <xdr:cNvPr id="81921" name="Object 1" hidden="1">
              <a:extLst>
                <a:ext uri="{63B3BB69-23CF-44E3-9099-C40C66FF867C}">
                  <a14:compatExt spid="_x0000_s8192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11</xdr:col>
          <xdr:colOff>57150</xdr:colOff>
          <xdr:row>170</xdr:row>
          <xdr:rowOff>85725</xdr:rowOff>
        </xdr:to>
        <xdr:sp macro="" textlink="">
          <xdr:nvSpPr>
            <xdr:cNvPr id="81922" name="Object 2" hidden="1">
              <a:extLst>
                <a:ext uri="{63B3BB69-23CF-44E3-9099-C40C66FF867C}">
                  <a14:compatExt spid="_x0000_s8192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209550</xdr:colOff>
          <xdr:row>0</xdr:row>
          <xdr:rowOff>38100</xdr:rowOff>
        </xdr:from>
        <xdr:to>
          <xdr:col>20</xdr:col>
          <xdr:colOff>409575</xdr:colOff>
          <xdr:row>42</xdr:row>
          <xdr:rowOff>104775</xdr:rowOff>
        </xdr:to>
        <xdr:sp macro="" textlink="">
          <xdr:nvSpPr>
            <xdr:cNvPr id="33793" name="Object 1" hidden="1">
              <a:extLst>
                <a:ext uri="{63B3BB69-23CF-44E3-9099-C40C66FF867C}">
                  <a14:compatExt spid="_x0000_s3379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209550</xdr:colOff>
          <xdr:row>0</xdr:row>
          <xdr:rowOff>38100</xdr:rowOff>
        </xdr:from>
        <xdr:to>
          <xdr:col>20</xdr:col>
          <xdr:colOff>409575</xdr:colOff>
          <xdr:row>42</xdr:row>
          <xdr:rowOff>104775</xdr:rowOff>
        </xdr:to>
        <xdr:sp macro="" textlink="">
          <xdr:nvSpPr>
            <xdr:cNvPr id="57345" name="Object 1" hidden="1">
              <a:extLst>
                <a:ext uri="{63B3BB69-23CF-44E3-9099-C40C66FF867C}">
                  <a14:compatExt spid="_x0000_s5734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0</xdr:row>
          <xdr:rowOff>38100</xdr:rowOff>
        </xdr:from>
        <xdr:to>
          <xdr:col>20</xdr:col>
          <xdr:colOff>409575</xdr:colOff>
          <xdr:row>42</xdr:row>
          <xdr:rowOff>104775</xdr:rowOff>
        </xdr:to>
        <xdr:sp macro="" textlink="">
          <xdr:nvSpPr>
            <xdr:cNvPr id="57346" name="Object 2" hidden="1">
              <a:extLst>
                <a:ext uri="{63B3BB69-23CF-44E3-9099-C40C66FF867C}">
                  <a14:compatExt spid="_x0000_s5734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833437</xdr:colOff>
      <xdr:row>2</xdr:row>
      <xdr:rowOff>136922</xdr:rowOff>
    </xdr:from>
    <xdr:to>
      <xdr:col>7</xdr:col>
      <xdr:colOff>380999</xdr:colOff>
      <xdr:row>13</xdr:row>
      <xdr:rowOff>5358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833437</xdr:colOff>
      <xdr:row>2</xdr:row>
      <xdr:rowOff>136922</xdr:rowOff>
    </xdr:from>
    <xdr:to>
      <xdr:col>7</xdr:col>
      <xdr:colOff>380999</xdr:colOff>
      <xdr:row>13</xdr:row>
      <xdr:rowOff>5358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ProductNamesAnswer" displayName="ProductNamesAnswer" ref="A57:A62" totalsRowShown="0" headerRowDxfId="3" headerRowBorderDxfId="2" tableBorderDxfId="1" totalsRowBorderDxfId="0">
  <autoFilter ref="A57:A62"/>
  <tableColumns count="1">
    <tableColumn id="1" name="Produc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2" Type="http://schemas.openxmlformats.org/officeDocument/2006/relationships/hyperlink" Target="https://www.youtube.com/playlist?list=PL0EB55D99E9CF7E13" TargetMode="External"/><Relationship Id="rId1" Type="http://schemas.openxmlformats.org/officeDocument/2006/relationships/hyperlink" Target="https://www.youtube.com/playlist?list=PL0EB55D99E9CF7E13"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playlist?list=PL0EB55D99E9CF7E13" TargetMode="External"/><Relationship Id="rId1" Type="http://schemas.openxmlformats.org/officeDocument/2006/relationships/hyperlink" Target="https://www.youtube.com/playlist?list=PL0EB55D99E9CF7E13" TargetMode="Externa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1" Type="http://schemas.openxmlformats.org/officeDocument/2006/relationships/hyperlink" Target="http://www.mrexcel.com/forum/showthread.php?t=492579" TargetMode="External"/></Relationships>
</file>

<file path=xl/worksheets/_rels/sheet21.xml.rels><?xml version="1.0" encoding="UTF-8" standalone="yes"?>
<Relationships xmlns="http://schemas.openxmlformats.org/package/2006/relationships"><Relationship Id="rId1" Type="http://schemas.openxmlformats.org/officeDocument/2006/relationships/hyperlink" Target="http://www.mrexcel.com/forum/showthread.php?t=492579" TargetMode="External"/></Relationships>
</file>

<file path=xl/worksheets/_rels/sheet24.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hyperlink" Target="http://www.youtube.com/playlist?list=PL95781BFAAB4162C0" TargetMode="External"/><Relationship Id="rId7" Type="http://schemas.openxmlformats.org/officeDocument/2006/relationships/image" Target="../media/image3.emf"/><Relationship Id="rId2" Type="http://schemas.openxmlformats.org/officeDocument/2006/relationships/hyperlink" Target="http://www.youtube.com/playlist?list=PL95781BFAAB4162C0" TargetMode="External"/><Relationship Id="rId1" Type="http://schemas.openxmlformats.org/officeDocument/2006/relationships/hyperlink" Target="http://www.amazon.com/gp/product/1615470077/ref=s9_simh_gw_p14_d0_i1?pf_rd_m=ATVPDKIKX0DER&amp;pf_rd_s=center-2&amp;pf_rd_r=0RE1ATDSD9CBRHZ5FZ5H&amp;pf_rd_t=101&amp;pf_rd_p=1630083502&amp;pf_rd_i=507846" TargetMode="External"/><Relationship Id="rId6" Type="http://schemas.openxmlformats.org/officeDocument/2006/relationships/package" Target="../embeddings/Microsoft_Word_Document1.docx"/><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image" Target="../media/image4.emf"/></Relationships>
</file>

<file path=xl/worksheets/_rels/sheet2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www.youtube.com/playlist?list=PL95781BFAAB4162C0" TargetMode="External"/><Relationship Id="rId7" Type="http://schemas.openxmlformats.org/officeDocument/2006/relationships/package" Target="../embeddings/Microsoft_Word_Document3.docx"/><Relationship Id="rId2" Type="http://schemas.openxmlformats.org/officeDocument/2006/relationships/hyperlink" Target="http://www.youtube.com/playlist?list=PL95781BFAAB4162C0" TargetMode="External"/><Relationship Id="rId1" Type="http://schemas.openxmlformats.org/officeDocument/2006/relationships/hyperlink" Target="http://www.amazon.com/gp/product/1615470077/ref=s9_simh_gw_p14_d0_i1?pf_rd_m=ATVPDKIKX0DER&amp;pf_rd_s=center-2&amp;pf_rd_r=0RE1ATDSD9CBRHZ5FZ5H&amp;pf_rd_t=101&amp;pf_rd_p=1630083502&amp;pf_rd_i=507846" TargetMode="External"/><Relationship Id="rId6" Type="http://schemas.openxmlformats.org/officeDocument/2006/relationships/vmlDrawing" Target="../drawings/vmlDrawing4.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2.bin"/><Relationship Id="rId9" Type="http://schemas.openxmlformats.org/officeDocument/2006/relationships/package" Target="../embeddings/Microsoft_Word_Document4.docx"/></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package" Target="../embeddings/Microsoft_Word_Document5.docx"/></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package" Target="../embeddings/Microsoft_Word_Document7.docx"/><Relationship Id="rId5" Type="http://schemas.openxmlformats.org/officeDocument/2006/relationships/image" Target="../media/image7.emf"/><Relationship Id="rId4" Type="http://schemas.openxmlformats.org/officeDocument/2006/relationships/package" Target="../embeddings/Microsoft_Word_Document6.docx"/></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10"/>
  <sheetViews>
    <sheetView tabSelected="1" zoomScale="130" zoomScaleNormal="130" workbookViewId="0">
      <selection activeCell="E1" sqref="E1"/>
    </sheetView>
  </sheetViews>
  <sheetFormatPr defaultRowHeight="15" x14ac:dyDescent="0.25"/>
  <cols>
    <col min="1" max="1" width="42.42578125" customWidth="1"/>
  </cols>
  <sheetData>
    <row r="1" spans="1:2" x14ac:dyDescent="0.25">
      <c r="A1" s="11" t="s">
        <v>0</v>
      </c>
      <c r="B1" s="11" t="s">
        <v>5</v>
      </c>
    </row>
    <row r="2" spans="1:2" x14ac:dyDescent="0.25">
      <c r="A2" s="4" t="s">
        <v>730</v>
      </c>
      <c r="B2" s="4">
        <v>27</v>
      </c>
    </row>
    <row r="3" spans="1:2" x14ac:dyDescent="0.25">
      <c r="A3" s="4" t="s">
        <v>1</v>
      </c>
      <c r="B3" s="4">
        <v>28</v>
      </c>
    </row>
    <row r="4" spans="1:2" x14ac:dyDescent="0.25">
      <c r="A4" s="4" t="s">
        <v>2</v>
      </c>
      <c r="B4" s="4">
        <v>29</v>
      </c>
    </row>
    <row r="5" spans="1:2" x14ac:dyDescent="0.25">
      <c r="A5" s="4" t="s">
        <v>1042</v>
      </c>
      <c r="B5" s="4">
        <v>30</v>
      </c>
    </row>
    <row r="6" spans="1:2" x14ac:dyDescent="0.25">
      <c r="A6" s="4" t="s">
        <v>3</v>
      </c>
      <c r="B6" s="4">
        <v>31</v>
      </c>
    </row>
    <row r="7" spans="1:2" x14ac:dyDescent="0.25">
      <c r="A7" s="4" t="s">
        <v>4</v>
      </c>
      <c r="B7" s="4">
        <v>32</v>
      </c>
    </row>
    <row r="10" spans="1:2" x14ac:dyDescent="0.25">
      <c r="A10" t="s">
        <v>1485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C18"/>
  <sheetViews>
    <sheetView zoomScale="85" zoomScaleNormal="85" workbookViewId="0">
      <selection activeCell="B7" sqref="B7"/>
    </sheetView>
  </sheetViews>
  <sheetFormatPr defaultRowHeight="15" x14ac:dyDescent="0.25"/>
  <cols>
    <col min="1" max="1" width="13.42578125" customWidth="1"/>
    <col min="2" max="2" width="81.7109375" customWidth="1"/>
  </cols>
  <sheetData>
    <row r="1" spans="1:3" ht="26.25" x14ac:dyDescent="0.25">
      <c r="A1" s="33" t="s">
        <v>749</v>
      </c>
    </row>
    <row r="2" spans="1:3" ht="26.25" x14ac:dyDescent="0.25">
      <c r="A2" s="33" t="s">
        <v>750</v>
      </c>
    </row>
    <row r="4" spans="1:3" x14ac:dyDescent="0.25">
      <c r="A4" s="29" t="s">
        <v>52</v>
      </c>
      <c r="B4" s="29" t="s">
        <v>53</v>
      </c>
    </row>
    <row r="5" spans="1:3" x14ac:dyDescent="0.25">
      <c r="A5" s="12" t="s">
        <v>54</v>
      </c>
      <c r="B5" s="12"/>
    </row>
    <row r="6" spans="1:3" ht="64.5" x14ac:dyDescent="0.25">
      <c r="A6" s="13" t="s">
        <v>67</v>
      </c>
      <c r="B6" s="16" t="s">
        <v>751</v>
      </c>
    </row>
    <row r="7" spans="1:3" ht="26.25" x14ac:dyDescent="0.25">
      <c r="A7" s="15" t="s">
        <v>709</v>
      </c>
      <c r="B7" s="16" t="s">
        <v>708</v>
      </c>
      <c r="C7" t="s">
        <v>732</v>
      </c>
    </row>
    <row r="8" spans="1:3" x14ac:dyDescent="0.25">
      <c r="A8" s="12" t="s">
        <v>731</v>
      </c>
      <c r="B8" s="12"/>
    </row>
    <row r="9" spans="1:3" x14ac:dyDescent="0.25">
      <c r="A9" s="17" t="e">
        <v>#DIV/0!</v>
      </c>
      <c r="B9" s="14" t="s">
        <v>55</v>
      </c>
      <c r="C9" t="s">
        <v>733</v>
      </c>
    </row>
    <row r="10" spans="1:3" ht="26.25" x14ac:dyDescent="0.25">
      <c r="A10" s="13" t="e">
        <v>#REF!</v>
      </c>
      <c r="B10" s="15" t="s">
        <v>56</v>
      </c>
    </row>
    <row r="11" spans="1:3" ht="26.25" x14ac:dyDescent="0.25">
      <c r="A11" s="13" t="e">
        <v>#NAME?</v>
      </c>
      <c r="B11" s="15" t="s">
        <v>57</v>
      </c>
    </row>
    <row r="12" spans="1:3" x14ac:dyDescent="0.25">
      <c r="A12" s="13" t="e">
        <v>#N/A</v>
      </c>
      <c r="B12" s="15" t="s">
        <v>58</v>
      </c>
    </row>
    <row r="13" spans="1:3" ht="26.25" x14ac:dyDescent="0.25">
      <c r="A13" s="13" t="e">
        <v>#VALUE!</v>
      </c>
      <c r="B13" s="15" t="s">
        <v>59</v>
      </c>
    </row>
    <row r="14" spans="1:3" x14ac:dyDescent="0.25">
      <c r="A14" s="15" t="e">
        <v>#NULL!</v>
      </c>
      <c r="B14" s="16" t="s">
        <v>60</v>
      </c>
    </row>
    <row r="15" spans="1:3" ht="39" x14ac:dyDescent="0.25">
      <c r="A15" s="13" t="e">
        <v>#NUM!</v>
      </c>
      <c r="B15" s="15" t="s">
        <v>61</v>
      </c>
    </row>
    <row r="16" spans="1:3" x14ac:dyDescent="0.25">
      <c r="A16" s="12" t="s">
        <v>62</v>
      </c>
      <c r="B16" s="12"/>
    </row>
    <row r="17" spans="1:3" ht="26.25" x14ac:dyDescent="0.25">
      <c r="A17" s="13" t="s">
        <v>63</v>
      </c>
      <c r="B17" s="15" t="s">
        <v>64</v>
      </c>
      <c r="C17" t="s">
        <v>733</v>
      </c>
    </row>
    <row r="18" spans="1:3" ht="26.25" x14ac:dyDescent="0.25">
      <c r="A18" s="15" t="s">
        <v>65</v>
      </c>
      <c r="B18" s="16" t="s">
        <v>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J17"/>
  <sheetViews>
    <sheetView workbookViewId="0">
      <selection activeCell="I13" sqref="I13"/>
    </sheetView>
  </sheetViews>
  <sheetFormatPr defaultRowHeight="15" x14ac:dyDescent="0.25"/>
  <cols>
    <col min="1" max="1" width="16.140625" customWidth="1"/>
    <col min="2" max="4" width="11" customWidth="1"/>
    <col min="5" max="5" width="14.7109375" customWidth="1"/>
    <col min="6" max="7" width="11" customWidth="1"/>
    <col min="8" max="8" width="13.28515625" customWidth="1"/>
    <col min="9" max="10" width="11" customWidth="1"/>
    <col min="16" max="16" width="40.42578125" bestFit="1" customWidth="1"/>
  </cols>
  <sheetData>
    <row r="1" spans="1:10" x14ac:dyDescent="0.25">
      <c r="A1" s="2"/>
    </row>
    <row r="3" spans="1:10" x14ac:dyDescent="0.25">
      <c r="A3" s="18" t="s">
        <v>68</v>
      </c>
      <c r="B3" s="19" t="s">
        <v>69</v>
      </c>
      <c r="C3" s="19" t="s">
        <v>39</v>
      </c>
      <c r="D3" s="19" t="s">
        <v>36</v>
      </c>
      <c r="E3" s="19" t="s">
        <v>35</v>
      </c>
      <c r="F3" s="19" t="s">
        <v>70</v>
      </c>
      <c r="G3" s="19" t="s">
        <v>71</v>
      </c>
      <c r="H3" s="19" t="s">
        <v>87</v>
      </c>
      <c r="I3" s="19" t="s">
        <v>72</v>
      </c>
      <c r="J3" s="19" t="s">
        <v>83</v>
      </c>
    </row>
    <row r="4" spans="1:10" x14ac:dyDescent="0.25">
      <c r="A4" s="19" t="s">
        <v>74</v>
      </c>
      <c r="B4" s="23">
        <v>10153</v>
      </c>
      <c r="C4" s="23">
        <v>15952</v>
      </c>
      <c r="D4" s="23">
        <v>13740</v>
      </c>
      <c r="E4" s="23">
        <v>9119</v>
      </c>
      <c r="F4" s="23">
        <v>12162</v>
      </c>
      <c r="G4" s="23">
        <v>11767</v>
      </c>
      <c r="H4" s="23">
        <v>13483</v>
      </c>
      <c r="I4" s="23">
        <v>7043</v>
      </c>
      <c r="J4" s="23">
        <v>5107</v>
      </c>
    </row>
    <row r="5" spans="1:10" x14ac:dyDescent="0.25">
      <c r="A5" s="19" t="s">
        <v>75</v>
      </c>
      <c r="B5" s="23">
        <v>17765</v>
      </c>
      <c r="C5" s="23">
        <v>8996</v>
      </c>
      <c r="D5" s="23">
        <v>17998</v>
      </c>
      <c r="E5" s="23">
        <v>17300</v>
      </c>
      <c r="F5" s="23">
        <v>12791</v>
      </c>
      <c r="G5" s="23">
        <v>12034</v>
      </c>
      <c r="H5" s="23">
        <v>8897</v>
      </c>
      <c r="I5" s="23">
        <v>12608</v>
      </c>
      <c r="J5" s="23">
        <v>11512</v>
      </c>
    </row>
    <row r="6" spans="1:10" x14ac:dyDescent="0.25">
      <c r="A6" s="19" t="s">
        <v>76</v>
      </c>
      <c r="B6" s="23">
        <v>19227</v>
      </c>
      <c r="C6" s="23">
        <v>14636</v>
      </c>
      <c r="D6" s="23">
        <v>13571</v>
      </c>
      <c r="E6" s="23">
        <v>9918</v>
      </c>
      <c r="F6" s="23">
        <v>5297</v>
      </c>
      <c r="G6" s="23">
        <v>9478</v>
      </c>
      <c r="H6" s="23">
        <v>11352</v>
      </c>
      <c r="I6" s="23">
        <v>11753</v>
      </c>
      <c r="J6" s="23">
        <v>9956</v>
      </c>
    </row>
    <row r="7" spans="1:10" x14ac:dyDescent="0.25">
      <c r="A7" s="19" t="s">
        <v>77</v>
      </c>
      <c r="B7" s="23">
        <v>15107</v>
      </c>
      <c r="C7" s="23">
        <v>8110</v>
      </c>
      <c r="D7" s="23">
        <v>11065</v>
      </c>
      <c r="E7" s="23">
        <v>12905</v>
      </c>
      <c r="F7" s="23">
        <v>12393</v>
      </c>
      <c r="G7" s="23">
        <v>12607</v>
      </c>
      <c r="H7" s="23">
        <v>7517</v>
      </c>
      <c r="I7" s="23">
        <v>7820</v>
      </c>
      <c r="J7" s="23">
        <v>11081</v>
      </c>
    </row>
    <row r="8" spans="1:10" x14ac:dyDescent="0.25">
      <c r="A8" s="19" t="s">
        <v>78</v>
      </c>
      <c r="B8" s="23">
        <v>13694</v>
      </c>
      <c r="C8" s="23">
        <v>12942</v>
      </c>
      <c r="D8" s="23">
        <v>12896</v>
      </c>
      <c r="E8" s="23">
        <v>5898</v>
      </c>
      <c r="F8" s="23">
        <v>10353</v>
      </c>
      <c r="G8" s="23">
        <v>19741</v>
      </c>
      <c r="H8" s="23">
        <v>18423</v>
      </c>
      <c r="I8" s="23">
        <v>19701</v>
      </c>
      <c r="J8" s="23">
        <v>11726</v>
      </c>
    </row>
    <row r="9" spans="1:10" x14ac:dyDescent="0.25">
      <c r="A9" s="19" t="s">
        <v>79</v>
      </c>
      <c r="B9" s="23">
        <v>10382</v>
      </c>
      <c r="C9" s="23">
        <v>11342</v>
      </c>
      <c r="D9" s="23">
        <v>5898</v>
      </c>
      <c r="E9" s="23">
        <v>7992</v>
      </c>
      <c r="F9" s="23">
        <v>12060</v>
      </c>
      <c r="G9" s="23">
        <v>12499</v>
      </c>
      <c r="H9" s="23">
        <v>18686</v>
      </c>
      <c r="I9" s="23">
        <v>15468</v>
      </c>
      <c r="J9" s="23">
        <v>9052</v>
      </c>
    </row>
    <row r="10" spans="1:10" x14ac:dyDescent="0.25">
      <c r="B10" s="20"/>
      <c r="C10" s="20"/>
      <c r="D10" s="20"/>
      <c r="E10" s="20"/>
      <c r="F10" s="20"/>
    </row>
    <row r="11" spans="1:10" x14ac:dyDescent="0.25">
      <c r="A11" s="2" t="s">
        <v>88</v>
      </c>
      <c r="B11" s="20"/>
      <c r="C11" s="20"/>
      <c r="D11" s="24" t="s">
        <v>89</v>
      </c>
      <c r="E11" s="20"/>
      <c r="F11" s="20"/>
      <c r="H11" s="2" t="s">
        <v>88</v>
      </c>
      <c r="I11" s="20"/>
    </row>
    <row r="12" spans="1:10" x14ac:dyDescent="0.25">
      <c r="B12" s="5" t="s">
        <v>82</v>
      </c>
      <c r="D12" s="21" t="s">
        <v>80</v>
      </c>
      <c r="E12" s="19" t="s">
        <v>28</v>
      </c>
      <c r="F12" s="5" t="s">
        <v>81</v>
      </c>
      <c r="I12" s="5" t="s">
        <v>82</v>
      </c>
    </row>
    <row r="13" spans="1:10" x14ac:dyDescent="0.25">
      <c r="A13" s="19" t="s">
        <v>69</v>
      </c>
      <c r="B13" s="22" t="e">
        <f>SUM(INDEX($B$5:$J$10,0,MATCH(A13,$B$4:$J$4)))</f>
        <v>#N/A</v>
      </c>
      <c r="D13" s="4" t="s">
        <v>74</v>
      </c>
      <c r="E13" s="4" t="s">
        <v>90</v>
      </c>
      <c r="F13" s="22" t="e">
        <f ca="1">INDEX(E4:M9MATCH(D13,D4:D9,0),MATCH(E13,E3:L3,0))</f>
        <v>#NAME?</v>
      </c>
      <c r="H13" s="19" t="s">
        <v>69</v>
      </c>
      <c r="I13" s="22">
        <f>SUM(INDEX($B$4:$J$9,0,MATCH(H$13,$B$3:$J$3,0)))</f>
        <v>86328</v>
      </c>
    </row>
    <row r="14" spans="1:10" x14ac:dyDescent="0.25">
      <c r="A14" s="19" t="s">
        <v>39</v>
      </c>
      <c r="B14" s="22" t="e">
        <f t="shared" ref="B14:B17" si="0">SUM(INDEX($B$5:$J$10,0,MATCH(A14,$B$4:$J$4)))</f>
        <v>#N/A</v>
      </c>
      <c r="H14" s="19" t="s">
        <v>39</v>
      </c>
      <c r="I14" s="22"/>
    </row>
    <row r="15" spans="1:10" x14ac:dyDescent="0.25">
      <c r="A15" s="19" t="s">
        <v>37</v>
      </c>
      <c r="B15" s="22" t="e">
        <f t="shared" si="0"/>
        <v>#N/A</v>
      </c>
      <c r="H15" s="19" t="s">
        <v>37</v>
      </c>
      <c r="I15" s="22"/>
    </row>
    <row r="16" spans="1:10" x14ac:dyDescent="0.25">
      <c r="A16" s="19" t="s">
        <v>72</v>
      </c>
      <c r="B16" s="22" t="e">
        <f t="shared" si="0"/>
        <v>#N/A</v>
      </c>
      <c r="H16" s="19" t="s">
        <v>72</v>
      </c>
      <c r="I16" s="22"/>
    </row>
    <row r="17" spans="1:9" x14ac:dyDescent="0.25">
      <c r="A17" s="19" t="s">
        <v>73</v>
      </c>
      <c r="B17" s="22" t="e">
        <f t="shared" si="0"/>
        <v>#N/A</v>
      </c>
      <c r="H17" s="19" t="s">
        <v>83</v>
      </c>
      <c r="I17" s="22"/>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P15"/>
  <sheetViews>
    <sheetView zoomScale="134" zoomScaleNormal="134" workbookViewId="0">
      <selection activeCell="I11" sqref="I11:I15"/>
    </sheetView>
  </sheetViews>
  <sheetFormatPr defaultRowHeight="15" x14ac:dyDescent="0.25"/>
  <cols>
    <col min="1" max="1" width="16.140625" customWidth="1"/>
    <col min="2" max="4" width="11" customWidth="1"/>
    <col min="5" max="5" width="14.7109375" customWidth="1"/>
    <col min="6" max="7" width="11" customWidth="1"/>
    <col min="8" max="8" width="13.28515625" customWidth="1"/>
    <col min="9" max="10" width="11" customWidth="1"/>
    <col min="16" max="16" width="59.28515625" customWidth="1"/>
  </cols>
  <sheetData>
    <row r="1" spans="1:16" x14ac:dyDescent="0.25">
      <c r="A1" s="18" t="s">
        <v>68</v>
      </c>
      <c r="B1" s="19" t="s">
        <v>69</v>
      </c>
      <c r="C1" s="19" t="s">
        <v>39</v>
      </c>
      <c r="D1" s="19" t="s">
        <v>36</v>
      </c>
      <c r="E1" s="19" t="s">
        <v>35</v>
      </c>
      <c r="F1" s="19" t="s">
        <v>70</v>
      </c>
      <c r="G1" s="19" t="s">
        <v>71</v>
      </c>
      <c r="H1" s="19" t="s">
        <v>37</v>
      </c>
      <c r="I1" s="19" t="s">
        <v>72</v>
      </c>
      <c r="J1" s="19" t="s">
        <v>83</v>
      </c>
      <c r="P1" t="s">
        <v>84</v>
      </c>
    </row>
    <row r="2" spans="1:16" x14ac:dyDescent="0.25">
      <c r="A2" s="19" t="s">
        <v>74</v>
      </c>
      <c r="B2" s="23">
        <v>10153</v>
      </c>
      <c r="C2" s="23">
        <v>15952</v>
      </c>
      <c r="D2" s="23">
        <v>13740</v>
      </c>
      <c r="E2" s="23">
        <v>9119</v>
      </c>
      <c r="F2" s="23">
        <v>12162</v>
      </c>
      <c r="G2" s="23">
        <v>11767</v>
      </c>
      <c r="H2" s="23">
        <v>13483</v>
      </c>
      <c r="I2" s="23">
        <v>7043</v>
      </c>
      <c r="J2" s="23">
        <v>5107</v>
      </c>
      <c r="P2" t="s">
        <v>752</v>
      </c>
    </row>
    <row r="3" spans="1:16" x14ac:dyDescent="0.25">
      <c r="A3" s="19" t="s">
        <v>75</v>
      </c>
      <c r="B3" s="23">
        <v>17765</v>
      </c>
      <c r="C3" s="23">
        <v>8996</v>
      </c>
      <c r="D3" s="23">
        <v>17998</v>
      </c>
      <c r="E3" s="23">
        <v>17300</v>
      </c>
      <c r="F3" s="23">
        <v>12791</v>
      </c>
      <c r="G3" s="23">
        <v>12034</v>
      </c>
      <c r="H3" s="23">
        <v>8897</v>
      </c>
      <c r="I3" s="23">
        <v>12608</v>
      </c>
      <c r="J3" s="23">
        <v>11512</v>
      </c>
      <c r="P3" t="s">
        <v>86</v>
      </c>
    </row>
    <row r="4" spans="1:16" x14ac:dyDescent="0.25">
      <c r="A4" s="19" t="s">
        <v>76</v>
      </c>
      <c r="B4" s="23">
        <v>19227</v>
      </c>
      <c r="C4" s="23">
        <v>14636</v>
      </c>
      <c r="D4" s="23">
        <v>13571</v>
      </c>
      <c r="E4" s="23">
        <v>9918</v>
      </c>
      <c r="F4" s="23">
        <v>5297</v>
      </c>
      <c r="G4" s="23">
        <v>9478</v>
      </c>
      <c r="H4" s="23">
        <v>11352</v>
      </c>
      <c r="I4" s="23">
        <v>11753</v>
      </c>
      <c r="J4" s="23">
        <v>9956</v>
      </c>
      <c r="P4" t="s">
        <v>85</v>
      </c>
    </row>
    <row r="5" spans="1:16" x14ac:dyDescent="0.25">
      <c r="A5" s="19" t="s">
        <v>77</v>
      </c>
      <c r="B5" s="23">
        <v>15107</v>
      </c>
      <c r="C5" s="23">
        <v>8110</v>
      </c>
      <c r="D5" s="23">
        <v>11065</v>
      </c>
      <c r="E5" s="23">
        <v>12905</v>
      </c>
      <c r="F5" s="23">
        <v>12393</v>
      </c>
      <c r="G5" s="23">
        <v>12607</v>
      </c>
      <c r="H5" s="23">
        <v>7517</v>
      </c>
      <c r="I5" s="23">
        <v>7820</v>
      </c>
      <c r="J5" s="23">
        <v>11081</v>
      </c>
    </row>
    <row r="6" spans="1:16" x14ac:dyDescent="0.25">
      <c r="A6" s="19" t="s">
        <v>78</v>
      </c>
      <c r="B6" s="23">
        <v>13694</v>
      </c>
      <c r="C6" s="23">
        <v>12942</v>
      </c>
      <c r="D6" s="23">
        <v>12896</v>
      </c>
      <c r="E6" s="23">
        <v>5898</v>
      </c>
      <c r="F6" s="23">
        <v>10353</v>
      </c>
      <c r="G6" s="23">
        <v>19741</v>
      </c>
      <c r="H6" s="23">
        <v>18423</v>
      </c>
      <c r="I6" s="23">
        <v>19701</v>
      </c>
      <c r="J6" s="23">
        <v>11726</v>
      </c>
    </row>
    <row r="7" spans="1:16" x14ac:dyDescent="0.25">
      <c r="A7" s="19" t="s">
        <v>79</v>
      </c>
      <c r="B7" s="23">
        <v>10382</v>
      </c>
      <c r="C7" s="23">
        <v>11342</v>
      </c>
      <c r="D7" s="23">
        <v>5898</v>
      </c>
      <c r="E7" s="23">
        <v>7992</v>
      </c>
      <c r="F7" s="23">
        <v>12060</v>
      </c>
      <c r="G7" s="23">
        <v>12499</v>
      </c>
      <c r="H7" s="23">
        <v>18686</v>
      </c>
      <c r="I7" s="23">
        <v>15468</v>
      </c>
      <c r="J7" s="23">
        <v>9052</v>
      </c>
    </row>
    <row r="8" spans="1:16" x14ac:dyDescent="0.25">
      <c r="B8" s="20"/>
      <c r="C8" s="20"/>
      <c r="D8" s="20"/>
      <c r="E8" s="20"/>
      <c r="F8" s="20"/>
    </row>
    <row r="9" spans="1:16" x14ac:dyDescent="0.25">
      <c r="A9" s="2" t="s">
        <v>88</v>
      </c>
      <c r="B9" s="20"/>
      <c r="C9" s="20"/>
      <c r="D9" s="24" t="s">
        <v>89</v>
      </c>
      <c r="E9" s="20"/>
      <c r="F9" s="20"/>
      <c r="H9" s="2" t="s">
        <v>88</v>
      </c>
      <c r="I9" s="20"/>
    </row>
    <row r="10" spans="1:16" x14ac:dyDescent="0.25">
      <c r="B10" s="5" t="s">
        <v>82</v>
      </c>
      <c r="D10" s="21" t="s">
        <v>80</v>
      </c>
      <c r="E10" s="19" t="s">
        <v>28</v>
      </c>
      <c r="F10" s="5" t="s">
        <v>81</v>
      </c>
      <c r="I10" s="5" t="s">
        <v>82</v>
      </c>
    </row>
    <row r="11" spans="1:16" x14ac:dyDescent="0.25">
      <c r="A11" s="19" t="s">
        <v>69</v>
      </c>
      <c r="B11" s="22">
        <f>SUM(INDEX($B$2:$J$7,0,MATCH(A11,$B$1:$J$1,0)))</f>
        <v>86328</v>
      </c>
      <c r="D11" s="4" t="s">
        <v>74</v>
      </c>
      <c r="E11" s="4" t="s">
        <v>83</v>
      </c>
      <c r="F11" s="22">
        <f>INDEX(B2:J7,MATCH(D11,A2:A7,0),MATCH(E11,B1:J1,0))</f>
        <v>5107</v>
      </c>
      <c r="H11" s="19" t="s">
        <v>69</v>
      </c>
      <c r="I11" s="22">
        <f>SUM(INDEX($B$2:$J$7,0,MATCH(H11,$B$1:$J$1,0)))</f>
        <v>86328</v>
      </c>
    </row>
    <row r="12" spans="1:16" x14ac:dyDescent="0.25">
      <c r="A12" s="19" t="s">
        <v>39</v>
      </c>
      <c r="B12" s="22">
        <f t="shared" ref="B12:B15" si="0">SUM(INDEX($B$2:$J$7,0,MATCH(A12,$B$1:$J$1,0)))</f>
        <v>71978</v>
      </c>
      <c r="H12" s="19" t="s">
        <v>39</v>
      </c>
      <c r="I12" s="22">
        <f t="shared" ref="I12:I15" si="1">SUM(INDEX($B$2:$J$7,0,MATCH(H12,$B$1:$J$1,0)))</f>
        <v>71978</v>
      </c>
    </row>
    <row r="13" spans="1:16" x14ac:dyDescent="0.25">
      <c r="A13" s="19" t="s">
        <v>37</v>
      </c>
      <c r="B13" s="22">
        <f t="shared" si="0"/>
        <v>78358</v>
      </c>
      <c r="H13" s="19" t="s">
        <v>37</v>
      </c>
      <c r="I13" s="22">
        <f t="shared" si="1"/>
        <v>78358</v>
      </c>
    </row>
    <row r="14" spans="1:16" x14ac:dyDescent="0.25">
      <c r="A14" s="19" t="s">
        <v>72</v>
      </c>
      <c r="B14" s="22">
        <f t="shared" si="0"/>
        <v>74393</v>
      </c>
      <c r="H14" s="19" t="s">
        <v>72</v>
      </c>
      <c r="I14" s="22">
        <f t="shared" si="1"/>
        <v>74393</v>
      </c>
    </row>
    <row r="15" spans="1:16" x14ac:dyDescent="0.25">
      <c r="A15" s="19" t="s">
        <v>83</v>
      </c>
      <c r="B15" s="22">
        <f t="shared" si="0"/>
        <v>58434</v>
      </c>
      <c r="H15" s="19" t="s">
        <v>83</v>
      </c>
      <c r="I15" s="22">
        <f t="shared" si="1"/>
        <v>58434</v>
      </c>
    </row>
  </sheetData>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S802"/>
  <sheetViews>
    <sheetView zoomScale="145" zoomScaleNormal="145" workbookViewId="0">
      <selection activeCell="G3" sqref="G3"/>
    </sheetView>
  </sheetViews>
  <sheetFormatPr defaultRowHeight="15" x14ac:dyDescent="0.25"/>
  <cols>
    <col min="1" max="1" width="12.42578125" customWidth="1"/>
    <col min="2" max="2" width="19.85546875" customWidth="1"/>
    <col min="3" max="3" width="11" customWidth="1"/>
    <col min="6" max="6" width="15" bestFit="1" customWidth="1"/>
    <col min="10" max="10" width="10.28515625" customWidth="1"/>
    <col min="11" max="11" width="17.28515625" customWidth="1"/>
    <col min="17" max="17" width="15" bestFit="1" customWidth="1"/>
  </cols>
  <sheetData>
    <row r="1" spans="1:19" x14ac:dyDescent="0.25">
      <c r="A1" s="26" t="s">
        <v>91</v>
      </c>
      <c r="B1" s="26" t="s">
        <v>92</v>
      </c>
      <c r="C1" s="26" t="s">
        <v>93</v>
      </c>
      <c r="F1" s="11" t="s">
        <v>92</v>
      </c>
      <c r="G1" s="11" t="s">
        <v>82</v>
      </c>
    </row>
    <row r="2" spans="1:19" x14ac:dyDescent="0.25">
      <c r="A2" s="8">
        <v>41517</v>
      </c>
      <c r="B2" s="4" t="s">
        <v>259</v>
      </c>
      <c r="C2" s="4">
        <v>33</v>
      </c>
      <c r="F2" s="4" t="s">
        <v>99</v>
      </c>
      <c r="G2" s="22">
        <f>SUMIFS($C$2:$C$802,$B$2:$B$802,F2)</f>
        <v>0</v>
      </c>
      <c r="Q2" t="s">
        <v>99</v>
      </c>
      <c r="R2" t="s">
        <v>94</v>
      </c>
      <c r="S2" t="s">
        <v>104</v>
      </c>
    </row>
    <row r="3" spans="1:19" x14ac:dyDescent="0.25">
      <c r="A3" s="8">
        <v>41645</v>
      </c>
      <c r="B3" s="4" t="s">
        <v>260</v>
      </c>
      <c r="C3" s="4">
        <v>51</v>
      </c>
      <c r="F3" s="4" t="s">
        <v>100</v>
      </c>
      <c r="G3" s="22">
        <f t="shared" ref="G3:G6" si="0">SUMIFS($C$2:$C$802,$B$2:$B$802,F3)</f>
        <v>0</v>
      </c>
      <c r="Q3" t="s">
        <v>100</v>
      </c>
      <c r="R3" t="s">
        <v>95</v>
      </c>
      <c r="S3" t="s">
        <v>105</v>
      </c>
    </row>
    <row r="4" spans="1:19" x14ac:dyDescent="0.25">
      <c r="A4" s="8">
        <v>41531</v>
      </c>
      <c r="B4" s="4" t="s">
        <v>261</v>
      </c>
      <c r="C4" s="4">
        <v>49</v>
      </c>
      <c r="F4" s="4" t="s">
        <v>101</v>
      </c>
      <c r="G4" s="22">
        <f t="shared" si="0"/>
        <v>0</v>
      </c>
      <c r="Q4" t="s">
        <v>101</v>
      </c>
      <c r="R4" t="s">
        <v>96</v>
      </c>
      <c r="S4" t="s">
        <v>106</v>
      </c>
    </row>
    <row r="5" spans="1:19" x14ac:dyDescent="0.25">
      <c r="A5" s="8">
        <v>41643</v>
      </c>
      <c r="B5" s="4" t="s">
        <v>262</v>
      </c>
      <c r="C5" s="4">
        <v>39</v>
      </c>
      <c r="F5" s="4" t="s">
        <v>102</v>
      </c>
      <c r="G5" s="22">
        <f t="shared" si="0"/>
        <v>0</v>
      </c>
      <c r="Q5" t="s">
        <v>102</v>
      </c>
      <c r="R5" t="s">
        <v>97</v>
      </c>
      <c r="S5" t="s">
        <v>107</v>
      </c>
    </row>
    <row r="6" spans="1:19" x14ac:dyDescent="0.25">
      <c r="A6" s="8">
        <v>41575</v>
      </c>
      <c r="B6" s="4" t="s">
        <v>263</v>
      </c>
      <c r="C6" s="4">
        <v>53</v>
      </c>
      <c r="F6" s="4" t="s">
        <v>103</v>
      </c>
      <c r="G6" s="22">
        <f t="shared" si="0"/>
        <v>0</v>
      </c>
      <c r="Q6" t="s">
        <v>103</v>
      </c>
      <c r="R6" t="s">
        <v>98</v>
      </c>
      <c r="S6" t="s">
        <v>108</v>
      </c>
    </row>
    <row r="7" spans="1:19" x14ac:dyDescent="0.25">
      <c r="A7" s="8">
        <v>41535</v>
      </c>
      <c r="B7" s="4" t="s">
        <v>264</v>
      </c>
      <c r="C7" s="4">
        <v>31</v>
      </c>
    </row>
    <row r="8" spans="1:19" x14ac:dyDescent="0.25">
      <c r="A8" s="8">
        <v>41590</v>
      </c>
      <c r="B8" s="4" t="s">
        <v>265</v>
      </c>
      <c r="C8" s="4">
        <v>26</v>
      </c>
    </row>
    <row r="9" spans="1:19" x14ac:dyDescent="0.25">
      <c r="A9" s="8">
        <v>41573</v>
      </c>
      <c r="B9" s="4" t="s">
        <v>266</v>
      </c>
      <c r="C9" s="4">
        <v>25</v>
      </c>
    </row>
    <row r="10" spans="1:19" x14ac:dyDescent="0.25">
      <c r="A10" s="8">
        <v>41580</v>
      </c>
      <c r="B10" s="4" t="s">
        <v>267</v>
      </c>
      <c r="C10" s="4">
        <v>57</v>
      </c>
    </row>
    <row r="11" spans="1:19" x14ac:dyDescent="0.25">
      <c r="A11" s="8">
        <v>41602</v>
      </c>
      <c r="B11" s="4" t="s">
        <v>268</v>
      </c>
      <c r="C11" s="4">
        <v>28</v>
      </c>
    </row>
    <row r="12" spans="1:19" x14ac:dyDescent="0.25">
      <c r="A12" s="8">
        <v>41545</v>
      </c>
      <c r="B12" s="4" t="s">
        <v>269</v>
      </c>
      <c r="C12" s="4">
        <v>44</v>
      </c>
    </row>
    <row r="13" spans="1:19" x14ac:dyDescent="0.25">
      <c r="A13" s="8">
        <v>41565</v>
      </c>
      <c r="B13" s="4" t="s">
        <v>270</v>
      </c>
      <c r="C13" s="4">
        <v>10</v>
      </c>
    </row>
    <row r="14" spans="1:19" x14ac:dyDescent="0.25">
      <c r="A14" s="8">
        <v>41627</v>
      </c>
      <c r="B14" s="4" t="s">
        <v>271</v>
      </c>
      <c r="C14" s="4">
        <v>24</v>
      </c>
    </row>
    <row r="15" spans="1:19" x14ac:dyDescent="0.25">
      <c r="A15" s="8">
        <v>41528</v>
      </c>
      <c r="B15" s="4" t="s">
        <v>272</v>
      </c>
      <c r="C15" s="4">
        <v>34</v>
      </c>
    </row>
    <row r="16" spans="1:19" x14ac:dyDescent="0.25">
      <c r="A16" s="8">
        <v>41644</v>
      </c>
      <c r="B16" s="4" t="s">
        <v>273</v>
      </c>
      <c r="C16" s="4">
        <v>28</v>
      </c>
    </row>
    <row r="17" spans="1:3" x14ac:dyDescent="0.25">
      <c r="A17" s="8">
        <v>41539</v>
      </c>
      <c r="B17" s="4" t="s">
        <v>274</v>
      </c>
      <c r="C17" s="4">
        <v>15</v>
      </c>
    </row>
    <row r="18" spans="1:3" x14ac:dyDescent="0.25">
      <c r="A18" s="8">
        <v>41539</v>
      </c>
      <c r="B18" s="4" t="s">
        <v>275</v>
      </c>
      <c r="C18" s="4">
        <v>19</v>
      </c>
    </row>
    <row r="19" spans="1:3" x14ac:dyDescent="0.25">
      <c r="A19" s="8">
        <v>41513</v>
      </c>
      <c r="B19" s="4" t="s">
        <v>276</v>
      </c>
      <c r="C19" s="4">
        <v>57</v>
      </c>
    </row>
    <row r="20" spans="1:3" x14ac:dyDescent="0.25">
      <c r="A20" s="8">
        <v>41626</v>
      </c>
      <c r="B20" s="4" t="s">
        <v>277</v>
      </c>
      <c r="C20" s="4">
        <v>11</v>
      </c>
    </row>
    <row r="21" spans="1:3" x14ac:dyDescent="0.25">
      <c r="A21" s="8">
        <v>41520</v>
      </c>
      <c r="B21" s="4" t="s">
        <v>278</v>
      </c>
      <c r="C21" s="4">
        <v>22</v>
      </c>
    </row>
    <row r="22" spans="1:3" x14ac:dyDescent="0.25">
      <c r="A22" s="8">
        <v>41555</v>
      </c>
      <c r="B22" s="4" t="s">
        <v>279</v>
      </c>
      <c r="C22" s="4">
        <v>56</v>
      </c>
    </row>
    <row r="23" spans="1:3" x14ac:dyDescent="0.25">
      <c r="A23" s="8">
        <v>41623</v>
      </c>
      <c r="B23" s="4" t="s">
        <v>280</v>
      </c>
      <c r="C23" s="4">
        <v>39</v>
      </c>
    </row>
    <row r="24" spans="1:3" x14ac:dyDescent="0.25">
      <c r="A24" s="8">
        <v>41572</v>
      </c>
      <c r="B24" s="4" t="s">
        <v>281</v>
      </c>
      <c r="C24" s="4">
        <v>53</v>
      </c>
    </row>
    <row r="25" spans="1:3" x14ac:dyDescent="0.25">
      <c r="A25" s="8">
        <v>41565</v>
      </c>
      <c r="B25" s="4" t="s">
        <v>282</v>
      </c>
      <c r="C25" s="4">
        <v>46</v>
      </c>
    </row>
    <row r="26" spans="1:3" x14ac:dyDescent="0.25">
      <c r="A26" s="8">
        <v>41609</v>
      </c>
      <c r="B26" s="4" t="s">
        <v>283</v>
      </c>
      <c r="C26" s="4">
        <v>44</v>
      </c>
    </row>
    <row r="27" spans="1:3" x14ac:dyDescent="0.25">
      <c r="A27" s="8">
        <v>41559</v>
      </c>
      <c r="B27" s="4" t="s">
        <v>284</v>
      </c>
      <c r="C27" s="4">
        <v>54</v>
      </c>
    </row>
    <row r="28" spans="1:3" x14ac:dyDescent="0.25">
      <c r="A28" s="8">
        <v>41576</v>
      </c>
      <c r="B28" s="4" t="s">
        <v>285</v>
      </c>
      <c r="C28" s="4">
        <v>30</v>
      </c>
    </row>
    <row r="29" spans="1:3" x14ac:dyDescent="0.25">
      <c r="A29" s="8">
        <v>41547</v>
      </c>
      <c r="B29" s="4" t="s">
        <v>286</v>
      </c>
      <c r="C29" s="4">
        <v>33</v>
      </c>
    </row>
    <row r="30" spans="1:3" x14ac:dyDescent="0.25">
      <c r="A30" s="8">
        <v>41571</v>
      </c>
      <c r="B30" s="4" t="s">
        <v>287</v>
      </c>
      <c r="C30" s="4">
        <v>13</v>
      </c>
    </row>
    <row r="31" spans="1:3" x14ac:dyDescent="0.25">
      <c r="A31" s="8">
        <v>41647</v>
      </c>
      <c r="B31" s="4" t="s">
        <v>288</v>
      </c>
      <c r="C31" s="4">
        <v>16</v>
      </c>
    </row>
    <row r="32" spans="1:3" x14ac:dyDescent="0.25">
      <c r="A32" s="8">
        <v>41627</v>
      </c>
      <c r="B32" s="4" t="s">
        <v>289</v>
      </c>
      <c r="C32" s="4">
        <v>46</v>
      </c>
    </row>
    <row r="33" spans="1:3" x14ac:dyDescent="0.25">
      <c r="A33" s="8">
        <v>41641</v>
      </c>
      <c r="B33" s="4" t="s">
        <v>290</v>
      </c>
      <c r="C33" s="4">
        <v>10</v>
      </c>
    </row>
    <row r="34" spans="1:3" x14ac:dyDescent="0.25">
      <c r="A34" s="8">
        <v>41591</v>
      </c>
      <c r="B34" s="4" t="s">
        <v>291</v>
      </c>
      <c r="C34" s="4">
        <v>56</v>
      </c>
    </row>
    <row r="35" spans="1:3" x14ac:dyDescent="0.25">
      <c r="A35" s="8">
        <v>41610</v>
      </c>
      <c r="B35" s="4" t="s">
        <v>292</v>
      </c>
      <c r="C35" s="4">
        <v>11</v>
      </c>
    </row>
    <row r="36" spans="1:3" x14ac:dyDescent="0.25">
      <c r="A36" s="8">
        <v>41506</v>
      </c>
      <c r="B36" s="4" t="s">
        <v>293</v>
      </c>
      <c r="C36" s="4">
        <v>25</v>
      </c>
    </row>
    <row r="37" spans="1:3" x14ac:dyDescent="0.25">
      <c r="A37" s="8">
        <v>41610</v>
      </c>
      <c r="B37" s="4" t="s">
        <v>294</v>
      </c>
      <c r="C37" s="4">
        <v>22</v>
      </c>
    </row>
    <row r="38" spans="1:3" x14ac:dyDescent="0.25">
      <c r="A38" s="8">
        <v>41570</v>
      </c>
      <c r="B38" s="4" t="s">
        <v>295</v>
      </c>
      <c r="C38" s="4">
        <v>14</v>
      </c>
    </row>
    <row r="39" spans="1:3" x14ac:dyDescent="0.25">
      <c r="A39" s="8">
        <v>41611</v>
      </c>
      <c r="B39" s="4" t="s">
        <v>296</v>
      </c>
      <c r="C39" s="4">
        <v>19</v>
      </c>
    </row>
    <row r="40" spans="1:3" x14ac:dyDescent="0.25">
      <c r="A40" s="8">
        <v>41587</v>
      </c>
      <c r="B40" s="4" t="s">
        <v>297</v>
      </c>
      <c r="C40" s="4">
        <v>53</v>
      </c>
    </row>
    <row r="41" spans="1:3" x14ac:dyDescent="0.25">
      <c r="A41" s="8">
        <v>41613</v>
      </c>
      <c r="B41" s="4" t="s">
        <v>298</v>
      </c>
      <c r="C41" s="4">
        <v>37</v>
      </c>
    </row>
    <row r="42" spans="1:3" x14ac:dyDescent="0.25">
      <c r="A42" s="8">
        <v>41622</v>
      </c>
      <c r="B42" s="4" t="s">
        <v>299</v>
      </c>
      <c r="C42" s="4">
        <v>50</v>
      </c>
    </row>
    <row r="43" spans="1:3" x14ac:dyDescent="0.25">
      <c r="A43" s="8">
        <v>41544</v>
      </c>
      <c r="B43" s="4" t="s">
        <v>300</v>
      </c>
      <c r="C43" s="4">
        <v>36</v>
      </c>
    </row>
    <row r="44" spans="1:3" x14ac:dyDescent="0.25">
      <c r="A44" s="8">
        <v>41569</v>
      </c>
      <c r="B44" s="4" t="s">
        <v>277</v>
      </c>
      <c r="C44" s="4">
        <v>36</v>
      </c>
    </row>
    <row r="45" spans="1:3" x14ac:dyDescent="0.25">
      <c r="A45" s="8">
        <v>41572</v>
      </c>
      <c r="B45" s="4" t="s">
        <v>301</v>
      </c>
      <c r="C45" s="4">
        <v>17</v>
      </c>
    </row>
    <row r="46" spans="1:3" x14ac:dyDescent="0.25">
      <c r="A46" s="8">
        <v>41610</v>
      </c>
      <c r="B46" s="4" t="s">
        <v>283</v>
      </c>
      <c r="C46" s="4">
        <v>42</v>
      </c>
    </row>
    <row r="47" spans="1:3" x14ac:dyDescent="0.25">
      <c r="A47" s="8">
        <v>41533</v>
      </c>
      <c r="B47" s="4" t="s">
        <v>302</v>
      </c>
      <c r="C47" s="4">
        <v>25</v>
      </c>
    </row>
    <row r="48" spans="1:3" x14ac:dyDescent="0.25">
      <c r="A48" s="8">
        <v>41538</v>
      </c>
      <c r="B48" s="4" t="s">
        <v>303</v>
      </c>
      <c r="C48" s="4">
        <v>58</v>
      </c>
    </row>
    <row r="49" spans="1:3" x14ac:dyDescent="0.25">
      <c r="A49" s="8">
        <v>41599</v>
      </c>
      <c r="B49" s="4" t="s">
        <v>304</v>
      </c>
      <c r="C49" s="4">
        <v>57</v>
      </c>
    </row>
    <row r="50" spans="1:3" x14ac:dyDescent="0.25">
      <c r="A50" s="8">
        <v>41540</v>
      </c>
      <c r="B50" s="4" t="s">
        <v>305</v>
      </c>
      <c r="C50" s="4">
        <v>42</v>
      </c>
    </row>
    <row r="51" spans="1:3" x14ac:dyDescent="0.25">
      <c r="A51" s="8">
        <v>41642</v>
      </c>
      <c r="B51" s="4" t="s">
        <v>306</v>
      </c>
      <c r="C51" s="4">
        <v>50</v>
      </c>
    </row>
    <row r="52" spans="1:3" x14ac:dyDescent="0.25">
      <c r="A52" s="8">
        <v>41548</v>
      </c>
      <c r="B52" s="4" t="s">
        <v>307</v>
      </c>
      <c r="C52" s="4">
        <v>25</v>
      </c>
    </row>
    <row r="53" spans="1:3" x14ac:dyDescent="0.25">
      <c r="A53" s="8">
        <v>41594</v>
      </c>
      <c r="B53" s="4" t="s">
        <v>308</v>
      </c>
      <c r="C53" s="4">
        <v>28</v>
      </c>
    </row>
    <row r="54" spans="1:3" x14ac:dyDescent="0.25">
      <c r="A54" s="8">
        <v>41545</v>
      </c>
      <c r="B54" s="4" t="s">
        <v>309</v>
      </c>
      <c r="C54" s="4">
        <v>33</v>
      </c>
    </row>
    <row r="55" spans="1:3" x14ac:dyDescent="0.25">
      <c r="A55" s="8">
        <v>41584</v>
      </c>
      <c r="B55" s="4" t="s">
        <v>310</v>
      </c>
      <c r="C55" s="4">
        <v>11</v>
      </c>
    </row>
    <row r="56" spans="1:3" x14ac:dyDescent="0.25">
      <c r="A56" s="8">
        <v>41548</v>
      </c>
      <c r="B56" s="4" t="s">
        <v>289</v>
      </c>
      <c r="C56" s="4">
        <v>49</v>
      </c>
    </row>
    <row r="57" spans="1:3" x14ac:dyDescent="0.25">
      <c r="A57" s="8">
        <v>41503</v>
      </c>
      <c r="B57" s="4" t="s">
        <v>311</v>
      </c>
      <c r="C57" s="4">
        <v>58</v>
      </c>
    </row>
    <row r="58" spans="1:3" x14ac:dyDescent="0.25">
      <c r="A58" s="8">
        <v>41537</v>
      </c>
      <c r="B58" s="4" t="s">
        <v>312</v>
      </c>
      <c r="C58" s="4">
        <v>52</v>
      </c>
    </row>
    <row r="59" spans="1:3" x14ac:dyDescent="0.25">
      <c r="A59" s="8">
        <v>41542</v>
      </c>
      <c r="B59" s="4" t="s">
        <v>313</v>
      </c>
      <c r="C59" s="4">
        <v>30</v>
      </c>
    </row>
    <row r="60" spans="1:3" x14ac:dyDescent="0.25">
      <c r="A60" s="8">
        <v>41621</v>
      </c>
      <c r="B60" s="4" t="s">
        <v>314</v>
      </c>
      <c r="C60" s="4">
        <v>16</v>
      </c>
    </row>
    <row r="61" spans="1:3" x14ac:dyDescent="0.25">
      <c r="A61" s="8">
        <v>41633</v>
      </c>
      <c r="B61" s="4" t="s">
        <v>315</v>
      </c>
      <c r="C61" s="4">
        <v>54</v>
      </c>
    </row>
    <row r="62" spans="1:3" x14ac:dyDescent="0.25">
      <c r="A62" s="8">
        <v>41577</v>
      </c>
      <c r="B62" s="4" t="s">
        <v>316</v>
      </c>
      <c r="C62" s="4">
        <v>34</v>
      </c>
    </row>
    <row r="63" spans="1:3" x14ac:dyDescent="0.25">
      <c r="A63" s="8">
        <v>41611</v>
      </c>
      <c r="B63" s="4" t="s">
        <v>317</v>
      </c>
      <c r="C63" s="4">
        <v>56</v>
      </c>
    </row>
    <row r="64" spans="1:3" x14ac:dyDescent="0.25">
      <c r="A64" s="8">
        <v>41535</v>
      </c>
      <c r="B64" s="4" t="s">
        <v>318</v>
      </c>
      <c r="C64" s="4">
        <v>33</v>
      </c>
    </row>
    <row r="65" spans="1:3" x14ac:dyDescent="0.25">
      <c r="A65" s="8">
        <v>41520</v>
      </c>
      <c r="B65" s="4" t="s">
        <v>319</v>
      </c>
      <c r="C65" s="4">
        <v>59</v>
      </c>
    </row>
    <row r="66" spans="1:3" x14ac:dyDescent="0.25">
      <c r="A66" s="8">
        <v>41638</v>
      </c>
      <c r="B66" s="4" t="s">
        <v>320</v>
      </c>
      <c r="C66" s="4">
        <v>37</v>
      </c>
    </row>
    <row r="67" spans="1:3" x14ac:dyDescent="0.25">
      <c r="A67" s="8">
        <v>41550</v>
      </c>
      <c r="B67" s="4" t="s">
        <v>321</v>
      </c>
      <c r="C67" s="4">
        <v>46</v>
      </c>
    </row>
    <row r="68" spans="1:3" x14ac:dyDescent="0.25">
      <c r="A68" s="8">
        <v>41584</v>
      </c>
      <c r="B68" s="4" t="s">
        <v>322</v>
      </c>
      <c r="C68" s="4">
        <v>21</v>
      </c>
    </row>
    <row r="69" spans="1:3" x14ac:dyDescent="0.25">
      <c r="A69" s="8">
        <v>41524</v>
      </c>
      <c r="B69" s="4" t="s">
        <v>323</v>
      </c>
      <c r="C69" s="4">
        <v>38</v>
      </c>
    </row>
    <row r="70" spans="1:3" x14ac:dyDescent="0.25">
      <c r="A70" s="8">
        <v>41548</v>
      </c>
      <c r="B70" s="4" t="s">
        <v>324</v>
      </c>
      <c r="C70" s="4">
        <v>16</v>
      </c>
    </row>
    <row r="71" spans="1:3" x14ac:dyDescent="0.25">
      <c r="A71" s="8">
        <v>41535</v>
      </c>
      <c r="B71" s="4" t="s">
        <v>325</v>
      </c>
      <c r="C71" s="4">
        <v>54</v>
      </c>
    </row>
    <row r="72" spans="1:3" x14ac:dyDescent="0.25">
      <c r="A72" s="8">
        <v>41638</v>
      </c>
      <c r="B72" s="4" t="s">
        <v>326</v>
      </c>
      <c r="C72" s="4">
        <v>37</v>
      </c>
    </row>
    <row r="73" spans="1:3" x14ac:dyDescent="0.25">
      <c r="A73" s="8">
        <v>41596</v>
      </c>
      <c r="B73" s="4" t="s">
        <v>327</v>
      </c>
      <c r="C73" s="4">
        <v>16</v>
      </c>
    </row>
    <row r="74" spans="1:3" x14ac:dyDescent="0.25">
      <c r="A74" s="8">
        <v>41559</v>
      </c>
      <c r="B74" s="4" t="s">
        <v>328</v>
      </c>
      <c r="C74" s="4">
        <v>42</v>
      </c>
    </row>
    <row r="75" spans="1:3" x14ac:dyDescent="0.25">
      <c r="A75" s="8">
        <v>41611</v>
      </c>
      <c r="B75" s="4" t="s">
        <v>329</v>
      </c>
      <c r="C75" s="4">
        <v>44</v>
      </c>
    </row>
    <row r="76" spans="1:3" x14ac:dyDescent="0.25">
      <c r="A76" s="8">
        <v>41510</v>
      </c>
      <c r="B76" s="4" t="s">
        <v>330</v>
      </c>
      <c r="C76" s="4">
        <v>13</v>
      </c>
    </row>
    <row r="77" spans="1:3" x14ac:dyDescent="0.25">
      <c r="A77" s="8">
        <v>41548</v>
      </c>
      <c r="B77" s="4" t="s">
        <v>331</v>
      </c>
      <c r="C77" s="4">
        <v>24</v>
      </c>
    </row>
    <row r="78" spans="1:3" x14ac:dyDescent="0.25">
      <c r="A78" s="8">
        <v>41581</v>
      </c>
      <c r="B78" s="4" t="s">
        <v>332</v>
      </c>
      <c r="C78" s="4">
        <v>14</v>
      </c>
    </row>
    <row r="79" spans="1:3" x14ac:dyDescent="0.25">
      <c r="A79" s="8">
        <v>41527</v>
      </c>
      <c r="B79" s="4" t="s">
        <v>333</v>
      </c>
      <c r="C79" s="4">
        <v>41</v>
      </c>
    </row>
    <row r="80" spans="1:3" x14ac:dyDescent="0.25">
      <c r="A80" s="8">
        <v>41532</v>
      </c>
      <c r="B80" s="4" t="s">
        <v>334</v>
      </c>
      <c r="C80" s="4">
        <v>45</v>
      </c>
    </row>
    <row r="81" spans="1:3" x14ac:dyDescent="0.25">
      <c r="A81" s="8">
        <v>41605</v>
      </c>
      <c r="B81" s="4" t="s">
        <v>335</v>
      </c>
      <c r="C81" s="4">
        <v>45</v>
      </c>
    </row>
    <row r="82" spans="1:3" x14ac:dyDescent="0.25">
      <c r="A82" s="8">
        <v>41605</v>
      </c>
      <c r="B82" s="4" t="s">
        <v>336</v>
      </c>
      <c r="C82" s="4">
        <v>30</v>
      </c>
    </row>
    <row r="83" spans="1:3" x14ac:dyDescent="0.25">
      <c r="A83" s="8">
        <v>41567</v>
      </c>
      <c r="B83" s="4" t="s">
        <v>337</v>
      </c>
      <c r="C83" s="4">
        <v>31</v>
      </c>
    </row>
    <row r="84" spans="1:3" x14ac:dyDescent="0.25">
      <c r="A84" s="8">
        <v>41563</v>
      </c>
      <c r="B84" s="4" t="s">
        <v>338</v>
      </c>
      <c r="C84" s="4">
        <v>13</v>
      </c>
    </row>
    <row r="85" spans="1:3" x14ac:dyDescent="0.25">
      <c r="A85" s="8">
        <v>41614</v>
      </c>
      <c r="B85" s="4" t="s">
        <v>339</v>
      </c>
      <c r="C85" s="4">
        <v>21</v>
      </c>
    </row>
    <row r="86" spans="1:3" x14ac:dyDescent="0.25">
      <c r="A86" s="8">
        <v>41584</v>
      </c>
      <c r="B86" s="4" t="s">
        <v>340</v>
      </c>
      <c r="C86" s="4">
        <v>53</v>
      </c>
    </row>
    <row r="87" spans="1:3" x14ac:dyDescent="0.25">
      <c r="A87" s="8">
        <v>41511</v>
      </c>
      <c r="B87" s="4" t="s">
        <v>341</v>
      </c>
      <c r="C87" s="4">
        <v>30</v>
      </c>
    </row>
    <row r="88" spans="1:3" x14ac:dyDescent="0.25">
      <c r="A88" s="8">
        <v>41541</v>
      </c>
      <c r="B88" s="4" t="s">
        <v>342</v>
      </c>
      <c r="C88" s="4">
        <v>24</v>
      </c>
    </row>
    <row r="89" spans="1:3" x14ac:dyDescent="0.25">
      <c r="A89" s="8">
        <v>41585</v>
      </c>
      <c r="B89" s="4" t="s">
        <v>343</v>
      </c>
      <c r="C89" s="4">
        <v>15</v>
      </c>
    </row>
    <row r="90" spans="1:3" x14ac:dyDescent="0.25">
      <c r="A90" s="8">
        <v>41647</v>
      </c>
      <c r="B90" s="4" t="s">
        <v>344</v>
      </c>
      <c r="C90" s="4">
        <v>56</v>
      </c>
    </row>
    <row r="91" spans="1:3" x14ac:dyDescent="0.25">
      <c r="A91" s="8">
        <v>41529</v>
      </c>
      <c r="B91" s="4" t="s">
        <v>345</v>
      </c>
      <c r="C91" s="4">
        <v>25</v>
      </c>
    </row>
    <row r="92" spans="1:3" x14ac:dyDescent="0.25">
      <c r="A92" s="8">
        <v>41621</v>
      </c>
      <c r="B92" s="4" t="s">
        <v>346</v>
      </c>
      <c r="C92" s="4">
        <v>19</v>
      </c>
    </row>
    <row r="93" spans="1:3" x14ac:dyDescent="0.25">
      <c r="A93" s="8">
        <v>41622</v>
      </c>
      <c r="B93" s="4" t="s">
        <v>347</v>
      </c>
      <c r="C93" s="4">
        <v>22</v>
      </c>
    </row>
    <row r="94" spans="1:3" x14ac:dyDescent="0.25">
      <c r="A94" s="8">
        <v>41554</v>
      </c>
      <c r="B94" s="4" t="s">
        <v>348</v>
      </c>
      <c r="C94" s="4">
        <v>19</v>
      </c>
    </row>
    <row r="95" spans="1:3" x14ac:dyDescent="0.25">
      <c r="A95" s="8">
        <v>41558</v>
      </c>
      <c r="B95" s="4" t="s">
        <v>349</v>
      </c>
      <c r="C95" s="4">
        <v>57</v>
      </c>
    </row>
    <row r="96" spans="1:3" x14ac:dyDescent="0.25">
      <c r="A96" s="8">
        <v>41516</v>
      </c>
      <c r="B96" s="4" t="s">
        <v>350</v>
      </c>
      <c r="C96" s="4">
        <v>23</v>
      </c>
    </row>
    <row r="97" spans="1:3" x14ac:dyDescent="0.25">
      <c r="A97" s="8">
        <v>41521</v>
      </c>
      <c r="B97" s="4" t="s">
        <v>351</v>
      </c>
      <c r="C97" s="4">
        <v>14</v>
      </c>
    </row>
    <row r="98" spans="1:3" x14ac:dyDescent="0.25">
      <c r="A98" s="8">
        <v>41514</v>
      </c>
      <c r="B98" s="4" t="s">
        <v>352</v>
      </c>
      <c r="C98" s="4">
        <v>52</v>
      </c>
    </row>
    <row r="99" spans="1:3" x14ac:dyDescent="0.25">
      <c r="A99" s="8">
        <v>41592</v>
      </c>
      <c r="B99" s="4" t="s">
        <v>353</v>
      </c>
      <c r="C99" s="4">
        <v>49</v>
      </c>
    </row>
    <row r="100" spans="1:3" x14ac:dyDescent="0.25">
      <c r="A100" s="8">
        <v>41626</v>
      </c>
      <c r="B100" s="4" t="s">
        <v>354</v>
      </c>
      <c r="C100" s="4">
        <v>27</v>
      </c>
    </row>
    <row r="101" spans="1:3" x14ac:dyDescent="0.25">
      <c r="A101" s="8">
        <v>41625</v>
      </c>
      <c r="B101" s="4" t="s">
        <v>355</v>
      </c>
      <c r="C101" s="4">
        <v>21</v>
      </c>
    </row>
    <row r="102" spans="1:3" x14ac:dyDescent="0.25">
      <c r="A102" s="8">
        <v>41574</v>
      </c>
      <c r="B102" s="4" t="s">
        <v>356</v>
      </c>
      <c r="C102" s="4">
        <v>35</v>
      </c>
    </row>
    <row r="103" spans="1:3" x14ac:dyDescent="0.25">
      <c r="A103" s="8">
        <v>41588</v>
      </c>
      <c r="B103" s="4" t="s">
        <v>357</v>
      </c>
      <c r="C103" s="4">
        <v>33</v>
      </c>
    </row>
    <row r="104" spans="1:3" x14ac:dyDescent="0.25">
      <c r="A104" s="8">
        <v>41585</v>
      </c>
      <c r="B104" s="4" t="s">
        <v>283</v>
      </c>
      <c r="C104" s="4">
        <v>23</v>
      </c>
    </row>
    <row r="105" spans="1:3" x14ac:dyDescent="0.25">
      <c r="A105" s="8">
        <v>41509</v>
      </c>
      <c r="B105" s="4" t="s">
        <v>356</v>
      </c>
      <c r="C105" s="4">
        <v>35</v>
      </c>
    </row>
    <row r="106" spans="1:3" x14ac:dyDescent="0.25">
      <c r="A106" s="8">
        <v>41615</v>
      </c>
      <c r="B106" s="4" t="s">
        <v>269</v>
      </c>
      <c r="C106" s="4">
        <v>12</v>
      </c>
    </row>
    <row r="107" spans="1:3" x14ac:dyDescent="0.25">
      <c r="A107" s="8">
        <v>41510</v>
      </c>
      <c r="B107" s="4" t="s">
        <v>347</v>
      </c>
      <c r="C107" s="4">
        <v>31</v>
      </c>
    </row>
    <row r="108" spans="1:3" x14ac:dyDescent="0.25">
      <c r="A108" s="8">
        <v>41534</v>
      </c>
      <c r="B108" s="4" t="s">
        <v>358</v>
      </c>
      <c r="C108" s="4">
        <v>23</v>
      </c>
    </row>
    <row r="109" spans="1:3" x14ac:dyDescent="0.25">
      <c r="A109" s="8">
        <v>41634</v>
      </c>
      <c r="B109" s="4" t="s">
        <v>359</v>
      </c>
      <c r="C109" s="4">
        <v>57</v>
      </c>
    </row>
    <row r="110" spans="1:3" x14ac:dyDescent="0.25">
      <c r="A110" s="8">
        <v>41618</v>
      </c>
      <c r="B110" s="4" t="s">
        <v>360</v>
      </c>
      <c r="C110" s="4">
        <v>50</v>
      </c>
    </row>
    <row r="111" spans="1:3" x14ac:dyDescent="0.25">
      <c r="A111" s="8">
        <v>41649</v>
      </c>
      <c r="B111" s="4" t="s">
        <v>361</v>
      </c>
      <c r="C111" s="4">
        <v>58</v>
      </c>
    </row>
    <row r="112" spans="1:3" x14ac:dyDescent="0.25">
      <c r="A112" s="8">
        <v>41616</v>
      </c>
      <c r="B112" s="4" t="s">
        <v>362</v>
      </c>
      <c r="C112" s="4">
        <v>30</v>
      </c>
    </row>
    <row r="113" spans="1:3" x14ac:dyDescent="0.25">
      <c r="A113" s="8">
        <v>41578</v>
      </c>
      <c r="B113" s="4" t="s">
        <v>262</v>
      </c>
      <c r="C113" s="4">
        <v>15</v>
      </c>
    </row>
    <row r="114" spans="1:3" x14ac:dyDescent="0.25">
      <c r="A114" s="8">
        <v>41632</v>
      </c>
      <c r="B114" s="4" t="s">
        <v>363</v>
      </c>
      <c r="C114" s="4">
        <v>12</v>
      </c>
    </row>
    <row r="115" spans="1:3" x14ac:dyDescent="0.25">
      <c r="A115" s="8">
        <v>41632</v>
      </c>
      <c r="B115" s="4" t="s">
        <v>305</v>
      </c>
      <c r="C115" s="4">
        <v>22</v>
      </c>
    </row>
    <row r="116" spans="1:3" x14ac:dyDescent="0.25">
      <c r="A116" s="8">
        <v>41537</v>
      </c>
      <c r="B116" s="4" t="s">
        <v>364</v>
      </c>
      <c r="C116" s="4">
        <v>26</v>
      </c>
    </row>
    <row r="117" spans="1:3" x14ac:dyDescent="0.25">
      <c r="A117" s="8">
        <v>41558</v>
      </c>
      <c r="B117" s="4" t="s">
        <v>365</v>
      </c>
      <c r="C117" s="4">
        <v>27</v>
      </c>
    </row>
    <row r="118" spans="1:3" x14ac:dyDescent="0.25">
      <c r="A118" s="8">
        <v>41504</v>
      </c>
      <c r="B118" s="4" t="s">
        <v>366</v>
      </c>
      <c r="C118" s="4">
        <v>50</v>
      </c>
    </row>
    <row r="119" spans="1:3" x14ac:dyDescent="0.25">
      <c r="A119" s="8">
        <v>41643</v>
      </c>
      <c r="B119" s="4" t="s">
        <v>367</v>
      </c>
      <c r="C119" s="4">
        <v>37</v>
      </c>
    </row>
    <row r="120" spans="1:3" x14ac:dyDescent="0.25">
      <c r="A120" s="8">
        <v>41601</v>
      </c>
      <c r="B120" s="4" t="s">
        <v>368</v>
      </c>
      <c r="C120" s="4">
        <v>44</v>
      </c>
    </row>
    <row r="121" spans="1:3" x14ac:dyDescent="0.25">
      <c r="A121" s="8">
        <v>41566</v>
      </c>
      <c r="B121" s="4" t="s">
        <v>369</v>
      </c>
      <c r="C121" s="4">
        <v>57</v>
      </c>
    </row>
    <row r="122" spans="1:3" x14ac:dyDescent="0.25">
      <c r="A122" s="8">
        <v>41630</v>
      </c>
      <c r="B122" s="4" t="s">
        <v>370</v>
      </c>
      <c r="C122" s="4">
        <v>19</v>
      </c>
    </row>
    <row r="123" spans="1:3" x14ac:dyDescent="0.25">
      <c r="A123" s="8">
        <v>41564</v>
      </c>
      <c r="B123" s="4" t="s">
        <v>281</v>
      </c>
      <c r="C123" s="4">
        <v>44</v>
      </c>
    </row>
    <row r="124" spans="1:3" x14ac:dyDescent="0.25">
      <c r="A124" s="8">
        <v>41566</v>
      </c>
      <c r="B124" s="4" t="s">
        <v>371</v>
      </c>
      <c r="C124" s="4">
        <v>21</v>
      </c>
    </row>
    <row r="125" spans="1:3" x14ac:dyDescent="0.25">
      <c r="A125" s="8">
        <v>41572</v>
      </c>
      <c r="B125" s="4" t="s">
        <v>372</v>
      </c>
      <c r="C125" s="4">
        <v>51</v>
      </c>
    </row>
    <row r="126" spans="1:3" x14ac:dyDescent="0.25">
      <c r="A126" s="8">
        <v>41588</v>
      </c>
      <c r="B126" s="4" t="s">
        <v>361</v>
      </c>
      <c r="C126" s="4">
        <v>20</v>
      </c>
    </row>
    <row r="127" spans="1:3" x14ac:dyDescent="0.25">
      <c r="A127" s="8">
        <v>41592</v>
      </c>
      <c r="B127" s="4" t="s">
        <v>373</v>
      </c>
      <c r="C127" s="4">
        <v>31</v>
      </c>
    </row>
    <row r="128" spans="1:3" x14ac:dyDescent="0.25">
      <c r="A128" s="8">
        <v>41594</v>
      </c>
      <c r="B128" s="4" t="s">
        <v>374</v>
      </c>
      <c r="C128" s="4">
        <v>29</v>
      </c>
    </row>
    <row r="129" spans="1:3" x14ac:dyDescent="0.25">
      <c r="A129" s="8">
        <v>41629</v>
      </c>
      <c r="B129" s="4" t="s">
        <v>375</v>
      </c>
      <c r="C129" s="4">
        <v>54</v>
      </c>
    </row>
    <row r="130" spans="1:3" x14ac:dyDescent="0.25">
      <c r="A130" s="8">
        <v>41539</v>
      </c>
      <c r="B130" s="4" t="s">
        <v>376</v>
      </c>
      <c r="C130" s="4">
        <v>54</v>
      </c>
    </row>
    <row r="131" spans="1:3" x14ac:dyDescent="0.25">
      <c r="A131" s="8">
        <v>41552</v>
      </c>
      <c r="B131" s="4" t="s">
        <v>377</v>
      </c>
      <c r="C131" s="4">
        <v>26</v>
      </c>
    </row>
    <row r="132" spans="1:3" x14ac:dyDescent="0.25">
      <c r="A132" s="8">
        <v>41508</v>
      </c>
      <c r="B132" s="4" t="s">
        <v>332</v>
      </c>
      <c r="C132" s="4">
        <v>42</v>
      </c>
    </row>
    <row r="133" spans="1:3" x14ac:dyDescent="0.25">
      <c r="A133" s="8">
        <v>41512</v>
      </c>
      <c r="B133" s="4" t="s">
        <v>378</v>
      </c>
      <c r="C133" s="4">
        <v>32</v>
      </c>
    </row>
    <row r="134" spans="1:3" x14ac:dyDescent="0.25">
      <c r="A134" s="8">
        <v>41634</v>
      </c>
      <c r="B134" s="4" t="s">
        <v>379</v>
      </c>
      <c r="C134" s="4">
        <v>26</v>
      </c>
    </row>
    <row r="135" spans="1:3" x14ac:dyDescent="0.25">
      <c r="A135" s="8">
        <v>41511</v>
      </c>
      <c r="B135" s="4" t="s">
        <v>259</v>
      </c>
      <c r="C135" s="4">
        <v>43</v>
      </c>
    </row>
    <row r="136" spans="1:3" x14ac:dyDescent="0.25">
      <c r="A136" s="8">
        <v>41638</v>
      </c>
      <c r="B136" s="4" t="s">
        <v>327</v>
      </c>
      <c r="C136" s="4">
        <v>40</v>
      </c>
    </row>
    <row r="137" spans="1:3" x14ac:dyDescent="0.25">
      <c r="A137" s="8">
        <v>41558</v>
      </c>
      <c r="B137" s="4" t="s">
        <v>313</v>
      </c>
      <c r="C137" s="4">
        <v>14</v>
      </c>
    </row>
    <row r="138" spans="1:3" x14ac:dyDescent="0.25">
      <c r="A138" s="8">
        <v>41630</v>
      </c>
      <c r="B138" s="4" t="s">
        <v>380</v>
      </c>
      <c r="C138" s="4">
        <v>46</v>
      </c>
    </row>
    <row r="139" spans="1:3" x14ac:dyDescent="0.25">
      <c r="A139" s="8">
        <v>41506</v>
      </c>
      <c r="B139" s="4" t="s">
        <v>381</v>
      </c>
      <c r="C139" s="4">
        <v>10</v>
      </c>
    </row>
    <row r="140" spans="1:3" x14ac:dyDescent="0.25">
      <c r="A140" s="8">
        <v>41650</v>
      </c>
      <c r="B140" s="4" t="s">
        <v>382</v>
      </c>
      <c r="C140" s="4">
        <v>18</v>
      </c>
    </row>
    <row r="141" spans="1:3" x14ac:dyDescent="0.25">
      <c r="A141" s="8">
        <v>41649</v>
      </c>
      <c r="B141" s="4" t="s">
        <v>383</v>
      </c>
      <c r="C141" s="4">
        <v>28</v>
      </c>
    </row>
    <row r="142" spans="1:3" x14ac:dyDescent="0.25">
      <c r="A142" s="8">
        <v>41560</v>
      </c>
      <c r="B142" s="4" t="s">
        <v>384</v>
      </c>
      <c r="C142" s="4">
        <v>13</v>
      </c>
    </row>
    <row r="143" spans="1:3" x14ac:dyDescent="0.25">
      <c r="A143" s="8">
        <v>41612</v>
      </c>
      <c r="B143" s="4" t="s">
        <v>385</v>
      </c>
      <c r="C143" s="4">
        <v>18</v>
      </c>
    </row>
    <row r="144" spans="1:3" x14ac:dyDescent="0.25">
      <c r="A144" s="8">
        <v>41605</v>
      </c>
      <c r="B144" s="4" t="s">
        <v>386</v>
      </c>
      <c r="C144" s="4">
        <v>37</v>
      </c>
    </row>
    <row r="145" spans="1:3" x14ac:dyDescent="0.25">
      <c r="A145" s="8">
        <v>41601</v>
      </c>
      <c r="B145" s="4" t="s">
        <v>387</v>
      </c>
      <c r="C145" s="4">
        <v>14</v>
      </c>
    </row>
    <row r="146" spans="1:3" x14ac:dyDescent="0.25">
      <c r="A146" s="8">
        <v>41568</v>
      </c>
      <c r="B146" s="4" t="s">
        <v>388</v>
      </c>
      <c r="C146" s="4">
        <v>45</v>
      </c>
    </row>
    <row r="147" spans="1:3" x14ac:dyDescent="0.25">
      <c r="A147" s="8">
        <v>41590</v>
      </c>
      <c r="B147" s="4" t="s">
        <v>389</v>
      </c>
      <c r="C147" s="4">
        <v>38</v>
      </c>
    </row>
    <row r="148" spans="1:3" x14ac:dyDescent="0.25">
      <c r="A148" s="8">
        <v>41598</v>
      </c>
      <c r="B148" s="4" t="s">
        <v>390</v>
      </c>
      <c r="C148" s="4">
        <v>14</v>
      </c>
    </row>
    <row r="149" spans="1:3" x14ac:dyDescent="0.25">
      <c r="A149" s="8">
        <v>41632</v>
      </c>
      <c r="B149" s="4" t="s">
        <v>391</v>
      </c>
      <c r="C149" s="4">
        <v>30</v>
      </c>
    </row>
    <row r="150" spans="1:3" x14ac:dyDescent="0.25">
      <c r="A150" s="8">
        <v>41582</v>
      </c>
      <c r="B150" s="4" t="s">
        <v>392</v>
      </c>
      <c r="C150" s="4">
        <v>41</v>
      </c>
    </row>
    <row r="151" spans="1:3" x14ac:dyDescent="0.25">
      <c r="A151" s="8">
        <v>41597</v>
      </c>
      <c r="B151" s="4" t="s">
        <v>393</v>
      </c>
      <c r="C151" s="4">
        <v>38</v>
      </c>
    </row>
    <row r="152" spans="1:3" x14ac:dyDescent="0.25">
      <c r="A152" s="8">
        <v>41518</v>
      </c>
      <c r="B152" s="4" t="s">
        <v>394</v>
      </c>
      <c r="C152" s="4">
        <v>41</v>
      </c>
    </row>
    <row r="153" spans="1:3" x14ac:dyDescent="0.25">
      <c r="A153" s="8">
        <v>41621</v>
      </c>
      <c r="B153" s="4" t="s">
        <v>395</v>
      </c>
      <c r="C153" s="4">
        <v>46</v>
      </c>
    </row>
    <row r="154" spans="1:3" x14ac:dyDescent="0.25">
      <c r="A154" s="8">
        <v>41518</v>
      </c>
      <c r="B154" s="4" t="s">
        <v>396</v>
      </c>
      <c r="C154" s="4">
        <v>48</v>
      </c>
    </row>
    <row r="155" spans="1:3" x14ac:dyDescent="0.25">
      <c r="A155" s="8">
        <v>41532</v>
      </c>
      <c r="B155" s="4" t="s">
        <v>397</v>
      </c>
      <c r="C155" s="4">
        <v>39</v>
      </c>
    </row>
    <row r="156" spans="1:3" x14ac:dyDescent="0.25">
      <c r="A156" s="8">
        <v>41544</v>
      </c>
      <c r="B156" s="4" t="s">
        <v>398</v>
      </c>
      <c r="C156" s="4">
        <v>30</v>
      </c>
    </row>
    <row r="157" spans="1:3" x14ac:dyDescent="0.25">
      <c r="A157" s="8">
        <v>41532</v>
      </c>
      <c r="B157" s="4" t="s">
        <v>399</v>
      </c>
      <c r="C157" s="4">
        <v>30</v>
      </c>
    </row>
    <row r="158" spans="1:3" x14ac:dyDescent="0.25">
      <c r="A158" s="8">
        <v>41505</v>
      </c>
      <c r="B158" s="4" t="s">
        <v>311</v>
      </c>
      <c r="C158" s="4">
        <v>57</v>
      </c>
    </row>
    <row r="159" spans="1:3" x14ac:dyDescent="0.25">
      <c r="A159" s="8">
        <v>41613</v>
      </c>
      <c r="B159" s="4" t="s">
        <v>400</v>
      </c>
      <c r="C159" s="4">
        <v>43</v>
      </c>
    </row>
    <row r="160" spans="1:3" x14ac:dyDescent="0.25">
      <c r="A160" s="8">
        <v>41518</v>
      </c>
      <c r="B160" s="4" t="s">
        <v>401</v>
      </c>
      <c r="C160" s="4">
        <v>14</v>
      </c>
    </row>
    <row r="161" spans="1:3" x14ac:dyDescent="0.25">
      <c r="A161" s="8">
        <v>41598</v>
      </c>
      <c r="B161" s="4" t="s">
        <v>276</v>
      </c>
      <c r="C161" s="4">
        <v>20</v>
      </c>
    </row>
    <row r="162" spans="1:3" x14ac:dyDescent="0.25">
      <c r="A162" s="8">
        <v>41558</v>
      </c>
      <c r="B162" s="4" t="s">
        <v>402</v>
      </c>
      <c r="C162" s="4">
        <v>26</v>
      </c>
    </row>
    <row r="163" spans="1:3" x14ac:dyDescent="0.25">
      <c r="A163" s="8">
        <v>41550</v>
      </c>
      <c r="B163" s="4" t="s">
        <v>403</v>
      </c>
      <c r="C163" s="4">
        <v>32</v>
      </c>
    </row>
    <row r="164" spans="1:3" x14ac:dyDescent="0.25">
      <c r="A164" s="8">
        <v>41503</v>
      </c>
      <c r="B164" s="4" t="s">
        <v>336</v>
      </c>
      <c r="C164" s="4">
        <v>48</v>
      </c>
    </row>
    <row r="165" spans="1:3" x14ac:dyDescent="0.25">
      <c r="A165" s="8">
        <v>41640</v>
      </c>
      <c r="B165" s="4" t="s">
        <v>315</v>
      </c>
      <c r="C165" s="4">
        <v>55</v>
      </c>
    </row>
    <row r="166" spans="1:3" x14ac:dyDescent="0.25">
      <c r="A166" s="8">
        <v>41618</v>
      </c>
      <c r="B166" s="4" t="s">
        <v>299</v>
      </c>
      <c r="C166" s="4">
        <v>52</v>
      </c>
    </row>
    <row r="167" spans="1:3" x14ac:dyDescent="0.25">
      <c r="A167" s="8">
        <v>41533</v>
      </c>
      <c r="B167" s="4" t="s">
        <v>404</v>
      </c>
      <c r="C167" s="4">
        <v>16</v>
      </c>
    </row>
    <row r="168" spans="1:3" x14ac:dyDescent="0.25">
      <c r="A168" s="8">
        <v>41600</v>
      </c>
      <c r="B168" s="4" t="s">
        <v>298</v>
      </c>
      <c r="C168" s="4">
        <v>32</v>
      </c>
    </row>
    <row r="169" spans="1:3" x14ac:dyDescent="0.25">
      <c r="A169" s="8">
        <v>41616</v>
      </c>
      <c r="B169" s="4" t="s">
        <v>405</v>
      </c>
      <c r="C169" s="4">
        <v>50</v>
      </c>
    </row>
    <row r="170" spans="1:3" x14ac:dyDescent="0.25">
      <c r="A170" s="8">
        <v>41614</v>
      </c>
      <c r="B170" s="4" t="s">
        <v>406</v>
      </c>
      <c r="C170" s="4">
        <v>22</v>
      </c>
    </row>
    <row r="171" spans="1:3" x14ac:dyDescent="0.25">
      <c r="A171" s="8">
        <v>41595</v>
      </c>
      <c r="B171" s="4" t="s">
        <v>349</v>
      </c>
      <c r="C171" s="4">
        <v>21</v>
      </c>
    </row>
    <row r="172" spans="1:3" x14ac:dyDescent="0.25">
      <c r="A172" s="8">
        <v>41580</v>
      </c>
      <c r="B172" s="4" t="s">
        <v>261</v>
      </c>
      <c r="C172" s="4">
        <v>57</v>
      </c>
    </row>
    <row r="173" spans="1:3" x14ac:dyDescent="0.25">
      <c r="A173" s="8">
        <v>41629</v>
      </c>
      <c r="B173" s="4" t="s">
        <v>272</v>
      </c>
      <c r="C173" s="4">
        <v>51</v>
      </c>
    </row>
    <row r="174" spans="1:3" x14ac:dyDescent="0.25">
      <c r="A174" s="8">
        <v>41596</v>
      </c>
      <c r="B174" s="4" t="s">
        <v>407</v>
      </c>
      <c r="C174" s="4">
        <v>57</v>
      </c>
    </row>
    <row r="175" spans="1:3" x14ac:dyDescent="0.25">
      <c r="A175" s="8">
        <v>41636</v>
      </c>
      <c r="B175" s="4" t="s">
        <v>408</v>
      </c>
      <c r="C175" s="4">
        <v>56</v>
      </c>
    </row>
    <row r="176" spans="1:3" x14ac:dyDescent="0.25">
      <c r="A176" s="8">
        <v>41625</v>
      </c>
      <c r="B176" s="4" t="s">
        <v>385</v>
      </c>
      <c r="C176" s="4">
        <v>33</v>
      </c>
    </row>
    <row r="177" spans="1:3" x14ac:dyDescent="0.25">
      <c r="A177" s="8">
        <v>41647</v>
      </c>
      <c r="B177" s="4" t="s">
        <v>409</v>
      </c>
      <c r="C177" s="4">
        <v>58</v>
      </c>
    </row>
    <row r="178" spans="1:3" x14ac:dyDescent="0.25">
      <c r="A178" s="8">
        <v>41579</v>
      </c>
      <c r="B178" s="4" t="s">
        <v>321</v>
      </c>
      <c r="C178" s="4">
        <v>53</v>
      </c>
    </row>
    <row r="179" spans="1:3" x14ac:dyDescent="0.25">
      <c r="A179" s="8">
        <v>41585</v>
      </c>
      <c r="B179" s="4" t="s">
        <v>410</v>
      </c>
      <c r="C179" s="4">
        <v>14</v>
      </c>
    </row>
    <row r="180" spans="1:3" x14ac:dyDescent="0.25">
      <c r="A180" s="8">
        <v>41562</v>
      </c>
      <c r="B180" s="4" t="s">
        <v>261</v>
      </c>
      <c r="C180" s="4">
        <v>57</v>
      </c>
    </row>
    <row r="181" spans="1:3" x14ac:dyDescent="0.25">
      <c r="A181" s="8">
        <v>41550</v>
      </c>
      <c r="B181" s="4" t="s">
        <v>411</v>
      </c>
      <c r="C181" s="4">
        <v>57</v>
      </c>
    </row>
    <row r="182" spans="1:3" x14ac:dyDescent="0.25">
      <c r="A182" s="8">
        <v>41619</v>
      </c>
      <c r="B182" s="4" t="s">
        <v>412</v>
      </c>
      <c r="C182" s="4">
        <v>55</v>
      </c>
    </row>
    <row r="183" spans="1:3" x14ac:dyDescent="0.25">
      <c r="A183" s="8">
        <v>41511</v>
      </c>
      <c r="B183" s="4" t="s">
        <v>379</v>
      </c>
      <c r="C183" s="4">
        <v>30</v>
      </c>
    </row>
    <row r="184" spans="1:3" x14ac:dyDescent="0.25">
      <c r="A184" s="8">
        <v>41524</v>
      </c>
      <c r="B184" s="4" t="s">
        <v>413</v>
      </c>
      <c r="C184" s="4">
        <v>10</v>
      </c>
    </row>
    <row r="185" spans="1:3" x14ac:dyDescent="0.25">
      <c r="A185" s="8">
        <v>41514</v>
      </c>
      <c r="B185" s="4" t="s">
        <v>414</v>
      </c>
      <c r="C185" s="4">
        <v>59</v>
      </c>
    </row>
    <row r="186" spans="1:3" x14ac:dyDescent="0.25">
      <c r="A186" s="8">
        <v>41630</v>
      </c>
      <c r="B186" s="4" t="s">
        <v>415</v>
      </c>
      <c r="C186" s="4">
        <v>13</v>
      </c>
    </row>
    <row r="187" spans="1:3" x14ac:dyDescent="0.25">
      <c r="A187" s="8">
        <v>41550</v>
      </c>
      <c r="B187" s="4" t="s">
        <v>416</v>
      </c>
      <c r="C187" s="4">
        <v>24</v>
      </c>
    </row>
    <row r="188" spans="1:3" x14ac:dyDescent="0.25">
      <c r="A188" s="8">
        <v>41538</v>
      </c>
      <c r="B188" s="4" t="s">
        <v>417</v>
      </c>
      <c r="C188" s="4">
        <v>37</v>
      </c>
    </row>
    <row r="189" spans="1:3" x14ac:dyDescent="0.25">
      <c r="A189" s="8">
        <v>41568</v>
      </c>
      <c r="B189" s="4" t="s">
        <v>418</v>
      </c>
      <c r="C189" s="4">
        <v>13</v>
      </c>
    </row>
    <row r="190" spans="1:3" x14ac:dyDescent="0.25">
      <c r="A190" s="8">
        <v>41547</v>
      </c>
      <c r="B190" s="4" t="s">
        <v>419</v>
      </c>
      <c r="C190" s="4">
        <v>57</v>
      </c>
    </row>
    <row r="191" spans="1:3" x14ac:dyDescent="0.25">
      <c r="A191" s="8">
        <v>41574</v>
      </c>
      <c r="B191" s="4" t="s">
        <v>392</v>
      </c>
      <c r="C191" s="4">
        <v>51</v>
      </c>
    </row>
    <row r="192" spans="1:3" x14ac:dyDescent="0.25">
      <c r="A192" s="8">
        <v>41519</v>
      </c>
      <c r="B192" s="4" t="s">
        <v>361</v>
      </c>
      <c r="C192" s="4">
        <v>23</v>
      </c>
    </row>
    <row r="193" spans="1:3" x14ac:dyDescent="0.25">
      <c r="A193" s="8">
        <v>41603</v>
      </c>
      <c r="B193" s="4" t="s">
        <v>346</v>
      </c>
      <c r="C193" s="4">
        <v>54</v>
      </c>
    </row>
    <row r="194" spans="1:3" x14ac:dyDescent="0.25">
      <c r="A194" s="8">
        <v>41640</v>
      </c>
      <c r="B194" s="4" t="s">
        <v>420</v>
      </c>
      <c r="C194" s="4">
        <v>21</v>
      </c>
    </row>
    <row r="195" spans="1:3" x14ac:dyDescent="0.25">
      <c r="A195" s="8">
        <v>41562</v>
      </c>
      <c r="B195" s="4" t="s">
        <v>421</v>
      </c>
      <c r="C195" s="4">
        <v>49</v>
      </c>
    </row>
    <row r="196" spans="1:3" x14ac:dyDescent="0.25">
      <c r="A196" s="8">
        <v>41553</v>
      </c>
      <c r="B196" s="4" t="s">
        <v>422</v>
      </c>
      <c r="C196" s="4">
        <v>30</v>
      </c>
    </row>
    <row r="197" spans="1:3" x14ac:dyDescent="0.25">
      <c r="A197" s="8">
        <v>41501</v>
      </c>
      <c r="B197" s="4" t="s">
        <v>423</v>
      </c>
      <c r="C197" s="4">
        <v>32</v>
      </c>
    </row>
    <row r="198" spans="1:3" x14ac:dyDescent="0.25">
      <c r="A198" s="8">
        <v>41501</v>
      </c>
      <c r="B198" s="4" t="s">
        <v>424</v>
      </c>
      <c r="C198" s="4">
        <v>57</v>
      </c>
    </row>
    <row r="199" spans="1:3" x14ac:dyDescent="0.25">
      <c r="A199" s="8">
        <v>41528</v>
      </c>
      <c r="B199" s="4" t="s">
        <v>425</v>
      </c>
      <c r="C199" s="4">
        <v>40</v>
      </c>
    </row>
    <row r="200" spans="1:3" x14ac:dyDescent="0.25">
      <c r="A200" s="8">
        <v>41556</v>
      </c>
      <c r="B200" s="4" t="s">
        <v>339</v>
      </c>
      <c r="C200" s="4">
        <v>21</v>
      </c>
    </row>
    <row r="201" spans="1:3" x14ac:dyDescent="0.25">
      <c r="A201" s="8">
        <v>41600</v>
      </c>
      <c r="B201" s="4" t="s">
        <v>264</v>
      </c>
      <c r="C201" s="4">
        <v>28</v>
      </c>
    </row>
    <row r="202" spans="1:3" x14ac:dyDescent="0.25">
      <c r="A202" s="8">
        <v>41592</v>
      </c>
      <c r="B202" s="4" t="s">
        <v>426</v>
      </c>
      <c r="C202" s="4">
        <v>14</v>
      </c>
    </row>
    <row r="203" spans="1:3" x14ac:dyDescent="0.25">
      <c r="A203" s="8">
        <v>41561</v>
      </c>
      <c r="B203" s="4" t="s">
        <v>427</v>
      </c>
      <c r="C203" s="4">
        <v>54</v>
      </c>
    </row>
    <row r="204" spans="1:3" x14ac:dyDescent="0.25">
      <c r="A204" s="8">
        <v>41514</v>
      </c>
      <c r="B204" s="4" t="s">
        <v>428</v>
      </c>
      <c r="C204" s="4">
        <v>33</v>
      </c>
    </row>
    <row r="205" spans="1:3" x14ac:dyDescent="0.25">
      <c r="A205" s="8">
        <v>41628</v>
      </c>
      <c r="B205" s="4" t="s">
        <v>429</v>
      </c>
      <c r="C205" s="4">
        <v>21</v>
      </c>
    </row>
    <row r="206" spans="1:3" x14ac:dyDescent="0.25">
      <c r="A206" s="8">
        <v>41629</v>
      </c>
      <c r="B206" s="4" t="s">
        <v>430</v>
      </c>
      <c r="C206" s="4">
        <v>52</v>
      </c>
    </row>
    <row r="207" spans="1:3" x14ac:dyDescent="0.25">
      <c r="A207" s="8">
        <v>41627</v>
      </c>
      <c r="B207" s="4" t="s">
        <v>431</v>
      </c>
      <c r="C207" s="4">
        <v>25</v>
      </c>
    </row>
    <row r="208" spans="1:3" x14ac:dyDescent="0.25">
      <c r="A208" s="8">
        <v>41547</v>
      </c>
      <c r="B208" s="4" t="s">
        <v>432</v>
      </c>
      <c r="C208" s="4">
        <v>23</v>
      </c>
    </row>
    <row r="209" spans="1:3" x14ac:dyDescent="0.25">
      <c r="A209" s="8">
        <v>41521</v>
      </c>
      <c r="B209" s="4" t="s">
        <v>433</v>
      </c>
      <c r="C209" s="4">
        <v>58</v>
      </c>
    </row>
    <row r="210" spans="1:3" x14ac:dyDescent="0.25">
      <c r="A210" s="8">
        <v>41562</v>
      </c>
      <c r="B210" s="4" t="s">
        <v>434</v>
      </c>
      <c r="C210" s="4">
        <v>16</v>
      </c>
    </row>
    <row r="211" spans="1:3" x14ac:dyDescent="0.25">
      <c r="A211" s="8">
        <v>41645</v>
      </c>
      <c r="B211" s="4" t="s">
        <v>435</v>
      </c>
      <c r="C211" s="4">
        <v>38</v>
      </c>
    </row>
    <row r="212" spans="1:3" x14ac:dyDescent="0.25">
      <c r="A212" s="8">
        <v>41598</v>
      </c>
      <c r="B212" s="4" t="s">
        <v>418</v>
      </c>
      <c r="C212" s="4">
        <v>39</v>
      </c>
    </row>
    <row r="213" spans="1:3" x14ac:dyDescent="0.25">
      <c r="A213" s="8">
        <v>41643</v>
      </c>
      <c r="B213" s="4" t="s">
        <v>427</v>
      </c>
      <c r="C213" s="4">
        <v>40</v>
      </c>
    </row>
    <row r="214" spans="1:3" x14ac:dyDescent="0.25">
      <c r="A214" s="8">
        <v>41636</v>
      </c>
      <c r="B214" s="4" t="s">
        <v>436</v>
      </c>
      <c r="C214" s="4">
        <v>23</v>
      </c>
    </row>
    <row r="215" spans="1:3" x14ac:dyDescent="0.25">
      <c r="A215" s="8">
        <v>41529</v>
      </c>
      <c r="B215" s="4" t="s">
        <v>437</v>
      </c>
      <c r="C215" s="4">
        <v>43</v>
      </c>
    </row>
    <row r="216" spans="1:3" x14ac:dyDescent="0.25">
      <c r="A216" s="8">
        <v>41571</v>
      </c>
      <c r="B216" s="4" t="s">
        <v>401</v>
      </c>
      <c r="C216" s="4">
        <v>16</v>
      </c>
    </row>
    <row r="217" spans="1:3" x14ac:dyDescent="0.25">
      <c r="A217" s="8">
        <v>41593</v>
      </c>
      <c r="B217" s="4" t="s">
        <v>269</v>
      </c>
      <c r="C217" s="4">
        <v>31</v>
      </c>
    </row>
    <row r="218" spans="1:3" x14ac:dyDescent="0.25">
      <c r="A218" s="8">
        <v>41581</v>
      </c>
      <c r="B218" s="4" t="s">
        <v>421</v>
      </c>
      <c r="C218" s="4">
        <v>22</v>
      </c>
    </row>
    <row r="219" spans="1:3" x14ac:dyDescent="0.25">
      <c r="A219" s="8">
        <v>41519</v>
      </c>
      <c r="B219" s="4" t="s">
        <v>438</v>
      </c>
      <c r="C219" s="4">
        <v>33</v>
      </c>
    </row>
    <row r="220" spans="1:3" x14ac:dyDescent="0.25">
      <c r="A220" s="8">
        <v>41607</v>
      </c>
      <c r="B220" s="4" t="s">
        <v>439</v>
      </c>
      <c r="C220" s="4">
        <v>57</v>
      </c>
    </row>
    <row r="221" spans="1:3" x14ac:dyDescent="0.25">
      <c r="A221" s="8">
        <v>41563</v>
      </c>
      <c r="B221" s="4" t="s">
        <v>440</v>
      </c>
      <c r="C221" s="4">
        <v>37</v>
      </c>
    </row>
    <row r="222" spans="1:3" x14ac:dyDescent="0.25">
      <c r="A222" s="8">
        <v>41532</v>
      </c>
      <c r="B222" s="4" t="s">
        <v>429</v>
      </c>
      <c r="C222" s="4">
        <v>56</v>
      </c>
    </row>
    <row r="223" spans="1:3" x14ac:dyDescent="0.25">
      <c r="A223" s="8">
        <v>41569</v>
      </c>
      <c r="B223" s="4" t="s">
        <v>368</v>
      </c>
      <c r="C223" s="4">
        <v>54</v>
      </c>
    </row>
    <row r="224" spans="1:3" x14ac:dyDescent="0.25">
      <c r="A224" s="8">
        <v>41533</v>
      </c>
      <c r="B224" s="4" t="s">
        <v>315</v>
      </c>
      <c r="C224" s="4">
        <v>30</v>
      </c>
    </row>
    <row r="225" spans="1:3" x14ac:dyDescent="0.25">
      <c r="A225" s="8">
        <v>41524</v>
      </c>
      <c r="B225" s="4" t="s">
        <v>441</v>
      </c>
      <c r="C225" s="4">
        <v>40</v>
      </c>
    </row>
    <row r="226" spans="1:3" x14ac:dyDescent="0.25">
      <c r="A226" s="8">
        <v>41500</v>
      </c>
      <c r="B226" s="4" t="s">
        <v>442</v>
      </c>
      <c r="C226" s="4">
        <v>10</v>
      </c>
    </row>
    <row r="227" spans="1:3" x14ac:dyDescent="0.25">
      <c r="A227" s="8">
        <v>41521</v>
      </c>
      <c r="B227" s="4" t="s">
        <v>443</v>
      </c>
      <c r="C227" s="4">
        <v>56</v>
      </c>
    </row>
    <row r="228" spans="1:3" x14ac:dyDescent="0.25">
      <c r="A228" s="8">
        <v>41527</v>
      </c>
      <c r="B228" s="4" t="s">
        <v>444</v>
      </c>
      <c r="C228" s="4">
        <v>55</v>
      </c>
    </row>
    <row r="229" spans="1:3" x14ac:dyDescent="0.25">
      <c r="A229" s="8">
        <v>41552</v>
      </c>
      <c r="B229" s="4" t="s">
        <v>445</v>
      </c>
      <c r="C229" s="4">
        <v>11</v>
      </c>
    </row>
    <row r="230" spans="1:3" x14ac:dyDescent="0.25">
      <c r="A230" s="8">
        <v>41544</v>
      </c>
      <c r="B230" s="4" t="s">
        <v>446</v>
      </c>
      <c r="C230" s="4">
        <v>15</v>
      </c>
    </row>
    <row r="231" spans="1:3" x14ac:dyDescent="0.25">
      <c r="A231" s="8">
        <v>41565</v>
      </c>
      <c r="B231" s="4" t="s">
        <v>447</v>
      </c>
      <c r="C231" s="4">
        <v>55</v>
      </c>
    </row>
    <row r="232" spans="1:3" x14ac:dyDescent="0.25">
      <c r="A232" s="8">
        <v>41575</v>
      </c>
      <c r="B232" s="4" t="s">
        <v>448</v>
      </c>
      <c r="C232" s="4">
        <v>26</v>
      </c>
    </row>
    <row r="233" spans="1:3" x14ac:dyDescent="0.25">
      <c r="A233" s="8">
        <v>41590</v>
      </c>
      <c r="B233" s="4" t="s">
        <v>449</v>
      </c>
      <c r="C233" s="4">
        <v>12</v>
      </c>
    </row>
    <row r="234" spans="1:3" x14ac:dyDescent="0.25">
      <c r="A234" s="8">
        <v>41500</v>
      </c>
      <c r="B234" s="4" t="s">
        <v>450</v>
      </c>
      <c r="C234" s="4">
        <v>53</v>
      </c>
    </row>
    <row r="235" spans="1:3" x14ac:dyDescent="0.25">
      <c r="A235" s="8">
        <v>41502</v>
      </c>
      <c r="B235" s="4" t="s">
        <v>415</v>
      </c>
      <c r="C235" s="4">
        <v>47</v>
      </c>
    </row>
    <row r="236" spans="1:3" x14ac:dyDescent="0.25">
      <c r="A236" s="8">
        <v>41641</v>
      </c>
      <c r="B236" s="4" t="s">
        <v>451</v>
      </c>
      <c r="C236" s="4">
        <v>41</v>
      </c>
    </row>
    <row r="237" spans="1:3" x14ac:dyDescent="0.25">
      <c r="A237" s="8">
        <v>41626</v>
      </c>
      <c r="B237" s="4" t="s">
        <v>452</v>
      </c>
      <c r="C237" s="4">
        <v>40</v>
      </c>
    </row>
    <row r="238" spans="1:3" x14ac:dyDescent="0.25">
      <c r="A238" s="8">
        <v>41552</v>
      </c>
      <c r="B238" s="4" t="s">
        <v>453</v>
      </c>
      <c r="C238" s="4">
        <v>30</v>
      </c>
    </row>
    <row r="239" spans="1:3" x14ac:dyDescent="0.25">
      <c r="A239" s="8">
        <v>41571</v>
      </c>
      <c r="B239" s="4" t="s">
        <v>454</v>
      </c>
      <c r="C239" s="4">
        <v>21</v>
      </c>
    </row>
    <row r="240" spans="1:3" x14ac:dyDescent="0.25">
      <c r="A240" s="8">
        <v>41558</v>
      </c>
      <c r="B240" s="4" t="s">
        <v>455</v>
      </c>
      <c r="C240" s="4">
        <v>48</v>
      </c>
    </row>
    <row r="241" spans="1:3" x14ac:dyDescent="0.25">
      <c r="A241" s="8">
        <v>41612</v>
      </c>
      <c r="B241" s="4" t="s">
        <v>456</v>
      </c>
      <c r="C241" s="4">
        <v>13</v>
      </c>
    </row>
    <row r="242" spans="1:3" x14ac:dyDescent="0.25">
      <c r="A242" s="8">
        <v>41552</v>
      </c>
      <c r="B242" s="4" t="s">
        <v>457</v>
      </c>
      <c r="C242" s="4">
        <v>16</v>
      </c>
    </row>
    <row r="243" spans="1:3" x14ac:dyDescent="0.25">
      <c r="A243" s="8">
        <v>41596</v>
      </c>
      <c r="B243" s="4" t="s">
        <v>458</v>
      </c>
      <c r="C243" s="4">
        <v>29</v>
      </c>
    </row>
    <row r="244" spans="1:3" x14ac:dyDescent="0.25">
      <c r="A244" s="8">
        <v>41645</v>
      </c>
      <c r="B244" s="4" t="s">
        <v>459</v>
      </c>
      <c r="C244" s="4">
        <v>57</v>
      </c>
    </row>
    <row r="245" spans="1:3" x14ac:dyDescent="0.25">
      <c r="A245" s="8">
        <v>41577</v>
      </c>
      <c r="B245" s="4" t="s">
        <v>360</v>
      </c>
      <c r="C245" s="4">
        <v>49</v>
      </c>
    </row>
    <row r="246" spans="1:3" x14ac:dyDescent="0.25">
      <c r="A246" s="8">
        <v>41607</v>
      </c>
      <c r="B246" s="4" t="s">
        <v>352</v>
      </c>
      <c r="C246" s="4">
        <v>16</v>
      </c>
    </row>
    <row r="247" spans="1:3" x14ac:dyDescent="0.25">
      <c r="A247" s="8">
        <v>41619</v>
      </c>
      <c r="B247" s="4" t="s">
        <v>460</v>
      </c>
      <c r="C247" s="4">
        <v>28</v>
      </c>
    </row>
    <row r="248" spans="1:3" x14ac:dyDescent="0.25">
      <c r="A248" s="8">
        <v>41640</v>
      </c>
      <c r="B248" s="4" t="s">
        <v>432</v>
      </c>
      <c r="C248" s="4">
        <v>32</v>
      </c>
    </row>
    <row r="249" spans="1:3" x14ac:dyDescent="0.25">
      <c r="A249" s="8">
        <v>41637</v>
      </c>
      <c r="B249" s="4" t="s">
        <v>461</v>
      </c>
      <c r="C249" s="4">
        <v>51</v>
      </c>
    </row>
    <row r="250" spans="1:3" x14ac:dyDescent="0.25">
      <c r="A250" s="8">
        <v>41633</v>
      </c>
      <c r="B250" s="4" t="s">
        <v>440</v>
      </c>
      <c r="C250" s="4">
        <v>14</v>
      </c>
    </row>
    <row r="251" spans="1:3" x14ac:dyDescent="0.25">
      <c r="A251" s="8">
        <v>41504</v>
      </c>
      <c r="B251" s="4" t="s">
        <v>462</v>
      </c>
      <c r="C251" s="4">
        <v>23</v>
      </c>
    </row>
    <row r="252" spans="1:3" x14ac:dyDescent="0.25">
      <c r="A252" s="8">
        <v>41522</v>
      </c>
      <c r="B252" s="4" t="s">
        <v>463</v>
      </c>
      <c r="C252" s="4">
        <v>56</v>
      </c>
    </row>
    <row r="253" spans="1:3" x14ac:dyDescent="0.25">
      <c r="A253" s="8">
        <v>41612</v>
      </c>
      <c r="B253" s="4" t="s">
        <v>464</v>
      </c>
      <c r="C253" s="4">
        <v>55</v>
      </c>
    </row>
    <row r="254" spans="1:3" x14ac:dyDescent="0.25">
      <c r="A254" s="8">
        <v>41637</v>
      </c>
      <c r="B254" s="4" t="s">
        <v>465</v>
      </c>
      <c r="C254" s="4">
        <v>57</v>
      </c>
    </row>
    <row r="255" spans="1:3" x14ac:dyDescent="0.25">
      <c r="A255" s="8">
        <v>41535</v>
      </c>
      <c r="B255" s="4" t="s">
        <v>466</v>
      </c>
      <c r="C255" s="4">
        <v>34</v>
      </c>
    </row>
    <row r="256" spans="1:3" x14ac:dyDescent="0.25">
      <c r="A256" s="8">
        <v>41582</v>
      </c>
      <c r="B256" s="4" t="s">
        <v>467</v>
      </c>
      <c r="C256" s="4">
        <v>27</v>
      </c>
    </row>
    <row r="257" spans="1:3" x14ac:dyDescent="0.25">
      <c r="A257" s="8">
        <v>41647</v>
      </c>
      <c r="B257" s="4" t="s">
        <v>468</v>
      </c>
      <c r="C257" s="4">
        <v>10</v>
      </c>
    </row>
    <row r="258" spans="1:3" x14ac:dyDescent="0.25">
      <c r="A258" s="8">
        <v>41609</v>
      </c>
      <c r="B258" s="4" t="s">
        <v>427</v>
      </c>
      <c r="C258" s="4">
        <v>55</v>
      </c>
    </row>
    <row r="259" spans="1:3" x14ac:dyDescent="0.25">
      <c r="A259" s="8">
        <v>41599</v>
      </c>
      <c r="B259" s="4" t="s">
        <v>469</v>
      </c>
      <c r="C259" s="4">
        <v>30</v>
      </c>
    </row>
    <row r="260" spans="1:3" x14ac:dyDescent="0.25">
      <c r="A260" s="8">
        <v>41513</v>
      </c>
      <c r="B260" s="4" t="s">
        <v>470</v>
      </c>
      <c r="C260" s="4">
        <v>39</v>
      </c>
    </row>
    <row r="261" spans="1:3" x14ac:dyDescent="0.25">
      <c r="A261" s="8">
        <v>41601</v>
      </c>
      <c r="B261" s="4" t="s">
        <v>471</v>
      </c>
      <c r="C261" s="4">
        <v>40</v>
      </c>
    </row>
    <row r="262" spans="1:3" x14ac:dyDescent="0.25">
      <c r="A262" s="8">
        <v>41570</v>
      </c>
      <c r="B262" s="4" t="s">
        <v>472</v>
      </c>
      <c r="C262" s="4">
        <v>48</v>
      </c>
    </row>
    <row r="263" spans="1:3" x14ac:dyDescent="0.25">
      <c r="A263" s="8">
        <v>41634</v>
      </c>
      <c r="B263" s="4" t="s">
        <v>473</v>
      </c>
      <c r="C263" s="4">
        <v>44</v>
      </c>
    </row>
    <row r="264" spans="1:3" x14ac:dyDescent="0.25">
      <c r="A264" s="8">
        <v>41606</v>
      </c>
      <c r="B264" s="4" t="s">
        <v>474</v>
      </c>
      <c r="C264" s="4">
        <v>12</v>
      </c>
    </row>
    <row r="265" spans="1:3" x14ac:dyDescent="0.25">
      <c r="A265" s="8">
        <v>41589</v>
      </c>
      <c r="B265" s="4" t="s">
        <v>447</v>
      </c>
      <c r="C265" s="4">
        <v>30</v>
      </c>
    </row>
    <row r="266" spans="1:3" x14ac:dyDescent="0.25">
      <c r="A266" s="8">
        <v>41634</v>
      </c>
      <c r="B266" s="4" t="s">
        <v>475</v>
      </c>
      <c r="C266" s="4">
        <v>15</v>
      </c>
    </row>
    <row r="267" spans="1:3" x14ac:dyDescent="0.25">
      <c r="A267" s="8">
        <v>41515</v>
      </c>
      <c r="B267" s="4" t="s">
        <v>409</v>
      </c>
      <c r="C267" s="4">
        <v>59</v>
      </c>
    </row>
    <row r="268" spans="1:3" x14ac:dyDescent="0.25">
      <c r="A268" s="8">
        <v>41542</v>
      </c>
      <c r="B268" s="4" t="s">
        <v>343</v>
      </c>
      <c r="C268" s="4">
        <v>56</v>
      </c>
    </row>
    <row r="269" spans="1:3" x14ac:dyDescent="0.25">
      <c r="A269" s="8">
        <v>41556</v>
      </c>
      <c r="B269" s="4" t="s">
        <v>476</v>
      </c>
      <c r="C269" s="4">
        <v>55</v>
      </c>
    </row>
    <row r="270" spans="1:3" x14ac:dyDescent="0.25">
      <c r="A270" s="8">
        <v>41540</v>
      </c>
      <c r="B270" s="4" t="s">
        <v>315</v>
      </c>
      <c r="C270" s="4">
        <v>21</v>
      </c>
    </row>
    <row r="271" spans="1:3" x14ac:dyDescent="0.25">
      <c r="A271" s="8">
        <v>41647</v>
      </c>
      <c r="B271" s="4" t="s">
        <v>477</v>
      </c>
      <c r="C271" s="4">
        <v>16</v>
      </c>
    </row>
    <row r="272" spans="1:3" x14ac:dyDescent="0.25">
      <c r="A272" s="8">
        <v>41612</v>
      </c>
      <c r="B272" s="4" t="s">
        <v>478</v>
      </c>
      <c r="C272" s="4">
        <v>12</v>
      </c>
    </row>
    <row r="273" spans="1:3" x14ac:dyDescent="0.25">
      <c r="A273" s="8">
        <v>41616</v>
      </c>
      <c r="B273" s="4" t="s">
        <v>327</v>
      </c>
      <c r="C273" s="4">
        <v>47</v>
      </c>
    </row>
    <row r="274" spans="1:3" x14ac:dyDescent="0.25">
      <c r="A274" s="8">
        <v>41553</v>
      </c>
      <c r="B274" s="4" t="s">
        <v>456</v>
      </c>
      <c r="C274" s="4">
        <v>26</v>
      </c>
    </row>
    <row r="275" spans="1:3" x14ac:dyDescent="0.25">
      <c r="A275" s="8">
        <v>41645</v>
      </c>
      <c r="B275" s="4" t="s">
        <v>412</v>
      </c>
      <c r="C275" s="4">
        <v>18</v>
      </c>
    </row>
    <row r="276" spans="1:3" x14ac:dyDescent="0.25">
      <c r="A276" s="8">
        <v>41564</v>
      </c>
      <c r="B276" s="4" t="s">
        <v>437</v>
      </c>
      <c r="C276" s="4">
        <v>10</v>
      </c>
    </row>
    <row r="277" spans="1:3" x14ac:dyDescent="0.25">
      <c r="A277" s="8">
        <v>41555</v>
      </c>
      <c r="B277" s="4" t="s">
        <v>479</v>
      </c>
      <c r="C277" s="4">
        <v>56</v>
      </c>
    </row>
    <row r="278" spans="1:3" x14ac:dyDescent="0.25">
      <c r="A278" s="8">
        <v>41532</v>
      </c>
      <c r="B278" s="4" t="s">
        <v>376</v>
      </c>
      <c r="C278" s="4">
        <v>38</v>
      </c>
    </row>
    <row r="279" spans="1:3" x14ac:dyDescent="0.25">
      <c r="A279" s="8">
        <v>41582</v>
      </c>
      <c r="B279" s="4" t="s">
        <v>480</v>
      </c>
      <c r="C279" s="4">
        <v>54</v>
      </c>
    </row>
    <row r="280" spans="1:3" x14ac:dyDescent="0.25">
      <c r="A280" s="8">
        <v>41527</v>
      </c>
      <c r="B280" s="4" t="s">
        <v>365</v>
      </c>
      <c r="C280" s="4">
        <v>44</v>
      </c>
    </row>
    <row r="281" spans="1:3" x14ac:dyDescent="0.25">
      <c r="A281" s="8">
        <v>41573</v>
      </c>
      <c r="B281" s="4" t="s">
        <v>481</v>
      </c>
      <c r="C281" s="4">
        <v>37</v>
      </c>
    </row>
    <row r="282" spans="1:3" x14ac:dyDescent="0.25">
      <c r="A282" s="8">
        <v>41545</v>
      </c>
      <c r="B282" s="4" t="s">
        <v>482</v>
      </c>
      <c r="C282" s="4">
        <v>26</v>
      </c>
    </row>
    <row r="283" spans="1:3" x14ac:dyDescent="0.25">
      <c r="A283" s="8">
        <v>41535</v>
      </c>
      <c r="B283" s="4" t="s">
        <v>483</v>
      </c>
      <c r="C283" s="4">
        <v>30</v>
      </c>
    </row>
    <row r="284" spans="1:3" x14ac:dyDescent="0.25">
      <c r="A284" s="8">
        <v>41644</v>
      </c>
      <c r="B284" s="4" t="s">
        <v>342</v>
      </c>
      <c r="C284" s="4">
        <v>40</v>
      </c>
    </row>
    <row r="285" spans="1:3" x14ac:dyDescent="0.25">
      <c r="A285" s="8">
        <v>41642</v>
      </c>
      <c r="B285" s="4" t="s">
        <v>484</v>
      </c>
      <c r="C285" s="4">
        <v>25</v>
      </c>
    </row>
    <row r="286" spans="1:3" x14ac:dyDescent="0.25">
      <c r="A286" s="8">
        <v>41549</v>
      </c>
      <c r="B286" s="4" t="s">
        <v>485</v>
      </c>
      <c r="C286" s="4">
        <v>10</v>
      </c>
    </row>
    <row r="287" spans="1:3" x14ac:dyDescent="0.25">
      <c r="A287" s="8">
        <v>41526</v>
      </c>
      <c r="B287" s="4" t="s">
        <v>486</v>
      </c>
      <c r="C287" s="4">
        <v>42</v>
      </c>
    </row>
    <row r="288" spans="1:3" x14ac:dyDescent="0.25">
      <c r="A288" s="8">
        <v>41524</v>
      </c>
      <c r="B288" s="4" t="s">
        <v>420</v>
      </c>
      <c r="C288" s="4">
        <v>33</v>
      </c>
    </row>
    <row r="289" spans="1:3" x14ac:dyDescent="0.25">
      <c r="A289" s="8">
        <v>41639</v>
      </c>
      <c r="B289" s="4" t="s">
        <v>487</v>
      </c>
      <c r="C289" s="4">
        <v>38</v>
      </c>
    </row>
    <row r="290" spans="1:3" x14ac:dyDescent="0.25">
      <c r="A290" s="8">
        <v>41535</v>
      </c>
      <c r="B290" s="4" t="s">
        <v>488</v>
      </c>
      <c r="C290" s="4">
        <v>53</v>
      </c>
    </row>
    <row r="291" spans="1:3" x14ac:dyDescent="0.25">
      <c r="A291" s="8">
        <v>41556</v>
      </c>
      <c r="B291" s="4" t="s">
        <v>489</v>
      </c>
      <c r="C291" s="4">
        <v>25</v>
      </c>
    </row>
    <row r="292" spans="1:3" x14ac:dyDescent="0.25">
      <c r="A292" s="8">
        <v>41563</v>
      </c>
      <c r="B292" s="4" t="s">
        <v>490</v>
      </c>
      <c r="C292" s="4">
        <v>45</v>
      </c>
    </row>
    <row r="293" spans="1:3" x14ac:dyDescent="0.25">
      <c r="A293" s="8">
        <v>41509</v>
      </c>
      <c r="B293" s="4" t="s">
        <v>491</v>
      </c>
      <c r="C293" s="4">
        <v>47</v>
      </c>
    </row>
    <row r="294" spans="1:3" x14ac:dyDescent="0.25">
      <c r="A294" s="8">
        <v>41643</v>
      </c>
      <c r="B294" s="4" t="s">
        <v>445</v>
      </c>
      <c r="C294" s="4">
        <v>32</v>
      </c>
    </row>
    <row r="295" spans="1:3" x14ac:dyDescent="0.25">
      <c r="A295" s="8">
        <v>41552</v>
      </c>
      <c r="B295" s="4" t="s">
        <v>426</v>
      </c>
      <c r="C295" s="4">
        <v>19</v>
      </c>
    </row>
    <row r="296" spans="1:3" x14ac:dyDescent="0.25">
      <c r="A296" s="8">
        <v>41642</v>
      </c>
      <c r="B296" s="4" t="s">
        <v>459</v>
      </c>
      <c r="C296" s="4">
        <v>21</v>
      </c>
    </row>
    <row r="297" spans="1:3" x14ac:dyDescent="0.25">
      <c r="A297" s="8">
        <v>41621</v>
      </c>
      <c r="B297" s="4" t="s">
        <v>373</v>
      </c>
      <c r="C297" s="4">
        <v>43</v>
      </c>
    </row>
    <row r="298" spans="1:3" x14ac:dyDescent="0.25">
      <c r="A298" s="8">
        <v>41619</v>
      </c>
      <c r="B298" s="4" t="s">
        <v>482</v>
      </c>
      <c r="C298" s="4">
        <v>25</v>
      </c>
    </row>
    <row r="299" spans="1:3" x14ac:dyDescent="0.25">
      <c r="A299" s="8">
        <v>41590</v>
      </c>
      <c r="B299" s="4" t="s">
        <v>492</v>
      </c>
      <c r="C299" s="4">
        <v>51</v>
      </c>
    </row>
    <row r="300" spans="1:3" x14ac:dyDescent="0.25">
      <c r="A300" s="8">
        <v>41567</v>
      </c>
      <c r="B300" s="4" t="s">
        <v>265</v>
      </c>
      <c r="C300" s="4">
        <v>11</v>
      </c>
    </row>
    <row r="301" spans="1:3" x14ac:dyDescent="0.25">
      <c r="A301" s="8">
        <v>41629</v>
      </c>
      <c r="B301" s="4" t="s">
        <v>493</v>
      </c>
      <c r="C301" s="4">
        <v>54</v>
      </c>
    </row>
    <row r="302" spans="1:3" x14ac:dyDescent="0.25">
      <c r="A302" s="8">
        <v>41589</v>
      </c>
      <c r="B302" s="4" t="s">
        <v>494</v>
      </c>
      <c r="C302" s="4">
        <v>46</v>
      </c>
    </row>
    <row r="303" spans="1:3" x14ac:dyDescent="0.25">
      <c r="A303" s="8">
        <v>41501</v>
      </c>
      <c r="B303" s="4" t="s">
        <v>495</v>
      </c>
      <c r="C303" s="4">
        <v>23</v>
      </c>
    </row>
    <row r="304" spans="1:3" x14ac:dyDescent="0.25">
      <c r="A304" s="8">
        <v>41555</v>
      </c>
      <c r="B304" s="4" t="s">
        <v>496</v>
      </c>
      <c r="C304" s="4">
        <v>25</v>
      </c>
    </row>
    <row r="305" spans="1:3" x14ac:dyDescent="0.25">
      <c r="A305" s="8">
        <v>41539</v>
      </c>
      <c r="B305" s="4" t="s">
        <v>484</v>
      </c>
      <c r="C305" s="4">
        <v>21</v>
      </c>
    </row>
    <row r="306" spans="1:3" x14ac:dyDescent="0.25">
      <c r="A306" s="8">
        <v>41513</v>
      </c>
      <c r="B306" s="4" t="s">
        <v>408</v>
      </c>
      <c r="C306" s="4">
        <v>19</v>
      </c>
    </row>
    <row r="307" spans="1:3" x14ac:dyDescent="0.25">
      <c r="A307" s="8">
        <v>41584</v>
      </c>
      <c r="B307" s="4" t="s">
        <v>408</v>
      </c>
      <c r="C307" s="4">
        <v>40</v>
      </c>
    </row>
    <row r="308" spans="1:3" x14ac:dyDescent="0.25">
      <c r="A308" s="8">
        <v>41524</v>
      </c>
      <c r="B308" s="4" t="s">
        <v>427</v>
      </c>
      <c r="C308" s="4">
        <v>32</v>
      </c>
    </row>
    <row r="309" spans="1:3" x14ac:dyDescent="0.25">
      <c r="A309" s="8">
        <v>41633</v>
      </c>
      <c r="B309" s="4" t="s">
        <v>369</v>
      </c>
      <c r="C309" s="4">
        <v>34</v>
      </c>
    </row>
    <row r="310" spans="1:3" x14ac:dyDescent="0.25">
      <c r="A310" s="8">
        <v>41563</v>
      </c>
      <c r="B310" s="4" t="s">
        <v>497</v>
      </c>
      <c r="C310" s="4">
        <v>32</v>
      </c>
    </row>
    <row r="311" spans="1:3" x14ac:dyDescent="0.25">
      <c r="A311" s="8">
        <v>41537</v>
      </c>
      <c r="B311" s="4" t="s">
        <v>427</v>
      </c>
      <c r="C311" s="4">
        <v>20</v>
      </c>
    </row>
    <row r="312" spans="1:3" x14ac:dyDescent="0.25">
      <c r="A312" s="8">
        <v>41504</v>
      </c>
      <c r="B312" s="4" t="s">
        <v>498</v>
      </c>
      <c r="C312" s="4">
        <v>40</v>
      </c>
    </row>
    <row r="313" spans="1:3" x14ac:dyDescent="0.25">
      <c r="A313" s="8">
        <v>41564</v>
      </c>
      <c r="B313" s="4" t="s">
        <v>263</v>
      </c>
      <c r="C313" s="4">
        <v>43</v>
      </c>
    </row>
    <row r="314" spans="1:3" x14ac:dyDescent="0.25">
      <c r="A314" s="8">
        <v>41628</v>
      </c>
      <c r="B314" s="4" t="s">
        <v>499</v>
      </c>
      <c r="C314" s="4">
        <v>20</v>
      </c>
    </row>
    <row r="315" spans="1:3" x14ac:dyDescent="0.25">
      <c r="A315" s="8">
        <v>41557</v>
      </c>
      <c r="B315" s="4" t="s">
        <v>393</v>
      </c>
      <c r="C315" s="4">
        <v>49</v>
      </c>
    </row>
    <row r="316" spans="1:3" x14ac:dyDescent="0.25">
      <c r="A316" s="8">
        <v>41599</v>
      </c>
      <c r="B316" s="4" t="s">
        <v>434</v>
      </c>
      <c r="C316" s="4">
        <v>21</v>
      </c>
    </row>
    <row r="317" spans="1:3" x14ac:dyDescent="0.25">
      <c r="A317" s="8">
        <v>41612</v>
      </c>
      <c r="B317" s="4" t="s">
        <v>285</v>
      </c>
      <c r="C317" s="4">
        <v>31</v>
      </c>
    </row>
    <row r="318" spans="1:3" x14ac:dyDescent="0.25">
      <c r="A318" s="8">
        <v>41588</v>
      </c>
      <c r="B318" s="4" t="s">
        <v>485</v>
      </c>
      <c r="C318" s="4">
        <v>16</v>
      </c>
    </row>
    <row r="319" spans="1:3" x14ac:dyDescent="0.25">
      <c r="A319" s="8">
        <v>41556</v>
      </c>
      <c r="B319" s="4" t="s">
        <v>361</v>
      </c>
      <c r="C319" s="4">
        <v>47</v>
      </c>
    </row>
    <row r="320" spans="1:3" x14ac:dyDescent="0.25">
      <c r="A320" s="8">
        <v>41571</v>
      </c>
      <c r="B320" s="4" t="s">
        <v>500</v>
      </c>
      <c r="C320" s="4">
        <v>44</v>
      </c>
    </row>
    <row r="321" spans="1:3" x14ac:dyDescent="0.25">
      <c r="A321" s="8">
        <v>41609</v>
      </c>
      <c r="B321" s="4" t="s">
        <v>501</v>
      </c>
      <c r="C321" s="4">
        <v>56</v>
      </c>
    </row>
    <row r="322" spans="1:3" x14ac:dyDescent="0.25">
      <c r="A322" s="8">
        <v>41547</v>
      </c>
      <c r="B322" s="4" t="s">
        <v>502</v>
      </c>
      <c r="C322" s="4">
        <v>31</v>
      </c>
    </row>
    <row r="323" spans="1:3" x14ac:dyDescent="0.25">
      <c r="A323" s="8">
        <v>41602</v>
      </c>
      <c r="B323" s="4" t="s">
        <v>503</v>
      </c>
      <c r="C323" s="4">
        <v>11</v>
      </c>
    </row>
    <row r="324" spans="1:3" x14ac:dyDescent="0.25">
      <c r="A324" s="8">
        <v>41604</v>
      </c>
      <c r="B324" s="4" t="s">
        <v>398</v>
      </c>
      <c r="C324" s="4">
        <v>31</v>
      </c>
    </row>
    <row r="325" spans="1:3" x14ac:dyDescent="0.25">
      <c r="A325" s="8">
        <v>41648</v>
      </c>
      <c r="B325" s="4" t="s">
        <v>345</v>
      </c>
      <c r="C325" s="4">
        <v>53</v>
      </c>
    </row>
    <row r="326" spans="1:3" x14ac:dyDescent="0.25">
      <c r="A326" s="8">
        <v>41592</v>
      </c>
      <c r="B326" s="4" t="s">
        <v>504</v>
      </c>
      <c r="C326" s="4">
        <v>16</v>
      </c>
    </row>
    <row r="327" spans="1:3" x14ac:dyDescent="0.25">
      <c r="A327" s="8">
        <v>41617</v>
      </c>
      <c r="B327" s="4" t="s">
        <v>488</v>
      </c>
      <c r="C327" s="4">
        <v>48</v>
      </c>
    </row>
    <row r="328" spans="1:3" x14ac:dyDescent="0.25">
      <c r="A328" s="8">
        <v>41507</v>
      </c>
      <c r="B328" s="4" t="s">
        <v>505</v>
      </c>
      <c r="C328" s="4">
        <v>46</v>
      </c>
    </row>
    <row r="329" spans="1:3" x14ac:dyDescent="0.25">
      <c r="A329" s="8">
        <v>41522</v>
      </c>
      <c r="B329" s="4" t="s">
        <v>506</v>
      </c>
      <c r="C329" s="4">
        <v>22</v>
      </c>
    </row>
    <row r="330" spans="1:3" x14ac:dyDescent="0.25">
      <c r="A330" s="8">
        <v>41593</v>
      </c>
      <c r="B330" s="4" t="s">
        <v>355</v>
      </c>
      <c r="C330" s="4">
        <v>51</v>
      </c>
    </row>
    <row r="331" spans="1:3" x14ac:dyDescent="0.25">
      <c r="A331" s="8">
        <v>41520</v>
      </c>
      <c r="B331" s="4" t="s">
        <v>507</v>
      </c>
      <c r="C331" s="4">
        <v>45</v>
      </c>
    </row>
    <row r="332" spans="1:3" x14ac:dyDescent="0.25">
      <c r="A332" s="8">
        <v>41599</v>
      </c>
      <c r="B332" s="4" t="s">
        <v>508</v>
      </c>
      <c r="C332" s="4">
        <v>11</v>
      </c>
    </row>
    <row r="333" spans="1:3" x14ac:dyDescent="0.25">
      <c r="A333" s="8">
        <v>41648</v>
      </c>
      <c r="B333" s="4" t="s">
        <v>479</v>
      </c>
      <c r="C333" s="4">
        <v>30</v>
      </c>
    </row>
    <row r="334" spans="1:3" x14ac:dyDescent="0.25">
      <c r="A334" s="8">
        <v>41500</v>
      </c>
      <c r="B334" s="4" t="s">
        <v>509</v>
      </c>
      <c r="C334" s="4">
        <v>34</v>
      </c>
    </row>
    <row r="335" spans="1:3" x14ac:dyDescent="0.25">
      <c r="A335" s="8">
        <v>41618</v>
      </c>
      <c r="B335" s="4" t="s">
        <v>510</v>
      </c>
      <c r="C335" s="4">
        <v>11</v>
      </c>
    </row>
    <row r="336" spans="1:3" x14ac:dyDescent="0.25">
      <c r="A336" s="8">
        <v>41542</v>
      </c>
      <c r="B336" s="4" t="s">
        <v>504</v>
      </c>
      <c r="C336" s="4">
        <v>21</v>
      </c>
    </row>
    <row r="337" spans="1:3" x14ac:dyDescent="0.25">
      <c r="A337" s="8">
        <v>41581</v>
      </c>
      <c r="B337" s="4" t="s">
        <v>511</v>
      </c>
      <c r="C337" s="4">
        <v>12</v>
      </c>
    </row>
    <row r="338" spans="1:3" x14ac:dyDescent="0.25">
      <c r="A338" s="8">
        <v>41601</v>
      </c>
      <c r="B338" s="4" t="s">
        <v>512</v>
      </c>
      <c r="C338" s="4">
        <v>53</v>
      </c>
    </row>
    <row r="339" spans="1:3" x14ac:dyDescent="0.25">
      <c r="A339" s="8">
        <v>41568</v>
      </c>
      <c r="B339" s="4" t="s">
        <v>447</v>
      </c>
      <c r="C339" s="4">
        <v>40</v>
      </c>
    </row>
    <row r="340" spans="1:3" x14ac:dyDescent="0.25">
      <c r="A340" s="8">
        <v>41543</v>
      </c>
      <c r="B340" s="4" t="s">
        <v>513</v>
      </c>
      <c r="C340" s="4">
        <v>52</v>
      </c>
    </row>
    <row r="341" spans="1:3" x14ac:dyDescent="0.25">
      <c r="A341" s="8">
        <v>41504</v>
      </c>
      <c r="B341" s="4" t="s">
        <v>514</v>
      </c>
      <c r="C341" s="4">
        <v>22</v>
      </c>
    </row>
    <row r="342" spans="1:3" x14ac:dyDescent="0.25">
      <c r="A342" s="8">
        <v>41628</v>
      </c>
      <c r="B342" s="4" t="s">
        <v>429</v>
      </c>
      <c r="C342" s="4">
        <v>24</v>
      </c>
    </row>
    <row r="343" spans="1:3" x14ac:dyDescent="0.25">
      <c r="A343" s="8">
        <v>41631</v>
      </c>
      <c r="B343" s="4" t="s">
        <v>515</v>
      </c>
      <c r="C343" s="4">
        <v>31</v>
      </c>
    </row>
    <row r="344" spans="1:3" x14ac:dyDescent="0.25">
      <c r="A344" s="8">
        <v>41596</v>
      </c>
      <c r="B344" s="4" t="s">
        <v>516</v>
      </c>
      <c r="C344" s="4">
        <v>48</v>
      </c>
    </row>
    <row r="345" spans="1:3" x14ac:dyDescent="0.25">
      <c r="A345" s="8">
        <v>41650</v>
      </c>
      <c r="B345" s="4" t="s">
        <v>517</v>
      </c>
      <c r="C345" s="4">
        <v>41</v>
      </c>
    </row>
    <row r="346" spans="1:3" x14ac:dyDescent="0.25">
      <c r="A346" s="8">
        <v>41570</v>
      </c>
      <c r="B346" s="4" t="s">
        <v>518</v>
      </c>
      <c r="C346" s="4">
        <v>52</v>
      </c>
    </row>
    <row r="347" spans="1:3" x14ac:dyDescent="0.25">
      <c r="A347" s="8">
        <v>41642</v>
      </c>
      <c r="B347" s="4" t="s">
        <v>519</v>
      </c>
      <c r="C347" s="4">
        <v>34</v>
      </c>
    </row>
    <row r="348" spans="1:3" x14ac:dyDescent="0.25">
      <c r="A348" s="8">
        <v>41594</v>
      </c>
      <c r="B348" s="4" t="s">
        <v>520</v>
      </c>
      <c r="C348" s="4">
        <v>57</v>
      </c>
    </row>
    <row r="349" spans="1:3" x14ac:dyDescent="0.25">
      <c r="A349" s="8">
        <v>41577</v>
      </c>
      <c r="B349" s="4" t="s">
        <v>317</v>
      </c>
      <c r="C349" s="4">
        <v>21</v>
      </c>
    </row>
    <row r="350" spans="1:3" x14ac:dyDescent="0.25">
      <c r="A350" s="8">
        <v>41577</v>
      </c>
      <c r="B350" s="4" t="s">
        <v>521</v>
      </c>
      <c r="C350" s="4">
        <v>51</v>
      </c>
    </row>
    <row r="351" spans="1:3" x14ac:dyDescent="0.25">
      <c r="A351" s="8">
        <v>41589</v>
      </c>
      <c r="B351" s="4" t="s">
        <v>522</v>
      </c>
      <c r="C351" s="4">
        <v>11</v>
      </c>
    </row>
    <row r="352" spans="1:3" x14ac:dyDescent="0.25">
      <c r="A352" s="8">
        <v>41510</v>
      </c>
      <c r="B352" s="4" t="s">
        <v>469</v>
      </c>
      <c r="C352" s="4">
        <v>35</v>
      </c>
    </row>
    <row r="353" spans="1:3" x14ac:dyDescent="0.25">
      <c r="A353" s="8">
        <v>41528</v>
      </c>
      <c r="B353" s="4" t="s">
        <v>403</v>
      </c>
      <c r="C353" s="4">
        <v>24</v>
      </c>
    </row>
    <row r="354" spans="1:3" x14ac:dyDescent="0.25">
      <c r="A354" s="8">
        <v>41564</v>
      </c>
      <c r="B354" s="4" t="s">
        <v>523</v>
      </c>
      <c r="C354" s="4">
        <v>11</v>
      </c>
    </row>
    <row r="355" spans="1:3" x14ac:dyDescent="0.25">
      <c r="A355" s="8">
        <v>41612</v>
      </c>
      <c r="B355" s="4" t="s">
        <v>524</v>
      </c>
      <c r="C355" s="4">
        <v>21</v>
      </c>
    </row>
    <row r="356" spans="1:3" x14ac:dyDescent="0.25">
      <c r="A356" s="8">
        <v>41649</v>
      </c>
      <c r="B356" s="4" t="s">
        <v>471</v>
      </c>
      <c r="C356" s="4">
        <v>22</v>
      </c>
    </row>
    <row r="357" spans="1:3" x14ac:dyDescent="0.25">
      <c r="A357" s="8">
        <v>41602</v>
      </c>
      <c r="B357" s="4" t="s">
        <v>446</v>
      </c>
      <c r="C357" s="4">
        <v>28</v>
      </c>
    </row>
    <row r="358" spans="1:3" x14ac:dyDescent="0.25">
      <c r="A358" s="8">
        <v>41520</v>
      </c>
      <c r="B358" s="4" t="s">
        <v>525</v>
      </c>
      <c r="C358" s="4">
        <v>28</v>
      </c>
    </row>
    <row r="359" spans="1:3" x14ac:dyDescent="0.25">
      <c r="A359" s="8">
        <v>41647</v>
      </c>
      <c r="B359" s="4" t="s">
        <v>479</v>
      </c>
      <c r="C359" s="4">
        <v>22</v>
      </c>
    </row>
    <row r="360" spans="1:3" x14ac:dyDescent="0.25">
      <c r="A360" s="8">
        <v>41645</v>
      </c>
      <c r="B360" s="4" t="s">
        <v>526</v>
      </c>
      <c r="C360" s="4">
        <v>12</v>
      </c>
    </row>
    <row r="361" spans="1:3" x14ac:dyDescent="0.25">
      <c r="A361" s="8">
        <v>41584</v>
      </c>
      <c r="B361" s="4" t="s">
        <v>391</v>
      </c>
      <c r="C361" s="4">
        <v>11</v>
      </c>
    </row>
    <row r="362" spans="1:3" x14ac:dyDescent="0.25">
      <c r="A362" s="8">
        <v>41523</v>
      </c>
      <c r="B362" s="4" t="s">
        <v>527</v>
      </c>
      <c r="C362" s="4">
        <v>15</v>
      </c>
    </row>
    <row r="363" spans="1:3" x14ac:dyDescent="0.25">
      <c r="A363" s="8">
        <v>41555</v>
      </c>
      <c r="B363" s="4" t="s">
        <v>528</v>
      </c>
      <c r="C363" s="4">
        <v>41</v>
      </c>
    </row>
    <row r="364" spans="1:3" x14ac:dyDescent="0.25">
      <c r="A364" s="8">
        <v>41600</v>
      </c>
      <c r="B364" s="4" t="s">
        <v>529</v>
      </c>
      <c r="C364" s="4">
        <v>36</v>
      </c>
    </row>
    <row r="365" spans="1:3" x14ac:dyDescent="0.25">
      <c r="A365" s="8">
        <v>41630</v>
      </c>
      <c r="B365" s="4" t="s">
        <v>530</v>
      </c>
      <c r="C365" s="4">
        <v>39</v>
      </c>
    </row>
    <row r="366" spans="1:3" x14ac:dyDescent="0.25">
      <c r="A366" s="8">
        <v>41618</v>
      </c>
      <c r="B366" s="4" t="s">
        <v>529</v>
      </c>
      <c r="C366" s="4">
        <v>10</v>
      </c>
    </row>
    <row r="367" spans="1:3" x14ac:dyDescent="0.25">
      <c r="A367" s="8">
        <v>41586</v>
      </c>
      <c r="B367" s="4" t="s">
        <v>531</v>
      </c>
      <c r="C367" s="4">
        <v>34</v>
      </c>
    </row>
    <row r="368" spans="1:3" x14ac:dyDescent="0.25">
      <c r="A368" s="8">
        <v>41577</v>
      </c>
      <c r="B368" s="4" t="s">
        <v>532</v>
      </c>
      <c r="C368" s="4">
        <v>15</v>
      </c>
    </row>
    <row r="369" spans="1:3" x14ac:dyDescent="0.25">
      <c r="A369" s="8">
        <v>41575</v>
      </c>
      <c r="B369" s="4" t="s">
        <v>533</v>
      </c>
      <c r="C369" s="4">
        <v>24</v>
      </c>
    </row>
    <row r="370" spans="1:3" x14ac:dyDescent="0.25">
      <c r="A370" s="8">
        <v>41595</v>
      </c>
      <c r="B370" s="4" t="s">
        <v>534</v>
      </c>
      <c r="C370" s="4">
        <v>56</v>
      </c>
    </row>
    <row r="371" spans="1:3" x14ac:dyDescent="0.25">
      <c r="A371" s="8">
        <v>41621</v>
      </c>
      <c r="B371" s="4" t="s">
        <v>535</v>
      </c>
      <c r="C371" s="4">
        <v>27</v>
      </c>
    </row>
    <row r="372" spans="1:3" x14ac:dyDescent="0.25">
      <c r="A372" s="8">
        <v>41612</v>
      </c>
      <c r="B372" s="4" t="s">
        <v>536</v>
      </c>
      <c r="C372" s="4">
        <v>16</v>
      </c>
    </row>
    <row r="373" spans="1:3" x14ac:dyDescent="0.25">
      <c r="A373" s="8">
        <v>41605</v>
      </c>
      <c r="B373" s="4" t="s">
        <v>384</v>
      </c>
      <c r="C373" s="4">
        <v>32</v>
      </c>
    </row>
    <row r="374" spans="1:3" x14ac:dyDescent="0.25">
      <c r="A374" s="8">
        <v>41543</v>
      </c>
      <c r="B374" s="4" t="s">
        <v>393</v>
      </c>
      <c r="C374" s="4">
        <v>49</v>
      </c>
    </row>
    <row r="375" spans="1:3" x14ac:dyDescent="0.25">
      <c r="A375" s="8">
        <v>41614</v>
      </c>
      <c r="B375" s="4" t="s">
        <v>306</v>
      </c>
      <c r="C375" s="4">
        <v>23</v>
      </c>
    </row>
    <row r="376" spans="1:3" x14ac:dyDescent="0.25">
      <c r="A376" s="8">
        <v>41636</v>
      </c>
      <c r="B376" s="4" t="s">
        <v>537</v>
      </c>
      <c r="C376" s="4">
        <v>10</v>
      </c>
    </row>
    <row r="377" spans="1:3" x14ac:dyDescent="0.25">
      <c r="A377" s="8">
        <v>41592</v>
      </c>
      <c r="B377" s="4" t="s">
        <v>538</v>
      </c>
      <c r="C377" s="4">
        <v>59</v>
      </c>
    </row>
    <row r="378" spans="1:3" x14ac:dyDescent="0.25">
      <c r="A378" s="8">
        <v>41566</v>
      </c>
      <c r="B378" s="4" t="s">
        <v>539</v>
      </c>
      <c r="C378" s="4">
        <v>51</v>
      </c>
    </row>
    <row r="379" spans="1:3" x14ac:dyDescent="0.25">
      <c r="A379" s="8">
        <v>41588</v>
      </c>
      <c r="B379" s="4" t="s">
        <v>540</v>
      </c>
      <c r="C379" s="4">
        <v>18</v>
      </c>
    </row>
    <row r="380" spans="1:3" x14ac:dyDescent="0.25">
      <c r="A380" s="8">
        <v>41572</v>
      </c>
      <c r="B380" s="4" t="s">
        <v>541</v>
      </c>
      <c r="C380" s="4">
        <v>36</v>
      </c>
    </row>
    <row r="381" spans="1:3" x14ac:dyDescent="0.25">
      <c r="A381" s="8">
        <v>41598</v>
      </c>
      <c r="B381" s="4" t="s">
        <v>291</v>
      </c>
      <c r="C381" s="4">
        <v>43</v>
      </c>
    </row>
    <row r="382" spans="1:3" x14ac:dyDescent="0.25">
      <c r="A382" s="8">
        <v>41519</v>
      </c>
      <c r="B382" s="4" t="s">
        <v>497</v>
      </c>
      <c r="C382" s="4">
        <v>55</v>
      </c>
    </row>
    <row r="383" spans="1:3" x14ac:dyDescent="0.25">
      <c r="A383" s="8">
        <v>41534</v>
      </c>
      <c r="B383" s="4" t="s">
        <v>510</v>
      </c>
      <c r="C383" s="4">
        <v>50</v>
      </c>
    </row>
    <row r="384" spans="1:3" x14ac:dyDescent="0.25">
      <c r="A384" s="8">
        <v>41634</v>
      </c>
      <c r="B384" s="4" t="s">
        <v>507</v>
      </c>
      <c r="C384" s="4">
        <v>49</v>
      </c>
    </row>
    <row r="385" spans="1:3" x14ac:dyDescent="0.25">
      <c r="A385" s="8">
        <v>41616</v>
      </c>
      <c r="B385" s="4" t="s">
        <v>446</v>
      </c>
      <c r="C385" s="4">
        <v>34</v>
      </c>
    </row>
    <row r="386" spans="1:3" x14ac:dyDescent="0.25">
      <c r="A386" s="8">
        <v>41505</v>
      </c>
      <c r="B386" s="4" t="s">
        <v>542</v>
      </c>
      <c r="C386" s="4">
        <v>43</v>
      </c>
    </row>
    <row r="387" spans="1:3" x14ac:dyDescent="0.25">
      <c r="A387" s="8">
        <v>41576</v>
      </c>
      <c r="B387" s="4" t="s">
        <v>415</v>
      </c>
      <c r="C387" s="4">
        <v>50</v>
      </c>
    </row>
    <row r="388" spans="1:3" x14ac:dyDescent="0.25">
      <c r="A388" s="8">
        <v>41639</v>
      </c>
      <c r="B388" s="4" t="s">
        <v>352</v>
      </c>
      <c r="C388" s="4">
        <v>42</v>
      </c>
    </row>
    <row r="389" spans="1:3" x14ac:dyDescent="0.25">
      <c r="A389" s="8">
        <v>41560</v>
      </c>
      <c r="B389" s="4" t="s">
        <v>543</v>
      </c>
      <c r="C389" s="4">
        <v>40</v>
      </c>
    </row>
    <row r="390" spans="1:3" x14ac:dyDescent="0.25">
      <c r="A390" s="8">
        <v>41607</v>
      </c>
      <c r="B390" s="4" t="s">
        <v>544</v>
      </c>
      <c r="C390" s="4">
        <v>48</v>
      </c>
    </row>
    <row r="391" spans="1:3" x14ac:dyDescent="0.25">
      <c r="A391" s="8">
        <v>41638</v>
      </c>
      <c r="B391" s="4" t="s">
        <v>486</v>
      </c>
      <c r="C391" s="4">
        <v>59</v>
      </c>
    </row>
    <row r="392" spans="1:3" x14ac:dyDescent="0.25">
      <c r="A392" s="8">
        <v>41520</v>
      </c>
      <c r="B392" s="4" t="s">
        <v>294</v>
      </c>
      <c r="C392" s="4">
        <v>55</v>
      </c>
    </row>
    <row r="393" spans="1:3" x14ac:dyDescent="0.25">
      <c r="A393" s="8">
        <v>41584</v>
      </c>
      <c r="B393" s="4" t="s">
        <v>545</v>
      </c>
      <c r="C393" s="4">
        <v>25</v>
      </c>
    </row>
    <row r="394" spans="1:3" x14ac:dyDescent="0.25">
      <c r="A394" s="8">
        <v>41648</v>
      </c>
      <c r="B394" s="4" t="s">
        <v>546</v>
      </c>
      <c r="C394" s="4">
        <v>39</v>
      </c>
    </row>
    <row r="395" spans="1:3" x14ac:dyDescent="0.25">
      <c r="A395" s="8">
        <v>41588</v>
      </c>
      <c r="B395" s="4" t="s">
        <v>547</v>
      </c>
      <c r="C395" s="4">
        <v>54</v>
      </c>
    </row>
    <row r="396" spans="1:3" x14ac:dyDescent="0.25">
      <c r="A396" s="8">
        <v>41511</v>
      </c>
      <c r="B396" s="4" t="s">
        <v>529</v>
      </c>
      <c r="C396" s="4">
        <v>59</v>
      </c>
    </row>
    <row r="397" spans="1:3" x14ac:dyDescent="0.25">
      <c r="A397" s="8">
        <v>41506</v>
      </c>
      <c r="B397" s="4" t="s">
        <v>548</v>
      </c>
      <c r="C397" s="4">
        <v>42</v>
      </c>
    </row>
    <row r="398" spans="1:3" x14ac:dyDescent="0.25">
      <c r="A398" s="8">
        <v>41573</v>
      </c>
      <c r="B398" s="4" t="s">
        <v>275</v>
      </c>
      <c r="C398" s="4">
        <v>35</v>
      </c>
    </row>
    <row r="399" spans="1:3" x14ac:dyDescent="0.25">
      <c r="A399" s="8">
        <v>41589</v>
      </c>
      <c r="B399" s="4" t="s">
        <v>548</v>
      </c>
      <c r="C399" s="4">
        <v>46</v>
      </c>
    </row>
    <row r="400" spans="1:3" x14ac:dyDescent="0.25">
      <c r="A400" s="8">
        <v>41508</v>
      </c>
      <c r="B400" s="4" t="s">
        <v>271</v>
      </c>
      <c r="C400" s="4">
        <v>32</v>
      </c>
    </row>
    <row r="401" spans="1:3" x14ac:dyDescent="0.25">
      <c r="A401" s="8">
        <v>41637</v>
      </c>
      <c r="B401" s="4" t="s">
        <v>549</v>
      </c>
      <c r="C401" s="4">
        <v>34</v>
      </c>
    </row>
    <row r="402" spans="1:3" x14ac:dyDescent="0.25">
      <c r="A402" s="8">
        <v>41630</v>
      </c>
      <c r="B402" s="4" t="s">
        <v>550</v>
      </c>
      <c r="C402" s="4">
        <v>26</v>
      </c>
    </row>
    <row r="403" spans="1:3" x14ac:dyDescent="0.25">
      <c r="A403" s="8">
        <v>41625</v>
      </c>
      <c r="B403" s="4" t="s">
        <v>399</v>
      </c>
      <c r="C403" s="4">
        <v>26</v>
      </c>
    </row>
    <row r="404" spans="1:3" x14ac:dyDescent="0.25">
      <c r="A404" s="8">
        <v>41517</v>
      </c>
      <c r="B404" s="4" t="s">
        <v>551</v>
      </c>
      <c r="C404" s="4">
        <v>31</v>
      </c>
    </row>
    <row r="405" spans="1:3" x14ac:dyDescent="0.25">
      <c r="A405" s="8">
        <v>41585</v>
      </c>
      <c r="B405" s="4" t="s">
        <v>264</v>
      </c>
      <c r="C405" s="4">
        <v>22</v>
      </c>
    </row>
    <row r="406" spans="1:3" x14ac:dyDescent="0.25">
      <c r="A406" s="8">
        <v>41630</v>
      </c>
      <c r="B406" s="4" t="s">
        <v>308</v>
      </c>
      <c r="C406" s="4">
        <v>43</v>
      </c>
    </row>
    <row r="407" spans="1:3" x14ac:dyDescent="0.25">
      <c r="A407" s="8">
        <v>41521</v>
      </c>
      <c r="B407" s="4" t="s">
        <v>533</v>
      </c>
      <c r="C407" s="4">
        <v>53</v>
      </c>
    </row>
    <row r="408" spans="1:3" x14ac:dyDescent="0.25">
      <c r="A408" s="8">
        <v>41648</v>
      </c>
      <c r="B408" s="4" t="s">
        <v>350</v>
      </c>
      <c r="C408" s="4">
        <v>54</v>
      </c>
    </row>
    <row r="409" spans="1:3" x14ac:dyDescent="0.25">
      <c r="A409" s="8">
        <v>41513</v>
      </c>
      <c r="B409" s="4" t="s">
        <v>505</v>
      </c>
      <c r="C409" s="4">
        <v>26</v>
      </c>
    </row>
    <row r="410" spans="1:3" x14ac:dyDescent="0.25">
      <c r="A410" s="8">
        <v>41640</v>
      </c>
      <c r="B410" s="4" t="s">
        <v>420</v>
      </c>
      <c r="C410" s="4">
        <v>19</v>
      </c>
    </row>
    <row r="411" spans="1:3" x14ac:dyDescent="0.25">
      <c r="A411" s="8">
        <v>41592</v>
      </c>
      <c r="B411" s="4" t="s">
        <v>552</v>
      </c>
      <c r="C411" s="4">
        <v>15</v>
      </c>
    </row>
    <row r="412" spans="1:3" x14ac:dyDescent="0.25">
      <c r="A412" s="8">
        <v>41571</v>
      </c>
      <c r="B412" s="4" t="s">
        <v>366</v>
      </c>
      <c r="C412" s="4">
        <v>48</v>
      </c>
    </row>
    <row r="413" spans="1:3" x14ac:dyDescent="0.25">
      <c r="A413" s="8">
        <v>41566</v>
      </c>
      <c r="B413" s="4" t="s">
        <v>348</v>
      </c>
      <c r="C413" s="4">
        <v>53</v>
      </c>
    </row>
    <row r="414" spans="1:3" x14ac:dyDescent="0.25">
      <c r="A414" s="8">
        <v>41559</v>
      </c>
      <c r="B414" s="4" t="s">
        <v>553</v>
      </c>
      <c r="C414" s="4">
        <v>40</v>
      </c>
    </row>
    <row r="415" spans="1:3" x14ac:dyDescent="0.25">
      <c r="A415" s="8">
        <v>41617</v>
      </c>
      <c r="B415" s="4" t="s">
        <v>554</v>
      </c>
      <c r="C415" s="4">
        <v>27</v>
      </c>
    </row>
    <row r="416" spans="1:3" x14ac:dyDescent="0.25">
      <c r="A416" s="8">
        <v>41530</v>
      </c>
      <c r="B416" s="4" t="s">
        <v>555</v>
      </c>
      <c r="C416" s="4">
        <v>53</v>
      </c>
    </row>
    <row r="417" spans="1:3" x14ac:dyDescent="0.25">
      <c r="A417" s="8">
        <v>41555</v>
      </c>
      <c r="B417" s="4" t="s">
        <v>475</v>
      </c>
      <c r="C417" s="4">
        <v>29</v>
      </c>
    </row>
    <row r="418" spans="1:3" x14ac:dyDescent="0.25">
      <c r="A418" s="8">
        <v>41508</v>
      </c>
      <c r="B418" s="4" t="s">
        <v>556</v>
      </c>
      <c r="C418" s="4">
        <v>19</v>
      </c>
    </row>
    <row r="419" spans="1:3" x14ac:dyDescent="0.25">
      <c r="A419" s="8">
        <v>41617</v>
      </c>
      <c r="B419" s="4" t="s">
        <v>557</v>
      </c>
      <c r="C419" s="4">
        <v>15</v>
      </c>
    </row>
    <row r="420" spans="1:3" x14ac:dyDescent="0.25">
      <c r="A420" s="8">
        <v>41627</v>
      </c>
      <c r="B420" s="4" t="s">
        <v>558</v>
      </c>
      <c r="C420" s="4">
        <v>31</v>
      </c>
    </row>
    <row r="421" spans="1:3" x14ac:dyDescent="0.25">
      <c r="A421" s="8">
        <v>41513</v>
      </c>
      <c r="B421" s="4" t="s">
        <v>559</v>
      </c>
      <c r="C421" s="4">
        <v>20</v>
      </c>
    </row>
    <row r="422" spans="1:3" x14ac:dyDescent="0.25">
      <c r="A422" s="8">
        <v>41546</v>
      </c>
      <c r="B422" s="4" t="s">
        <v>560</v>
      </c>
      <c r="C422" s="4">
        <v>15</v>
      </c>
    </row>
    <row r="423" spans="1:3" x14ac:dyDescent="0.25">
      <c r="A423" s="8">
        <v>41548</v>
      </c>
      <c r="B423" s="4" t="s">
        <v>386</v>
      </c>
      <c r="C423" s="4">
        <v>50</v>
      </c>
    </row>
    <row r="424" spans="1:3" x14ac:dyDescent="0.25">
      <c r="A424" s="8">
        <v>41533</v>
      </c>
      <c r="B424" s="4" t="s">
        <v>561</v>
      </c>
      <c r="C424" s="4">
        <v>16</v>
      </c>
    </row>
    <row r="425" spans="1:3" x14ac:dyDescent="0.25">
      <c r="A425" s="8">
        <v>41582</v>
      </c>
      <c r="B425" s="4" t="s">
        <v>554</v>
      </c>
      <c r="C425" s="4">
        <v>10</v>
      </c>
    </row>
    <row r="426" spans="1:3" x14ac:dyDescent="0.25">
      <c r="A426" s="8">
        <v>41530</v>
      </c>
      <c r="B426" s="4" t="s">
        <v>562</v>
      </c>
      <c r="C426" s="4">
        <v>36</v>
      </c>
    </row>
    <row r="427" spans="1:3" x14ac:dyDescent="0.25">
      <c r="A427" s="8">
        <v>41533</v>
      </c>
      <c r="B427" s="4" t="s">
        <v>563</v>
      </c>
      <c r="C427" s="4">
        <v>24</v>
      </c>
    </row>
    <row r="428" spans="1:3" x14ac:dyDescent="0.25">
      <c r="A428" s="8">
        <v>41617</v>
      </c>
      <c r="B428" s="4" t="s">
        <v>283</v>
      </c>
      <c r="C428" s="4">
        <v>18</v>
      </c>
    </row>
    <row r="429" spans="1:3" x14ac:dyDescent="0.25">
      <c r="A429" s="8">
        <v>41633</v>
      </c>
      <c r="B429" s="4" t="s">
        <v>520</v>
      </c>
      <c r="C429" s="4">
        <v>53</v>
      </c>
    </row>
    <row r="430" spans="1:3" x14ac:dyDescent="0.25">
      <c r="A430" s="8">
        <v>41604</v>
      </c>
      <c r="B430" s="4" t="s">
        <v>564</v>
      </c>
      <c r="C430" s="4">
        <v>58</v>
      </c>
    </row>
    <row r="431" spans="1:3" x14ac:dyDescent="0.25">
      <c r="A431" s="8">
        <v>41501</v>
      </c>
      <c r="B431" s="4" t="s">
        <v>565</v>
      </c>
      <c r="C431" s="4">
        <v>45</v>
      </c>
    </row>
    <row r="432" spans="1:3" x14ac:dyDescent="0.25">
      <c r="A432" s="8">
        <v>41643</v>
      </c>
      <c r="B432" s="4" t="s">
        <v>504</v>
      </c>
      <c r="C432" s="4">
        <v>32</v>
      </c>
    </row>
    <row r="433" spans="1:3" x14ac:dyDescent="0.25">
      <c r="A433" s="8">
        <v>41610</v>
      </c>
      <c r="B433" s="4" t="s">
        <v>566</v>
      </c>
      <c r="C433" s="4">
        <v>28</v>
      </c>
    </row>
    <row r="434" spans="1:3" x14ac:dyDescent="0.25">
      <c r="A434" s="8">
        <v>41609</v>
      </c>
      <c r="B434" s="4" t="s">
        <v>444</v>
      </c>
      <c r="C434" s="4">
        <v>17</v>
      </c>
    </row>
    <row r="435" spans="1:3" x14ac:dyDescent="0.25">
      <c r="A435" s="8">
        <v>41550</v>
      </c>
      <c r="B435" s="4" t="s">
        <v>567</v>
      </c>
      <c r="C435" s="4">
        <v>24</v>
      </c>
    </row>
    <row r="436" spans="1:3" x14ac:dyDescent="0.25">
      <c r="A436" s="8">
        <v>41593</v>
      </c>
      <c r="B436" s="4" t="s">
        <v>431</v>
      </c>
      <c r="C436" s="4">
        <v>59</v>
      </c>
    </row>
    <row r="437" spans="1:3" x14ac:dyDescent="0.25">
      <c r="A437" s="8">
        <v>41530</v>
      </c>
      <c r="B437" s="4" t="s">
        <v>388</v>
      </c>
      <c r="C437" s="4">
        <v>10</v>
      </c>
    </row>
    <row r="438" spans="1:3" x14ac:dyDescent="0.25">
      <c r="A438" s="8">
        <v>41553</v>
      </c>
      <c r="B438" s="4" t="s">
        <v>568</v>
      </c>
      <c r="C438" s="4">
        <v>12</v>
      </c>
    </row>
    <row r="439" spans="1:3" x14ac:dyDescent="0.25">
      <c r="A439" s="8">
        <v>41610</v>
      </c>
      <c r="B439" s="4" t="s">
        <v>569</v>
      </c>
      <c r="C439" s="4">
        <v>38</v>
      </c>
    </row>
    <row r="440" spans="1:3" x14ac:dyDescent="0.25">
      <c r="A440" s="8">
        <v>41503</v>
      </c>
      <c r="B440" s="4" t="s">
        <v>567</v>
      </c>
      <c r="C440" s="4">
        <v>13</v>
      </c>
    </row>
    <row r="441" spans="1:3" x14ac:dyDescent="0.25">
      <c r="A441" s="8">
        <v>41590</v>
      </c>
      <c r="B441" s="4" t="s">
        <v>570</v>
      </c>
      <c r="C441" s="4">
        <v>13</v>
      </c>
    </row>
    <row r="442" spans="1:3" x14ac:dyDescent="0.25">
      <c r="A442" s="8">
        <v>41646</v>
      </c>
      <c r="B442" s="4" t="s">
        <v>571</v>
      </c>
      <c r="C442" s="4">
        <v>29</v>
      </c>
    </row>
    <row r="443" spans="1:3" x14ac:dyDescent="0.25">
      <c r="A443" s="8">
        <v>41562</v>
      </c>
      <c r="B443" s="4" t="s">
        <v>263</v>
      </c>
      <c r="C443" s="4">
        <v>34</v>
      </c>
    </row>
    <row r="444" spans="1:3" x14ac:dyDescent="0.25">
      <c r="A444" s="8">
        <v>41565</v>
      </c>
      <c r="B444" s="4" t="s">
        <v>572</v>
      </c>
      <c r="C444" s="4">
        <v>13</v>
      </c>
    </row>
    <row r="445" spans="1:3" x14ac:dyDescent="0.25">
      <c r="A445" s="8">
        <v>41539</v>
      </c>
      <c r="B445" s="4" t="s">
        <v>573</v>
      </c>
      <c r="C445" s="4">
        <v>44</v>
      </c>
    </row>
    <row r="446" spans="1:3" x14ac:dyDescent="0.25">
      <c r="A446" s="8">
        <v>41514</v>
      </c>
      <c r="B446" s="4" t="s">
        <v>361</v>
      </c>
      <c r="C446" s="4">
        <v>51</v>
      </c>
    </row>
    <row r="447" spans="1:3" x14ac:dyDescent="0.25">
      <c r="A447" s="8">
        <v>41604</v>
      </c>
      <c r="B447" s="4" t="s">
        <v>574</v>
      </c>
      <c r="C447" s="4">
        <v>33</v>
      </c>
    </row>
    <row r="448" spans="1:3" x14ac:dyDescent="0.25">
      <c r="A448" s="8">
        <v>41519</v>
      </c>
      <c r="B448" s="4" t="s">
        <v>575</v>
      </c>
      <c r="C448" s="4">
        <v>52</v>
      </c>
    </row>
    <row r="449" spans="1:3" x14ac:dyDescent="0.25">
      <c r="A449" s="8">
        <v>41560</v>
      </c>
      <c r="B449" s="4" t="s">
        <v>423</v>
      </c>
      <c r="C449" s="4">
        <v>23</v>
      </c>
    </row>
    <row r="450" spans="1:3" x14ac:dyDescent="0.25">
      <c r="A450" s="8">
        <v>41624</v>
      </c>
      <c r="B450" s="4" t="s">
        <v>542</v>
      </c>
      <c r="C450" s="4">
        <v>29</v>
      </c>
    </row>
    <row r="451" spans="1:3" x14ac:dyDescent="0.25">
      <c r="A451" s="8">
        <v>41599</v>
      </c>
      <c r="B451" s="4" t="s">
        <v>306</v>
      </c>
      <c r="C451" s="4">
        <v>30</v>
      </c>
    </row>
    <row r="452" spans="1:3" x14ac:dyDescent="0.25">
      <c r="A452" s="8">
        <v>41605</v>
      </c>
      <c r="B452" s="4" t="s">
        <v>407</v>
      </c>
      <c r="C452" s="4">
        <v>35</v>
      </c>
    </row>
    <row r="453" spans="1:3" x14ac:dyDescent="0.25">
      <c r="A453" s="8">
        <v>41509</v>
      </c>
      <c r="B453" s="4" t="s">
        <v>505</v>
      </c>
      <c r="C453" s="4">
        <v>59</v>
      </c>
    </row>
    <row r="454" spans="1:3" x14ac:dyDescent="0.25">
      <c r="A454" s="8">
        <v>41576</v>
      </c>
      <c r="B454" s="4" t="s">
        <v>576</v>
      </c>
      <c r="C454" s="4">
        <v>39</v>
      </c>
    </row>
    <row r="455" spans="1:3" x14ac:dyDescent="0.25">
      <c r="A455" s="8">
        <v>41580</v>
      </c>
      <c r="B455" s="4" t="s">
        <v>306</v>
      </c>
      <c r="C455" s="4">
        <v>35</v>
      </c>
    </row>
    <row r="456" spans="1:3" x14ac:dyDescent="0.25">
      <c r="A456" s="8">
        <v>41622</v>
      </c>
      <c r="B456" s="4" t="s">
        <v>348</v>
      </c>
      <c r="C456" s="4">
        <v>13</v>
      </c>
    </row>
    <row r="457" spans="1:3" x14ac:dyDescent="0.25">
      <c r="A457" s="8">
        <v>41579</v>
      </c>
      <c r="B457" s="4" t="s">
        <v>402</v>
      </c>
      <c r="C457" s="4">
        <v>43</v>
      </c>
    </row>
    <row r="458" spans="1:3" x14ac:dyDescent="0.25">
      <c r="A458" s="8">
        <v>41541</v>
      </c>
      <c r="B458" s="4" t="s">
        <v>577</v>
      </c>
      <c r="C458" s="4">
        <v>50</v>
      </c>
    </row>
    <row r="459" spans="1:3" x14ac:dyDescent="0.25">
      <c r="A459" s="8">
        <v>41539</v>
      </c>
      <c r="B459" s="4" t="s">
        <v>578</v>
      </c>
      <c r="C459" s="4">
        <v>21</v>
      </c>
    </row>
    <row r="460" spans="1:3" x14ac:dyDescent="0.25">
      <c r="A460" s="8">
        <v>41516</v>
      </c>
      <c r="B460" s="4" t="s">
        <v>579</v>
      </c>
      <c r="C460" s="4">
        <v>46</v>
      </c>
    </row>
    <row r="461" spans="1:3" x14ac:dyDescent="0.25">
      <c r="A461" s="8">
        <v>41567</v>
      </c>
      <c r="B461" s="4" t="s">
        <v>264</v>
      </c>
      <c r="C461" s="4">
        <v>55</v>
      </c>
    </row>
    <row r="462" spans="1:3" x14ac:dyDescent="0.25">
      <c r="A462" s="8">
        <v>41523</v>
      </c>
      <c r="B462" s="4" t="s">
        <v>580</v>
      </c>
      <c r="C462" s="4">
        <v>20</v>
      </c>
    </row>
    <row r="463" spans="1:3" x14ac:dyDescent="0.25">
      <c r="A463" s="8">
        <v>41635</v>
      </c>
      <c r="B463" s="4" t="s">
        <v>350</v>
      </c>
      <c r="C463" s="4">
        <v>50</v>
      </c>
    </row>
    <row r="464" spans="1:3" x14ac:dyDescent="0.25">
      <c r="A464" s="8">
        <v>41585</v>
      </c>
      <c r="B464" s="4" t="s">
        <v>430</v>
      </c>
      <c r="C464" s="4">
        <v>31</v>
      </c>
    </row>
    <row r="465" spans="1:3" x14ac:dyDescent="0.25">
      <c r="A465" s="8">
        <v>41537</v>
      </c>
      <c r="B465" s="4" t="s">
        <v>445</v>
      </c>
      <c r="C465" s="4">
        <v>20</v>
      </c>
    </row>
    <row r="466" spans="1:3" x14ac:dyDescent="0.25">
      <c r="A466" s="8">
        <v>41595</v>
      </c>
      <c r="B466" s="4" t="s">
        <v>581</v>
      </c>
      <c r="C466" s="4">
        <v>58</v>
      </c>
    </row>
    <row r="467" spans="1:3" x14ac:dyDescent="0.25">
      <c r="A467" s="8">
        <v>41530</v>
      </c>
      <c r="B467" s="4" t="s">
        <v>582</v>
      </c>
      <c r="C467" s="4">
        <v>35</v>
      </c>
    </row>
    <row r="468" spans="1:3" x14ac:dyDescent="0.25">
      <c r="A468" s="8">
        <v>41556</v>
      </c>
      <c r="B468" s="4" t="s">
        <v>280</v>
      </c>
      <c r="C468" s="4">
        <v>50</v>
      </c>
    </row>
    <row r="469" spans="1:3" x14ac:dyDescent="0.25">
      <c r="A469" s="8">
        <v>41631</v>
      </c>
      <c r="B469" s="4" t="s">
        <v>551</v>
      </c>
      <c r="C469" s="4">
        <v>59</v>
      </c>
    </row>
    <row r="470" spans="1:3" x14ac:dyDescent="0.25">
      <c r="A470" s="8">
        <v>41567</v>
      </c>
      <c r="B470" s="4" t="s">
        <v>583</v>
      </c>
      <c r="C470" s="4">
        <v>18</v>
      </c>
    </row>
    <row r="471" spans="1:3" x14ac:dyDescent="0.25">
      <c r="A471" s="8">
        <v>41624</v>
      </c>
      <c r="B471" s="4" t="s">
        <v>584</v>
      </c>
      <c r="C471" s="4">
        <v>34</v>
      </c>
    </row>
    <row r="472" spans="1:3" x14ac:dyDescent="0.25">
      <c r="A472" s="8">
        <v>41636</v>
      </c>
      <c r="B472" s="4" t="s">
        <v>585</v>
      </c>
      <c r="C472" s="4">
        <v>47</v>
      </c>
    </row>
    <row r="473" spans="1:3" x14ac:dyDescent="0.25">
      <c r="A473" s="8">
        <v>41619</v>
      </c>
      <c r="B473" s="4" t="s">
        <v>450</v>
      </c>
      <c r="C473" s="4">
        <v>33</v>
      </c>
    </row>
    <row r="474" spans="1:3" x14ac:dyDescent="0.25">
      <c r="A474" s="8">
        <v>41516</v>
      </c>
      <c r="B474" s="4" t="s">
        <v>586</v>
      </c>
      <c r="C474" s="4">
        <v>19</v>
      </c>
    </row>
    <row r="475" spans="1:3" x14ac:dyDescent="0.25">
      <c r="A475" s="8">
        <v>41544</v>
      </c>
      <c r="B475" s="4" t="s">
        <v>587</v>
      </c>
      <c r="C475" s="4">
        <v>59</v>
      </c>
    </row>
    <row r="476" spans="1:3" x14ac:dyDescent="0.25">
      <c r="A476" s="8">
        <v>41637</v>
      </c>
      <c r="B476" s="4" t="s">
        <v>368</v>
      </c>
      <c r="C476" s="4">
        <v>16</v>
      </c>
    </row>
    <row r="477" spans="1:3" x14ac:dyDescent="0.25">
      <c r="A477" s="8">
        <v>41507</v>
      </c>
      <c r="B477" s="4" t="s">
        <v>588</v>
      </c>
      <c r="C477" s="4">
        <v>43</v>
      </c>
    </row>
    <row r="478" spans="1:3" x14ac:dyDescent="0.25">
      <c r="A478" s="8">
        <v>41546</v>
      </c>
      <c r="B478" s="4" t="s">
        <v>589</v>
      </c>
      <c r="C478" s="4">
        <v>58</v>
      </c>
    </row>
    <row r="479" spans="1:3" x14ac:dyDescent="0.25">
      <c r="A479" s="8">
        <v>41560</v>
      </c>
      <c r="B479" s="4" t="s">
        <v>501</v>
      </c>
      <c r="C479" s="4">
        <v>38</v>
      </c>
    </row>
    <row r="480" spans="1:3" x14ac:dyDescent="0.25">
      <c r="A480" s="8">
        <v>41575</v>
      </c>
      <c r="B480" s="4" t="s">
        <v>506</v>
      </c>
      <c r="C480" s="4">
        <v>56</v>
      </c>
    </row>
    <row r="481" spans="1:3" x14ac:dyDescent="0.25">
      <c r="A481" s="8">
        <v>41585</v>
      </c>
      <c r="B481" s="4" t="s">
        <v>590</v>
      </c>
      <c r="C481" s="4">
        <v>18</v>
      </c>
    </row>
    <row r="482" spans="1:3" x14ac:dyDescent="0.25">
      <c r="A482" s="8">
        <v>41546</v>
      </c>
      <c r="B482" s="4" t="s">
        <v>449</v>
      </c>
      <c r="C482" s="4">
        <v>59</v>
      </c>
    </row>
    <row r="483" spans="1:3" x14ac:dyDescent="0.25">
      <c r="A483" s="8">
        <v>41644</v>
      </c>
      <c r="B483" s="4" t="s">
        <v>292</v>
      </c>
      <c r="C483" s="4">
        <v>18</v>
      </c>
    </row>
    <row r="484" spans="1:3" x14ac:dyDescent="0.25">
      <c r="A484" s="8">
        <v>41556</v>
      </c>
      <c r="B484" s="4" t="s">
        <v>591</v>
      </c>
      <c r="C484" s="4">
        <v>14</v>
      </c>
    </row>
    <row r="485" spans="1:3" x14ac:dyDescent="0.25">
      <c r="A485" s="8">
        <v>41618</v>
      </c>
      <c r="B485" s="4" t="s">
        <v>391</v>
      </c>
      <c r="C485" s="4">
        <v>47</v>
      </c>
    </row>
    <row r="486" spans="1:3" x14ac:dyDescent="0.25">
      <c r="A486" s="8">
        <v>41546</v>
      </c>
      <c r="B486" s="4" t="s">
        <v>592</v>
      </c>
      <c r="C486" s="4">
        <v>59</v>
      </c>
    </row>
    <row r="487" spans="1:3" x14ac:dyDescent="0.25">
      <c r="A487" s="8">
        <v>41623</v>
      </c>
      <c r="B487" s="4" t="s">
        <v>593</v>
      </c>
      <c r="C487" s="4">
        <v>56</v>
      </c>
    </row>
    <row r="488" spans="1:3" x14ac:dyDescent="0.25">
      <c r="A488" s="8">
        <v>41599</v>
      </c>
      <c r="B488" s="4" t="s">
        <v>594</v>
      </c>
      <c r="C488" s="4">
        <v>47</v>
      </c>
    </row>
    <row r="489" spans="1:3" x14ac:dyDescent="0.25">
      <c r="A489" s="8">
        <v>41615</v>
      </c>
      <c r="B489" s="4" t="s">
        <v>595</v>
      </c>
      <c r="C489" s="4">
        <v>53</v>
      </c>
    </row>
    <row r="490" spans="1:3" x14ac:dyDescent="0.25">
      <c r="A490" s="8">
        <v>41580</v>
      </c>
      <c r="B490" s="4" t="s">
        <v>400</v>
      </c>
      <c r="C490" s="4">
        <v>30</v>
      </c>
    </row>
    <row r="491" spans="1:3" x14ac:dyDescent="0.25">
      <c r="A491" s="8">
        <v>41624</v>
      </c>
      <c r="B491" s="4" t="s">
        <v>429</v>
      </c>
      <c r="C491" s="4">
        <v>56</v>
      </c>
    </row>
    <row r="492" spans="1:3" x14ac:dyDescent="0.25">
      <c r="A492" s="8">
        <v>41644</v>
      </c>
      <c r="B492" s="4" t="s">
        <v>596</v>
      </c>
      <c r="C492" s="4">
        <v>11</v>
      </c>
    </row>
    <row r="493" spans="1:3" x14ac:dyDescent="0.25">
      <c r="A493" s="8">
        <v>41535</v>
      </c>
      <c r="B493" s="4" t="s">
        <v>597</v>
      </c>
      <c r="C493" s="4">
        <v>15</v>
      </c>
    </row>
    <row r="494" spans="1:3" x14ac:dyDescent="0.25">
      <c r="A494" s="8">
        <v>41529</v>
      </c>
      <c r="B494" s="4" t="s">
        <v>497</v>
      </c>
      <c r="C494" s="4">
        <v>59</v>
      </c>
    </row>
    <row r="495" spans="1:3" x14ac:dyDescent="0.25">
      <c r="A495" s="8">
        <v>41595</v>
      </c>
      <c r="B495" s="4" t="s">
        <v>598</v>
      </c>
      <c r="C495" s="4">
        <v>38</v>
      </c>
    </row>
    <row r="496" spans="1:3" x14ac:dyDescent="0.25">
      <c r="A496" s="8">
        <v>41585</v>
      </c>
      <c r="B496" s="4" t="s">
        <v>599</v>
      </c>
      <c r="C496" s="4">
        <v>17</v>
      </c>
    </row>
    <row r="497" spans="1:3" x14ac:dyDescent="0.25">
      <c r="A497" s="8">
        <v>41561</v>
      </c>
      <c r="B497" s="4" t="s">
        <v>600</v>
      </c>
      <c r="C497" s="4">
        <v>56</v>
      </c>
    </row>
    <row r="498" spans="1:3" x14ac:dyDescent="0.25">
      <c r="A498" s="8">
        <v>41616</v>
      </c>
      <c r="B498" s="4" t="s">
        <v>601</v>
      </c>
      <c r="C498" s="4">
        <v>15</v>
      </c>
    </row>
    <row r="499" spans="1:3" x14ac:dyDescent="0.25">
      <c r="A499" s="8">
        <v>41617</v>
      </c>
      <c r="B499" s="4" t="s">
        <v>602</v>
      </c>
      <c r="C499" s="4">
        <v>11</v>
      </c>
    </row>
    <row r="500" spans="1:3" x14ac:dyDescent="0.25">
      <c r="A500" s="8">
        <v>41645</v>
      </c>
      <c r="B500" s="4" t="s">
        <v>495</v>
      </c>
      <c r="C500" s="4">
        <v>41</v>
      </c>
    </row>
    <row r="501" spans="1:3" x14ac:dyDescent="0.25">
      <c r="A501" s="8">
        <v>41537</v>
      </c>
      <c r="B501" s="4" t="s">
        <v>330</v>
      </c>
      <c r="C501" s="4">
        <v>26</v>
      </c>
    </row>
    <row r="502" spans="1:3" x14ac:dyDescent="0.25">
      <c r="A502" s="8">
        <v>41505</v>
      </c>
      <c r="B502" s="4" t="s">
        <v>579</v>
      </c>
      <c r="C502" s="4">
        <v>15</v>
      </c>
    </row>
    <row r="503" spans="1:3" x14ac:dyDescent="0.25">
      <c r="A503" s="8">
        <v>41558</v>
      </c>
      <c r="B503" s="4" t="s">
        <v>543</v>
      </c>
      <c r="C503" s="4">
        <v>59</v>
      </c>
    </row>
    <row r="504" spans="1:3" x14ac:dyDescent="0.25">
      <c r="A504" s="8">
        <v>41616</v>
      </c>
      <c r="B504" s="4" t="s">
        <v>491</v>
      </c>
      <c r="C504" s="4">
        <v>37</v>
      </c>
    </row>
    <row r="505" spans="1:3" x14ac:dyDescent="0.25">
      <c r="A505" s="8">
        <v>41526</v>
      </c>
      <c r="B505" s="4" t="s">
        <v>603</v>
      </c>
      <c r="C505" s="4">
        <v>13</v>
      </c>
    </row>
    <row r="506" spans="1:3" x14ac:dyDescent="0.25">
      <c r="A506" s="8">
        <v>41618</v>
      </c>
      <c r="B506" s="4" t="s">
        <v>492</v>
      </c>
      <c r="C506" s="4">
        <v>37</v>
      </c>
    </row>
    <row r="507" spans="1:3" x14ac:dyDescent="0.25">
      <c r="A507" s="8">
        <v>41510</v>
      </c>
      <c r="B507" s="4" t="s">
        <v>338</v>
      </c>
      <c r="C507" s="4">
        <v>35</v>
      </c>
    </row>
    <row r="508" spans="1:3" x14ac:dyDescent="0.25">
      <c r="A508" s="8">
        <v>41565</v>
      </c>
      <c r="B508" s="4" t="s">
        <v>604</v>
      </c>
      <c r="C508" s="4">
        <v>26</v>
      </c>
    </row>
    <row r="509" spans="1:3" x14ac:dyDescent="0.25">
      <c r="A509" s="8">
        <v>41561</v>
      </c>
      <c r="B509" s="4" t="s">
        <v>390</v>
      </c>
      <c r="C509" s="4">
        <v>31</v>
      </c>
    </row>
    <row r="510" spans="1:3" x14ac:dyDescent="0.25">
      <c r="A510" s="8">
        <v>41552</v>
      </c>
      <c r="B510" s="4" t="s">
        <v>605</v>
      </c>
      <c r="C510" s="4">
        <v>10</v>
      </c>
    </row>
    <row r="511" spans="1:3" x14ac:dyDescent="0.25">
      <c r="A511" s="8">
        <v>41539</v>
      </c>
      <c r="B511" s="4" t="s">
        <v>487</v>
      </c>
      <c r="C511" s="4">
        <v>14</v>
      </c>
    </row>
    <row r="512" spans="1:3" x14ac:dyDescent="0.25">
      <c r="A512" s="8">
        <v>41603</v>
      </c>
      <c r="B512" s="4" t="s">
        <v>410</v>
      </c>
      <c r="C512" s="4">
        <v>35</v>
      </c>
    </row>
    <row r="513" spans="1:3" x14ac:dyDescent="0.25">
      <c r="A513" s="8">
        <v>41627</v>
      </c>
      <c r="B513" s="4" t="s">
        <v>606</v>
      </c>
      <c r="C513" s="4">
        <v>46</v>
      </c>
    </row>
    <row r="514" spans="1:3" x14ac:dyDescent="0.25">
      <c r="A514" s="8">
        <v>41626</v>
      </c>
      <c r="B514" s="4" t="s">
        <v>607</v>
      </c>
      <c r="C514" s="4">
        <v>53</v>
      </c>
    </row>
    <row r="515" spans="1:3" x14ac:dyDescent="0.25">
      <c r="A515" s="8">
        <v>41618</v>
      </c>
      <c r="B515" s="4" t="s">
        <v>500</v>
      </c>
      <c r="C515" s="4">
        <v>57</v>
      </c>
    </row>
    <row r="516" spans="1:3" x14ac:dyDescent="0.25">
      <c r="A516" s="8">
        <v>41604</v>
      </c>
      <c r="B516" s="4" t="s">
        <v>367</v>
      </c>
      <c r="C516" s="4">
        <v>31</v>
      </c>
    </row>
    <row r="517" spans="1:3" x14ac:dyDescent="0.25">
      <c r="A517" s="8">
        <v>41601</v>
      </c>
      <c r="B517" s="4" t="s">
        <v>275</v>
      </c>
      <c r="C517" s="4">
        <v>20</v>
      </c>
    </row>
    <row r="518" spans="1:3" x14ac:dyDescent="0.25">
      <c r="A518" s="8">
        <v>41531</v>
      </c>
      <c r="B518" s="4" t="s">
        <v>277</v>
      </c>
      <c r="C518" s="4">
        <v>11</v>
      </c>
    </row>
    <row r="519" spans="1:3" x14ac:dyDescent="0.25">
      <c r="A519" s="8">
        <v>41503</v>
      </c>
      <c r="B519" s="4" t="s">
        <v>608</v>
      </c>
      <c r="C519" s="4">
        <v>25</v>
      </c>
    </row>
    <row r="520" spans="1:3" x14ac:dyDescent="0.25">
      <c r="A520" s="8">
        <v>41616</v>
      </c>
      <c r="B520" s="4" t="s">
        <v>609</v>
      </c>
      <c r="C520" s="4">
        <v>35</v>
      </c>
    </row>
    <row r="521" spans="1:3" x14ac:dyDescent="0.25">
      <c r="A521" s="8">
        <v>41621</v>
      </c>
      <c r="B521" s="4" t="s">
        <v>610</v>
      </c>
      <c r="C521" s="4">
        <v>55</v>
      </c>
    </row>
    <row r="522" spans="1:3" x14ac:dyDescent="0.25">
      <c r="A522" s="8">
        <v>41546</v>
      </c>
      <c r="B522" s="4" t="s">
        <v>611</v>
      </c>
      <c r="C522" s="4">
        <v>51</v>
      </c>
    </row>
    <row r="523" spans="1:3" x14ac:dyDescent="0.25">
      <c r="A523" s="8">
        <v>41547</v>
      </c>
      <c r="B523" s="4" t="s">
        <v>273</v>
      </c>
      <c r="C523" s="4">
        <v>25</v>
      </c>
    </row>
    <row r="524" spans="1:3" x14ac:dyDescent="0.25">
      <c r="A524" s="8">
        <v>41556</v>
      </c>
      <c r="B524" s="4" t="s">
        <v>583</v>
      </c>
      <c r="C524" s="4">
        <v>21</v>
      </c>
    </row>
    <row r="525" spans="1:3" x14ac:dyDescent="0.25">
      <c r="A525" s="8">
        <v>41574</v>
      </c>
      <c r="B525" s="4" t="s">
        <v>612</v>
      </c>
      <c r="C525" s="4">
        <v>28</v>
      </c>
    </row>
    <row r="526" spans="1:3" x14ac:dyDescent="0.25">
      <c r="A526" s="8">
        <v>41545</v>
      </c>
      <c r="B526" s="4" t="s">
        <v>613</v>
      </c>
      <c r="C526" s="4">
        <v>53</v>
      </c>
    </row>
    <row r="527" spans="1:3" x14ac:dyDescent="0.25">
      <c r="A527" s="8">
        <v>41645</v>
      </c>
      <c r="B527" s="4" t="s">
        <v>490</v>
      </c>
      <c r="C527" s="4">
        <v>17</v>
      </c>
    </row>
    <row r="528" spans="1:3" x14ac:dyDescent="0.25">
      <c r="A528" s="8">
        <v>41513</v>
      </c>
      <c r="B528" s="4" t="s">
        <v>326</v>
      </c>
      <c r="C528" s="4">
        <v>52</v>
      </c>
    </row>
    <row r="529" spans="1:3" x14ac:dyDescent="0.25">
      <c r="A529" s="8">
        <v>41579</v>
      </c>
      <c r="B529" s="4" t="s">
        <v>461</v>
      </c>
      <c r="C529" s="4">
        <v>51</v>
      </c>
    </row>
    <row r="530" spans="1:3" x14ac:dyDescent="0.25">
      <c r="A530" s="8">
        <v>41501</v>
      </c>
      <c r="B530" s="4" t="s">
        <v>320</v>
      </c>
      <c r="C530" s="4">
        <v>17</v>
      </c>
    </row>
    <row r="531" spans="1:3" x14ac:dyDescent="0.25">
      <c r="A531" s="8">
        <v>41552</v>
      </c>
      <c r="B531" s="4" t="s">
        <v>614</v>
      </c>
      <c r="C531" s="4">
        <v>48</v>
      </c>
    </row>
    <row r="532" spans="1:3" x14ac:dyDescent="0.25">
      <c r="A532" s="8">
        <v>41642</v>
      </c>
      <c r="B532" s="4" t="s">
        <v>475</v>
      </c>
      <c r="C532" s="4">
        <v>33</v>
      </c>
    </row>
    <row r="533" spans="1:3" x14ac:dyDescent="0.25">
      <c r="A533" s="8">
        <v>41594</v>
      </c>
      <c r="B533" s="4" t="s">
        <v>615</v>
      </c>
      <c r="C533" s="4">
        <v>23</v>
      </c>
    </row>
    <row r="534" spans="1:3" x14ac:dyDescent="0.25">
      <c r="A534" s="8">
        <v>41504</v>
      </c>
      <c r="B534" s="4" t="s">
        <v>406</v>
      </c>
      <c r="C534" s="4">
        <v>25</v>
      </c>
    </row>
    <row r="535" spans="1:3" x14ac:dyDescent="0.25">
      <c r="A535" s="8">
        <v>41615</v>
      </c>
      <c r="B535" s="4" t="s">
        <v>616</v>
      </c>
      <c r="C535" s="4">
        <v>11</v>
      </c>
    </row>
    <row r="536" spans="1:3" x14ac:dyDescent="0.25">
      <c r="A536" s="8">
        <v>41503</v>
      </c>
      <c r="B536" s="4" t="s">
        <v>617</v>
      </c>
      <c r="C536" s="4">
        <v>40</v>
      </c>
    </row>
    <row r="537" spans="1:3" x14ac:dyDescent="0.25">
      <c r="A537" s="8">
        <v>41561</v>
      </c>
      <c r="B537" s="4" t="s">
        <v>618</v>
      </c>
      <c r="C537" s="4">
        <v>53</v>
      </c>
    </row>
    <row r="538" spans="1:3" x14ac:dyDescent="0.25">
      <c r="A538" s="8">
        <v>41570</v>
      </c>
      <c r="B538" s="4" t="s">
        <v>619</v>
      </c>
      <c r="C538" s="4">
        <v>29</v>
      </c>
    </row>
    <row r="539" spans="1:3" x14ac:dyDescent="0.25">
      <c r="A539" s="8">
        <v>41560</v>
      </c>
      <c r="B539" s="4" t="s">
        <v>421</v>
      </c>
      <c r="C539" s="4">
        <v>21</v>
      </c>
    </row>
    <row r="540" spans="1:3" x14ac:dyDescent="0.25">
      <c r="A540" s="8">
        <v>41533</v>
      </c>
      <c r="B540" s="4" t="s">
        <v>615</v>
      </c>
      <c r="C540" s="4">
        <v>49</v>
      </c>
    </row>
    <row r="541" spans="1:3" x14ac:dyDescent="0.25">
      <c r="A541" s="8">
        <v>41500</v>
      </c>
      <c r="B541" s="4" t="s">
        <v>455</v>
      </c>
      <c r="C541" s="4">
        <v>57</v>
      </c>
    </row>
    <row r="542" spans="1:3" x14ac:dyDescent="0.25">
      <c r="A542" s="8">
        <v>41604</v>
      </c>
      <c r="B542" s="4" t="s">
        <v>541</v>
      </c>
      <c r="C542" s="4">
        <v>27</v>
      </c>
    </row>
    <row r="543" spans="1:3" x14ac:dyDescent="0.25">
      <c r="A543" s="8">
        <v>41626</v>
      </c>
      <c r="B543" s="4" t="s">
        <v>620</v>
      </c>
      <c r="C543" s="4">
        <v>32</v>
      </c>
    </row>
    <row r="544" spans="1:3" x14ac:dyDescent="0.25">
      <c r="A544" s="8">
        <v>41501</v>
      </c>
      <c r="B544" s="4" t="s">
        <v>470</v>
      </c>
      <c r="C544" s="4">
        <v>57</v>
      </c>
    </row>
    <row r="545" spans="1:3" x14ac:dyDescent="0.25">
      <c r="A545" s="8">
        <v>41573</v>
      </c>
      <c r="B545" s="4" t="s">
        <v>427</v>
      </c>
      <c r="C545" s="4">
        <v>34</v>
      </c>
    </row>
    <row r="546" spans="1:3" x14ac:dyDescent="0.25">
      <c r="A546" s="8">
        <v>41513</v>
      </c>
      <c r="B546" s="4" t="s">
        <v>561</v>
      </c>
      <c r="C546" s="4">
        <v>56</v>
      </c>
    </row>
    <row r="547" spans="1:3" x14ac:dyDescent="0.25">
      <c r="A547" s="8">
        <v>41546</v>
      </c>
      <c r="B547" s="4" t="s">
        <v>621</v>
      </c>
      <c r="C547" s="4">
        <v>48</v>
      </c>
    </row>
    <row r="548" spans="1:3" x14ac:dyDescent="0.25">
      <c r="A548" s="8">
        <v>41533</v>
      </c>
      <c r="B548" s="4" t="s">
        <v>622</v>
      </c>
      <c r="C548" s="4">
        <v>38</v>
      </c>
    </row>
    <row r="549" spans="1:3" x14ac:dyDescent="0.25">
      <c r="A549" s="8">
        <v>41543</v>
      </c>
      <c r="B549" s="4" t="s">
        <v>623</v>
      </c>
      <c r="C549" s="4">
        <v>11</v>
      </c>
    </row>
    <row r="550" spans="1:3" x14ac:dyDescent="0.25">
      <c r="A550" s="8">
        <v>41637</v>
      </c>
      <c r="B550" s="4" t="s">
        <v>624</v>
      </c>
      <c r="C550" s="4">
        <v>17</v>
      </c>
    </row>
    <row r="551" spans="1:3" x14ac:dyDescent="0.25">
      <c r="A551" s="8">
        <v>41510</v>
      </c>
      <c r="B551" s="4" t="s">
        <v>260</v>
      </c>
      <c r="C551" s="4">
        <v>50</v>
      </c>
    </row>
    <row r="552" spans="1:3" x14ac:dyDescent="0.25">
      <c r="A552" s="8">
        <v>41583</v>
      </c>
      <c r="B552" s="4" t="s">
        <v>431</v>
      </c>
      <c r="C552" s="4">
        <v>53</v>
      </c>
    </row>
    <row r="553" spans="1:3" x14ac:dyDescent="0.25">
      <c r="A553" s="8">
        <v>41542</v>
      </c>
      <c r="B553" s="4" t="s">
        <v>432</v>
      </c>
      <c r="C553" s="4">
        <v>40</v>
      </c>
    </row>
    <row r="554" spans="1:3" x14ac:dyDescent="0.25">
      <c r="A554" s="8">
        <v>41589</v>
      </c>
      <c r="B554" s="4" t="s">
        <v>560</v>
      </c>
      <c r="C554" s="4">
        <v>32</v>
      </c>
    </row>
    <row r="555" spans="1:3" x14ac:dyDescent="0.25">
      <c r="A555" s="8">
        <v>41552</v>
      </c>
      <c r="B555" s="4" t="s">
        <v>329</v>
      </c>
      <c r="C555" s="4">
        <v>11</v>
      </c>
    </row>
    <row r="556" spans="1:3" x14ac:dyDescent="0.25">
      <c r="A556" s="8">
        <v>41647</v>
      </c>
      <c r="B556" s="4" t="s">
        <v>355</v>
      </c>
      <c r="C556" s="4">
        <v>17</v>
      </c>
    </row>
    <row r="557" spans="1:3" x14ac:dyDescent="0.25">
      <c r="A557" s="8">
        <v>41528</v>
      </c>
      <c r="B557" s="4" t="s">
        <v>276</v>
      </c>
      <c r="C557" s="4">
        <v>57</v>
      </c>
    </row>
    <row r="558" spans="1:3" x14ac:dyDescent="0.25">
      <c r="A558" s="8">
        <v>41538</v>
      </c>
      <c r="B558" s="4" t="s">
        <v>625</v>
      </c>
      <c r="C558" s="4">
        <v>27</v>
      </c>
    </row>
    <row r="559" spans="1:3" x14ac:dyDescent="0.25">
      <c r="A559" s="8">
        <v>41504</v>
      </c>
      <c r="B559" s="4" t="s">
        <v>383</v>
      </c>
      <c r="C559" s="4">
        <v>28</v>
      </c>
    </row>
    <row r="560" spans="1:3" x14ac:dyDescent="0.25">
      <c r="A560" s="8">
        <v>41611</v>
      </c>
      <c r="B560" s="4" t="s">
        <v>482</v>
      </c>
      <c r="C560" s="4">
        <v>33</v>
      </c>
    </row>
    <row r="561" spans="1:3" x14ac:dyDescent="0.25">
      <c r="A561" s="8">
        <v>41570</v>
      </c>
      <c r="B561" s="4" t="s">
        <v>330</v>
      </c>
      <c r="C561" s="4">
        <v>20</v>
      </c>
    </row>
    <row r="562" spans="1:3" x14ac:dyDescent="0.25">
      <c r="A562" s="8">
        <v>41559</v>
      </c>
      <c r="B562" s="4" t="s">
        <v>626</v>
      </c>
      <c r="C562" s="4">
        <v>54</v>
      </c>
    </row>
    <row r="563" spans="1:3" x14ac:dyDescent="0.25">
      <c r="A563" s="8">
        <v>41543</v>
      </c>
      <c r="B563" s="4" t="s">
        <v>582</v>
      </c>
      <c r="C563" s="4">
        <v>42</v>
      </c>
    </row>
    <row r="564" spans="1:3" x14ac:dyDescent="0.25">
      <c r="A564" s="8">
        <v>41563</v>
      </c>
      <c r="B564" s="4" t="s">
        <v>371</v>
      </c>
      <c r="C564" s="4">
        <v>19</v>
      </c>
    </row>
    <row r="565" spans="1:3" x14ac:dyDescent="0.25">
      <c r="A565" s="8">
        <v>41570</v>
      </c>
      <c r="B565" s="4" t="s">
        <v>276</v>
      </c>
      <c r="C565" s="4">
        <v>23</v>
      </c>
    </row>
    <row r="566" spans="1:3" x14ac:dyDescent="0.25">
      <c r="A566" s="8">
        <v>41577</v>
      </c>
      <c r="B566" s="4" t="s">
        <v>461</v>
      </c>
      <c r="C566" s="4">
        <v>53</v>
      </c>
    </row>
    <row r="567" spans="1:3" x14ac:dyDescent="0.25">
      <c r="A567" s="8">
        <v>41630</v>
      </c>
      <c r="B567" s="4" t="s">
        <v>513</v>
      </c>
      <c r="C567" s="4">
        <v>33</v>
      </c>
    </row>
    <row r="568" spans="1:3" x14ac:dyDescent="0.25">
      <c r="A568" s="8">
        <v>41633</v>
      </c>
      <c r="B568" s="4" t="s">
        <v>463</v>
      </c>
      <c r="C568" s="4">
        <v>43</v>
      </c>
    </row>
    <row r="569" spans="1:3" x14ac:dyDescent="0.25">
      <c r="A569" s="8">
        <v>41649</v>
      </c>
      <c r="B569" s="4" t="s">
        <v>611</v>
      </c>
      <c r="C569" s="4">
        <v>44</v>
      </c>
    </row>
    <row r="570" spans="1:3" x14ac:dyDescent="0.25">
      <c r="A570" s="8">
        <v>41622</v>
      </c>
      <c r="B570" s="4" t="s">
        <v>420</v>
      </c>
      <c r="C570" s="4">
        <v>58</v>
      </c>
    </row>
    <row r="571" spans="1:3" x14ac:dyDescent="0.25">
      <c r="A571" s="8">
        <v>41563</v>
      </c>
      <c r="B571" s="4" t="s">
        <v>385</v>
      </c>
      <c r="C571" s="4">
        <v>55</v>
      </c>
    </row>
    <row r="572" spans="1:3" x14ac:dyDescent="0.25">
      <c r="A572" s="8">
        <v>41554</v>
      </c>
      <c r="B572" s="4" t="s">
        <v>627</v>
      </c>
      <c r="C572" s="4">
        <v>50</v>
      </c>
    </row>
    <row r="573" spans="1:3" x14ac:dyDescent="0.25">
      <c r="A573" s="8">
        <v>41548</v>
      </c>
      <c r="B573" s="4" t="s">
        <v>480</v>
      </c>
      <c r="C573" s="4">
        <v>35</v>
      </c>
    </row>
    <row r="574" spans="1:3" x14ac:dyDescent="0.25">
      <c r="A574" s="8">
        <v>41592</v>
      </c>
      <c r="B574" s="4" t="s">
        <v>603</v>
      </c>
      <c r="C574" s="4">
        <v>12</v>
      </c>
    </row>
    <row r="575" spans="1:3" x14ac:dyDescent="0.25">
      <c r="A575" s="8">
        <v>41541</v>
      </c>
      <c r="B575" s="4" t="s">
        <v>325</v>
      </c>
      <c r="C575" s="4">
        <v>41</v>
      </c>
    </row>
    <row r="576" spans="1:3" x14ac:dyDescent="0.25">
      <c r="A576" s="8">
        <v>41572</v>
      </c>
      <c r="B576" s="4" t="s">
        <v>414</v>
      </c>
      <c r="C576" s="4">
        <v>31</v>
      </c>
    </row>
    <row r="577" spans="1:3" x14ac:dyDescent="0.25">
      <c r="A577" s="8">
        <v>41561</v>
      </c>
      <c r="B577" s="4" t="s">
        <v>628</v>
      </c>
      <c r="C577" s="4">
        <v>35</v>
      </c>
    </row>
    <row r="578" spans="1:3" x14ac:dyDescent="0.25">
      <c r="A578" s="8">
        <v>41572</v>
      </c>
      <c r="B578" s="4" t="s">
        <v>308</v>
      </c>
      <c r="C578" s="4">
        <v>27</v>
      </c>
    </row>
    <row r="579" spans="1:3" x14ac:dyDescent="0.25">
      <c r="A579" s="8">
        <v>41588</v>
      </c>
      <c r="B579" s="4" t="s">
        <v>629</v>
      </c>
      <c r="C579" s="4">
        <v>34</v>
      </c>
    </row>
    <row r="580" spans="1:3" x14ac:dyDescent="0.25">
      <c r="A580" s="8">
        <v>41643</v>
      </c>
      <c r="B580" s="4" t="s">
        <v>357</v>
      </c>
      <c r="C580" s="4">
        <v>14</v>
      </c>
    </row>
    <row r="581" spans="1:3" x14ac:dyDescent="0.25">
      <c r="A581" s="8">
        <v>41577</v>
      </c>
      <c r="B581" s="4" t="s">
        <v>370</v>
      </c>
      <c r="C581" s="4">
        <v>57</v>
      </c>
    </row>
    <row r="582" spans="1:3" x14ac:dyDescent="0.25">
      <c r="A582" s="8">
        <v>41544</v>
      </c>
      <c r="B582" s="4" t="s">
        <v>630</v>
      </c>
      <c r="C582" s="4">
        <v>34</v>
      </c>
    </row>
    <row r="583" spans="1:3" x14ac:dyDescent="0.25">
      <c r="A583" s="8">
        <v>41535</v>
      </c>
      <c r="B583" s="4" t="s">
        <v>631</v>
      </c>
      <c r="C583" s="4">
        <v>26</v>
      </c>
    </row>
    <row r="584" spans="1:3" x14ac:dyDescent="0.25">
      <c r="A584" s="8">
        <v>41524</v>
      </c>
      <c r="B584" s="4" t="s">
        <v>632</v>
      </c>
      <c r="C584" s="4">
        <v>44</v>
      </c>
    </row>
    <row r="585" spans="1:3" x14ac:dyDescent="0.25">
      <c r="A585" s="8">
        <v>41583</v>
      </c>
      <c r="B585" s="4" t="s">
        <v>633</v>
      </c>
      <c r="C585" s="4">
        <v>24</v>
      </c>
    </row>
    <row r="586" spans="1:3" x14ac:dyDescent="0.25">
      <c r="A586" s="8">
        <v>41562</v>
      </c>
      <c r="B586" s="4" t="s">
        <v>634</v>
      </c>
      <c r="C586" s="4">
        <v>12</v>
      </c>
    </row>
    <row r="587" spans="1:3" x14ac:dyDescent="0.25">
      <c r="A587" s="8">
        <v>41541</v>
      </c>
      <c r="B587" s="4" t="s">
        <v>449</v>
      </c>
      <c r="C587" s="4">
        <v>38</v>
      </c>
    </row>
    <row r="588" spans="1:3" x14ac:dyDescent="0.25">
      <c r="A588" s="8">
        <v>41500</v>
      </c>
      <c r="B588" s="4" t="s">
        <v>462</v>
      </c>
      <c r="C588" s="4">
        <v>47</v>
      </c>
    </row>
    <row r="589" spans="1:3" x14ac:dyDescent="0.25">
      <c r="A589" s="8">
        <v>41540</v>
      </c>
      <c r="B589" s="4" t="s">
        <v>547</v>
      </c>
      <c r="C589" s="4">
        <v>34</v>
      </c>
    </row>
    <row r="590" spans="1:3" x14ac:dyDescent="0.25">
      <c r="A590" s="8">
        <v>41625</v>
      </c>
      <c r="B590" s="4" t="s">
        <v>395</v>
      </c>
      <c r="C590" s="4">
        <v>59</v>
      </c>
    </row>
    <row r="591" spans="1:3" x14ac:dyDescent="0.25">
      <c r="A591" s="8">
        <v>41519</v>
      </c>
      <c r="B591" s="4" t="s">
        <v>460</v>
      </c>
      <c r="C591" s="4">
        <v>59</v>
      </c>
    </row>
    <row r="592" spans="1:3" x14ac:dyDescent="0.25">
      <c r="A592" s="8">
        <v>41572</v>
      </c>
      <c r="B592" s="4" t="s">
        <v>358</v>
      </c>
      <c r="C592" s="4">
        <v>29</v>
      </c>
    </row>
    <row r="593" spans="1:3" x14ac:dyDescent="0.25">
      <c r="A593" s="8">
        <v>41609</v>
      </c>
      <c r="B593" s="4" t="s">
        <v>363</v>
      </c>
      <c r="C593" s="4">
        <v>11</v>
      </c>
    </row>
    <row r="594" spans="1:3" x14ac:dyDescent="0.25">
      <c r="A594" s="8">
        <v>41508</v>
      </c>
      <c r="B594" s="4" t="s">
        <v>635</v>
      </c>
      <c r="C594" s="4">
        <v>58</v>
      </c>
    </row>
    <row r="595" spans="1:3" x14ac:dyDescent="0.25">
      <c r="A595" s="8">
        <v>41585</v>
      </c>
      <c r="B595" s="4" t="s">
        <v>636</v>
      </c>
      <c r="C595" s="4">
        <v>33</v>
      </c>
    </row>
    <row r="596" spans="1:3" x14ac:dyDescent="0.25">
      <c r="A596" s="8">
        <v>41510</v>
      </c>
      <c r="B596" s="4" t="s">
        <v>590</v>
      </c>
      <c r="C596" s="4">
        <v>23</v>
      </c>
    </row>
    <row r="597" spans="1:3" x14ac:dyDescent="0.25">
      <c r="A597" s="8">
        <v>41527</v>
      </c>
      <c r="B597" s="4" t="s">
        <v>556</v>
      </c>
      <c r="C597" s="4">
        <v>36</v>
      </c>
    </row>
    <row r="598" spans="1:3" x14ac:dyDescent="0.25">
      <c r="A598" s="8">
        <v>41521</v>
      </c>
      <c r="B598" s="4" t="s">
        <v>603</v>
      </c>
      <c r="C598" s="4">
        <v>20</v>
      </c>
    </row>
    <row r="599" spans="1:3" x14ac:dyDescent="0.25">
      <c r="A599" s="8">
        <v>41576</v>
      </c>
      <c r="B599" s="4" t="s">
        <v>614</v>
      </c>
      <c r="C599" s="4">
        <v>39</v>
      </c>
    </row>
    <row r="600" spans="1:3" x14ac:dyDescent="0.25">
      <c r="A600" s="8">
        <v>41531</v>
      </c>
      <c r="B600" s="4" t="s">
        <v>278</v>
      </c>
      <c r="C600" s="4">
        <v>53</v>
      </c>
    </row>
    <row r="601" spans="1:3" x14ac:dyDescent="0.25">
      <c r="A601" s="8">
        <v>41559</v>
      </c>
      <c r="B601" s="4" t="s">
        <v>637</v>
      </c>
      <c r="C601" s="4">
        <v>49</v>
      </c>
    </row>
    <row r="602" spans="1:3" x14ac:dyDescent="0.25">
      <c r="A602" s="8">
        <v>41514</v>
      </c>
      <c r="B602" s="4" t="s">
        <v>572</v>
      </c>
      <c r="C602" s="4">
        <v>28</v>
      </c>
    </row>
    <row r="603" spans="1:3" x14ac:dyDescent="0.25">
      <c r="A603" s="8">
        <v>41573</v>
      </c>
      <c r="B603" s="4" t="s">
        <v>638</v>
      </c>
      <c r="C603" s="4">
        <v>27</v>
      </c>
    </row>
    <row r="604" spans="1:3" x14ac:dyDescent="0.25">
      <c r="A604" s="8">
        <v>41626</v>
      </c>
      <c r="B604" s="4" t="s">
        <v>275</v>
      </c>
      <c r="C604" s="4">
        <v>20</v>
      </c>
    </row>
    <row r="605" spans="1:3" x14ac:dyDescent="0.25">
      <c r="A605" s="8">
        <v>41641</v>
      </c>
      <c r="B605" s="4" t="s">
        <v>627</v>
      </c>
      <c r="C605" s="4">
        <v>18</v>
      </c>
    </row>
    <row r="606" spans="1:3" x14ac:dyDescent="0.25">
      <c r="A606" s="8">
        <v>41598</v>
      </c>
      <c r="B606" s="4" t="s">
        <v>358</v>
      </c>
      <c r="C606" s="4">
        <v>35</v>
      </c>
    </row>
    <row r="607" spans="1:3" x14ac:dyDescent="0.25">
      <c r="A607" s="8">
        <v>41645</v>
      </c>
      <c r="B607" s="4" t="s">
        <v>639</v>
      </c>
      <c r="C607" s="4">
        <v>36</v>
      </c>
    </row>
    <row r="608" spans="1:3" x14ac:dyDescent="0.25">
      <c r="A608" s="8">
        <v>41533</v>
      </c>
      <c r="B608" s="4" t="s">
        <v>397</v>
      </c>
      <c r="C608" s="4">
        <v>48</v>
      </c>
    </row>
    <row r="609" spans="1:3" x14ac:dyDescent="0.25">
      <c r="A609" s="8">
        <v>41518</v>
      </c>
      <c r="B609" s="4" t="s">
        <v>640</v>
      </c>
      <c r="C609" s="4">
        <v>22</v>
      </c>
    </row>
    <row r="610" spans="1:3" x14ac:dyDescent="0.25">
      <c r="A610" s="8">
        <v>41521</v>
      </c>
      <c r="B610" s="4" t="s">
        <v>596</v>
      </c>
      <c r="C610" s="4">
        <v>31</v>
      </c>
    </row>
    <row r="611" spans="1:3" x14ac:dyDescent="0.25">
      <c r="A611" s="8">
        <v>41632</v>
      </c>
      <c r="B611" s="4" t="s">
        <v>506</v>
      </c>
      <c r="C611" s="4">
        <v>30</v>
      </c>
    </row>
    <row r="612" spans="1:3" x14ac:dyDescent="0.25">
      <c r="A612" s="8">
        <v>41591</v>
      </c>
      <c r="B612" s="4" t="s">
        <v>316</v>
      </c>
      <c r="C612" s="4">
        <v>44</v>
      </c>
    </row>
    <row r="613" spans="1:3" x14ac:dyDescent="0.25">
      <c r="A613" s="8">
        <v>41508</v>
      </c>
      <c r="B613" s="4" t="s">
        <v>464</v>
      </c>
      <c r="C613" s="4">
        <v>15</v>
      </c>
    </row>
    <row r="614" spans="1:3" x14ac:dyDescent="0.25">
      <c r="A614" s="8">
        <v>41548</v>
      </c>
      <c r="B614" s="4" t="s">
        <v>427</v>
      </c>
      <c r="C614" s="4">
        <v>52</v>
      </c>
    </row>
    <row r="615" spans="1:3" x14ac:dyDescent="0.25">
      <c r="A615" s="8">
        <v>41546</v>
      </c>
      <c r="B615" s="4" t="s">
        <v>641</v>
      </c>
      <c r="C615" s="4">
        <v>44</v>
      </c>
    </row>
    <row r="616" spans="1:3" x14ac:dyDescent="0.25">
      <c r="A616" s="8">
        <v>41533</v>
      </c>
      <c r="B616" s="4" t="s">
        <v>604</v>
      </c>
      <c r="C616" s="4">
        <v>56</v>
      </c>
    </row>
    <row r="617" spans="1:3" x14ac:dyDescent="0.25">
      <c r="A617" s="8">
        <v>41518</v>
      </c>
      <c r="B617" s="4" t="s">
        <v>600</v>
      </c>
      <c r="C617" s="4">
        <v>50</v>
      </c>
    </row>
    <row r="618" spans="1:3" x14ac:dyDescent="0.25">
      <c r="A618" s="8">
        <v>41602</v>
      </c>
      <c r="B618" s="4" t="s">
        <v>598</v>
      </c>
      <c r="C618" s="4">
        <v>10</v>
      </c>
    </row>
    <row r="619" spans="1:3" x14ac:dyDescent="0.25">
      <c r="A619" s="8">
        <v>41528</v>
      </c>
      <c r="B619" s="4" t="s">
        <v>305</v>
      </c>
      <c r="C619" s="4">
        <v>57</v>
      </c>
    </row>
    <row r="620" spans="1:3" x14ac:dyDescent="0.25">
      <c r="A620" s="8">
        <v>41607</v>
      </c>
      <c r="B620" s="4" t="s">
        <v>359</v>
      </c>
      <c r="C620" s="4">
        <v>53</v>
      </c>
    </row>
    <row r="621" spans="1:3" x14ac:dyDescent="0.25">
      <c r="A621" s="8">
        <v>41633</v>
      </c>
      <c r="B621" s="4" t="s">
        <v>475</v>
      </c>
      <c r="C621" s="4">
        <v>17</v>
      </c>
    </row>
    <row r="622" spans="1:3" x14ac:dyDescent="0.25">
      <c r="A622" s="8">
        <v>41589</v>
      </c>
      <c r="B622" s="4" t="s">
        <v>467</v>
      </c>
      <c r="C622" s="4">
        <v>23</v>
      </c>
    </row>
    <row r="623" spans="1:3" x14ac:dyDescent="0.25">
      <c r="A623" s="8">
        <v>41586</v>
      </c>
      <c r="B623" s="4" t="s">
        <v>541</v>
      </c>
      <c r="C623" s="4">
        <v>48</v>
      </c>
    </row>
    <row r="624" spans="1:3" x14ac:dyDescent="0.25">
      <c r="A624" s="8">
        <v>41566</v>
      </c>
      <c r="B624" s="4" t="s">
        <v>642</v>
      </c>
      <c r="C624" s="4">
        <v>58</v>
      </c>
    </row>
    <row r="625" spans="1:3" x14ac:dyDescent="0.25">
      <c r="A625" s="8">
        <v>41551</v>
      </c>
      <c r="B625" s="4" t="s">
        <v>563</v>
      </c>
      <c r="C625" s="4">
        <v>36</v>
      </c>
    </row>
    <row r="626" spans="1:3" x14ac:dyDescent="0.25">
      <c r="A626" s="8">
        <v>41560</v>
      </c>
      <c r="B626" s="4" t="s">
        <v>643</v>
      </c>
      <c r="C626" s="4">
        <v>57</v>
      </c>
    </row>
    <row r="627" spans="1:3" x14ac:dyDescent="0.25">
      <c r="A627" s="8">
        <v>41507</v>
      </c>
      <c r="B627" s="4" t="s">
        <v>644</v>
      </c>
      <c r="C627" s="4">
        <v>43</v>
      </c>
    </row>
    <row r="628" spans="1:3" x14ac:dyDescent="0.25">
      <c r="A628" s="8">
        <v>41621</v>
      </c>
      <c r="B628" s="4" t="s">
        <v>645</v>
      </c>
      <c r="C628" s="4">
        <v>43</v>
      </c>
    </row>
    <row r="629" spans="1:3" x14ac:dyDescent="0.25">
      <c r="A629" s="8">
        <v>41500</v>
      </c>
      <c r="B629" s="4" t="s">
        <v>279</v>
      </c>
      <c r="C629" s="4">
        <v>27</v>
      </c>
    </row>
    <row r="630" spans="1:3" x14ac:dyDescent="0.25">
      <c r="A630" s="8">
        <v>41520</v>
      </c>
      <c r="B630" s="4" t="s">
        <v>646</v>
      </c>
      <c r="C630" s="4">
        <v>11</v>
      </c>
    </row>
    <row r="631" spans="1:3" x14ac:dyDescent="0.25">
      <c r="A631" s="8">
        <v>41615</v>
      </c>
      <c r="B631" s="4" t="s">
        <v>604</v>
      </c>
      <c r="C631" s="4">
        <v>18</v>
      </c>
    </row>
    <row r="632" spans="1:3" x14ac:dyDescent="0.25">
      <c r="A632" s="8">
        <v>41590</v>
      </c>
      <c r="B632" s="4" t="s">
        <v>647</v>
      </c>
      <c r="C632" s="4">
        <v>28</v>
      </c>
    </row>
    <row r="633" spans="1:3" x14ac:dyDescent="0.25">
      <c r="A633" s="8">
        <v>41502</v>
      </c>
      <c r="B633" s="4" t="s">
        <v>331</v>
      </c>
      <c r="C633" s="4">
        <v>37</v>
      </c>
    </row>
    <row r="634" spans="1:3" x14ac:dyDescent="0.25">
      <c r="A634" s="8">
        <v>41511</v>
      </c>
      <c r="B634" s="4" t="s">
        <v>648</v>
      </c>
      <c r="C634" s="4">
        <v>41</v>
      </c>
    </row>
    <row r="635" spans="1:3" x14ac:dyDescent="0.25">
      <c r="A635" s="8">
        <v>41623</v>
      </c>
      <c r="B635" s="4" t="s">
        <v>313</v>
      </c>
      <c r="C635" s="4">
        <v>22</v>
      </c>
    </row>
    <row r="636" spans="1:3" x14ac:dyDescent="0.25">
      <c r="A636" s="8">
        <v>41572</v>
      </c>
      <c r="B636" s="4" t="s">
        <v>649</v>
      </c>
      <c r="C636" s="4">
        <v>37</v>
      </c>
    </row>
    <row r="637" spans="1:3" x14ac:dyDescent="0.25">
      <c r="A637" s="8">
        <v>41621</v>
      </c>
      <c r="B637" s="4" t="s">
        <v>650</v>
      </c>
      <c r="C637" s="4">
        <v>39</v>
      </c>
    </row>
    <row r="638" spans="1:3" x14ac:dyDescent="0.25">
      <c r="A638" s="8">
        <v>41608</v>
      </c>
      <c r="B638" s="4" t="s">
        <v>651</v>
      </c>
      <c r="C638" s="4">
        <v>45</v>
      </c>
    </row>
    <row r="639" spans="1:3" x14ac:dyDescent="0.25">
      <c r="A639" s="8">
        <v>41573</v>
      </c>
      <c r="B639" s="4" t="s">
        <v>652</v>
      </c>
      <c r="C639" s="4">
        <v>39</v>
      </c>
    </row>
    <row r="640" spans="1:3" x14ac:dyDescent="0.25">
      <c r="A640" s="8">
        <v>41522</v>
      </c>
      <c r="B640" s="4" t="s">
        <v>548</v>
      </c>
      <c r="C640" s="4">
        <v>44</v>
      </c>
    </row>
    <row r="641" spans="1:3" x14ac:dyDescent="0.25">
      <c r="A641" s="8">
        <v>41527</v>
      </c>
      <c r="B641" s="4" t="s">
        <v>272</v>
      </c>
      <c r="C641" s="4">
        <v>32</v>
      </c>
    </row>
    <row r="642" spans="1:3" x14ac:dyDescent="0.25">
      <c r="A642" s="8">
        <v>41565</v>
      </c>
      <c r="B642" s="4" t="s">
        <v>640</v>
      </c>
      <c r="C642" s="4">
        <v>28</v>
      </c>
    </row>
    <row r="643" spans="1:3" x14ac:dyDescent="0.25">
      <c r="A643" s="8">
        <v>41552</v>
      </c>
      <c r="B643" s="4" t="s">
        <v>431</v>
      </c>
      <c r="C643" s="4">
        <v>57</v>
      </c>
    </row>
    <row r="644" spans="1:3" x14ac:dyDescent="0.25">
      <c r="A644" s="8">
        <v>41510</v>
      </c>
      <c r="B644" s="4" t="s">
        <v>462</v>
      </c>
      <c r="C644" s="4">
        <v>11</v>
      </c>
    </row>
    <row r="645" spans="1:3" x14ac:dyDescent="0.25">
      <c r="A645" s="8">
        <v>41541</v>
      </c>
      <c r="B645" s="4" t="s">
        <v>600</v>
      </c>
      <c r="C645" s="4">
        <v>37</v>
      </c>
    </row>
    <row r="646" spans="1:3" x14ac:dyDescent="0.25">
      <c r="A646" s="8">
        <v>41576</v>
      </c>
      <c r="B646" s="4" t="s">
        <v>653</v>
      </c>
      <c r="C646" s="4">
        <v>35</v>
      </c>
    </row>
    <row r="647" spans="1:3" x14ac:dyDescent="0.25">
      <c r="A647" s="8">
        <v>41633</v>
      </c>
      <c r="B647" s="4" t="s">
        <v>654</v>
      </c>
      <c r="C647" s="4">
        <v>51</v>
      </c>
    </row>
    <row r="648" spans="1:3" x14ac:dyDescent="0.25">
      <c r="A648" s="8">
        <v>41572</v>
      </c>
      <c r="B648" s="4" t="s">
        <v>511</v>
      </c>
      <c r="C648" s="4">
        <v>18</v>
      </c>
    </row>
    <row r="649" spans="1:3" x14ac:dyDescent="0.25">
      <c r="A649" s="8">
        <v>41586</v>
      </c>
      <c r="B649" s="4" t="s">
        <v>655</v>
      </c>
      <c r="C649" s="4">
        <v>56</v>
      </c>
    </row>
    <row r="650" spans="1:3" x14ac:dyDescent="0.25">
      <c r="A650" s="8">
        <v>41588</v>
      </c>
      <c r="B650" s="4" t="s">
        <v>656</v>
      </c>
      <c r="C650" s="4">
        <v>29</v>
      </c>
    </row>
    <row r="651" spans="1:3" x14ac:dyDescent="0.25">
      <c r="A651" s="8">
        <v>41506</v>
      </c>
      <c r="B651" s="4" t="s">
        <v>303</v>
      </c>
      <c r="C651" s="4">
        <v>13</v>
      </c>
    </row>
    <row r="652" spans="1:3" x14ac:dyDescent="0.25">
      <c r="A652" s="8">
        <v>41641</v>
      </c>
      <c r="B652" s="4" t="s">
        <v>657</v>
      </c>
      <c r="C652" s="4">
        <v>35</v>
      </c>
    </row>
    <row r="653" spans="1:3" x14ac:dyDescent="0.25">
      <c r="A653" s="8">
        <v>41646</v>
      </c>
      <c r="B653" s="4" t="s">
        <v>658</v>
      </c>
      <c r="C653" s="4">
        <v>12</v>
      </c>
    </row>
    <row r="654" spans="1:3" x14ac:dyDescent="0.25">
      <c r="A654" s="8">
        <v>41628</v>
      </c>
      <c r="B654" s="4" t="s">
        <v>478</v>
      </c>
      <c r="C654" s="4">
        <v>19</v>
      </c>
    </row>
    <row r="655" spans="1:3" x14ac:dyDescent="0.25">
      <c r="A655" s="8">
        <v>41575</v>
      </c>
      <c r="B655" s="4" t="s">
        <v>496</v>
      </c>
      <c r="C655" s="4">
        <v>44</v>
      </c>
    </row>
    <row r="656" spans="1:3" x14ac:dyDescent="0.25">
      <c r="A656" s="8">
        <v>41539</v>
      </c>
      <c r="B656" s="4" t="s">
        <v>315</v>
      </c>
      <c r="C656" s="4">
        <v>33</v>
      </c>
    </row>
    <row r="657" spans="1:3" x14ac:dyDescent="0.25">
      <c r="A657" s="8">
        <v>41642</v>
      </c>
      <c r="B657" s="4" t="s">
        <v>655</v>
      </c>
      <c r="C657" s="4">
        <v>56</v>
      </c>
    </row>
    <row r="658" spans="1:3" x14ac:dyDescent="0.25">
      <c r="A658" s="8">
        <v>41577</v>
      </c>
      <c r="B658" s="4" t="s">
        <v>659</v>
      </c>
      <c r="C658" s="4">
        <v>49</v>
      </c>
    </row>
    <row r="659" spans="1:3" x14ac:dyDescent="0.25">
      <c r="A659" s="8">
        <v>41595</v>
      </c>
      <c r="B659" s="4" t="s">
        <v>660</v>
      </c>
      <c r="C659" s="4">
        <v>29</v>
      </c>
    </row>
    <row r="660" spans="1:3" x14ac:dyDescent="0.25">
      <c r="A660" s="8">
        <v>41614</v>
      </c>
      <c r="B660" s="4" t="s">
        <v>661</v>
      </c>
      <c r="C660" s="4">
        <v>29</v>
      </c>
    </row>
    <row r="661" spans="1:3" x14ac:dyDescent="0.25">
      <c r="A661" s="8">
        <v>41577</v>
      </c>
      <c r="B661" s="4" t="s">
        <v>500</v>
      </c>
      <c r="C661" s="4">
        <v>40</v>
      </c>
    </row>
    <row r="662" spans="1:3" x14ac:dyDescent="0.25">
      <c r="A662" s="8">
        <v>41650</v>
      </c>
      <c r="B662" s="4" t="s">
        <v>361</v>
      </c>
      <c r="C662" s="4">
        <v>18</v>
      </c>
    </row>
    <row r="663" spans="1:3" x14ac:dyDescent="0.25">
      <c r="A663" s="8">
        <v>41576</v>
      </c>
      <c r="B663" s="4" t="s">
        <v>502</v>
      </c>
      <c r="C663" s="4">
        <v>42</v>
      </c>
    </row>
    <row r="664" spans="1:3" x14ac:dyDescent="0.25">
      <c r="A664" s="8">
        <v>41640</v>
      </c>
      <c r="B664" s="4" t="s">
        <v>392</v>
      </c>
      <c r="C664" s="4">
        <v>22</v>
      </c>
    </row>
    <row r="665" spans="1:3" x14ac:dyDescent="0.25">
      <c r="A665" s="8">
        <v>41518</v>
      </c>
      <c r="B665" s="4" t="s">
        <v>559</v>
      </c>
      <c r="C665" s="4">
        <v>41</v>
      </c>
    </row>
    <row r="666" spans="1:3" x14ac:dyDescent="0.25">
      <c r="A666" s="8">
        <v>41521</v>
      </c>
      <c r="B666" s="4" t="s">
        <v>662</v>
      </c>
      <c r="C666" s="4">
        <v>39</v>
      </c>
    </row>
    <row r="667" spans="1:3" x14ac:dyDescent="0.25">
      <c r="A667" s="8">
        <v>41599</v>
      </c>
      <c r="B667" s="4" t="s">
        <v>622</v>
      </c>
      <c r="C667" s="4">
        <v>25</v>
      </c>
    </row>
    <row r="668" spans="1:3" x14ac:dyDescent="0.25">
      <c r="A668" s="8">
        <v>41596</v>
      </c>
      <c r="B668" s="4" t="s">
        <v>411</v>
      </c>
      <c r="C668" s="4">
        <v>48</v>
      </c>
    </row>
    <row r="669" spans="1:3" x14ac:dyDescent="0.25">
      <c r="A669" s="8">
        <v>41579</v>
      </c>
      <c r="B669" s="4" t="s">
        <v>490</v>
      </c>
      <c r="C669" s="4">
        <v>56</v>
      </c>
    </row>
    <row r="670" spans="1:3" x14ac:dyDescent="0.25">
      <c r="A670" s="8">
        <v>41624</v>
      </c>
      <c r="B670" s="4" t="s">
        <v>611</v>
      </c>
      <c r="C670" s="4">
        <v>30</v>
      </c>
    </row>
    <row r="671" spans="1:3" x14ac:dyDescent="0.25">
      <c r="A671" s="8">
        <v>41516</v>
      </c>
      <c r="B671" s="4" t="s">
        <v>663</v>
      </c>
      <c r="C671" s="4">
        <v>33</v>
      </c>
    </row>
    <row r="672" spans="1:3" x14ac:dyDescent="0.25">
      <c r="A672" s="8">
        <v>41507</v>
      </c>
      <c r="B672" s="4" t="s">
        <v>664</v>
      </c>
      <c r="C672" s="4">
        <v>23</v>
      </c>
    </row>
    <row r="673" spans="1:3" x14ac:dyDescent="0.25">
      <c r="A673" s="8">
        <v>41617</v>
      </c>
      <c r="B673" s="4" t="s">
        <v>599</v>
      </c>
      <c r="C673" s="4">
        <v>37</v>
      </c>
    </row>
    <row r="674" spans="1:3" x14ac:dyDescent="0.25">
      <c r="A674" s="8">
        <v>41550</v>
      </c>
      <c r="B674" s="4" t="s">
        <v>484</v>
      </c>
      <c r="C674" s="4">
        <v>33</v>
      </c>
    </row>
    <row r="675" spans="1:3" x14ac:dyDescent="0.25">
      <c r="A675" s="8">
        <v>41584</v>
      </c>
      <c r="B675" s="4" t="s">
        <v>600</v>
      </c>
      <c r="C675" s="4">
        <v>15</v>
      </c>
    </row>
    <row r="676" spans="1:3" x14ac:dyDescent="0.25">
      <c r="A676" s="8">
        <v>41522</v>
      </c>
      <c r="B676" s="4" t="s">
        <v>362</v>
      </c>
      <c r="C676" s="4">
        <v>51</v>
      </c>
    </row>
    <row r="677" spans="1:3" x14ac:dyDescent="0.25">
      <c r="A677" s="8">
        <v>41592</v>
      </c>
      <c r="B677" s="4" t="s">
        <v>665</v>
      </c>
      <c r="C677" s="4">
        <v>54</v>
      </c>
    </row>
    <row r="678" spans="1:3" x14ac:dyDescent="0.25">
      <c r="A678" s="8">
        <v>41520</v>
      </c>
      <c r="B678" s="4" t="s">
        <v>468</v>
      </c>
      <c r="C678" s="4">
        <v>36</v>
      </c>
    </row>
    <row r="679" spans="1:3" x14ac:dyDescent="0.25">
      <c r="A679" s="8">
        <v>41512</v>
      </c>
      <c r="B679" s="4" t="s">
        <v>460</v>
      </c>
      <c r="C679" s="4">
        <v>37</v>
      </c>
    </row>
    <row r="680" spans="1:3" x14ac:dyDescent="0.25">
      <c r="A680" s="8">
        <v>41542</v>
      </c>
      <c r="B680" s="4" t="s">
        <v>666</v>
      </c>
      <c r="C680" s="4">
        <v>16</v>
      </c>
    </row>
    <row r="681" spans="1:3" x14ac:dyDescent="0.25">
      <c r="A681" s="8">
        <v>41516</v>
      </c>
      <c r="B681" s="4" t="s">
        <v>667</v>
      </c>
      <c r="C681" s="4">
        <v>53</v>
      </c>
    </row>
    <row r="682" spans="1:3" x14ac:dyDescent="0.25">
      <c r="A682" s="8">
        <v>41611</v>
      </c>
      <c r="B682" s="4" t="s">
        <v>450</v>
      </c>
      <c r="C682" s="4">
        <v>21</v>
      </c>
    </row>
    <row r="683" spans="1:3" x14ac:dyDescent="0.25">
      <c r="A683" s="8">
        <v>41514</v>
      </c>
      <c r="B683" s="4" t="s">
        <v>668</v>
      </c>
      <c r="C683" s="4">
        <v>30</v>
      </c>
    </row>
    <row r="684" spans="1:3" x14ac:dyDescent="0.25">
      <c r="A684" s="8">
        <v>41646</v>
      </c>
      <c r="B684" s="4" t="s">
        <v>531</v>
      </c>
      <c r="C684" s="4">
        <v>50</v>
      </c>
    </row>
    <row r="685" spans="1:3" x14ac:dyDescent="0.25">
      <c r="A685" s="8">
        <v>41560</v>
      </c>
      <c r="B685" s="4" t="s">
        <v>376</v>
      </c>
      <c r="C685" s="4">
        <v>38</v>
      </c>
    </row>
    <row r="686" spans="1:3" x14ac:dyDescent="0.25">
      <c r="A686" s="8">
        <v>41585</v>
      </c>
      <c r="B686" s="4" t="s">
        <v>669</v>
      </c>
      <c r="C686" s="4">
        <v>16</v>
      </c>
    </row>
    <row r="687" spans="1:3" x14ac:dyDescent="0.25">
      <c r="A687" s="8">
        <v>41501</v>
      </c>
      <c r="B687" s="4" t="s">
        <v>302</v>
      </c>
      <c r="C687" s="4">
        <v>14</v>
      </c>
    </row>
    <row r="688" spans="1:3" x14ac:dyDescent="0.25">
      <c r="A688" s="8">
        <v>41556</v>
      </c>
      <c r="B688" s="4" t="s">
        <v>670</v>
      </c>
      <c r="C688" s="4">
        <v>55</v>
      </c>
    </row>
    <row r="689" spans="1:3" x14ac:dyDescent="0.25">
      <c r="A689" s="8">
        <v>41611</v>
      </c>
      <c r="B689" s="4" t="s">
        <v>671</v>
      </c>
      <c r="C689" s="4">
        <v>58</v>
      </c>
    </row>
    <row r="690" spans="1:3" x14ac:dyDescent="0.25">
      <c r="A690" s="8">
        <v>41504</v>
      </c>
      <c r="B690" s="4" t="s">
        <v>612</v>
      </c>
      <c r="C690" s="4">
        <v>32</v>
      </c>
    </row>
    <row r="691" spans="1:3" x14ac:dyDescent="0.25">
      <c r="A691" s="8">
        <v>41636</v>
      </c>
      <c r="B691" s="4" t="s">
        <v>277</v>
      </c>
      <c r="C691" s="4">
        <v>33</v>
      </c>
    </row>
    <row r="692" spans="1:3" x14ac:dyDescent="0.25">
      <c r="A692" s="8">
        <v>41636</v>
      </c>
      <c r="B692" s="4" t="s">
        <v>672</v>
      </c>
      <c r="C692" s="4">
        <v>57</v>
      </c>
    </row>
    <row r="693" spans="1:3" x14ac:dyDescent="0.25">
      <c r="A693" s="8">
        <v>41643</v>
      </c>
      <c r="B693" s="4" t="s">
        <v>474</v>
      </c>
      <c r="C693" s="4">
        <v>11</v>
      </c>
    </row>
    <row r="694" spans="1:3" x14ac:dyDescent="0.25">
      <c r="A694" s="8">
        <v>41530</v>
      </c>
      <c r="B694" s="4" t="s">
        <v>673</v>
      </c>
      <c r="C694" s="4">
        <v>31</v>
      </c>
    </row>
    <row r="695" spans="1:3" x14ac:dyDescent="0.25">
      <c r="A695" s="8">
        <v>41589</v>
      </c>
      <c r="B695" s="4" t="s">
        <v>581</v>
      </c>
      <c r="C695" s="4">
        <v>59</v>
      </c>
    </row>
    <row r="696" spans="1:3" x14ac:dyDescent="0.25">
      <c r="A696" s="8">
        <v>41500</v>
      </c>
      <c r="B696" s="4" t="s">
        <v>332</v>
      </c>
      <c r="C696" s="4">
        <v>31</v>
      </c>
    </row>
    <row r="697" spans="1:3" x14ac:dyDescent="0.25">
      <c r="A697" s="8">
        <v>41577</v>
      </c>
      <c r="B697" s="4" t="s">
        <v>674</v>
      </c>
      <c r="C697" s="4">
        <v>24</v>
      </c>
    </row>
    <row r="698" spans="1:3" x14ac:dyDescent="0.25">
      <c r="A698" s="8">
        <v>41520</v>
      </c>
      <c r="B698" s="4" t="s">
        <v>675</v>
      </c>
      <c r="C698" s="4">
        <v>21</v>
      </c>
    </row>
    <row r="699" spans="1:3" x14ac:dyDescent="0.25">
      <c r="A699" s="8">
        <v>41602</v>
      </c>
      <c r="B699" s="4" t="s">
        <v>516</v>
      </c>
      <c r="C699" s="4">
        <v>37</v>
      </c>
    </row>
    <row r="700" spans="1:3" x14ac:dyDescent="0.25">
      <c r="A700" s="8">
        <v>41562</v>
      </c>
      <c r="B700" s="4" t="s">
        <v>631</v>
      </c>
      <c r="C700" s="4">
        <v>41</v>
      </c>
    </row>
    <row r="701" spans="1:3" x14ac:dyDescent="0.25">
      <c r="A701" s="8">
        <v>41641</v>
      </c>
      <c r="B701" s="4" t="s">
        <v>676</v>
      </c>
      <c r="C701" s="4">
        <v>42</v>
      </c>
    </row>
    <row r="702" spans="1:3" x14ac:dyDescent="0.25">
      <c r="A702" s="8">
        <v>41524</v>
      </c>
      <c r="B702" s="4" t="s">
        <v>544</v>
      </c>
      <c r="C702" s="4">
        <v>11</v>
      </c>
    </row>
    <row r="703" spans="1:3" x14ac:dyDescent="0.25">
      <c r="A703" s="8">
        <v>41535</v>
      </c>
      <c r="B703" s="4" t="s">
        <v>677</v>
      </c>
      <c r="C703" s="4">
        <v>58</v>
      </c>
    </row>
    <row r="704" spans="1:3" x14ac:dyDescent="0.25">
      <c r="A704" s="8">
        <v>41606</v>
      </c>
      <c r="B704" s="4" t="s">
        <v>269</v>
      </c>
      <c r="C704" s="4">
        <v>32</v>
      </c>
    </row>
    <row r="705" spans="1:3" x14ac:dyDescent="0.25">
      <c r="A705" s="8">
        <v>41512</v>
      </c>
      <c r="B705" s="4" t="s">
        <v>377</v>
      </c>
      <c r="C705" s="4">
        <v>19</v>
      </c>
    </row>
    <row r="706" spans="1:3" x14ac:dyDescent="0.25">
      <c r="A706" s="8">
        <v>41625</v>
      </c>
      <c r="B706" s="4" t="s">
        <v>678</v>
      </c>
      <c r="C706" s="4">
        <v>39</v>
      </c>
    </row>
    <row r="707" spans="1:3" x14ac:dyDescent="0.25">
      <c r="A707" s="8">
        <v>41504</v>
      </c>
      <c r="B707" s="4" t="s">
        <v>291</v>
      </c>
      <c r="C707" s="4">
        <v>17</v>
      </c>
    </row>
    <row r="708" spans="1:3" x14ac:dyDescent="0.25">
      <c r="A708" s="8">
        <v>41606</v>
      </c>
      <c r="B708" s="4" t="s">
        <v>679</v>
      </c>
      <c r="C708" s="4">
        <v>53</v>
      </c>
    </row>
    <row r="709" spans="1:3" x14ac:dyDescent="0.25">
      <c r="A709" s="8">
        <v>41576</v>
      </c>
      <c r="B709" s="4" t="s">
        <v>642</v>
      </c>
      <c r="C709" s="4">
        <v>52</v>
      </c>
    </row>
    <row r="710" spans="1:3" x14ac:dyDescent="0.25">
      <c r="A710" s="8">
        <v>41563</v>
      </c>
      <c r="B710" s="4" t="s">
        <v>680</v>
      </c>
      <c r="C710" s="4">
        <v>59</v>
      </c>
    </row>
    <row r="711" spans="1:3" x14ac:dyDescent="0.25">
      <c r="A711" s="8">
        <v>41637</v>
      </c>
      <c r="B711" s="4" t="s">
        <v>504</v>
      </c>
      <c r="C711" s="4">
        <v>18</v>
      </c>
    </row>
    <row r="712" spans="1:3" x14ac:dyDescent="0.25">
      <c r="A712" s="8">
        <v>41527</v>
      </c>
      <c r="B712" s="4" t="s">
        <v>681</v>
      </c>
      <c r="C712" s="4">
        <v>33</v>
      </c>
    </row>
    <row r="713" spans="1:3" x14ac:dyDescent="0.25">
      <c r="A713" s="8">
        <v>41535</v>
      </c>
      <c r="B713" s="4" t="s">
        <v>552</v>
      </c>
      <c r="C713" s="4">
        <v>11</v>
      </c>
    </row>
    <row r="714" spans="1:3" x14ac:dyDescent="0.25">
      <c r="A714" s="8">
        <v>41602</v>
      </c>
      <c r="B714" s="4" t="s">
        <v>483</v>
      </c>
      <c r="C714" s="4">
        <v>28</v>
      </c>
    </row>
    <row r="715" spans="1:3" x14ac:dyDescent="0.25">
      <c r="A715" s="8">
        <v>41515</v>
      </c>
      <c r="B715" s="4" t="s">
        <v>322</v>
      </c>
      <c r="C715" s="4">
        <v>45</v>
      </c>
    </row>
    <row r="716" spans="1:3" x14ac:dyDescent="0.25">
      <c r="A716" s="8">
        <v>41540</v>
      </c>
      <c r="B716" s="4" t="s">
        <v>682</v>
      </c>
      <c r="C716" s="4">
        <v>17</v>
      </c>
    </row>
    <row r="717" spans="1:3" x14ac:dyDescent="0.25">
      <c r="A717" s="8">
        <v>41632</v>
      </c>
      <c r="B717" s="4" t="s">
        <v>683</v>
      </c>
      <c r="C717" s="4">
        <v>27</v>
      </c>
    </row>
    <row r="718" spans="1:3" x14ac:dyDescent="0.25">
      <c r="A718" s="8">
        <v>41539</v>
      </c>
      <c r="B718" s="4" t="s">
        <v>352</v>
      </c>
      <c r="C718" s="4">
        <v>39</v>
      </c>
    </row>
    <row r="719" spans="1:3" x14ac:dyDescent="0.25">
      <c r="A719" s="8">
        <v>41632</v>
      </c>
      <c r="B719" s="4" t="s">
        <v>640</v>
      </c>
      <c r="C719" s="4">
        <v>27</v>
      </c>
    </row>
    <row r="720" spans="1:3" x14ac:dyDescent="0.25">
      <c r="A720" s="8">
        <v>41596</v>
      </c>
      <c r="B720" s="4" t="s">
        <v>350</v>
      </c>
      <c r="C720" s="4">
        <v>22</v>
      </c>
    </row>
    <row r="721" spans="1:3" x14ac:dyDescent="0.25">
      <c r="A721" s="8">
        <v>41603</v>
      </c>
      <c r="B721" s="4" t="s">
        <v>475</v>
      </c>
      <c r="C721" s="4">
        <v>39</v>
      </c>
    </row>
    <row r="722" spans="1:3" x14ac:dyDescent="0.25">
      <c r="A722" s="8">
        <v>41634</v>
      </c>
      <c r="B722" s="4" t="s">
        <v>684</v>
      </c>
      <c r="C722" s="4">
        <v>11</v>
      </c>
    </row>
    <row r="723" spans="1:3" x14ac:dyDescent="0.25">
      <c r="A723" s="8">
        <v>41562</v>
      </c>
      <c r="B723" s="4" t="s">
        <v>681</v>
      </c>
      <c r="C723" s="4">
        <v>11</v>
      </c>
    </row>
    <row r="724" spans="1:3" x14ac:dyDescent="0.25">
      <c r="A724" s="8">
        <v>41640</v>
      </c>
      <c r="B724" s="4" t="s">
        <v>288</v>
      </c>
      <c r="C724" s="4">
        <v>17</v>
      </c>
    </row>
    <row r="725" spans="1:3" x14ac:dyDescent="0.25">
      <c r="A725" s="8">
        <v>41607</v>
      </c>
      <c r="B725" s="4" t="s">
        <v>685</v>
      </c>
      <c r="C725" s="4">
        <v>29</v>
      </c>
    </row>
    <row r="726" spans="1:3" x14ac:dyDescent="0.25">
      <c r="A726" s="8">
        <v>41586</v>
      </c>
      <c r="B726" s="4" t="s">
        <v>279</v>
      </c>
      <c r="C726" s="4">
        <v>44</v>
      </c>
    </row>
    <row r="727" spans="1:3" x14ac:dyDescent="0.25">
      <c r="A727" s="8">
        <v>41564</v>
      </c>
      <c r="B727" s="4" t="s">
        <v>686</v>
      </c>
      <c r="C727" s="4">
        <v>17</v>
      </c>
    </row>
    <row r="728" spans="1:3" x14ac:dyDescent="0.25">
      <c r="A728" s="8">
        <v>41648</v>
      </c>
      <c r="B728" s="4" t="s">
        <v>501</v>
      </c>
      <c r="C728" s="4">
        <v>18</v>
      </c>
    </row>
    <row r="729" spans="1:3" x14ac:dyDescent="0.25">
      <c r="A729" s="8">
        <v>41632</v>
      </c>
      <c r="B729" s="4" t="s">
        <v>687</v>
      </c>
      <c r="C729" s="4">
        <v>11</v>
      </c>
    </row>
    <row r="730" spans="1:3" x14ac:dyDescent="0.25">
      <c r="A730" s="8">
        <v>41565</v>
      </c>
      <c r="B730" s="4" t="s">
        <v>295</v>
      </c>
      <c r="C730" s="4">
        <v>22</v>
      </c>
    </row>
    <row r="731" spans="1:3" x14ac:dyDescent="0.25">
      <c r="A731" s="8">
        <v>41535</v>
      </c>
      <c r="B731" s="4" t="s">
        <v>669</v>
      </c>
      <c r="C731" s="4">
        <v>27</v>
      </c>
    </row>
    <row r="732" spans="1:3" x14ac:dyDescent="0.25">
      <c r="A732" s="8">
        <v>41578</v>
      </c>
      <c r="B732" s="4" t="s">
        <v>680</v>
      </c>
      <c r="C732" s="4">
        <v>25</v>
      </c>
    </row>
    <row r="733" spans="1:3" x14ac:dyDescent="0.25">
      <c r="A733" s="8">
        <v>41528</v>
      </c>
      <c r="B733" s="4" t="s">
        <v>495</v>
      </c>
      <c r="C733" s="4">
        <v>50</v>
      </c>
    </row>
    <row r="734" spans="1:3" x14ac:dyDescent="0.25">
      <c r="A734" s="8">
        <v>41643</v>
      </c>
      <c r="B734" s="4" t="s">
        <v>613</v>
      </c>
      <c r="C734" s="4">
        <v>54</v>
      </c>
    </row>
    <row r="735" spans="1:3" x14ac:dyDescent="0.25">
      <c r="A735" s="8">
        <v>41598</v>
      </c>
      <c r="B735" s="4" t="s">
        <v>628</v>
      </c>
      <c r="C735" s="4">
        <v>25</v>
      </c>
    </row>
    <row r="736" spans="1:3" x14ac:dyDescent="0.25">
      <c r="A736" s="8">
        <v>41611</v>
      </c>
      <c r="B736" s="4" t="s">
        <v>427</v>
      </c>
      <c r="C736" s="4">
        <v>39</v>
      </c>
    </row>
    <row r="737" spans="1:3" x14ac:dyDescent="0.25">
      <c r="A737" s="8">
        <v>41573</v>
      </c>
      <c r="B737" s="4" t="s">
        <v>559</v>
      </c>
      <c r="C737" s="4">
        <v>49</v>
      </c>
    </row>
    <row r="738" spans="1:3" x14ac:dyDescent="0.25">
      <c r="A738" s="8">
        <v>41535</v>
      </c>
      <c r="B738" s="4" t="s">
        <v>484</v>
      </c>
      <c r="C738" s="4">
        <v>22</v>
      </c>
    </row>
    <row r="739" spans="1:3" x14ac:dyDescent="0.25">
      <c r="A739" s="8">
        <v>41575</v>
      </c>
      <c r="B739" s="4" t="s">
        <v>688</v>
      </c>
      <c r="C739" s="4">
        <v>49</v>
      </c>
    </row>
    <row r="740" spans="1:3" x14ac:dyDescent="0.25">
      <c r="A740" s="8">
        <v>41555</v>
      </c>
      <c r="B740" s="4" t="s">
        <v>329</v>
      </c>
      <c r="C740" s="4">
        <v>26</v>
      </c>
    </row>
    <row r="741" spans="1:3" x14ac:dyDescent="0.25">
      <c r="A741" s="8">
        <v>41618</v>
      </c>
      <c r="B741" s="4" t="s">
        <v>261</v>
      </c>
      <c r="C741" s="4">
        <v>13</v>
      </c>
    </row>
    <row r="742" spans="1:3" x14ac:dyDescent="0.25">
      <c r="A742" s="8">
        <v>41623</v>
      </c>
      <c r="B742" s="4" t="s">
        <v>689</v>
      </c>
      <c r="C742" s="4">
        <v>25</v>
      </c>
    </row>
    <row r="743" spans="1:3" x14ac:dyDescent="0.25">
      <c r="A743" s="8">
        <v>41503</v>
      </c>
      <c r="B743" s="4" t="s">
        <v>690</v>
      </c>
      <c r="C743" s="4">
        <v>24</v>
      </c>
    </row>
    <row r="744" spans="1:3" x14ac:dyDescent="0.25">
      <c r="A744" s="8">
        <v>41562</v>
      </c>
      <c r="B744" s="4" t="s">
        <v>337</v>
      </c>
      <c r="C744" s="4">
        <v>27</v>
      </c>
    </row>
    <row r="745" spans="1:3" x14ac:dyDescent="0.25">
      <c r="A745" s="8">
        <v>41593</v>
      </c>
      <c r="B745" s="4" t="s">
        <v>691</v>
      </c>
      <c r="C745" s="4">
        <v>23</v>
      </c>
    </row>
    <row r="746" spans="1:3" x14ac:dyDescent="0.25">
      <c r="A746" s="8">
        <v>41634</v>
      </c>
      <c r="B746" s="4" t="s">
        <v>346</v>
      </c>
      <c r="C746" s="4">
        <v>32</v>
      </c>
    </row>
    <row r="747" spans="1:3" x14ac:dyDescent="0.25">
      <c r="A747" s="8">
        <v>41646</v>
      </c>
      <c r="B747" s="4" t="s">
        <v>692</v>
      </c>
      <c r="C747" s="4">
        <v>36</v>
      </c>
    </row>
    <row r="748" spans="1:3" x14ac:dyDescent="0.25">
      <c r="A748" s="8">
        <v>41533</v>
      </c>
      <c r="B748" s="4" t="s">
        <v>693</v>
      </c>
      <c r="C748" s="4">
        <v>44</v>
      </c>
    </row>
    <row r="749" spans="1:3" x14ac:dyDescent="0.25">
      <c r="A749" s="8">
        <v>41576</v>
      </c>
      <c r="B749" s="4" t="s">
        <v>292</v>
      </c>
      <c r="C749" s="4">
        <v>59</v>
      </c>
    </row>
    <row r="750" spans="1:3" x14ac:dyDescent="0.25">
      <c r="A750" s="8">
        <v>41572</v>
      </c>
      <c r="B750" s="4" t="s">
        <v>472</v>
      </c>
      <c r="C750" s="4">
        <v>23</v>
      </c>
    </row>
    <row r="751" spans="1:3" x14ac:dyDescent="0.25">
      <c r="A751" s="8">
        <v>41577</v>
      </c>
      <c r="B751" s="4" t="s">
        <v>694</v>
      </c>
      <c r="C751" s="4">
        <v>56</v>
      </c>
    </row>
    <row r="752" spans="1:3" x14ac:dyDescent="0.25">
      <c r="A752" s="8">
        <v>41629</v>
      </c>
      <c r="B752" s="4" t="s">
        <v>570</v>
      </c>
      <c r="C752" s="4">
        <v>53</v>
      </c>
    </row>
    <row r="753" spans="1:3" x14ac:dyDescent="0.25">
      <c r="A753" s="8">
        <v>41548</v>
      </c>
      <c r="B753" s="4" t="s">
        <v>652</v>
      </c>
      <c r="C753" s="4">
        <v>32</v>
      </c>
    </row>
    <row r="754" spans="1:3" x14ac:dyDescent="0.25">
      <c r="A754" s="8">
        <v>41600</v>
      </c>
      <c r="B754" s="4" t="s">
        <v>641</v>
      </c>
      <c r="C754" s="4">
        <v>40</v>
      </c>
    </row>
    <row r="755" spans="1:3" x14ac:dyDescent="0.25">
      <c r="A755" s="8">
        <v>41515</v>
      </c>
      <c r="B755" s="4" t="s">
        <v>415</v>
      </c>
      <c r="C755" s="4">
        <v>29</v>
      </c>
    </row>
    <row r="756" spans="1:3" x14ac:dyDescent="0.25">
      <c r="A756" s="8">
        <v>41556</v>
      </c>
      <c r="B756" s="4" t="s">
        <v>396</v>
      </c>
      <c r="C756" s="4">
        <v>40</v>
      </c>
    </row>
    <row r="757" spans="1:3" x14ac:dyDescent="0.25">
      <c r="A757" s="8">
        <v>41565</v>
      </c>
      <c r="B757" s="4" t="s">
        <v>619</v>
      </c>
      <c r="C757" s="4">
        <v>11</v>
      </c>
    </row>
    <row r="758" spans="1:3" x14ac:dyDescent="0.25">
      <c r="A758" s="8">
        <v>41612</v>
      </c>
      <c r="B758" s="4" t="s">
        <v>311</v>
      </c>
      <c r="C758" s="4">
        <v>47</v>
      </c>
    </row>
    <row r="759" spans="1:3" x14ac:dyDescent="0.25">
      <c r="A759" s="8">
        <v>41648</v>
      </c>
      <c r="B759" s="4" t="s">
        <v>662</v>
      </c>
      <c r="C759" s="4">
        <v>51</v>
      </c>
    </row>
    <row r="760" spans="1:3" x14ac:dyDescent="0.25">
      <c r="A760" s="8">
        <v>41583</v>
      </c>
      <c r="B760" s="4" t="s">
        <v>441</v>
      </c>
      <c r="C760" s="4">
        <v>14</v>
      </c>
    </row>
    <row r="761" spans="1:3" x14ac:dyDescent="0.25">
      <c r="A761" s="8">
        <v>41649</v>
      </c>
      <c r="B761" s="4" t="s">
        <v>553</v>
      </c>
      <c r="C761" s="4">
        <v>56</v>
      </c>
    </row>
    <row r="762" spans="1:3" x14ac:dyDescent="0.25">
      <c r="A762" s="8">
        <v>41530</v>
      </c>
      <c r="B762" s="4" t="s">
        <v>436</v>
      </c>
      <c r="C762" s="4">
        <v>15</v>
      </c>
    </row>
    <row r="763" spans="1:3" x14ac:dyDescent="0.25">
      <c r="A763" s="8">
        <v>41613</v>
      </c>
      <c r="B763" s="4" t="s">
        <v>429</v>
      </c>
      <c r="C763" s="4">
        <v>26</v>
      </c>
    </row>
    <row r="764" spans="1:3" x14ac:dyDescent="0.25">
      <c r="A764" s="8">
        <v>41548</v>
      </c>
      <c r="B764" s="4" t="s">
        <v>531</v>
      </c>
      <c r="C764" s="4">
        <v>33</v>
      </c>
    </row>
    <row r="765" spans="1:3" x14ac:dyDescent="0.25">
      <c r="A765" s="8">
        <v>41542</v>
      </c>
      <c r="B765" s="4" t="s">
        <v>356</v>
      </c>
      <c r="C765" s="4">
        <v>23</v>
      </c>
    </row>
    <row r="766" spans="1:3" x14ac:dyDescent="0.25">
      <c r="A766" s="8">
        <v>41562</v>
      </c>
      <c r="B766" s="4" t="s">
        <v>543</v>
      </c>
      <c r="C766" s="4">
        <v>15</v>
      </c>
    </row>
    <row r="767" spans="1:3" x14ac:dyDescent="0.25">
      <c r="A767" s="8">
        <v>41607</v>
      </c>
      <c r="B767" s="4" t="s">
        <v>586</v>
      </c>
      <c r="C767" s="4">
        <v>18</v>
      </c>
    </row>
    <row r="768" spans="1:3" x14ac:dyDescent="0.25">
      <c r="A768" s="8">
        <v>41607</v>
      </c>
      <c r="B768" s="4" t="s">
        <v>695</v>
      </c>
      <c r="C768" s="4">
        <v>32</v>
      </c>
    </row>
    <row r="769" spans="1:3" x14ac:dyDescent="0.25">
      <c r="A769" s="8">
        <v>41591</v>
      </c>
      <c r="B769" s="4" t="s">
        <v>297</v>
      </c>
      <c r="C769" s="4">
        <v>40</v>
      </c>
    </row>
    <row r="770" spans="1:3" x14ac:dyDescent="0.25">
      <c r="A770" s="8">
        <v>41646</v>
      </c>
      <c r="B770" s="4" t="s">
        <v>282</v>
      </c>
      <c r="C770" s="4">
        <v>13</v>
      </c>
    </row>
    <row r="771" spans="1:3" x14ac:dyDescent="0.25">
      <c r="A771" s="8">
        <v>41514</v>
      </c>
      <c r="B771" s="4" t="s">
        <v>261</v>
      </c>
      <c r="C771" s="4">
        <v>17</v>
      </c>
    </row>
    <row r="772" spans="1:3" x14ac:dyDescent="0.25">
      <c r="A772" s="8">
        <v>41634</v>
      </c>
      <c r="B772" s="4" t="s">
        <v>696</v>
      </c>
      <c r="C772" s="4">
        <v>51</v>
      </c>
    </row>
    <row r="773" spans="1:3" x14ac:dyDescent="0.25">
      <c r="A773" s="8">
        <v>41626</v>
      </c>
      <c r="B773" s="4" t="s">
        <v>594</v>
      </c>
      <c r="C773" s="4">
        <v>29</v>
      </c>
    </row>
    <row r="774" spans="1:3" x14ac:dyDescent="0.25">
      <c r="A774" s="8">
        <v>41508</v>
      </c>
      <c r="B774" s="4" t="s">
        <v>557</v>
      </c>
      <c r="C774" s="4">
        <v>21</v>
      </c>
    </row>
    <row r="775" spans="1:3" x14ac:dyDescent="0.25">
      <c r="A775" s="8">
        <v>41604</v>
      </c>
      <c r="B775" s="4" t="s">
        <v>658</v>
      </c>
      <c r="C775" s="4">
        <v>18</v>
      </c>
    </row>
    <row r="776" spans="1:3" x14ac:dyDescent="0.25">
      <c r="A776" s="8">
        <v>41632</v>
      </c>
      <c r="B776" s="4" t="s">
        <v>510</v>
      </c>
      <c r="C776" s="4">
        <v>51</v>
      </c>
    </row>
    <row r="777" spans="1:3" x14ac:dyDescent="0.25">
      <c r="A777" s="8">
        <v>41514</v>
      </c>
      <c r="B777" s="4" t="s">
        <v>697</v>
      </c>
      <c r="C777" s="4">
        <v>47</v>
      </c>
    </row>
    <row r="778" spans="1:3" x14ac:dyDescent="0.25">
      <c r="A778" s="8">
        <v>41516</v>
      </c>
      <c r="B778" s="4" t="s">
        <v>313</v>
      </c>
      <c r="C778" s="4">
        <v>54</v>
      </c>
    </row>
    <row r="779" spans="1:3" x14ac:dyDescent="0.25">
      <c r="A779" s="8">
        <v>41531</v>
      </c>
      <c r="B779" s="4" t="s">
        <v>549</v>
      </c>
      <c r="C779" s="4">
        <v>32</v>
      </c>
    </row>
    <row r="780" spans="1:3" x14ac:dyDescent="0.25">
      <c r="A780" s="8">
        <v>41584</v>
      </c>
      <c r="B780" s="4" t="s">
        <v>655</v>
      </c>
      <c r="C780" s="4">
        <v>29</v>
      </c>
    </row>
    <row r="781" spans="1:3" x14ac:dyDescent="0.25">
      <c r="A781" s="8">
        <v>41519</v>
      </c>
      <c r="B781" s="4" t="s">
        <v>656</v>
      </c>
      <c r="C781" s="4">
        <v>45</v>
      </c>
    </row>
    <row r="782" spans="1:3" x14ac:dyDescent="0.25">
      <c r="A782" s="8">
        <v>41617</v>
      </c>
      <c r="B782" s="4" t="s">
        <v>517</v>
      </c>
      <c r="C782" s="4">
        <v>23</v>
      </c>
    </row>
    <row r="783" spans="1:3" x14ac:dyDescent="0.25">
      <c r="A783" s="8">
        <v>41635</v>
      </c>
      <c r="B783" s="4" t="s">
        <v>337</v>
      </c>
      <c r="C783" s="4">
        <v>47</v>
      </c>
    </row>
    <row r="784" spans="1:3" x14ac:dyDescent="0.25">
      <c r="A784" s="8">
        <v>41640</v>
      </c>
      <c r="B784" s="4" t="s">
        <v>698</v>
      </c>
      <c r="C784" s="4">
        <v>17</v>
      </c>
    </row>
    <row r="785" spans="1:3" x14ac:dyDescent="0.25">
      <c r="A785" s="8">
        <v>41620</v>
      </c>
      <c r="B785" s="4" t="s">
        <v>549</v>
      </c>
      <c r="C785" s="4">
        <v>42</v>
      </c>
    </row>
    <row r="786" spans="1:3" x14ac:dyDescent="0.25">
      <c r="A786" s="8">
        <v>41539</v>
      </c>
      <c r="B786" s="4" t="s">
        <v>296</v>
      </c>
      <c r="C786" s="4">
        <v>56</v>
      </c>
    </row>
    <row r="787" spans="1:3" x14ac:dyDescent="0.25">
      <c r="A787" s="8">
        <v>41600</v>
      </c>
      <c r="B787" s="4" t="s">
        <v>334</v>
      </c>
      <c r="C787" s="4">
        <v>27</v>
      </c>
    </row>
    <row r="788" spans="1:3" x14ac:dyDescent="0.25">
      <c r="A788" s="8">
        <v>41648</v>
      </c>
      <c r="B788" s="4" t="s">
        <v>346</v>
      </c>
      <c r="C788" s="4">
        <v>45</v>
      </c>
    </row>
    <row r="789" spans="1:3" x14ac:dyDescent="0.25">
      <c r="A789" s="8">
        <v>41508</v>
      </c>
      <c r="B789" s="4" t="s">
        <v>699</v>
      </c>
      <c r="C789" s="4">
        <v>37</v>
      </c>
    </row>
    <row r="790" spans="1:3" x14ac:dyDescent="0.25">
      <c r="A790" s="8">
        <v>41570</v>
      </c>
      <c r="B790" s="4" t="s">
        <v>700</v>
      </c>
      <c r="C790" s="4">
        <v>34</v>
      </c>
    </row>
    <row r="791" spans="1:3" x14ac:dyDescent="0.25">
      <c r="A791" s="8">
        <v>41565</v>
      </c>
      <c r="B791" s="4" t="s">
        <v>544</v>
      </c>
      <c r="C791" s="4">
        <v>58</v>
      </c>
    </row>
    <row r="792" spans="1:3" x14ac:dyDescent="0.25">
      <c r="A792" s="8">
        <v>41636</v>
      </c>
      <c r="B792" s="4" t="s">
        <v>701</v>
      </c>
      <c r="C792" s="4">
        <v>23</v>
      </c>
    </row>
    <row r="793" spans="1:3" x14ac:dyDescent="0.25">
      <c r="A793" s="8">
        <v>41613</v>
      </c>
      <c r="B793" s="4" t="s">
        <v>650</v>
      </c>
      <c r="C793" s="4">
        <v>54</v>
      </c>
    </row>
    <row r="794" spans="1:3" x14ac:dyDescent="0.25">
      <c r="A794" s="8">
        <v>41547</v>
      </c>
      <c r="B794" s="4" t="s">
        <v>690</v>
      </c>
      <c r="C794" s="4">
        <v>58</v>
      </c>
    </row>
    <row r="795" spans="1:3" x14ac:dyDescent="0.25">
      <c r="A795" s="8">
        <v>41537</v>
      </c>
      <c r="B795" s="4" t="s">
        <v>702</v>
      </c>
      <c r="C795" s="4">
        <v>23</v>
      </c>
    </row>
    <row r="796" spans="1:3" x14ac:dyDescent="0.25">
      <c r="A796" s="8">
        <v>41644</v>
      </c>
      <c r="B796" s="4" t="s">
        <v>420</v>
      </c>
      <c r="C796" s="4">
        <v>51</v>
      </c>
    </row>
    <row r="797" spans="1:3" x14ac:dyDescent="0.25">
      <c r="A797" s="8">
        <v>41595</v>
      </c>
      <c r="B797" s="4" t="s">
        <v>571</v>
      </c>
      <c r="C797" s="4">
        <v>38</v>
      </c>
    </row>
    <row r="798" spans="1:3" x14ac:dyDescent="0.25">
      <c r="A798" s="8">
        <v>41597</v>
      </c>
      <c r="B798" s="4" t="s">
        <v>559</v>
      </c>
      <c r="C798" s="4">
        <v>32</v>
      </c>
    </row>
    <row r="799" spans="1:3" x14ac:dyDescent="0.25">
      <c r="A799" s="8">
        <v>41601</v>
      </c>
      <c r="B799" s="4" t="s">
        <v>670</v>
      </c>
      <c r="C799" s="4">
        <v>33</v>
      </c>
    </row>
    <row r="800" spans="1:3" x14ac:dyDescent="0.25">
      <c r="A800" s="8">
        <v>41616</v>
      </c>
      <c r="B800" s="4" t="s">
        <v>703</v>
      </c>
      <c r="C800" s="4">
        <v>47</v>
      </c>
    </row>
    <row r="801" spans="1:3" x14ac:dyDescent="0.25">
      <c r="A801" s="8">
        <v>41529</v>
      </c>
      <c r="B801" s="4" t="s">
        <v>308</v>
      </c>
      <c r="C801" s="4">
        <v>16</v>
      </c>
    </row>
    <row r="802" spans="1:3" x14ac:dyDescent="0.25">
      <c r="A802" s="8">
        <v>41628</v>
      </c>
      <c r="B802" s="4" t="s">
        <v>570</v>
      </c>
      <c r="C802" s="4">
        <v>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802"/>
  <sheetViews>
    <sheetView zoomScale="160" zoomScaleNormal="160" workbookViewId="0">
      <selection activeCell="G2" sqref="G2"/>
    </sheetView>
  </sheetViews>
  <sheetFormatPr defaultRowHeight="15" x14ac:dyDescent="0.25"/>
  <cols>
    <col min="1" max="1" width="10.85546875" customWidth="1"/>
    <col min="2" max="2" width="19.85546875" customWidth="1"/>
    <col min="3" max="3" width="11" customWidth="1"/>
    <col min="4" max="4" width="8.140625" customWidth="1"/>
    <col min="6" max="6" width="15" bestFit="1" customWidth="1"/>
    <col min="10" max="10" width="10.28515625" customWidth="1"/>
    <col min="11" max="11" width="17.28515625" customWidth="1"/>
    <col min="17" max="17" width="15" bestFit="1" customWidth="1"/>
  </cols>
  <sheetData>
    <row r="1" spans="1:19" x14ac:dyDescent="0.25">
      <c r="A1" s="26" t="s">
        <v>91</v>
      </c>
      <c r="B1" s="26" t="s">
        <v>92</v>
      </c>
      <c r="C1" s="26" t="s">
        <v>93</v>
      </c>
      <c r="F1" s="11" t="s">
        <v>92</v>
      </c>
      <c r="G1" s="11" t="s">
        <v>82</v>
      </c>
    </row>
    <row r="2" spans="1:19" x14ac:dyDescent="0.25">
      <c r="A2" s="8">
        <v>41517</v>
      </c>
      <c r="B2" s="4" t="s">
        <v>716</v>
      </c>
      <c r="C2" s="4">
        <v>33</v>
      </c>
      <c r="D2" t="str">
        <f>TRIM(B2)</f>
        <v>Battalion Pretty</v>
      </c>
      <c r="F2" s="4" t="s">
        <v>99</v>
      </c>
      <c r="G2" s="22">
        <f>SUMIFS($C$2:$C$802,$B$2:$B$802,F2)</f>
        <v>990</v>
      </c>
      <c r="Q2" t="s">
        <v>99</v>
      </c>
      <c r="R2" t="s">
        <v>94</v>
      </c>
      <c r="S2" t="s">
        <v>104</v>
      </c>
    </row>
    <row r="3" spans="1:19" x14ac:dyDescent="0.25">
      <c r="A3" s="8">
        <v>41645</v>
      </c>
      <c r="B3" s="4" t="s">
        <v>714</v>
      </c>
      <c r="C3" s="4">
        <v>51</v>
      </c>
      <c r="D3" t="str">
        <f t="shared" ref="D3:D66" si="0">TRIM(B3)</f>
        <v>Gigi Rad</v>
      </c>
      <c r="F3" s="4" t="s">
        <v>100</v>
      </c>
      <c r="G3" s="22">
        <f t="shared" ref="G3:G6" si="1">SUMIFS($C$2:$C$802,$B$2:$B$802,F3)</f>
        <v>1255</v>
      </c>
      <c r="Q3" t="s">
        <v>100</v>
      </c>
      <c r="R3" t="s">
        <v>95</v>
      </c>
      <c r="S3" t="s">
        <v>105</v>
      </c>
    </row>
    <row r="4" spans="1:19" x14ac:dyDescent="0.25">
      <c r="A4" s="8">
        <v>41531</v>
      </c>
      <c r="B4" s="4" t="s">
        <v>710</v>
      </c>
      <c r="C4" s="4">
        <v>49</v>
      </c>
      <c r="D4" t="str">
        <f t="shared" si="0"/>
        <v>Gigi Pretty</v>
      </c>
      <c r="F4" s="4" t="s">
        <v>101</v>
      </c>
      <c r="G4" s="22">
        <f t="shared" si="1"/>
        <v>733</v>
      </c>
      <c r="Q4" t="s">
        <v>101</v>
      </c>
      <c r="R4" t="s">
        <v>96</v>
      </c>
      <c r="S4" t="s">
        <v>106</v>
      </c>
    </row>
    <row r="5" spans="1:19" x14ac:dyDescent="0.25">
      <c r="A5" s="8">
        <v>41643</v>
      </c>
      <c r="B5" s="4" t="s">
        <v>710</v>
      </c>
      <c r="C5" s="4">
        <v>39</v>
      </c>
      <c r="D5" t="str">
        <f t="shared" si="0"/>
        <v>Gigi Pretty</v>
      </c>
      <c r="F5" s="4" t="s">
        <v>102</v>
      </c>
      <c r="G5" s="22">
        <f t="shared" si="1"/>
        <v>1094</v>
      </c>
      <c r="Q5" t="s">
        <v>102</v>
      </c>
      <c r="R5" t="s">
        <v>97</v>
      </c>
      <c r="S5" t="s">
        <v>107</v>
      </c>
    </row>
    <row r="6" spans="1:19" x14ac:dyDescent="0.25">
      <c r="A6" s="8">
        <v>41575</v>
      </c>
      <c r="B6" s="4" t="s">
        <v>712</v>
      </c>
      <c r="C6" s="4">
        <v>53</v>
      </c>
      <c r="D6" t="str">
        <f t="shared" si="0"/>
        <v>Phil Sup</v>
      </c>
      <c r="F6" s="4" t="s">
        <v>103</v>
      </c>
      <c r="G6" s="22">
        <f t="shared" si="1"/>
        <v>1098</v>
      </c>
      <c r="Q6" t="s">
        <v>103</v>
      </c>
      <c r="R6" t="s">
        <v>98</v>
      </c>
      <c r="S6" t="s">
        <v>108</v>
      </c>
    </row>
    <row r="7" spans="1:19" x14ac:dyDescent="0.25">
      <c r="A7" s="8">
        <v>41535</v>
      </c>
      <c r="B7" s="4" t="s">
        <v>716</v>
      </c>
      <c r="C7" s="4">
        <v>31</v>
      </c>
      <c r="D7" t="str">
        <f t="shared" si="0"/>
        <v>Battalion Pretty</v>
      </c>
    </row>
    <row r="8" spans="1:19" x14ac:dyDescent="0.25">
      <c r="A8" s="8">
        <v>41590</v>
      </c>
      <c r="B8" s="4" t="s">
        <v>723</v>
      </c>
      <c r="C8" s="4">
        <v>26</v>
      </c>
      <c r="D8" t="str">
        <f t="shared" si="0"/>
        <v>Gigi Calm</v>
      </c>
    </row>
    <row r="9" spans="1:19" x14ac:dyDescent="0.25">
      <c r="A9" s="8">
        <v>41573</v>
      </c>
      <c r="B9" s="4" t="s">
        <v>101</v>
      </c>
      <c r="C9" s="4">
        <v>25</v>
      </c>
      <c r="D9" t="str">
        <f t="shared" si="0"/>
        <v>Gigi Sup</v>
      </c>
    </row>
    <row r="10" spans="1:19" x14ac:dyDescent="0.25">
      <c r="A10" s="8">
        <v>41580</v>
      </c>
      <c r="B10" s="4" t="s">
        <v>99</v>
      </c>
      <c r="C10" s="4">
        <v>57</v>
      </c>
      <c r="D10" t="str">
        <f t="shared" si="0"/>
        <v>Sioux Rad</v>
      </c>
    </row>
    <row r="11" spans="1:19" x14ac:dyDescent="0.25">
      <c r="A11" s="8">
        <v>41602</v>
      </c>
      <c r="B11" s="4" t="s">
        <v>103</v>
      </c>
      <c r="C11" s="4">
        <v>28</v>
      </c>
      <c r="D11" t="str">
        <f t="shared" si="0"/>
        <v>Gardenia Pretty</v>
      </c>
    </row>
    <row r="12" spans="1:19" x14ac:dyDescent="0.25">
      <c r="A12" s="8">
        <v>41545</v>
      </c>
      <c r="B12" s="4" t="s">
        <v>710</v>
      </c>
      <c r="C12" s="4">
        <v>44</v>
      </c>
      <c r="D12" t="str">
        <f t="shared" si="0"/>
        <v>Gigi Pretty</v>
      </c>
    </row>
    <row r="13" spans="1:19" x14ac:dyDescent="0.25">
      <c r="A13" s="8">
        <v>41565</v>
      </c>
      <c r="B13" s="4" t="s">
        <v>710</v>
      </c>
      <c r="C13" s="4">
        <v>10</v>
      </c>
      <c r="D13" t="str">
        <f t="shared" si="0"/>
        <v>Gigi Pretty</v>
      </c>
    </row>
    <row r="14" spans="1:19" x14ac:dyDescent="0.25">
      <c r="A14" s="8">
        <v>41627</v>
      </c>
      <c r="B14" s="4" t="s">
        <v>103</v>
      </c>
      <c r="C14" s="4">
        <v>24</v>
      </c>
      <c r="D14" t="str">
        <f t="shared" si="0"/>
        <v>Gardenia Pretty</v>
      </c>
    </row>
    <row r="15" spans="1:19" x14ac:dyDescent="0.25">
      <c r="A15" s="8">
        <v>41528</v>
      </c>
      <c r="B15" s="4" t="s">
        <v>725</v>
      </c>
      <c r="C15" s="4">
        <v>34</v>
      </c>
      <c r="D15" t="str">
        <f t="shared" si="0"/>
        <v>Phil Rad</v>
      </c>
    </row>
    <row r="16" spans="1:19" x14ac:dyDescent="0.25">
      <c r="A16" s="8">
        <v>41644</v>
      </c>
      <c r="B16" s="4" t="s">
        <v>714</v>
      </c>
      <c r="C16" s="4">
        <v>28</v>
      </c>
      <c r="D16" t="str">
        <f t="shared" si="0"/>
        <v>Gigi Rad</v>
      </c>
    </row>
    <row r="17" spans="1:4" x14ac:dyDescent="0.25">
      <c r="A17" s="8">
        <v>41539</v>
      </c>
      <c r="B17" s="4" t="s">
        <v>102</v>
      </c>
      <c r="C17" s="4">
        <v>15</v>
      </c>
      <c r="D17" t="str">
        <f t="shared" si="0"/>
        <v>Battalion Calm</v>
      </c>
    </row>
    <row r="18" spans="1:4" x14ac:dyDescent="0.25">
      <c r="A18" s="8">
        <v>41539</v>
      </c>
      <c r="B18" s="4" t="s">
        <v>716</v>
      </c>
      <c r="C18" s="4">
        <v>19</v>
      </c>
      <c r="D18" t="str">
        <f t="shared" si="0"/>
        <v>Battalion Pretty</v>
      </c>
    </row>
    <row r="19" spans="1:4" x14ac:dyDescent="0.25">
      <c r="A19" s="8">
        <v>41513</v>
      </c>
      <c r="B19" s="4" t="s">
        <v>718</v>
      </c>
      <c r="C19" s="4">
        <v>57</v>
      </c>
      <c r="D19" t="str">
        <f t="shared" si="0"/>
        <v>Sioux Cool</v>
      </c>
    </row>
    <row r="20" spans="1:4" x14ac:dyDescent="0.25">
      <c r="A20" s="8">
        <v>41626</v>
      </c>
      <c r="B20" s="4" t="s">
        <v>712</v>
      </c>
      <c r="C20" s="4">
        <v>11</v>
      </c>
      <c r="D20" t="str">
        <f t="shared" si="0"/>
        <v>Phil Sup</v>
      </c>
    </row>
    <row r="21" spans="1:4" x14ac:dyDescent="0.25">
      <c r="A21" s="8">
        <v>41520</v>
      </c>
      <c r="B21" s="4" t="s">
        <v>711</v>
      </c>
      <c r="C21" s="4">
        <v>22</v>
      </c>
      <c r="D21" t="str">
        <f t="shared" si="0"/>
        <v>Sioux Calm</v>
      </c>
    </row>
    <row r="22" spans="1:4" x14ac:dyDescent="0.25">
      <c r="A22" s="8">
        <v>41555</v>
      </c>
      <c r="B22" s="4" t="s">
        <v>717</v>
      </c>
      <c r="C22" s="4">
        <v>56</v>
      </c>
      <c r="D22" t="str">
        <f t="shared" si="0"/>
        <v>Battalion Rad</v>
      </c>
    </row>
    <row r="23" spans="1:4" x14ac:dyDescent="0.25">
      <c r="A23" s="8">
        <v>41623</v>
      </c>
      <c r="B23" s="4" t="s">
        <v>718</v>
      </c>
      <c r="C23" s="4">
        <v>39</v>
      </c>
      <c r="D23" t="str">
        <f t="shared" si="0"/>
        <v>Sioux Cool</v>
      </c>
    </row>
    <row r="24" spans="1:4" x14ac:dyDescent="0.25">
      <c r="A24" s="8">
        <v>41572</v>
      </c>
      <c r="B24" s="4" t="s">
        <v>729</v>
      </c>
      <c r="C24" s="4">
        <v>53</v>
      </c>
      <c r="D24" t="str">
        <f t="shared" si="0"/>
        <v>Gardenia Sup</v>
      </c>
    </row>
    <row r="25" spans="1:4" x14ac:dyDescent="0.25">
      <c r="A25" s="8">
        <v>41565</v>
      </c>
      <c r="B25" s="4" t="s">
        <v>722</v>
      </c>
      <c r="C25" s="4">
        <v>46</v>
      </c>
      <c r="D25" t="str">
        <f t="shared" si="0"/>
        <v>Battalion Sup</v>
      </c>
    </row>
    <row r="26" spans="1:4" x14ac:dyDescent="0.25">
      <c r="A26" s="8">
        <v>41609</v>
      </c>
      <c r="B26" s="4" t="s">
        <v>714</v>
      </c>
      <c r="C26" s="4">
        <v>44</v>
      </c>
      <c r="D26" t="str">
        <f t="shared" si="0"/>
        <v>Gigi Rad</v>
      </c>
    </row>
    <row r="27" spans="1:4" x14ac:dyDescent="0.25">
      <c r="A27" s="8">
        <v>41559</v>
      </c>
      <c r="B27" s="4" t="s">
        <v>718</v>
      </c>
      <c r="C27" s="4">
        <v>54</v>
      </c>
      <c r="D27" t="str">
        <f t="shared" si="0"/>
        <v>Sioux Cool</v>
      </c>
    </row>
    <row r="28" spans="1:4" x14ac:dyDescent="0.25">
      <c r="A28" s="8">
        <v>41576</v>
      </c>
      <c r="B28" s="4" t="s">
        <v>713</v>
      </c>
      <c r="C28" s="4">
        <v>30</v>
      </c>
      <c r="D28" t="str">
        <f t="shared" si="0"/>
        <v>Gardenia Cool</v>
      </c>
    </row>
    <row r="29" spans="1:4" x14ac:dyDescent="0.25">
      <c r="A29" s="8">
        <v>41547</v>
      </c>
      <c r="B29" s="4" t="s">
        <v>710</v>
      </c>
      <c r="C29" s="4">
        <v>33</v>
      </c>
      <c r="D29" t="str">
        <f t="shared" si="0"/>
        <v>Gigi Pretty</v>
      </c>
    </row>
    <row r="30" spans="1:4" x14ac:dyDescent="0.25">
      <c r="A30" s="8">
        <v>41571</v>
      </c>
      <c r="B30" s="4" t="s">
        <v>721</v>
      </c>
      <c r="C30" s="4">
        <v>13</v>
      </c>
      <c r="D30" t="str">
        <f t="shared" si="0"/>
        <v>Battalion Cool</v>
      </c>
    </row>
    <row r="31" spans="1:4" x14ac:dyDescent="0.25">
      <c r="A31" s="8">
        <v>41647</v>
      </c>
      <c r="B31" s="4" t="s">
        <v>711</v>
      </c>
      <c r="C31" s="4">
        <v>16</v>
      </c>
      <c r="D31" t="str">
        <f t="shared" si="0"/>
        <v>Sioux Calm</v>
      </c>
    </row>
    <row r="32" spans="1:4" x14ac:dyDescent="0.25">
      <c r="A32" s="8">
        <v>41627</v>
      </c>
      <c r="B32" s="4" t="s">
        <v>713</v>
      </c>
      <c r="C32" s="4">
        <v>46</v>
      </c>
      <c r="D32" t="str">
        <f t="shared" si="0"/>
        <v>Gardenia Cool</v>
      </c>
    </row>
    <row r="33" spans="1:4" x14ac:dyDescent="0.25">
      <c r="A33" s="8">
        <v>41641</v>
      </c>
      <c r="B33" s="4" t="s">
        <v>727</v>
      </c>
      <c r="C33" s="4">
        <v>10</v>
      </c>
      <c r="D33" t="str">
        <f t="shared" si="0"/>
        <v>Phil Calm</v>
      </c>
    </row>
    <row r="34" spans="1:4" x14ac:dyDescent="0.25">
      <c r="A34" s="8">
        <v>41591</v>
      </c>
      <c r="B34" s="4" t="s">
        <v>724</v>
      </c>
      <c r="C34" s="4">
        <v>56</v>
      </c>
      <c r="D34" t="str">
        <f t="shared" si="0"/>
        <v>Phil Pretty</v>
      </c>
    </row>
    <row r="35" spans="1:4" x14ac:dyDescent="0.25">
      <c r="A35" s="8">
        <v>41610</v>
      </c>
      <c r="B35" s="4" t="s">
        <v>715</v>
      </c>
      <c r="C35" s="4">
        <v>11</v>
      </c>
      <c r="D35" t="str">
        <f t="shared" si="0"/>
        <v>Gardenia Rad</v>
      </c>
    </row>
    <row r="36" spans="1:4" x14ac:dyDescent="0.25">
      <c r="A36" s="8">
        <v>41506</v>
      </c>
      <c r="B36" s="4" t="s">
        <v>716</v>
      </c>
      <c r="C36" s="4">
        <v>25</v>
      </c>
      <c r="D36" t="str">
        <f t="shared" si="0"/>
        <v>Battalion Pretty</v>
      </c>
    </row>
    <row r="37" spans="1:4" x14ac:dyDescent="0.25">
      <c r="A37" s="8">
        <v>41610</v>
      </c>
      <c r="B37" s="4" t="s">
        <v>723</v>
      </c>
      <c r="C37" s="4">
        <v>22</v>
      </c>
      <c r="D37" t="str">
        <f t="shared" si="0"/>
        <v>Gigi Calm</v>
      </c>
    </row>
    <row r="38" spans="1:4" x14ac:dyDescent="0.25">
      <c r="A38" s="8">
        <v>41570</v>
      </c>
      <c r="B38" s="4" t="s">
        <v>728</v>
      </c>
      <c r="C38" s="4">
        <v>14</v>
      </c>
      <c r="D38" t="str">
        <f t="shared" si="0"/>
        <v>Gigi Cool</v>
      </c>
    </row>
    <row r="39" spans="1:4" x14ac:dyDescent="0.25">
      <c r="A39" s="8">
        <v>41611</v>
      </c>
      <c r="B39" s="4" t="s">
        <v>727</v>
      </c>
      <c r="C39" s="4">
        <v>19</v>
      </c>
      <c r="D39" t="str">
        <f t="shared" si="0"/>
        <v>Phil Calm</v>
      </c>
    </row>
    <row r="40" spans="1:4" x14ac:dyDescent="0.25">
      <c r="A40" s="8">
        <v>41587</v>
      </c>
      <c r="B40" s="4" t="s">
        <v>728</v>
      </c>
      <c r="C40" s="4">
        <v>53</v>
      </c>
      <c r="D40" t="str">
        <f t="shared" si="0"/>
        <v>Gigi Cool</v>
      </c>
    </row>
    <row r="41" spans="1:4" x14ac:dyDescent="0.25">
      <c r="A41" s="8">
        <v>41613</v>
      </c>
      <c r="B41" s="4" t="s">
        <v>723</v>
      </c>
      <c r="C41" s="4">
        <v>37</v>
      </c>
      <c r="D41" t="str">
        <f t="shared" si="0"/>
        <v>Gigi Calm</v>
      </c>
    </row>
    <row r="42" spans="1:4" x14ac:dyDescent="0.25">
      <c r="A42" s="8">
        <v>41622</v>
      </c>
      <c r="B42" s="4" t="s">
        <v>724</v>
      </c>
      <c r="C42" s="4">
        <v>50</v>
      </c>
      <c r="D42" t="str">
        <f t="shared" si="0"/>
        <v>Phil Pretty</v>
      </c>
    </row>
    <row r="43" spans="1:4" x14ac:dyDescent="0.25">
      <c r="A43" s="8">
        <v>41544</v>
      </c>
      <c r="B43" s="4" t="s">
        <v>726</v>
      </c>
      <c r="C43" s="4">
        <v>36</v>
      </c>
      <c r="D43" t="str">
        <f t="shared" si="0"/>
        <v>Sioux Sup</v>
      </c>
    </row>
    <row r="44" spans="1:4" x14ac:dyDescent="0.25">
      <c r="A44" s="8">
        <v>41569</v>
      </c>
      <c r="B44" s="4" t="s">
        <v>712</v>
      </c>
      <c r="C44" s="4">
        <v>36</v>
      </c>
      <c r="D44" t="str">
        <f t="shared" si="0"/>
        <v>Phil Sup</v>
      </c>
    </row>
    <row r="45" spans="1:4" x14ac:dyDescent="0.25">
      <c r="A45" s="8">
        <v>41572</v>
      </c>
      <c r="B45" s="4" t="s">
        <v>713</v>
      </c>
      <c r="C45" s="4">
        <v>17</v>
      </c>
      <c r="D45" t="str">
        <f t="shared" si="0"/>
        <v>Gardenia Cool</v>
      </c>
    </row>
    <row r="46" spans="1:4" x14ac:dyDescent="0.25">
      <c r="A46" s="8">
        <v>41610</v>
      </c>
      <c r="B46" s="4" t="s">
        <v>714</v>
      </c>
      <c r="C46" s="4">
        <v>42</v>
      </c>
      <c r="D46" t="str">
        <f t="shared" si="0"/>
        <v>Gigi Rad</v>
      </c>
    </row>
    <row r="47" spans="1:4" x14ac:dyDescent="0.25">
      <c r="A47" s="8">
        <v>41533</v>
      </c>
      <c r="B47" s="4" t="s">
        <v>723</v>
      </c>
      <c r="C47" s="4">
        <v>25</v>
      </c>
      <c r="D47" t="str">
        <f t="shared" si="0"/>
        <v>Gigi Calm</v>
      </c>
    </row>
    <row r="48" spans="1:4" x14ac:dyDescent="0.25">
      <c r="A48" s="8">
        <v>41538</v>
      </c>
      <c r="B48" s="4" t="s">
        <v>103</v>
      </c>
      <c r="C48" s="4">
        <v>58</v>
      </c>
      <c r="D48" t="str">
        <f t="shared" si="0"/>
        <v>Gardenia Pretty</v>
      </c>
    </row>
    <row r="49" spans="1:4" x14ac:dyDescent="0.25">
      <c r="A49" s="8">
        <v>41599</v>
      </c>
      <c r="B49" s="4" t="s">
        <v>103</v>
      </c>
      <c r="C49" s="4">
        <v>57</v>
      </c>
      <c r="D49" t="str">
        <f t="shared" si="0"/>
        <v>Gardenia Pretty</v>
      </c>
    </row>
    <row r="50" spans="1:4" x14ac:dyDescent="0.25">
      <c r="A50" s="8">
        <v>41540</v>
      </c>
      <c r="B50" s="4" t="s">
        <v>102</v>
      </c>
      <c r="C50" s="4">
        <v>42</v>
      </c>
      <c r="D50" t="str">
        <f t="shared" si="0"/>
        <v>Battalion Calm</v>
      </c>
    </row>
    <row r="51" spans="1:4" x14ac:dyDescent="0.25">
      <c r="A51" s="8">
        <v>41642</v>
      </c>
      <c r="B51" s="4" t="s">
        <v>722</v>
      </c>
      <c r="C51" s="4">
        <v>50</v>
      </c>
      <c r="D51" t="str">
        <f t="shared" si="0"/>
        <v>Battalion Sup</v>
      </c>
    </row>
    <row r="52" spans="1:4" x14ac:dyDescent="0.25">
      <c r="A52" s="8">
        <v>41548</v>
      </c>
      <c r="B52" s="4" t="s">
        <v>725</v>
      </c>
      <c r="C52" s="4">
        <v>25</v>
      </c>
      <c r="D52" t="str">
        <f t="shared" si="0"/>
        <v>Phil Rad</v>
      </c>
    </row>
    <row r="53" spans="1:4" x14ac:dyDescent="0.25">
      <c r="A53" s="8">
        <v>41594</v>
      </c>
      <c r="B53" s="4" t="s">
        <v>723</v>
      </c>
      <c r="C53" s="4">
        <v>28</v>
      </c>
      <c r="D53" t="str">
        <f t="shared" si="0"/>
        <v>Gigi Calm</v>
      </c>
    </row>
    <row r="54" spans="1:4" x14ac:dyDescent="0.25">
      <c r="A54" s="8">
        <v>41545</v>
      </c>
      <c r="B54" s="4" t="s">
        <v>729</v>
      </c>
      <c r="C54" s="4">
        <v>33</v>
      </c>
      <c r="D54" t="str">
        <f t="shared" si="0"/>
        <v>Gardenia Sup</v>
      </c>
    </row>
    <row r="55" spans="1:4" x14ac:dyDescent="0.25">
      <c r="A55" s="8">
        <v>41584</v>
      </c>
      <c r="B55" s="4" t="s">
        <v>100</v>
      </c>
      <c r="C55" s="4">
        <v>11</v>
      </c>
      <c r="D55" t="str">
        <f t="shared" si="0"/>
        <v>Phil Cool</v>
      </c>
    </row>
    <row r="56" spans="1:4" x14ac:dyDescent="0.25">
      <c r="A56" s="8">
        <v>41548</v>
      </c>
      <c r="B56" s="4" t="s">
        <v>713</v>
      </c>
      <c r="C56" s="4">
        <v>49</v>
      </c>
      <c r="D56" t="str">
        <f t="shared" si="0"/>
        <v>Gardenia Cool</v>
      </c>
    </row>
    <row r="57" spans="1:4" x14ac:dyDescent="0.25">
      <c r="A57" s="8">
        <v>41503</v>
      </c>
      <c r="B57" s="4" t="s">
        <v>726</v>
      </c>
      <c r="C57" s="4">
        <v>58</v>
      </c>
      <c r="D57" t="str">
        <f t="shared" si="0"/>
        <v>Sioux Sup</v>
      </c>
    </row>
    <row r="58" spans="1:4" x14ac:dyDescent="0.25">
      <c r="A58" s="8">
        <v>41537</v>
      </c>
      <c r="B58" s="4" t="s">
        <v>100</v>
      </c>
      <c r="C58" s="4">
        <v>52</v>
      </c>
      <c r="D58" t="str">
        <f t="shared" si="0"/>
        <v>Phil Cool</v>
      </c>
    </row>
    <row r="59" spans="1:4" x14ac:dyDescent="0.25">
      <c r="A59" s="8">
        <v>41542</v>
      </c>
      <c r="B59" s="4" t="s">
        <v>729</v>
      </c>
      <c r="C59" s="4">
        <v>30</v>
      </c>
      <c r="D59" t="str">
        <f t="shared" si="0"/>
        <v>Gardenia Sup</v>
      </c>
    </row>
    <row r="60" spans="1:4" x14ac:dyDescent="0.25">
      <c r="A60" s="8">
        <v>41621</v>
      </c>
      <c r="B60" s="4" t="s">
        <v>719</v>
      </c>
      <c r="C60" s="4">
        <v>16</v>
      </c>
      <c r="D60" t="str">
        <f t="shared" si="0"/>
        <v>Sioux Pretty</v>
      </c>
    </row>
    <row r="61" spans="1:4" x14ac:dyDescent="0.25">
      <c r="A61" s="8">
        <v>41633</v>
      </c>
      <c r="B61" s="4" t="s">
        <v>720</v>
      </c>
      <c r="C61" s="4">
        <v>54</v>
      </c>
      <c r="D61" t="str">
        <f t="shared" si="0"/>
        <v>Gardenia Calm</v>
      </c>
    </row>
    <row r="62" spans="1:4" x14ac:dyDescent="0.25">
      <c r="A62" s="8">
        <v>41577</v>
      </c>
      <c r="B62" s="4" t="s">
        <v>727</v>
      </c>
      <c r="C62" s="4">
        <v>34</v>
      </c>
      <c r="D62" t="str">
        <f t="shared" si="0"/>
        <v>Phil Calm</v>
      </c>
    </row>
    <row r="63" spans="1:4" x14ac:dyDescent="0.25">
      <c r="A63" s="8">
        <v>41611</v>
      </c>
      <c r="B63" s="4" t="s">
        <v>722</v>
      </c>
      <c r="C63" s="4">
        <v>56</v>
      </c>
      <c r="D63" t="str">
        <f t="shared" si="0"/>
        <v>Battalion Sup</v>
      </c>
    </row>
    <row r="64" spans="1:4" x14ac:dyDescent="0.25">
      <c r="A64" s="8">
        <v>41535</v>
      </c>
      <c r="B64" s="4" t="s">
        <v>99</v>
      </c>
      <c r="C64" s="4">
        <v>33</v>
      </c>
      <c r="D64" t="str">
        <f t="shared" si="0"/>
        <v>Sioux Rad</v>
      </c>
    </row>
    <row r="65" spans="1:4" x14ac:dyDescent="0.25">
      <c r="A65" s="8">
        <v>41520</v>
      </c>
      <c r="B65" s="4" t="s">
        <v>728</v>
      </c>
      <c r="C65" s="4">
        <v>59</v>
      </c>
      <c r="D65" t="str">
        <f t="shared" si="0"/>
        <v>Gigi Cool</v>
      </c>
    </row>
    <row r="66" spans="1:4" x14ac:dyDescent="0.25">
      <c r="A66" s="8">
        <v>41638</v>
      </c>
      <c r="B66" s="4" t="s">
        <v>720</v>
      </c>
      <c r="C66" s="4">
        <v>37</v>
      </c>
      <c r="D66" t="str">
        <f t="shared" si="0"/>
        <v>Gardenia Calm</v>
      </c>
    </row>
    <row r="67" spans="1:4" x14ac:dyDescent="0.25">
      <c r="A67" s="8">
        <v>41550</v>
      </c>
      <c r="B67" s="4" t="s">
        <v>715</v>
      </c>
      <c r="C67" s="4">
        <v>46</v>
      </c>
      <c r="D67" t="str">
        <f t="shared" ref="D67:D130" si="2">TRIM(B67)</f>
        <v>Gardenia Rad</v>
      </c>
    </row>
    <row r="68" spans="1:4" x14ac:dyDescent="0.25">
      <c r="A68" s="8">
        <v>41584</v>
      </c>
      <c r="B68" s="4" t="s">
        <v>714</v>
      </c>
      <c r="C68" s="4">
        <v>21</v>
      </c>
      <c r="D68" t="str">
        <f t="shared" si="2"/>
        <v>Gigi Rad</v>
      </c>
    </row>
    <row r="69" spans="1:4" x14ac:dyDescent="0.25">
      <c r="A69" s="8">
        <v>41524</v>
      </c>
      <c r="B69" s="4" t="s">
        <v>726</v>
      </c>
      <c r="C69" s="4">
        <v>38</v>
      </c>
      <c r="D69" t="str">
        <f t="shared" si="2"/>
        <v>Sioux Sup</v>
      </c>
    </row>
    <row r="70" spans="1:4" x14ac:dyDescent="0.25">
      <c r="A70" s="8">
        <v>41548</v>
      </c>
      <c r="B70" s="4" t="s">
        <v>99</v>
      </c>
      <c r="C70" s="4">
        <v>16</v>
      </c>
      <c r="D70" t="str">
        <f t="shared" si="2"/>
        <v>Sioux Rad</v>
      </c>
    </row>
    <row r="71" spans="1:4" x14ac:dyDescent="0.25">
      <c r="A71" s="8">
        <v>41535</v>
      </c>
      <c r="B71" s="4" t="s">
        <v>99</v>
      </c>
      <c r="C71" s="4">
        <v>54</v>
      </c>
      <c r="D71" t="str">
        <f t="shared" si="2"/>
        <v>Sioux Rad</v>
      </c>
    </row>
    <row r="72" spans="1:4" x14ac:dyDescent="0.25">
      <c r="A72" s="8">
        <v>41638</v>
      </c>
      <c r="B72" s="4" t="s">
        <v>102</v>
      </c>
      <c r="C72" s="4">
        <v>37</v>
      </c>
      <c r="D72" t="str">
        <f t="shared" si="2"/>
        <v>Battalion Calm</v>
      </c>
    </row>
    <row r="73" spans="1:4" x14ac:dyDescent="0.25">
      <c r="A73" s="8">
        <v>41596</v>
      </c>
      <c r="B73" s="4" t="s">
        <v>720</v>
      </c>
      <c r="C73" s="4">
        <v>16</v>
      </c>
      <c r="D73" t="str">
        <f t="shared" si="2"/>
        <v>Gardenia Calm</v>
      </c>
    </row>
    <row r="74" spans="1:4" x14ac:dyDescent="0.25">
      <c r="A74" s="8">
        <v>41559</v>
      </c>
      <c r="B74" s="4" t="s">
        <v>102</v>
      </c>
      <c r="C74" s="4">
        <v>42</v>
      </c>
      <c r="D74" t="str">
        <f t="shared" si="2"/>
        <v>Battalion Calm</v>
      </c>
    </row>
    <row r="75" spans="1:4" x14ac:dyDescent="0.25">
      <c r="A75" s="8">
        <v>41611</v>
      </c>
      <c r="B75" s="4" t="s">
        <v>711</v>
      </c>
      <c r="C75" s="4">
        <v>44</v>
      </c>
      <c r="D75" t="str">
        <f t="shared" si="2"/>
        <v>Sioux Calm</v>
      </c>
    </row>
    <row r="76" spans="1:4" x14ac:dyDescent="0.25">
      <c r="A76" s="8">
        <v>41510</v>
      </c>
      <c r="B76" s="4" t="s">
        <v>720</v>
      </c>
      <c r="C76" s="4">
        <v>13</v>
      </c>
      <c r="D76" t="str">
        <f t="shared" si="2"/>
        <v>Gardenia Calm</v>
      </c>
    </row>
    <row r="77" spans="1:4" x14ac:dyDescent="0.25">
      <c r="A77" s="8">
        <v>41548</v>
      </c>
      <c r="B77" s="4" t="s">
        <v>713</v>
      </c>
      <c r="C77" s="4">
        <v>24</v>
      </c>
      <c r="D77" t="str">
        <f t="shared" si="2"/>
        <v>Gardenia Cool</v>
      </c>
    </row>
    <row r="78" spans="1:4" x14ac:dyDescent="0.25">
      <c r="A78" s="8">
        <v>41581</v>
      </c>
      <c r="B78" s="4" t="s">
        <v>713</v>
      </c>
      <c r="C78" s="4">
        <v>14</v>
      </c>
      <c r="D78" t="str">
        <f t="shared" si="2"/>
        <v>Gardenia Cool</v>
      </c>
    </row>
    <row r="79" spans="1:4" x14ac:dyDescent="0.25">
      <c r="A79" s="8">
        <v>41527</v>
      </c>
      <c r="B79" s="4" t="s">
        <v>725</v>
      </c>
      <c r="C79" s="4">
        <v>41</v>
      </c>
      <c r="D79" t="str">
        <f t="shared" si="2"/>
        <v>Phil Rad</v>
      </c>
    </row>
    <row r="80" spans="1:4" x14ac:dyDescent="0.25">
      <c r="A80" s="8">
        <v>41532</v>
      </c>
      <c r="B80" s="4" t="s">
        <v>715</v>
      </c>
      <c r="C80" s="4">
        <v>45</v>
      </c>
      <c r="D80" t="str">
        <f t="shared" si="2"/>
        <v>Gardenia Rad</v>
      </c>
    </row>
    <row r="81" spans="1:4" x14ac:dyDescent="0.25">
      <c r="A81" s="8">
        <v>41605</v>
      </c>
      <c r="B81" s="4" t="s">
        <v>725</v>
      </c>
      <c r="C81" s="4">
        <v>45</v>
      </c>
      <c r="D81" t="str">
        <f t="shared" si="2"/>
        <v>Phil Rad</v>
      </c>
    </row>
    <row r="82" spans="1:4" x14ac:dyDescent="0.25">
      <c r="A82" s="8">
        <v>41605</v>
      </c>
      <c r="B82" s="4" t="s">
        <v>716</v>
      </c>
      <c r="C82" s="4">
        <v>30</v>
      </c>
      <c r="D82" t="str">
        <f t="shared" si="2"/>
        <v>Battalion Pretty</v>
      </c>
    </row>
    <row r="83" spans="1:4" x14ac:dyDescent="0.25">
      <c r="A83" s="8">
        <v>41567</v>
      </c>
      <c r="B83" s="4" t="s">
        <v>714</v>
      </c>
      <c r="C83" s="4">
        <v>31</v>
      </c>
      <c r="D83" t="str">
        <f t="shared" si="2"/>
        <v>Gigi Rad</v>
      </c>
    </row>
    <row r="84" spans="1:4" x14ac:dyDescent="0.25">
      <c r="A84" s="8">
        <v>41563</v>
      </c>
      <c r="B84" s="4" t="s">
        <v>100</v>
      </c>
      <c r="C84" s="4">
        <v>13</v>
      </c>
      <c r="D84" t="str">
        <f t="shared" si="2"/>
        <v>Phil Cool</v>
      </c>
    </row>
    <row r="85" spans="1:4" x14ac:dyDescent="0.25">
      <c r="A85" s="8">
        <v>41614</v>
      </c>
      <c r="B85" s="4" t="s">
        <v>103</v>
      </c>
      <c r="C85" s="4">
        <v>21</v>
      </c>
      <c r="D85" t="str">
        <f t="shared" si="2"/>
        <v>Gardenia Pretty</v>
      </c>
    </row>
    <row r="86" spans="1:4" x14ac:dyDescent="0.25">
      <c r="A86" s="8">
        <v>41584</v>
      </c>
      <c r="B86" s="4" t="s">
        <v>729</v>
      </c>
      <c r="C86" s="4">
        <v>53</v>
      </c>
      <c r="D86" t="str">
        <f t="shared" si="2"/>
        <v>Gardenia Sup</v>
      </c>
    </row>
    <row r="87" spans="1:4" x14ac:dyDescent="0.25">
      <c r="A87" s="8">
        <v>41511</v>
      </c>
      <c r="B87" s="4" t="s">
        <v>101</v>
      </c>
      <c r="C87" s="4">
        <v>30</v>
      </c>
      <c r="D87" t="str">
        <f t="shared" si="2"/>
        <v>Gigi Sup</v>
      </c>
    </row>
    <row r="88" spans="1:4" x14ac:dyDescent="0.25">
      <c r="A88" s="8">
        <v>41541</v>
      </c>
      <c r="B88" s="4" t="s">
        <v>723</v>
      </c>
      <c r="C88" s="4">
        <v>24</v>
      </c>
      <c r="D88" t="str">
        <f t="shared" si="2"/>
        <v>Gigi Calm</v>
      </c>
    </row>
    <row r="89" spans="1:4" x14ac:dyDescent="0.25">
      <c r="A89" s="8">
        <v>41585</v>
      </c>
      <c r="B89" s="4" t="s">
        <v>719</v>
      </c>
      <c r="C89" s="4">
        <v>15</v>
      </c>
      <c r="D89" t="str">
        <f t="shared" si="2"/>
        <v>Sioux Pretty</v>
      </c>
    </row>
    <row r="90" spans="1:4" x14ac:dyDescent="0.25">
      <c r="A90" s="8">
        <v>41647</v>
      </c>
      <c r="B90" s="4" t="s">
        <v>101</v>
      </c>
      <c r="C90" s="4">
        <v>56</v>
      </c>
      <c r="D90" t="str">
        <f t="shared" si="2"/>
        <v>Gigi Sup</v>
      </c>
    </row>
    <row r="91" spans="1:4" x14ac:dyDescent="0.25">
      <c r="A91" s="8">
        <v>41529</v>
      </c>
      <c r="B91" s="4" t="s">
        <v>718</v>
      </c>
      <c r="C91" s="4">
        <v>25</v>
      </c>
      <c r="D91" t="str">
        <f t="shared" si="2"/>
        <v>Sioux Cool</v>
      </c>
    </row>
    <row r="92" spans="1:4" x14ac:dyDescent="0.25">
      <c r="A92" s="8">
        <v>41621</v>
      </c>
      <c r="B92" s="4" t="s">
        <v>725</v>
      </c>
      <c r="C92" s="4">
        <v>19</v>
      </c>
      <c r="D92" t="str">
        <f t="shared" si="2"/>
        <v>Phil Rad</v>
      </c>
    </row>
    <row r="93" spans="1:4" x14ac:dyDescent="0.25">
      <c r="A93" s="8">
        <v>41622</v>
      </c>
      <c r="B93" s="4" t="s">
        <v>714</v>
      </c>
      <c r="C93" s="4">
        <v>22</v>
      </c>
      <c r="D93" t="str">
        <f t="shared" si="2"/>
        <v>Gigi Rad</v>
      </c>
    </row>
    <row r="94" spans="1:4" x14ac:dyDescent="0.25">
      <c r="A94" s="8">
        <v>41554</v>
      </c>
      <c r="B94" s="4" t="s">
        <v>715</v>
      </c>
      <c r="C94" s="4">
        <v>19</v>
      </c>
      <c r="D94" t="str">
        <f t="shared" si="2"/>
        <v>Gardenia Rad</v>
      </c>
    </row>
    <row r="95" spans="1:4" x14ac:dyDescent="0.25">
      <c r="A95" s="8">
        <v>41558</v>
      </c>
      <c r="B95" s="4" t="s">
        <v>727</v>
      </c>
      <c r="C95" s="4">
        <v>57</v>
      </c>
      <c r="D95" t="str">
        <f t="shared" si="2"/>
        <v>Phil Calm</v>
      </c>
    </row>
    <row r="96" spans="1:4" x14ac:dyDescent="0.25">
      <c r="A96" s="8">
        <v>41516</v>
      </c>
      <c r="B96" s="4" t="s">
        <v>715</v>
      </c>
      <c r="C96" s="4">
        <v>23</v>
      </c>
      <c r="D96" t="str">
        <f t="shared" si="2"/>
        <v>Gardenia Rad</v>
      </c>
    </row>
    <row r="97" spans="1:4" x14ac:dyDescent="0.25">
      <c r="A97" s="8">
        <v>41521</v>
      </c>
      <c r="B97" s="4" t="s">
        <v>719</v>
      </c>
      <c r="C97" s="4">
        <v>14</v>
      </c>
      <c r="D97" t="str">
        <f t="shared" si="2"/>
        <v>Sioux Pretty</v>
      </c>
    </row>
    <row r="98" spans="1:4" x14ac:dyDescent="0.25">
      <c r="A98" s="8">
        <v>41514</v>
      </c>
      <c r="B98" s="4" t="s">
        <v>710</v>
      </c>
      <c r="C98" s="4">
        <v>52</v>
      </c>
      <c r="D98" t="str">
        <f t="shared" si="2"/>
        <v>Gigi Pretty</v>
      </c>
    </row>
    <row r="99" spans="1:4" x14ac:dyDescent="0.25">
      <c r="A99" s="8">
        <v>41592</v>
      </c>
      <c r="B99" s="4" t="s">
        <v>722</v>
      </c>
      <c r="C99" s="4">
        <v>49</v>
      </c>
      <c r="D99" t="str">
        <f t="shared" si="2"/>
        <v>Battalion Sup</v>
      </c>
    </row>
    <row r="100" spans="1:4" x14ac:dyDescent="0.25">
      <c r="A100" s="8">
        <v>41626</v>
      </c>
      <c r="B100" s="4" t="s">
        <v>710</v>
      </c>
      <c r="C100" s="4">
        <v>27</v>
      </c>
      <c r="D100" t="str">
        <f t="shared" si="2"/>
        <v>Gigi Pretty</v>
      </c>
    </row>
    <row r="101" spans="1:4" x14ac:dyDescent="0.25">
      <c r="A101" s="8">
        <v>41625</v>
      </c>
      <c r="B101" s="4" t="s">
        <v>718</v>
      </c>
      <c r="C101" s="4">
        <v>21</v>
      </c>
      <c r="D101" t="str">
        <f t="shared" si="2"/>
        <v>Sioux Cool</v>
      </c>
    </row>
    <row r="102" spans="1:4" x14ac:dyDescent="0.25">
      <c r="A102" s="8">
        <v>41574</v>
      </c>
      <c r="B102" s="4" t="s">
        <v>713</v>
      </c>
      <c r="C102" s="4">
        <v>35</v>
      </c>
      <c r="D102" t="str">
        <f t="shared" si="2"/>
        <v>Gardenia Cool</v>
      </c>
    </row>
    <row r="103" spans="1:4" x14ac:dyDescent="0.25">
      <c r="A103" s="8">
        <v>41588</v>
      </c>
      <c r="B103" s="4" t="s">
        <v>711</v>
      </c>
      <c r="C103" s="4">
        <v>33</v>
      </c>
      <c r="D103" t="str">
        <f t="shared" si="2"/>
        <v>Sioux Calm</v>
      </c>
    </row>
    <row r="104" spans="1:4" x14ac:dyDescent="0.25">
      <c r="A104" s="8">
        <v>41585</v>
      </c>
      <c r="B104" s="4" t="s">
        <v>714</v>
      </c>
      <c r="C104" s="4">
        <v>23</v>
      </c>
      <c r="D104" t="str">
        <f t="shared" si="2"/>
        <v>Gigi Rad</v>
      </c>
    </row>
    <row r="105" spans="1:4" x14ac:dyDescent="0.25">
      <c r="A105" s="8">
        <v>41509</v>
      </c>
      <c r="B105" s="4" t="s">
        <v>713</v>
      </c>
      <c r="C105" s="4">
        <v>35</v>
      </c>
      <c r="D105" t="str">
        <f t="shared" si="2"/>
        <v>Gardenia Cool</v>
      </c>
    </row>
    <row r="106" spans="1:4" x14ac:dyDescent="0.25">
      <c r="A106" s="8">
        <v>41615</v>
      </c>
      <c r="B106" s="4" t="s">
        <v>710</v>
      </c>
      <c r="C106" s="4">
        <v>12</v>
      </c>
      <c r="D106" t="str">
        <f t="shared" si="2"/>
        <v>Gigi Pretty</v>
      </c>
    </row>
    <row r="107" spans="1:4" x14ac:dyDescent="0.25">
      <c r="A107" s="8">
        <v>41510</v>
      </c>
      <c r="B107" s="4" t="s">
        <v>714</v>
      </c>
      <c r="C107" s="4">
        <v>31</v>
      </c>
      <c r="D107" t="str">
        <f t="shared" si="2"/>
        <v>Gigi Rad</v>
      </c>
    </row>
    <row r="108" spans="1:4" x14ac:dyDescent="0.25">
      <c r="A108" s="8">
        <v>41534</v>
      </c>
      <c r="B108" s="4" t="s">
        <v>101</v>
      </c>
      <c r="C108" s="4">
        <v>23</v>
      </c>
      <c r="D108" t="str">
        <f t="shared" si="2"/>
        <v>Gigi Sup</v>
      </c>
    </row>
    <row r="109" spans="1:4" x14ac:dyDescent="0.25">
      <c r="A109" s="8">
        <v>41634</v>
      </c>
      <c r="B109" s="4" t="s">
        <v>102</v>
      </c>
      <c r="C109" s="4">
        <v>57</v>
      </c>
      <c r="D109" t="str">
        <f t="shared" si="2"/>
        <v>Battalion Calm</v>
      </c>
    </row>
    <row r="110" spans="1:4" x14ac:dyDescent="0.25">
      <c r="A110" s="8">
        <v>41618</v>
      </c>
      <c r="B110" s="4" t="s">
        <v>722</v>
      </c>
      <c r="C110" s="4">
        <v>50</v>
      </c>
      <c r="D110" t="str">
        <f t="shared" si="2"/>
        <v>Battalion Sup</v>
      </c>
    </row>
    <row r="111" spans="1:4" x14ac:dyDescent="0.25">
      <c r="A111" s="8">
        <v>41649</v>
      </c>
      <c r="B111" s="4" t="s">
        <v>723</v>
      </c>
      <c r="C111" s="4">
        <v>58</v>
      </c>
      <c r="D111" t="str">
        <f t="shared" si="2"/>
        <v>Gigi Calm</v>
      </c>
    </row>
    <row r="112" spans="1:4" x14ac:dyDescent="0.25">
      <c r="A112" s="8">
        <v>41616</v>
      </c>
      <c r="B112" s="4" t="s">
        <v>102</v>
      </c>
      <c r="C112" s="4">
        <v>30</v>
      </c>
      <c r="D112" t="str">
        <f t="shared" si="2"/>
        <v>Battalion Calm</v>
      </c>
    </row>
    <row r="113" spans="1:4" x14ac:dyDescent="0.25">
      <c r="A113" s="8">
        <v>41578</v>
      </c>
      <c r="B113" s="4" t="s">
        <v>710</v>
      </c>
      <c r="C113" s="4">
        <v>15</v>
      </c>
      <c r="D113" t="str">
        <f t="shared" si="2"/>
        <v>Gigi Pretty</v>
      </c>
    </row>
    <row r="114" spans="1:4" x14ac:dyDescent="0.25">
      <c r="A114" s="8">
        <v>41632</v>
      </c>
      <c r="B114" s="4" t="s">
        <v>720</v>
      </c>
      <c r="C114" s="4">
        <v>12</v>
      </c>
      <c r="D114" t="str">
        <f t="shared" si="2"/>
        <v>Gardenia Calm</v>
      </c>
    </row>
    <row r="115" spans="1:4" x14ac:dyDescent="0.25">
      <c r="A115" s="8">
        <v>41632</v>
      </c>
      <c r="B115" s="4" t="s">
        <v>102</v>
      </c>
      <c r="C115" s="4">
        <v>22</v>
      </c>
      <c r="D115" t="str">
        <f t="shared" si="2"/>
        <v>Battalion Calm</v>
      </c>
    </row>
    <row r="116" spans="1:4" x14ac:dyDescent="0.25">
      <c r="A116" s="8">
        <v>41537</v>
      </c>
      <c r="B116" s="4" t="s">
        <v>101</v>
      </c>
      <c r="C116" s="4">
        <v>26</v>
      </c>
      <c r="D116" t="str">
        <f t="shared" si="2"/>
        <v>Gigi Sup</v>
      </c>
    </row>
    <row r="117" spans="1:4" x14ac:dyDescent="0.25">
      <c r="A117" s="8">
        <v>41558</v>
      </c>
      <c r="B117" s="4" t="s">
        <v>727</v>
      </c>
      <c r="C117" s="4">
        <v>27</v>
      </c>
      <c r="D117" t="str">
        <f t="shared" si="2"/>
        <v>Phil Calm</v>
      </c>
    </row>
    <row r="118" spans="1:4" x14ac:dyDescent="0.25">
      <c r="A118" s="8">
        <v>41504</v>
      </c>
      <c r="B118" s="4" t="s">
        <v>713</v>
      </c>
      <c r="C118" s="4">
        <v>50</v>
      </c>
      <c r="D118" t="str">
        <f t="shared" si="2"/>
        <v>Gardenia Cool</v>
      </c>
    </row>
    <row r="119" spans="1:4" x14ac:dyDescent="0.25">
      <c r="A119" s="8">
        <v>41643</v>
      </c>
      <c r="B119" s="4" t="s">
        <v>727</v>
      </c>
      <c r="C119" s="4">
        <v>37</v>
      </c>
      <c r="D119" t="str">
        <f t="shared" si="2"/>
        <v>Phil Calm</v>
      </c>
    </row>
    <row r="120" spans="1:4" x14ac:dyDescent="0.25">
      <c r="A120" s="8">
        <v>41601</v>
      </c>
      <c r="B120" s="4" t="s">
        <v>713</v>
      </c>
      <c r="C120" s="4">
        <v>44</v>
      </c>
      <c r="D120" t="str">
        <f t="shared" si="2"/>
        <v>Gardenia Cool</v>
      </c>
    </row>
    <row r="121" spans="1:4" x14ac:dyDescent="0.25">
      <c r="A121" s="8">
        <v>41566</v>
      </c>
      <c r="B121" s="4" t="s">
        <v>720</v>
      </c>
      <c r="C121" s="4">
        <v>57</v>
      </c>
      <c r="D121" t="str">
        <f t="shared" si="2"/>
        <v>Gardenia Calm</v>
      </c>
    </row>
    <row r="122" spans="1:4" x14ac:dyDescent="0.25">
      <c r="A122" s="8">
        <v>41630</v>
      </c>
      <c r="B122" s="4" t="s">
        <v>723</v>
      </c>
      <c r="C122" s="4">
        <v>19</v>
      </c>
      <c r="D122" t="str">
        <f t="shared" si="2"/>
        <v>Gigi Calm</v>
      </c>
    </row>
    <row r="123" spans="1:4" x14ac:dyDescent="0.25">
      <c r="A123" s="8">
        <v>41564</v>
      </c>
      <c r="B123" s="4" t="s">
        <v>729</v>
      </c>
      <c r="C123" s="4">
        <v>44</v>
      </c>
      <c r="D123" t="str">
        <f t="shared" si="2"/>
        <v>Gardenia Sup</v>
      </c>
    </row>
    <row r="124" spans="1:4" x14ac:dyDescent="0.25">
      <c r="A124" s="8">
        <v>41566</v>
      </c>
      <c r="B124" s="4" t="s">
        <v>716</v>
      </c>
      <c r="C124" s="4">
        <v>21</v>
      </c>
      <c r="D124" t="str">
        <f t="shared" si="2"/>
        <v>Battalion Pretty</v>
      </c>
    </row>
    <row r="125" spans="1:4" x14ac:dyDescent="0.25">
      <c r="A125" s="8">
        <v>41572</v>
      </c>
      <c r="B125" s="4" t="s">
        <v>721</v>
      </c>
      <c r="C125" s="4">
        <v>51</v>
      </c>
      <c r="D125" t="str">
        <f t="shared" si="2"/>
        <v>Battalion Cool</v>
      </c>
    </row>
    <row r="126" spans="1:4" x14ac:dyDescent="0.25">
      <c r="A126" s="8">
        <v>41588</v>
      </c>
      <c r="B126" s="4" t="s">
        <v>723</v>
      </c>
      <c r="C126" s="4">
        <v>20</v>
      </c>
      <c r="D126" t="str">
        <f t="shared" si="2"/>
        <v>Gigi Calm</v>
      </c>
    </row>
    <row r="127" spans="1:4" x14ac:dyDescent="0.25">
      <c r="A127" s="8">
        <v>41592</v>
      </c>
      <c r="B127" s="4" t="s">
        <v>100</v>
      </c>
      <c r="C127" s="4">
        <v>31</v>
      </c>
      <c r="D127" t="str">
        <f t="shared" si="2"/>
        <v>Phil Cool</v>
      </c>
    </row>
    <row r="128" spans="1:4" x14ac:dyDescent="0.25">
      <c r="A128" s="8">
        <v>41594</v>
      </c>
      <c r="B128" s="4" t="s">
        <v>102</v>
      </c>
      <c r="C128" s="4">
        <v>29</v>
      </c>
      <c r="D128" t="str">
        <f t="shared" si="2"/>
        <v>Battalion Calm</v>
      </c>
    </row>
    <row r="129" spans="1:4" x14ac:dyDescent="0.25">
      <c r="A129" s="8">
        <v>41629</v>
      </c>
      <c r="B129" s="4" t="s">
        <v>103</v>
      </c>
      <c r="C129" s="4">
        <v>54</v>
      </c>
      <c r="D129" t="str">
        <f t="shared" si="2"/>
        <v>Gardenia Pretty</v>
      </c>
    </row>
    <row r="130" spans="1:4" x14ac:dyDescent="0.25">
      <c r="A130" s="8">
        <v>41539</v>
      </c>
      <c r="B130" s="4" t="s">
        <v>712</v>
      </c>
      <c r="C130" s="4">
        <v>54</v>
      </c>
      <c r="D130" t="str">
        <f t="shared" si="2"/>
        <v>Phil Sup</v>
      </c>
    </row>
    <row r="131" spans="1:4" x14ac:dyDescent="0.25">
      <c r="A131" s="8">
        <v>41552</v>
      </c>
      <c r="B131" s="4" t="s">
        <v>100</v>
      </c>
      <c r="C131" s="4">
        <v>26</v>
      </c>
      <c r="D131" t="str">
        <f t="shared" ref="D131:D194" si="3">TRIM(B131)</f>
        <v>Phil Cool</v>
      </c>
    </row>
    <row r="132" spans="1:4" x14ac:dyDescent="0.25">
      <c r="A132" s="8">
        <v>41508</v>
      </c>
      <c r="B132" s="4" t="s">
        <v>713</v>
      </c>
      <c r="C132" s="4">
        <v>42</v>
      </c>
      <c r="D132" t="str">
        <f t="shared" si="3"/>
        <v>Gardenia Cool</v>
      </c>
    </row>
    <row r="133" spans="1:4" x14ac:dyDescent="0.25">
      <c r="A133" s="8">
        <v>41512</v>
      </c>
      <c r="B133" s="4" t="s">
        <v>103</v>
      </c>
      <c r="C133" s="4">
        <v>32</v>
      </c>
      <c r="D133" t="str">
        <f t="shared" si="3"/>
        <v>Gardenia Pretty</v>
      </c>
    </row>
    <row r="134" spans="1:4" x14ac:dyDescent="0.25">
      <c r="A134" s="8">
        <v>41634</v>
      </c>
      <c r="B134" s="4" t="s">
        <v>712</v>
      </c>
      <c r="C134" s="4">
        <v>26</v>
      </c>
      <c r="D134" t="str">
        <f t="shared" si="3"/>
        <v>Phil Sup</v>
      </c>
    </row>
    <row r="135" spans="1:4" x14ac:dyDescent="0.25">
      <c r="A135" s="8">
        <v>41511</v>
      </c>
      <c r="B135" s="4" t="s">
        <v>716</v>
      </c>
      <c r="C135" s="4">
        <v>43</v>
      </c>
      <c r="D135" t="str">
        <f t="shared" si="3"/>
        <v>Battalion Pretty</v>
      </c>
    </row>
    <row r="136" spans="1:4" x14ac:dyDescent="0.25">
      <c r="A136" s="8">
        <v>41638</v>
      </c>
      <c r="B136" s="4" t="s">
        <v>720</v>
      </c>
      <c r="C136" s="4">
        <v>40</v>
      </c>
      <c r="D136" t="str">
        <f t="shared" si="3"/>
        <v>Gardenia Calm</v>
      </c>
    </row>
    <row r="137" spans="1:4" x14ac:dyDescent="0.25">
      <c r="A137" s="8">
        <v>41558</v>
      </c>
      <c r="B137" s="4" t="s">
        <v>729</v>
      </c>
      <c r="C137" s="4">
        <v>14</v>
      </c>
      <c r="D137" t="str">
        <f t="shared" si="3"/>
        <v>Gardenia Sup</v>
      </c>
    </row>
    <row r="138" spans="1:4" x14ac:dyDescent="0.25">
      <c r="A138" s="8">
        <v>41630</v>
      </c>
      <c r="B138" s="4" t="s">
        <v>100</v>
      </c>
      <c r="C138" s="4">
        <v>46</v>
      </c>
      <c r="D138" t="str">
        <f t="shared" si="3"/>
        <v>Phil Cool</v>
      </c>
    </row>
    <row r="139" spans="1:4" x14ac:dyDescent="0.25">
      <c r="A139" s="8">
        <v>41506</v>
      </c>
      <c r="B139" s="4" t="s">
        <v>99</v>
      </c>
      <c r="C139" s="4">
        <v>10</v>
      </c>
      <c r="D139" t="str">
        <f t="shared" si="3"/>
        <v>Sioux Rad</v>
      </c>
    </row>
    <row r="140" spans="1:4" x14ac:dyDescent="0.25">
      <c r="A140" s="8">
        <v>41650</v>
      </c>
      <c r="B140" s="4" t="s">
        <v>720</v>
      </c>
      <c r="C140" s="4">
        <v>18</v>
      </c>
      <c r="D140" t="str">
        <f t="shared" si="3"/>
        <v>Gardenia Calm</v>
      </c>
    </row>
    <row r="141" spans="1:4" x14ac:dyDescent="0.25">
      <c r="A141" s="8">
        <v>41649</v>
      </c>
      <c r="B141" s="4" t="s">
        <v>726</v>
      </c>
      <c r="C141" s="4">
        <v>28</v>
      </c>
      <c r="D141" t="str">
        <f t="shared" si="3"/>
        <v>Sioux Sup</v>
      </c>
    </row>
    <row r="142" spans="1:4" x14ac:dyDescent="0.25">
      <c r="A142" s="8">
        <v>41560</v>
      </c>
      <c r="B142" s="4" t="s">
        <v>101</v>
      </c>
      <c r="C142" s="4">
        <v>13</v>
      </c>
      <c r="D142" t="str">
        <f t="shared" si="3"/>
        <v>Gigi Sup</v>
      </c>
    </row>
    <row r="143" spans="1:4" x14ac:dyDescent="0.25">
      <c r="A143" s="8">
        <v>41612</v>
      </c>
      <c r="B143" s="4" t="s">
        <v>103</v>
      </c>
      <c r="C143" s="4">
        <v>18</v>
      </c>
      <c r="D143" t="str">
        <f t="shared" si="3"/>
        <v>Gardenia Pretty</v>
      </c>
    </row>
    <row r="144" spans="1:4" x14ac:dyDescent="0.25">
      <c r="A144" s="8">
        <v>41605</v>
      </c>
      <c r="B144" s="4" t="s">
        <v>722</v>
      </c>
      <c r="C144" s="4">
        <v>37</v>
      </c>
      <c r="D144" t="str">
        <f t="shared" si="3"/>
        <v>Battalion Sup</v>
      </c>
    </row>
    <row r="145" spans="1:4" x14ac:dyDescent="0.25">
      <c r="A145" s="8">
        <v>41601</v>
      </c>
      <c r="B145" s="4" t="s">
        <v>727</v>
      </c>
      <c r="C145" s="4">
        <v>14</v>
      </c>
      <c r="D145" t="str">
        <f t="shared" si="3"/>
        <v>Phil Calm</v>
      </c>
    </row>
    <row r="146" spans="1:4" x14ac:dyDescent="0.25">
      <c r="A146" s="8">
        <v>41568</v>
      </c>
      <c r="B146" s="4" t="s">
        <v>101</v>
      </c>
      <c r="C146" s="4">
        <v>45</v>
      </c>
      <c r="D146" t="str">
        <f t="shared" si="3"/>
        <v>Gigi Sup</v>
      </c>
    </row>
    <row r="147" spans="1:4" x14ac:dyDescent="0.25">
      <c r="A147" s="8">
        <v>41590</v>
      </c>
      <c r="B147" s="4" t="s">
        <v>713</v>
      </c>
      <c r="C147" s="4">
        <v>38</v>
      </c>
      <c r="D147" t="str">
        <f t="shared" si="3"/>
        <v>Gardenia Cool</v>
      </c>
    </row>
    <row r="148" spans="1:4" x14ac:dyDescent="0.25">
      <c r="A148" s="8">
        <v>41598</v>
      </c>
      <c r="B148" s="4" t="s">
        <v>726</v>
      </c>
      <c r="C148" s="4">
        <v>14</v>
      </c>
      <c r="D148" t="str">
        <f t="shared" si="3"/>
        <v>Sioux Sup</v>
      </c>
    </row>
    <row r="149" spans="1:4" x14ac:dyDescent="0.25">
      <c r="A149" s="8">
        <v>41632</v>
      </c>
      <c r="B149" s="4" t="s">
        <v>717</v>
      </c>
      <c r="C149" s="4">
        <v>30</v>
      </c>
      <c r="D149" t="str">
        <f t="shared" si="3"/>
        <v>Battalion Rad</v>
      </c>
    </row>
    <row r="150" spans="1:4" x14ac:dyDescent="0.25">
      <c r="A150" s="8">
        <v>41582</v>
      </c>
      <c r="B150" s="4" t="s">
        <v>716</v>
      </c>
      <c r="C150" s="4">
        <v>41</v>
      </c>
      <c r="D150" t="str">
        <f t="shared" si="3"/>
        <v>Battalion Pretty</v>
      </c>
    </row>
    <row r="151" spans="1:4" x14ac:dyDescent="0.25">
      <c r="A151" s="8">
        <v>41597</v>
      </c>
      <c r="B151" s="4" t="s">
        <v>713</v>
      </c>
      <c r="C151" s="4">
        <v>38</v>
      </c>
      <c r="D151" t="str">
        <f t="shared" si="3"/>
        <v>Gardenia Cool</v>
      </c>
    </row>
    <row r="152" spans="1:4" x14ac:dyDescent="0.25">
      <c r="A152" s="8">
        <v>41518</v>
      </c>
      <c r="B152" s="4" t="s">
        <v>101</v>
      </c>
      <c r="C152" s="4">
        <v>41</v>
      </c>
      <c r="D152" t="str">
        <f t="shared" si="3"/>
        <v>Gigi Sup</v>
      </c>
    </row>
    <row r="153" spans="1:4" x14ac:dyDescent="0.25">
      <c r="A153" s="8">
        <v>41621</v>
      </c>
      <c r="B153" s="4" t="s">
        <v>716</v>
      </c>
      <c r="C153" s="4">
        <v>46</v>
      </c>
      <c r="D153" t="str">
        <f t="shared" si="3"/>
        <v>Battalion Pretty</v>
      </c>
    </row>
    <row r="154" spans="1:4" x14ac:dyDescent="0.25">
      <c r="A154" s="8">
        <v>41518</v>
      </c>
      <c r="B154" s="4" t="s">
        <v>101</v>
      </c>
      <c r="C154" s="4">
        <v>48</v>
      </c>
      <c r="D154" t="str">
        <f t="shared" si="3"/>
        <v>Gigi Sup</v>
      </c>
    </row>
    <row r="155" spans="1:4" x14ac:dyDescent="0.25">
      <c r="A155" s="8">
        <v>41532</v>
      </c>
      <c r="B155" s="4" t="s">
        <v>727</v>
      </c>
      <c r="C155" s="4">
        <v>39</v>
      </c>
      <c r="D155" t="str">
        <f t="shared" si="3"/>
        <v>Phil Calm</v>
      </c>
    </row>
    <row r="156" spans="1:4" x14ac:dyDescent="0.25">
      <c r="A156" s="8">
        <v>41544</v>
      </c>
      <c r="B156" s="4" t="s">
        <v>103</v>
      </c>
      <c r="C156" s="4">
        <v>30</v>
      </c>
      <c r="D156" t="str">
        <f t="shared" si="3"/>
        <v>Gardenia Pretty</v>
      </c>
    </row>
    <row r="157" spans="1:4" x14ac:dyDescent="0.25">
      <c r="A157" s="8">
        <v>41532</v>
      </c>
      <c r="B157" s="4" t="s">
        <v>718</v>
      </c>
      <c r="C157" s="4">
        <v>30</v>
      </c>
      <c r="D157" t="str">
        <f t="shared" si="3"/>
        <v>Sioux Cool</v>
      </c>
    </row>
    <row r="158" spans="1:4" x14ac:dyDescent="0.25">
      <c r="A158" s="8">
        <v>41505</v>
      </c>
      <c r="B158" s="4" t="s">
        <v>726</v>
      </c>
      <c r="C158" s="4">
        <v>57</v>
      </c>
      <c r="D158" t="str">
        <f t="shared" si="3"/>
        <v>Sioux Sup</v>
      </c>
    </row>
    <row r="159" spans="1:4" x14ac:dyDescent="0.25">
      <c r="A159" s="8">
        <v>41613</v>
      </c>
      <c r="B159" s="4" t="s">
        <v>103</v>
      </c>
      <c r="C159" s="4">
        <v>43</v>
      </c>
      <c r="D159" t="str">
        <f t="shared" si="3"/>
        <v>Gardenia Pretty</v>
      </c>
    </row>
    <row r="160" spans="1:4" x14ac:dyDescent="0.25">
      <c r="A160" s="8">
        <v>41518</v>
      </c>
      <c r="B160" s="4" t="s">
        <v>713</v>
      </c>
      <c r="C160" s="4">
        <v>14</v>
      </c>
      <c r="D160" t="str">
        <f t="shared" si="3"/>
        <v>Gardenia Cool</v>
      </c>
    </row>
    <row r="161" spans="1:4" x14ac:dyDescent="0.25">
      <c r="A161" s="8">
        <v>41598</v>
      </c>
      <c r="B161" s="4" t="s">
        <v>718</v>
      </c>
      <c r="C161" s="4">
        <v>20</v>
      </c>
      <c r="D161" t="str">
        <f t="shared" si="3"/>
        <v>Sioux Cool</v>
      </c>
    </row>
    <row r="162" spans="1:4" x14ac:dyDescent="0.25">
      <c r="A162" s="8">
        <v>41558</v>
      </c>
      <c r="B162" s="4" t="s">
        <v>710</v>
      </c>
      <c r="C162" s="4">
        <v>26</v>
      </c>
      <c r="D162" t="str">
        <f t="shared" si="3"/>
        <v>Gigi Pretty</v>
      </c>
    </row>
    <row r="163" spans="1:4" x14ac:dyDescent="0.25">
      <c r="A163" s="8">
        <v>41550</v>
      </c>
      <c r="B163" s="4" t="s">
        <v>728</v>
      </c>
      <c r="C163" s="4">
        <v>32</v>
      </c>
      <c r="D163" t="str">
        <f t="shared" si="3"/>
        <v>Gigi Cool</v>
      </c>
    </row>
    <row r="164" spans="1:4" x14ac:dyDescent="0.25">
      <c r="A164" s="8">
        <v>41503</v>
      </c>
      <c r="B164" s="4" t="s">
        <v>716</v>
      </c>
      <c r="C164" s="4">
        <v>48</v>
      </c>
      <c r="D164" t="str">
        <f t="shared" si="3"/>
        <v>Battalion Pretty</v>
      </c>
    </row>
    <row r="165" spans="1:4" x14ac:dyDescent="0.25">
      <c r="A165" s="8">
        <v>41640</v>
      </c>
      <c r="B165" s="4" t="s">
        <v>720</v>
      </c>
      <c r="C165" s="4">
        <v>55</v>
      </c>
      <c r="D165" t="str">
        <f t="shared" si="3"/>
        <v>Gardenia Calm</v>
      </c>
    </row>
    <row r="166" spans="1:4" x14ac:dyDescent="0.25">
      <c r="A166" s="8">
        <v>41618</v>
      </c>
      <c r="B166" s="4" t="s">
        <v>724</v>
      </c>
      <c r="C166" s="4">
        <v>52</v>
      </c>
      <c r="D166" t="str">
        <f t="shared" si="3"/>
        <v>Phil Pretty</v>
      </c>
    </row>
    <row r="167" spans="1:4" x14ac:dyDescent="0.25">
      <c r="A167" s="8">
        <v>41533</v>
      </c>
      <c r="B167" s="4" t="s">
        <v>712</v>
      </c>
      <c r="C167" s="4">
        <v>16</v>
      </c>
      <c r="D167" t="str">
        <f t="shared" si="3"/>
        <v>Phil Sup</v>
      </c>
    </row>
    <row r="168" spans="1:4" x14ac:dyDescent="0.25">
      <c r="A168" s="8">
        <v>41600</v>
      </c>
      <c r="B168" s="4" t="s">
        <v>723</v>
      </c>
      <c r="C168" s="4">
        <v>32</v>
      </c>
      <c r="D168" t="str">
        <f t="shared" si="3"/>
        <v>Gigi Calm</v>
      </c>
    </row>
    <row r="169" spans="1:4" x14ac:dyDescent="0.25">
      <c r="A169" s="8">
        <v>41616</v>
      </c>
      <c r="B169" s="4" t="s">
        <v>728</v>
      </c>
      <c r="C169" s="4">
        <v>50</v>
      </c>
      <c r="D169" t="str">
        <f t="shared" si="3"/>
        <v>Gigi Cool</v>
      </c>
    </row>
    <row r="170" spans="1:4" x14ac:dyDescent="0.25">
      <c r="A170" s="8">
        <v>41614</v>
      </c>
      <c r="B170" s="4" t="s">
        <v>724</v>
      </c>
      <c r="C170" s="4">
        <v>22</v>
      </c>
      <c r="D170" t="str">
        <f t="shared" si="3"/>
        <v>Phil Pretty</v>
      </c>
    </row>
    <row r="171" spans="1:4" x14ac:dyDescent="0.25">
      <c r="A171" s="8">
        <v>41595</v>
      </c>
      <c r="B171" s="4" t="s">
        <v>727</v>
      </c>
      <c r="C171" s="4">
        <v>21</v>
      </c>
      <c r="D171" t="str">
        <f t="shared" si="3"/>
        <v>Phil Calm</v>
      </c>
    </row>
    <row r="172" spans="1:4" x14ac:dyDescent="0.25">
      <c r="A172" s="8">
        <v>41580</v>
      </c>
      <c r="B172" s="4" t="s">
        <v>710</v>
      </c>
      <c r="C172" s="4">
        <v>57</v>
      </c>
      <c r="D172" t="str">
        <f t="shared" si="3"/>
        <v>Gigi Pretty</v>
      </c>
    </row>
    <row r="173" spans="1:4" x14ac:dyDescent="0.25">
      <c r="A173" s="8">
        <v>41629</v>
      </c>
      <c r="B173" s="4" t="s">
        <v>725</v>
      </c>
      <c r="C173" s="4">
        <v>51</v>
      </c>
      <c r="D173" t="str">
        <f t="shared" si="3"/>
        <v>Phil Rad</v>
      </c>
    </row>
    <row r="174" spans="1:4" x14ac:dyDescent="0.25">
      <c r="A174" s="8">
        <v>41596</v>
      </c>
      <c r="B174" s="4" t="s">
        <v>710</v>
      </c>
      <c r="C174" s="4">
        <v>57</v>
      </c>
      <c r="D174" t="str">
        <f t="shared" si="3"/>
        <v>Gigi Pretty</v>
      </c>
    </row>
    <row r="175" spans="1:4" x14ac:dyDescent="0.25">
      <c r="A175" s="8">
        <v>41636</v>
      </c>
      <c r="B175" s="4" t="s">
        <v>713</v>
      </c>
      <c r="C175" s="4">
        <v>56</v>
      </c>
      <c r="D175" t="str">
        <f t="shared" si="3"/>
        <v>Gardenia Cool</v>
      </c>
    </row>
    <row r="176" spans="1:4" x14ac:dyDescent="0.25">
      <c r="A176" s="8">
        <v>41625</v>
      </c>
      <c r="B176" s="4" t="s">
        <v>103</v>
      </c>
      <c r="C176" s="4">
        <v>33</v>
      </c>
      <c r="D176" t="str">
        <f t="shared" si="3"/>
        <v>Gardenia Pretty</v>
      </c>
    </row>
    <row r="177" spans="1:4" x14ac:dyDescent="0.25">
      <c r="A177" s="8">
        <v>41647</v>
      </c>
      <c r="B177" s="4" t="s">
        <v>719</v>
      </c>
      <c r="C177" s="4">
        <v>58</v>
      </c>
      <c r="D177" t="str">
        <f t="shared" si="3"/>
        <v>Sioux Pretty</v>
      </c>
    </row>
    <row r="178" spans="1:4" x14ac:dyDescent="0.25">
      <c r="A178" s="8">
        <v>41579</v>
      </c>
      <c r="B178" s="4" t="s">
        <v>715</v>
      </c>
      <c r="C178" s="4">
        <v>53</v>
      </c>
      <c r="D178" t="str">
        <f t="shared" si="3"/>
        <v>Gardenia Rad</v>
      </c>
    </row>
    <row r="179" spans="1:4" x14ac:dyDescent="0.25">
      <c r="A179" s="8">
        <v>41585</v>
      </c>
      <c r="B179" s="4" t="s">
        <v>713</v>
      </c>
      <c r="C179" s="4">
        <v>14</v>
      </c>
      <c r="D179" t="str">
        <f t="shared" si="3"/>
        <v>Gardenia Cool</v>
      </c>
    </row>
    <row r="180" spans="1:4" x14ac:dyDescent="0.25">
      <c r="A180" s="8">
        <v>41562</v>
      </c>
      <c r="B180" s="4" t="s">
        <v>710</v>
      </c>
      <c r="C180" s="4">
        <v>57</v>
      </c>
      <c r="D180" t="str">
        <f t="shared" si="3"/>
        <v>Gigi Pretty</v>
      </c>
    </row>
    <row r="181" spans="1:4" x14ac:dyDescent="0.25">
      <c r="A181" s="8">
        <v>41550</v>
      </c>
      <c r="B181" s="4" t="s">
        <v>713</v>
      </c>
      <c r="C181" s="4">
        <v>57</v>
      </c>
      <c r="D181" t="str">
        <f t="shared" si="3"/>
        <v>Gardenia Cool</v>
      </c>
    </row>
    <row r="182" spans="1:4" x14ac:dyDescent="0.25">
      <c r="A182" s="8">
        <v>41619</v>
      </c>
      <c r="B182" s="4" t="s">
        <v>103</v>
      </c>
      <c r="C182" s="4">
        <v>55</v>
      </c>
      <c r="D182" t="str">
        <f t="shared" si="3"/>
        <v>Gardenia Pretty</v>
      </c>
    </row>
    <row r="183" spans="1:4" x14ac:dyDescent="0.25">
      <c r="A183" s="8">
        <v>41511</v>
      </c>
      <c r="B183" s="4" t="s">
        <v>712</v>
      </c>
      <c r="C183" s="4">
        <v>30</v>
      </c>
      <c r="D183" t="str">
        <f t="shared" si="3"/>
        <v>Phil Sup</v>
      </c>
    </row>
    <row r="184" spans="1:4" x14ac:dyDescent="0.25">
      <c r="A184" s="8">
        <v>41524</v>
      </c>
      <c r="B184" s="4" t="s">
        <v>715</v>
      </c>
      <c r="C184" s="4">
        <v>10</v>
      </c>
      <c r="D184" t="str">
        <f t="shared" si="3"/>
        <v>Gardenia Rad</v>
      </c>
    </row>
    <row r="185" spans="1:4" x14ac:dyDescent="0.25">
      <c r="A185" s="8">
        <v>41514</v>
      </c>
      <c r="B185" s="4" t="s">
        <v>99</v>
      </c>
      <c r="C185" s="4">
        <v>59</v>
      </c>
      <c r="D185" t="str">
        <f t="shared" si="3"/>
        <v>Sioux Rad</v>
      </c>
    </row>
    <row r="186" spans="1:4" x14ac:dyDescent="0.25">
      <c r="A186" s="8">
        <v>41630</v>
      </c>
      <c r="B186" s="4" t="s">
        <v>719</v>
      </c>
      <c r="C186" s="4">
        <v>13</v>
      </c>
      <c r="D186" t="str">
        <f t="shared" si="3"/>
        <v>Sioux Pretty</v>
      </c>
    </row>
    <row r="187" spans="1:4" x14ac:dyDescent="0.25">
      <c r="A187" s="8">
        <v>41550</v>
      </c>
      <c r="B187" s="4" t="s">
        <v>101</v>
      </c>
      <c r="C187" s="4">
        <v>24</v>
      </c>
      <c r="D187" t="str">
        <f t="shared" si="3"/>
        <v>Gigi Sup</v>
      </c>
    </row>
    <row r="188" spans="1:4" x14ac:dyDescent="0.25">
      <c r="A188" s="8">
        <v>41538</v>
      </c>
      <c r="B188" s="4" t="s">
        <v>711</v>
      </c>
      <c r="C188" s="4">
        <v>37</v>
      </c>
      <c r="D188" t="str">
        <f t="shared" si="3"/>
        <v>Sioux Calm</v>
      </c>
    </row>
    <row r="189" spans="1:4" x14ac:dyDescent="0.25">
      <c r="A189" s="8">
        <v>41568</v>
      </c>
      <c r="B189" s="4" t="s">
        <v>729</v>
      </c>
      <c r="C189" s="4">
        <v>13</v>
      </c>
      <c r="D189" t="str">
        <f t="shared" si="3"/>
        <v>Gardenia Sup</v>
      </c>
    </row>
    <row r="190" spans="1:4" x14ac:dyDescent="0.25">
      <c r="A190" s="8">
        <v>41547</v>
      </c>
      <c r="B190" s="4" t="s">
        <v>102</v>
      </c>
      <c r="C190" s="4">
        <v>57</v>
      </c>
      <c r="D190" t="str">
        <f t="shared" si="3"/>
        <v>Battalion Calm</v>
      </c>
    </row>
    <row r="191" spans="1:4" x14ac:dyDescent="0.25">
      <c r="A191" s="8">
        <v>41574</v>
      </c>
      <c r="B191" s="4" t="s">
        <v>716</v>
      </c>
      <c r="C191" s="4">
        <v>51</v>
      </c>
      <c r="D191" t="str">
        <f t="shared" si="3"/>
        <v>Battalion Pretty</v>
      </c>
    </row>
    <row r="192" spans="1:4" x14ac:dyDescent="0.25">
      <c r="A192" s="8">
        <v>41519</v>
      </c>
      <c r="B192" s="4" t="s">
        <v>723</v>
      </c>
      <c r="C192" s="4">
        <v>23</v>
      </c>
      <c r="D192" t="str">
        <f t="shared" si="3"/>
        <v>Gigi Calm</v>
      </c>
    </row>
    <row r="193" spans="1:4" x14ac:dyDescent="0.25">
      <c r="A193" s="8">
        <v>41603</v>
      </c>
      <c r="B193" s="4" t="s">
        <v>725</v>
      </c>
      <c r="C193" s="4">
        <v>54</v>
      </c>
      <c r="D193" t="str">
        <f t="shared" si="3"/>
        <v>Phil Rad</v>
      </c>
    </row>
    <row r="194" spans="1:4" x14ac:dyDescent="0.25">
      <c r="A194" s="8">
        <v>41640</v>
      </c>
      <c r="B194" s="4" t="s">
        <v>726</v>
      </c>
      <c r="C194" s="4">
        <v>21</v>
      </c>
      <c r="D194" t="str">
        <f t="shared" si="3"/>
        <v>Sioux Sup</v>
      </c>
    </row>
    <row r="195" spans="1:4" x14ac:dyDescent="0.25">
      <c r="A195" s="8">
        <v>41562</v>
      </c>
      <c r="B195" s="4" t="s">
        <v>714</v>
      </c>
      <c r="C195" s="4">
        <v>49</v>
      </c>
      <c r="D195" t="str">
        <f t="shared" ref="D195:D258" si="4">TRIM(B195)</f>
        <v>Gigi Rad</v>
      </c>
    </row>
    <row r="196" spans="1:4" x14ac:dyDescent="0.25">
      <c r="A196" s="8">
        <v>41553</v>
      </c>
      <c r="B196" s="4" t="s">
        <v>729</v>
      </c>
      <c r="C196" s="4">
        <v>30</v>
      </c>
      <c r="D196" t="str">
        <f t="shared" si="4"/>
        <v>Gardenia Sup</v>
      </c>
    </row>
    <row r="197" spans="1:4" x14ac:dyDescent="0.25">
      <c r="A197" s="8">
        <v>41501</v>
      </c>
      <c r="B197" s="4" t="s">
        <v>717</v>
      </c>
      <c r="C197" s="4">
        <v>32</v>
      </c>
      <c r="D197" t="str">
        <f t="shared" si="4"/>
        <v>Battalion Rad</v>
      </c>
    </row>
    <row r="198" spans="1:4" x14ac:dyDescent="0.25">
      <c r="A198" s="8">
        <v>41501</v>
      </c>
      <c r="B198" s="4" t="s">
        <v>711</v>
      </c>
      <c r="C198" s="4">
        <v>57</v>
      </c>
      <c r="D198" t="str">
        <f t="shared" si="4"/>
        <v>Sioux Calm</v>
      </c>
    </row>
    <row r="199" spans="1:4" x14ac:dyDescent="0.25">
      <c r="A199" s="8">
        <v>41528</v>
      </c>
      <c r="B199" s="4" t="s">
        <v>715</v>
      </c>
      <c r="C199" s="4">
        <v>40</v>
      </c>
      <c r="D199" t="str">
        <f t="shared" si="4"/>
        <v>Gardenia Rad</v>
      </c>
    </row>
    <row r="200" spans="1:4" x14ac:dyDescent="0.25">
      <c r="A200" s="8">
        <v>41556</v>
      </c>
      <c r="B200" s="4" t="s">
        <v>103</v>
      </c>
      <c r="C200" s="4">
        <v>21</v>
      </c>
      <c r="D200" t="str">
        <f t="shared" si="4"/>
        <v>Gardenia Pretty</v>
      </c>
    </row>
    <row r="201" spans="1:4" x14ac:dyDescent="0.25">
      <c r="A201" s="8">
        <v>41600</v>
      </c>
      <c r="B201" s="4" t="s">
        <v>716</v>
      </c>
      <c r="C201" s="4">
        <v>28</v>
      </c>
      <c r="D201" t="str">
        <f t="shared" si="4"/>
        <v>Battalion Pretty</v>
      </c>
    </row>
    <row r="202" spans="1:4" x14ac:dyDescent="0.25">
      <c r="A202" s="8">
        <v>41592</v>
      </c>
      <c r="B202" s="4" t="s">
        <v>723</v>
      </c>
      <c r="C202" s="4">
        <v>14</v>
      </c>
      <c r="D202" t="str">
        <f t="shared" si="4"/>
        <v>Gigi Calm</v>
      </c>
    </row>
    <row r="203" spans="1:4" x14ac:dyDescent="0.25">
      <c r="A203" s="8">
        <v>41561</v>
      </c>
      <c r="B203" s="4" t="s">
        <v>726</v>
      </c>
      <c r="C203" s="4">
        <v>54</v>
      </c>
      <c r="D203" t="str">
        <f t="shared" si="4"/>
        <v>Sioux Sup</v>
      </c>
    </row>
    <row r="204" spans="1:4" x14ac:dyDescent="0.25">
      <c r="A204" s="8">
        <v>41514</v>
      </c>
      <c r="B204" s="4" t="s">
        <v>713</v>
      </c>
      <c r="C204" s="4">
        <v>33</v>
      </c>
      <c r="D204" t="str">
        <f t="shared" si="4"/>
        <v>Gardenia Cool</v>
      </c>
    </row>
    <row r="205" spans="1:4" x14ac:dyDescent="0.25">
      <c r="A205" s="8">
        <v>41628</v>
      </c>
      <c r="B205" s="4" t="s">
        <v>724</v>
      </c>
      <c r="C205" s="4">
        <v>21</v>
      </c>
      <c r="D205" t="str">
        <f t="shared" si="4"/>
        <v>Phil Pretty</v>
      </c>
    </row>
    <row r="206" spans="1:4" x14ac:dyDescent="0.25">
      <c r="A206" s="8">
        <v>41629</v>
      </c>
      <c r="B206" s="4" t="s">
        <v>719</v>
      </c>
      <c r="C206" s="4">
        <v>52</v>
      </c>
      <c r="D206" t="str">
        <f t="shared" si="4"/>
        <v>Sioux Pretty</v>
      </c>
    </row>
    <row r="207" spans="1:4" x14ac:dyDescent="0.25">
      <c r="A207" s="8">
        <v>41627</v>
      </c>
      <c r="B207" s="4" t="s">
        <v>727</v>
      </c>
      <c r="C207" s="4">
        <v>25</v>
      </c>
      <c r="D207" t="str">
        <f t="shared" si="4"/>
        <v>Phil Calm</v>
      </c>
    </row>
    <row r="208" spans="1:4" x14ac:dyDescent="0.25">
      <c r="A208" s="8">
        <v>41547</v>
      </c>
      <c r="B208" s="4" t="s">
        <v>729</v>
      </c>
      <c r="C208" s="4">
        <v>23</v>
      </c>
      <c r="D208" t="str">
        <f t="shared" si="4"/>
        <v>Gardenia Sup</v>
      </c>
    </row>
    <row r="209" spans="1:4" x14ac:dyDescent="0.25">
      <c r="A209" s="8">
        <v>41521</v>
      </c>
      <c r="B209" s="4" t="s">
        <v>721</v>
      </c>
      <c r="C209" s="4">
        <v>58</v>
      </c>
      <c r="D209" t="str">
        <f t="shared" si="4"/>
        <v>Battalion Cool</v>
      </c>
    </row>
    <row r="210" spans="1:4" x14ac:dyDescent="0.25">
      <c r="A210" s="8">
        <v>41562</v>
      </c>
      <c r="B210" s="4" t="s">
        <v>103</v>
      </c>
      <c r="C210" s="4">
        <v>16</v>
      </c>
      <c r="D210" t="str">
        <f t="shared" si="4"/>
        <v>Gardenia Pretty</v>
      </c>
    </row>
    <row r="211" spans="1:4" x14ac:dyDescent="0.25">
      <c r="A211" s="8">
        <v>41645</v>
      </c>
      <c r="B211" s="4" t="s">
        <v>724</v>
      </c>
      <c r="C211" s="4">
        <v>38</v>
      </c>
      <c r="D211" t="str">
        <f t="shared" si="4"/>
        <v>Phil Pretty</v>
      </c>
    </row>
    <row r="212" spans="1:4" x14ac:dyDescent="0.25">
      <c r="A212" s="8">
        <v>41598</v>
      </c>
      <c r="B212" s="4" t="s">
        <v>729</v>
      </c>
      <c r="C212" s="4">
        <v>39</v>
      </c>
      <c r="D212" t="str">
        <f t="shared" si="4"/>
        <v>Gardenia Sup</v>
      </c>
    </row>
    <row r="213" spans="1:4" x14ac:dyDescent="0.25">
      <c r="A213" s="8">
        <v>41643</v>
      </c>
      <c r="B213" s="4" t="s">
        <v>726</v>
      </c>
      <c r="C213" s="4">
        <v>40</v>
      </c>
      <c r="D213" t="str">
        <f t="shared" si="4"/>
        <v>Sioux Sup</v>
      </c>
    </row>
    <row r="214" spans="1:4" x14ac:dyDescent="0.25">
      <c r="A214" s="8">
        <v>41636</v>
      </c>
      <c r="B214" s="4" t="s">
        <v>727</v>
      </c>
      <c r="C214" s="4">
        <v>23</v>
      </c>
      <c r="D214" t="str">
        <f t="shared" si="4"/>
        <v>Phil Calm</v>
      </c>
    </row>
    <row r="215" spans="1:4" x14ac:dyDescent="0.25">
      <c r="A215" s="8">
        <v>41529</v>
      </c>
      <c r="B215" s="4" t="s">
        <v>717</v>
      </c>
      <c r="C215" s="4">
        <v>43</v>
      </c>
      <c r="D215" t="str">
        <f t="shared" si="4"/>
        <v>Battalion Rad</v>
      </c>
    </row>
    <row r="216" spans="1:4" x14ac:dyDescent="0.25">
      <c r="A216" s="8">
        <v>41571</v>
      </c>
      <c r="B216" s="4" t="s">
        <v>713</v>
      </c>
      <c r="C216" s="4">
        <v>16</v>
      </c>
      <c r="D216" t="str">
        <f t="shared" si="4"/>
        <v>Gardenia Cool</v>
      </c>
    </row>
    <row r="217" spans="1:4" x14ac:dyDescent="0.25">
      <c r="A217" s="8">
        <v>41593</v>
      </c>
      <c r="B217" s="4" t="s">
        <v>710</v>
      </c>
      <c r="C217" s="4">
        <v>31</v>
      </c>
      <c r="D217" t="str">
        <f t="shared" si="4"/>
        <v>Gigi Pretty</v>
      </c>
    </row>
    <row r="218" spans="1:4" x14ac:dyDescent="0.25">
      <c r="A218" s="8">
        <v>41581</v>
      </c>
      <c r="B218" s="4" t="s">
        <v>714</v>
      </c>
      <c r="C218" s="4">
        <v>22</v>
      </c>
      <c r="D218" t="str">
        <f t="shared" si="4"/>
        <v>Gigi Rad</v>
      </c>
    </row>
    <row r="219" spans="1:4" x14ac:dyDescent="0.25">
      <c r="A219" s="8">
        <v>41519</v>
      </c>
      <c r="B219" s="4" t="s">
        <v>725</v>
      </c>
      <c r="C219" s="4">
        <v>33</v>
      </c>
      <c r="D219" t="str">
        <f t="shared" si="4"/>
        <v>Phil Rad</v>
      </c>
    </row>
    <row r="220" spans="1:4" x14ac:dyDescent="0.25">
      <c r="A220" s="8">
        <v>41607</v>
      </c>
      <c r="B220" s="4" t="s">
        <v>711</v>
      </c>
      <c r="C220" s="4">
        <v>57</v>
      </c>
      <c r="D220" t="str">
        <f t="shared" si="4"/>
        <v>Sioux Calm</v>
      </c>
    </row>
    <row r="221" spans="1:4" x14ac:dyDescent="0.25">
      <c r="A221" s="8">
        <v>41563</v>
      </c>
      <c r="B221" s="4" t="s">
        <v>727</v>
      </c>
      <c r="C221" s="4">
        <v>37</v>
      </c>
      <c r="D221" t="str">
        <f t="shared" si="4"/>
        <v>Phil Calm</v>
      </c>
    </row>
    <row r="222" spans="1:4" x14ac:dyDescent="0.25">
      <c r="A222" s="8">
        <v>41532</v>
      </c>
      <c r="B222" s="4" t="s">
        <v>724</v>
      </c>
      <c r="C222" s="4">
        <v>56</v>
      </c>
      <c r="D222" t="str">
        <f t="shared" si="4"/>
        <v>Phil Pretty</v>
      </c>
    </row>
    <row r="223" spans="1:4" x14ac:dyDescent="0.25">
      <c r="A223" s="8">
        <v>41569</v>
      </c>
      <c r="B223" s="4" t="s">
        <v>713</v>
      </c>
      <c r="C223" s="4">
        <v>54</v>
      </c>
      <c r="D223" t="str">
        <f t="shared" si="4"/>
        <v>Gardenia Cool</v>
      </c>
    </row>
    <row r="224" spans="1:4" x14ac:dyDescent="0.25">
      <c r="A224" s="8">
        <v>41533</v>
      </c>
      <c r="B224" s="4" t="s">
        <v>720</v>
      </c>
      <c r="C224" s="4">
        <v>30</v>
      </c>
      <c r="D224" t="str">
        <f t="shared" si="4"/>
        <v>Gardenia Calm</v>
      </c>
    </row>
    <row r="225" spans="1:4" x14ac:dyDescent="0.25">
      <c r="A225" s="8">
        <v>41524</v>
      </c>
      <c r="B225" s="4" t="s">
        <v>101</v>
      </c>
      <c r="C225" s="4">
        <v>40</v>
      </c>
      <c r="D225" t="str">
        <f t="shared" si="4"/>
        <v>Gigi Sup</v>
      </c>
    </row>
    <row r="226" spans="1:4" x14ac:dyDescent="0.25">
      <c r="A226" s="8">
        <v>41500</v>
      </c>
      <c r="B226" s="4" t="s">
        <v>723</v>
      </c>
      <c r="C226" s="4">
        <v>10</v>
      </c>
      <c r="D226" t="str">
        <f t="shared" si="4"/>
        <v>Gigi Calm</v>
      </c>
    </row>
    <row r="227" spans="1:4" x14ac:dyDescent="0.25">
      <c r="A227" s="8">
        <v>41521</v>
      </c>
      <c r="B227" s="4" t="s">
        <v>726</v>
      </c>
      <c r="C227" s="4">
        <v>56</v>
      </c>
      <c r="D227" t="str">
        <f t="shared" si="4"/>
        <v>Sioux Sup</v>
      </c>
    </row>
    <row r="228" spans="1:4" x14ac:dyDescent="0.25">
      <c r="A228" s="8">
        <v>41527</v>
      </c>
      <c r="B228" s="4" t="s">
        <v>721</v>
      </c>
      <c r="C228" s="4">
        <v>55</v>
      </c>
      <c r="D228" t="str">
        <f t="shared" si="4"/>
        <v>Battalion Cool</v>
      </c>
    </row>
    <row r="229" spans="1:4" x14ac:dyDescent="0.25">
      <c r="A229" s="8">
        <v>41552</v>
      </c>
      <c r="B229" s="4" t="s">
        <v>721</v>
      </c>
      <c r="C229" s="4">
        <v>11</v>
      </c>
      <c r="D229" t="str">
        <f t="shared" si="4"/>
        <v>Battalion Cool</v>
      </c>
    </row>
    <row r="230" spans="1:4" x14ac:dyDescent="0.25">
      <c r="A230" s="8">
        <v>41544</v>
      </c>
      <c r="B230" s="4" t="s">
        <v>710</v>
      </c>
      <c r="C230" s="4">
        <v>15</v>
      </c>
      <c r="D230" t="str">
        <f t="shared" si="4"/>
        <v>Gigi Pretty</v>
      </c>
    </row>
    <row r="231" spans="1:4" x14ac:dyDescent="0.25">
      <c r="A231" s="8">
        <v>41565</v>
      </c>
      <c r="B231" s="4" t="s">
        <v>721</v>
      </c>
      <c r="C231" s="4">
        <v>55</v>
      </c>
      <c r="D231" t="str">
        <f t="shared" si="4"/>
        <v>Battalion Cool</v>
      </c>
    </row>
    <row r="232" spans="1:4" x14ac:dyDescent="0.25">
      <c r="A232" s="8">
        <v>41575</v>
      </c>
      <c r="B232" s="4" t="s">
        <v>725</v>
      </c>
      <c r="C232" s="4">
        <v>26</v>
      </c>
      <c r="D232" t="str">
        <f t="shared" si="4"/>
        <v>Phil Rad</v>
      </c>
    </row>
    <row r="233" spans="1:4" x14ac:dyDescent="0.25">
      <c r="A233" s="8">
        <v>41590</v>
      </c>
      <c r="B233" s="4" t="s">
        <v>724</v>
      </c>
      <c r="C233" s="4">
        <v>12</v>
      </c>
      <c r="D233" t="str">
        <f t="shared" si="4"/>
        <v>Phil Pretty</v>
      </c>
    </row>
    <row r="234" spans="1:4" x14ac:dyDescent="0.25">
      <c r="A234" s="8">
        <v>41500</v>
      </c>
      <c r="B234" s="4" t="s">
        <v>711</v>
      </c>
      <c r="C234" s="4">
        <v>53</v>
      </c>
      <c r="D234" t="str">
        <f t="shared" si="4"/>
        <v>Sioux Calm</v>
      </c>
    </row>
    <row r="235" spans="1:4" x14ac:dyDescent="0.25">
      <c r="A235" s="8">
        <v>41502</v>
      </c>
      <c r="B235" s="4" t="s">
        <v>719</v>
      </c>
      <c r="C235" s="4">
        <v>47</v>
      </c>
      <c r="D235" t="str">
        <f t="shared" si="4"/>
        <v>Sioux Pretty</v>
      </c>
    </row>
    <row r="236" spans="1:4" x14ac:dyDescent="0.25">
      <c r="A236" s="8">
        <v>41641</v>
      </c>
      <c r="B236" s="4" t="s">
        <v>729</v>
      </c>
      <c r="C236" s="4">
        <v>41</v>
      </c>
      <c r="D236" t="str">
        <f t="shared" si="4"/>
        <v>Gardenia Sup</v>
      </c>
    </row>
    <row r="237" spans="1:4" x14ac:dyDescent="0.25">
      <c r="A237" s="8">
        <v>41626</v>
      </c>
      <c r="B237" s="4" t="s">
        <v>716</v>
      </c>
      <c r="C237" s="4">
        <v>40</v>
      </c>
      <c r="D237" t="str">
        <f t="shared" si="4"/>
        <v>Battalion Pretty</v>
      </c>
    </row>
    <row r="238" spans="1:4" x14ac:dyDescent="0.25">
      <c r="A238" s="8">
        <v>41552</v>
      </c>
      <c r="B238" s="4" t="s">
        <v>99</v>
      </c>
      <c r="C238" s="4">
        <v>30</v>
      </c>
      <c r="D238" t="str">
        <f t="shared" si="4"/>
        <v>Sioux Rad</v>
      </c>
    </row>
    <row r="239" spans="1:4" x14ac:dyDescent="0.25">
      <c r="A239" s="8">
        <v>41571</v>
      </c>
      <c r="B239" s="4" t="s">
        <v>716</v>
      </c>
      <c r="C239" s="4">
        <v>21</v>
      </c>
      <c r="D239" t="str">
        <f t="shared" si="4"/>
        <v>Battalion Pretty</v>
      </c>
    </row>
    <row r="240" spans="1:4" x14ac:dyDescent="0.25">
      <c r="A240" s="8">
        <v>41558</v>
      </c>
      <c r="B240" s="4" t="s">
        <v>713</v>
      </c>
      <c r="C240" s="4">
        <v>48</v>
      </c>
      <c r="D240" t="str">
        <f t="shared" si="4"/>
        <v>Gardenia Cool</v>
      </c>
    </row>
    <row r="241" spans="1:4" x14ac:dyDescent="0.25">
      <c r="A241" s="8">
        <v>41612</v>
      </c>
      <c r="B241" s="4" t="s">
        <v>729</v>
      </c>
      <c r="C241" s="4">
        <v>13</v>
      </c>
      <c r="D241" t="str">
        <f t="shared" si="4"/>
        <v>Gardenia Sup</v>
      </c>
    </row>
    <row r="242" spans="1:4" x14ac:dyDescent="0.25">
      <c r="A242" s="8">
        <v>41552</v>
      </c>
      <c r="B242" s="4" t="s">
        <v>721</v>
      </c>
      <c r="C242" s="4">
        <v>16</v>
      </c>
      <c r="D242" t="str">
        <f t="shared" si="4"/>
        <v>Battalion Cool</v>
      </c>
    </row>
    <row r="243" spans="1:4" x14ac:dyDescent="0.25">
      <c r="A243" s="8">
        <v>41596</v>
      </c>
      <c r="B243" s="4" t="s">
        <v>722</v>
      </c>
      <c r="C243" s="4">
        <v>29</v>
      </c>
      <c r="D243" t="str">
        <f t="shared" si="4"/>
        <v>Battalion Sup</v>
      </c>
    </row>
    <row r="244" spans="1:4" x14ac:dyDescent="0.25">
      <c r="A244" s="8">
        <v>41645</v>
      </c>
      <c r="B244" s="4" t="s">
        <v>724</v>
      </c>
      <c r="C244" s="4">
        <v>57</v>
      </c>
      <c r="D244" t="str">
        <f t="shared" si="4"/>
        <v>Phil Pretty</v>
      </c>
    </row>
    <row r="245" spans="1:4" x14ac:dyDescent="0.25">
      <c r="A245" s="8">
        <v>41577</v>
      </c>
      <c r="B245" s="4" t="s">
        <v>722</v>
      </c>
      <c r="C245" s="4">
        <v>49</v>
      </c>
      <c r="D245" t="str">
        <f t="shared" si="4"/>
        <v>Battalion Sup</v>
      </c>
    </row>
    <row r="246" spans="1:4" x14ac:dyDescent="0.25">
      <c r="A246" s="8">
        <v>41607</v>
      </c>
      <c r="B246" s="4" t="s">
        <v>710</v>
      </c>
      <c r="C246" s="4">
        <v>16</v>
      </c>
      <c r="D246" t="str">
        <f t="shared" si="4"/>
        <v>Gigi Pretty</v>
      </c>
    </row>
    <row r="247" spans="1:4" x14ac:dyDescent="0.25">
      <c r="A247" s="8">
        <v>41619</v>
      </c>
      <c r="B247" s="4" t="s">
        <v>728</v>
      </c>
      <c r="C247" s="4">
        <v>28</v>
      </c>
      <c r="D247" t="str">
        <f t="shared" si="4"/>
        <v>Gigi Cool</v>
      </c>
    </row>
    <row r="248" spans="1:4" x14ac:dyDescent="0.25">
      <c r="A248" s="8">
        <v>41640</v>
      </c>
      <c r="B248" s="4" t="s">
        <v>729</v>
      </c>
      <c r="C248" s="4">
        <v>32</v>
      </c>
      <c r="D248" t="str">
        <f t="shared" si="4"/>
        <v>Gardenia Sup</v>
      </c>
    </row>
    <row r="249" spans="1:4" x14ac:dyDescent="0.25">
      <c r="A249" s="8">
        <v>41637</v>
      </c>
      <c r="B249" s="4" t="s">
        <v>100</v>
      </c>
      <c r="C249" s="4">
        <v>51</v>
      </c>
      <c r="D249" t="str">
        <f t="shared" si="4"/>
        <v>Phil Cool</v>
      </c>
    </row>
    <row r="250" spans="1:4" x14ac:dyDescent="0.25">
      <c r="A250" s="8">
        <v>41633</v>
      </c>
      <c r="B250" s="4" t="s">
        <v>727</v>
      </c>
      <c r="C250" s="4">
        <v>14</v>
      </c>
      <c r="D250" t="str">
        <f t="shared" si="4"/>
        <v>Phil Calm</v>
      </c>
    </row>
    <row r="251" spans="1:4" x14ac:dyDescent="0.25">
      <c r="A251" s="8">
        <v>41504</v>
      </c>
      <c r="B251" s="4" t="s">
        <v>729</v>
      </c>
      <c r="C251" s="4">
        <v>23</v>
      </c>
      <c r="D251" t="str">
        <f t="shared" si="4"/>
        <v>Gardenia Sup</v>
      </c>
    </row>
    <row r="252" spans="1:4" x14ac:dyDescent="0.25">
      <c r="A252" s="8">
        <v>41522</v>
      </c>
      <c r="B252" s="4" t="s">
        <v>722</v>
      </c>
      <c r="C252" s="4">
        <v>56</v>
      </c>
      <c r="D252" t="str">
        <f t="shared" si="4"/>
        <v>Battalion Sup</v>
      </c>
    </row>
    <row r="253" spans="1:4" x14ac:dyDescent="0.25">
      <c r="A253" s="8">
        <v>41612</v>
      </c>
      <c r="B253" s="4" t="s">
        <v>726</v>
      </c>
      <c r="C253" s="4">
        <v>55</v>
      </c>
      <c r="D253" t="str">
        <f t="shared" si="4"/>
        <v>Sioux Sup</v>
      </c>
    </row>
    <row r="254" spans="1:4" x14ac:dyDescent="0.25">
      <c r="A254" s="8">
        <v>41637</v>
      </c>
      <c r="B254" s="4" t="s">
        <v>725</v>
      </c>
      <c r="C254" s="4">
        <v>57</v>
      </c>
      <c r="D254" t="str">
        <f t="shared" si="4"/>
        <v>Phil Rad</v>
      </c>
    </row>
    <row r="255" spans="1:4" x14ac:dyDescent="0.25">
      <c r="A255" s="8">
        <v>41535</v>
      </c>
      <c r="B255" s="4" t="s">
        <v>728</v>
      </c>
      <c r="C255" s="4">
        <v>34</v>
      </c>
      <c r="D255" t="str">
        <f t="shared" si="4"/>
        <v>Gigi Cool</v>
      </c>
    </row>
    <row r="256" spans="1:4" x14ac:dyDescent="0.25">
      <c r="A256" s="8">
        <v>41582</v>
      </c>
      <c r="B256" s="4" t="s">
        <v>717</v>
      </c>
      <c r="C256" s="4">
        <v>27</v>
      </c>
      <c r="D256" t="str">
        <f t="shared" si="4"/>
        <v>Battalion Rad</v>
      </c>
    </row>
    <row r="257" spans="1:4" x14ac:dyDescent="0.25">
      <c r="A257" s="8">
        <v>41647</v>
      </c>
      <c r="B257" s="4" t="s">
        <v>727</v>
      </c>
      <c r="C257" s="4">
        <v>10</v>
      </c>
      <c r="D257" t="str">
        <f t="shared" si="4"/>
        <v>Phil Calm</v>
      </c>
    </row>
    <row r="258" spans="1:4" x14ac:dyDescent="0.25">
      <c r="A258" s="8">
        <v>41609</v>
      </c>
      <c r="B258" s="4" t="s">
        <v>726</v>
      </c>
      <c r="C258" s="4">
        <v>55</v>
      </c>
      <c r="D258" t="str">
        <f t="shared" si="4"/>
        <v>Sioux Sup</v>
      </c>
    </row>
    <row r="259" spans="1:4" x14ac:dyDescent="0.25">
      <c r="A259" s="8">
        <v>41599</v>
      </c>
      <c r="B259" s="4" t="s">
        <v>719</v>
      </c>
      <c r="C259" s="4">
        <v>30</v>
      </c>
      <c r="D259" t="str">
        <f t="shared" ref="D259:D322" si="5">TRIM(B259)</f>
        <v>Sioux Pretty</v>
      </c>
    </row>
    <row r="260" spans="1:4" x14ac:dyDescent="0.25">
      <c r="A260" s="8">
        <v>41513</v>
      </c>
      <c r="B260" s="4" t="s">
        <v>102</v>
      </c>
      <c r="C260" s="4">
        <v>39</v>
      </c>
      <c r="D260" t="str">
        <f t="shared" si="5"/>
        <v>Battalion Calm</v>
      </c>
    </row>
    <row r="261" spans="1:4" x14ac:dyDescent="0.25">
      <c r="A261" s="8">
        <v>41601</v>
      </c>
      <c r="B261" s="4" t="s">
        <v>102</v>
      </c>
      <c r="C261" s="4">
        <v>40</v>
      </c>
      <c r="D261" t="str">
        <f t="shared" si="5"/>
        <v>Battalion Calm</v>
      </c>
    </row>
    <row r="262" spans="1:4" x14ac:dyDescent="0.25">
      <c r="A262" s="8">
        <v>41570</v>
      </c>
      <c r="B262" s="4" t="s">
        <v>728</v>
      </c>
      <c r="C262" s="4">
        <v>48</v>
      </c>
      <c r="D262" t="str">
        <f t="shared" si="5"/>
        <v>Gigi Cool</v>
      </c>
    </row>
    <row r="263" spans="1:4" x14ac:dyDescent="0.25">
      <c r="A263" s="8">
        <v>41634</v>
      </c>
      <c r="B263" s="4" t="s">
        <v>712</v>
      </c>
      <c r="C263" s="4">
        <v>44</v>
      </c>
      <c r="D263" t="str">
        <f t="shared" si="5"/>
        <v>Phil Sup</v>
      </c>
    </row>
    <row r="264" spans="1:4" x14ac:dyDescent="0.25">
      <c r="A264" s="8">
        <v>41606</v>
      </c>
      <c r="B264" s="4" t="s">
        <v>719</v>
      </c>
      <c r="C264" s="4">
        <v>12</v>
      </c>
      <c r="D264" t="str">
        <f t="shared" si="5"/>
        <v>Sioux Pretty</v>
      </c>
    </row>
    <row r="265" spans="1:4" x14ac:dyDescent="0.25">
      <c r="A265" s="8">
        <v>41589</v>
      </c>
      <c r="B265" s="4" t="s">
        <v>721</v>
      </c>
      <c r="C265" s="4">
        <v>30</v>
      </c>
      <c r="D265" t="str">
        <f t="shared" si="5"/>
        <v>Battalion Cool</v>
      </c>
    </row>
    <row r="266" spans="1:4" x14ac:dyDescent="0.25">
      <c r="A266" s="8">
        <v>41634</v>
      </c>
      <c r="B266" s="4" t="s">
        <v>715</v>
      </c>
      <c r="C266" s="4">
        <v>15</v>
      </c>
      <c r="D266" t="str">
        <f t="shared" si="5"/>
        <v>Gardenia Rad</v>
      </c>
    </row>
    <row r="267" spans="1:4" x14ac:dyDescent="0.25">
      <c r="A267" s="8">
        <v>41515</v>
      </c>
      <c r="B267" s="4" t="s">
        <v>719</v>
      </c>
      <c r="C267" s="4">
        <v>59</v>
      </c>
      <c r="D267" t="str">
        <f t="shared" si="5"/>
        <v>Sioux Pretty</v>
      </c>
    </row>
    <row r="268" spans="1:4" x14ac:dyDescent="0.25">
      <c r="A268" s="8">
        <v>41542</v>
      </c>
      <c r="B268" s="4" t="s">
        <v>719</v>
      </c>
      <c r="C268" s="4">
        <v>56</v>
      </c>
      <c r="D268" t="str">
        <f t="shared" si="5"/>
        <v>Sioux Pretty</v>
      </c>
    </row>
    <row r="269" spans="1:4" x14ac:dyDescent="0.25">
      <c r="A269" s="8">
        <v>41556</v>
      </c>
      <c r="B269" s="4" t="s">
        <v>715</v>
      </c>
      <c r="C269" s="4">
        <v>55</v>
      </c>
      <c r="D269" t="str">
        <f t="shared" si="5"/>
        <v>Gardenia Rad</v>
      </c>
    </row>
    <row r="270" spans="1:4" x14ac:dyDescent="0.25">
      <c r="A270" s="8">
        <v>41540</v>
      </c>
      <c r="B270" s="4" t="s">
        <v>720</v>
      </c>
      <c r="C270" s="4">
        <v>21</v>
      </c>
      <c r="D270" t="str">
        <f t="shared" si="5"/>
        <v>Gardenia Calm</v>
      </c>
    </row>
    <row r="271" spans="1:4" x14ac:dyDescent="0.25">
      <c r="A271" s="8">
        <v>41647</v>
      </c>
      <c r="B271" s="4" t="s">
        <v>722</v>
      </c>
      <c r="C271" s="4">
        <v>16</v>
      </c>
      <c r="D271" t="str">
        <f t="shared" si="5"/>
        <v>Battalion Sup</v>
      </c>
    </row>
    <row r="272" spans="1:4" x14ac:dyDescent="0.25">
      <c r="A272" s="8">
        <v>41612</v>
      </c>
      <c r="B272" s="4" t="s">
        <v>722</v>
      </c>
      <c r="C272" s="4">
        <v>12</v>
      </c>
      <c r="D272" t="str">
        <f t="shared" si="5"/>
        <v>Battalion Sup</v>
      </c>
    </row>
    <row r="273" spans="1:4" x14ac:dyDescent="0.25">
      <c r="A273" s="8">
        <v>41616</v>
      </c>
      <c r="B273" s="4" t="s">
        <v>720</v>
      </c>
      <c r="C273" s="4">
        <v>47</v>
      </c>
      <c r="D273" t="str">
        <f t="shared" si="5"/>
        <v>Gardenia Calm</v>
      </c>
    </row>
    <row r="274" spans="1:4" x14ac:dyDescent="0.25">
      <c r="A274" s="8">
        <v>41553</v>
      </c>
      <c r="B274" s="4" t="s">
        <v>729</v>
      </c>
      <c r="C274" s="4">
        <v>26</v>
      </c>
      <c r="D274" t="str">
        <f t="shared" si="5"/>
        <v>Gardenia Sup</v>
      </c>
    </row>
    <row r="275" spans="1:4" x14ac:dyDescent="0.25">
      <c r="A275" s="8">
        <v>41645</v>
      </c>
      <c r="B275" s="4" t="s">
        <v>103</v>
      </c>
      <c r="C275" s="4">
        <v>18</v>
      </c>
      <c r="D275" t="str">
        <f t="shared" si="5"/>
        <v>Gardenia Pretty</v>
      </c>
    </row>
    <row r="276" spans="1:4" x14ac:dyDescent="0.25">
      <c r="A276" s="8">
        <v>41564</v>
      </c>
      <c r="B276" s="4" t="s">
        <v>717</v>
      </c>
      <c r="C276" s="4">
        <v>10</v>
      </c>
      <c r="D276" t="str">
        <f t="shared" si="5"/>
        <v>Battalion Rad</v>
      </c>
    </row>
    <row r="277" spans="1:4" x14ac:dyDescent="0.25">
      <c r="A277" s="8">
        <v>41555</v>
      </c>
      <c r="B277" s="4" t="s">
        <v>712</v>
      </c>
      <c r="C277" s="4">
        <v>56</v>
      </c>
      <c r="D277" t="str">
        <f t="shared" si="5"/>
        <v>Phil Sup</v>
      </c>
    </row>
    <row r="278" spans="1:4" x14ac:dyDescent="0.25">
      <c r="A278" s="8">
        <v>41532</v>
      </c>
      <c r="B278" s="4" t="s">
        <v>712</v>
      </c>
      <c r="C278" s="4">
        <v>38</v>
      </c>
      <c r="D278" t="str">
        <f t="shared" si="5"/>
        <v>Phil Sup</v>
      </c>
    </row>
    <row r="279" spans="1:4" x14ac:dyDescent="0.25">
      <c r="A279" s="8">
        <v>41582</v>
      </c>
      <c r="B279" s="4" t="s">
        <v>103</v>
      </c>
      <c r="C279" s="4">
        <v>54</v>
      </c>
      <c r="D279" t="str">
        <f t="shared" si="5"/>
        <v>Gardenia Pretty</v>
      </c>
    </row>
    <row r="280" spans="1:4" x14ac:dyDescent="0.25">
      <c r="A280" s="8">
        <v>41527</v>
      </c>
      <c r="B280" s="4" t="s">
        <v>727</v>
      </c>
      <c r="C280" s="4">
        <v>44</v>
      </c>
      <c r="D280" t="str">
        <f t="shared" si="5"/>
        <v>Phil Calm</v>
      </c>
    </row>
    <row r="281" spans="1:4" x14ac:dyDescent="0.25">
      <c r="A281" s="8">
        <v>41573</v>
      </c>
      <c r="B281" s="4" t="s">
        <v>725</v>
      </c>
      <c r="C281" s="4">
        <v>37</v>
      </c>
      <c r="D281" t="str">
        <f t="shared" si="5"/>
        <v>Phil Rad</v>
      </c>
    </row>
    <row r="282" spans="1:4" x14ac:dyDescent="0.25">
      <c r="A282" s="8">
        <v>41545</v>
      </c>
      <c r="B282" s="4" t="s">
        <v>716</v>
      </c>
      <c r="C282" s="4">
        <v>26</v>
      </c>
      <c r="D282" t="str">
        <f t="shared" si="5"/>
        <v>Battalion Pretty</v>
      </c>
    </row>
    <row r="283" spans="1:4" x14ac:dyDescent="0.25">
      <c r="A283" s="8">
        <v>41535</v>
      </c>
      <c r="B283" s="4" t="s">
        <v>710</v>
      </c>
      <c r="C283" s="4">
        <v>30</v>
      </c>
      <c r="D283" t="str">
        <f t="shared" si="5"/>
        <v>Gigi Pretty</v>
      </c>
    </row>
    <row r="284" spans="1:4" x14ac:dyDescent="0.25">
      <c r="A284" s="8">
        <v>41644</v>
      </c>
      <c r="B284" s="4" t="s">
        <v>723</v>
      </c>
      <c r="C284" s="4">
        <v>40</v>
      </c>
      <c r="D284" t="str">
        <f t="shared" si="5"/>
        <v>Gigi Calm</v>
      </c>
    </row>
    <row r="285" spans="1:4" x14ac:dyDescent="0.25">
      <c r="A285" s="8">
        <v>41642</v>
      </c>
      <c r="B285" s="4" t="s">
        <v>712</v>
      </c>
      <c r="C285" s="4">
        <v>25</v>
      </c>
      <c r="D285" t="str">
        <f t="shared" si="5"/>
        <v>Phil Sup</v>
      </c>
    </row>
    <row r="286" spans="1:4" x14ac:dyDescent="0.25">
      <c r="A286" s="8">
        <v>41549</v>
      </c>
      <c r="B286" s="4" t="s">
        <v>725</v>
      </c>
      <c r="C286" s="4">
        <v>10</v>
      </c>
      <c r="D286" t="str">
        <f t="shared" si="5"/>
        <v>Phil Rad</v>
      </c>
    </row>
    <row r="287" spans="1:4" x14ac:dyDescent="0.25">
      <c r="A287" s="8">
        <v>41526</v>
      </c>
      <c r="B287" s="4" t="s">
        <v>720</v>
      </c>
      <c r="C287" s="4">
        <v>42</v>
      </c>
      <c r="D287" t="str">
        <f t="shared" si="5"/>
        <v>Gardenia Calm</v>
      </c>
    </row>
    <row r="288" spans="1:4" x14ac:dyDescent="0.25">
      <c r="A288" s="8">
        <v>41524</v>
      </c>
      <c r="B288" s="4" t="s">
        <v>726</v>
      </c>
      <c r="C288" s="4">
        <v>33</v>
      </c>
      <c r="D288" t="str">
        <f t="shared" si="5"/>
        <v>Sioux Sup</v>
      </c>
    </row>
    <row r="289" spans="1:4" x14ac:dyDescent="0.25">
      <c r="A289" s="8">
        <v>41639</v>
      </c>
      <c r="B289" s="4" t="s">
        <v>721</v>
      </c>
      <c r="C289" s="4">
        <v>38</v>
      </c>
      <c r="D289" t="str">
        <f t="shared" si="5"/>
        <v>Battalion Cool</v>
      </c>
    </row>
    <row r="290" spans="1:4" x14ac:dyDescent="0.25">
      <c r="A290" s="8">
        <v>41535</v>
      </c>
      <c r="B290" s="4" t="s">
        <v>714</v>
      </c>
      <c r="C290" s="4">
        <v>53</v>
      </c>
      <c r="D290" t="str">
        <f t="shared" si="5"/>
        <v>Gigi Rad</v>
      </c>
    </row>
    <row r="291" spans="1:4" x14ac:dyDescent="0.25">
      <c r="A291" s="8">
        <v>41556</v>
      </c>
      <c r="B291" s="4" t="s">
        <v>103</v>
      </c>
      <c r="C291" s="4">
        <v>25</v>
      </c>
      <c r="D291" t="str">
        <f t="shared" si="5"/>
        <v>Gardenia Pretty</v>
      </c>
    </row>
    <row r="292" spans="1:4" x14ac:dyDescent="0.25">
      <c r="A292" s="8">
        <v>41563</v>
      </c>
      <c r="B292" s="4" t="s">
        <v>100</v>
      </c>
      <c r="C292" s="4">
        <v>45</v>
      </c>
      <c r="D292" t="str">
        <f t="shared" si="5"/>
        <v>Phil Cool</v>
      </c>
    </row>
    <row r="293" spans="1:4" x14ac:dyDescent="0.25">
      <c r="A293" s="8">
        <v>41509</v>
      </c>
      <c r="B293" s="4" t="s">
        <v>720</v>
      </c>
      <c r="C293" s="4">
        <v>47</v>
      </c>
      <c r="D293" t="str">
        <f t="shared" si="5"/>
        <v>Gardenia Calm</v>
      </c>
    </row>
    <row r="294" spans="1:4" x14ac:dyDescent="0.25">
      <c r="A294" s="8">
        <v>41643</v>
      </c>
      <c r="B294" s="4" t="s">
        <v>721</v>
      </c>
      <c r="C294" s="4">
        <v>32</v>
      </c>
      <c r="D294" t="str">
        <f t="shared" si="5"/>
        <v>Battalion Cool</v>
      </c>
    </row>
    <row r="295" spans="1:4" x14ac:dyDescent="0.25">
      <c r="A295" s="8">
        <v>41552</v>
      </c>
      <c r="B295" s="4" t="s">
        <v>723</v>
      </c>
      <c r="C295" s="4">
        <v>19</v>
      </c>
      <c r="D295" t="str">
        <f t="shared" si="5"/>
        <v>Gigi Calm</v>
      </c>
    </row>
    <row r="296" spans="1:4" x14ac:dyDescent="0.25">
      <c r="A296" s="8">
        <v>41642</v>
      </c>
      <c r="B296" s="4" t="s">
        <v>724</v>
      </c>
      <c r="C296" s="4">
        <v>21</v>
      </c>
      <c r="D296" t="str">
        <f t="shared" si="5"/>
        <v>Phil Pretty</v>
      </c>
    </row>
    <row r="297" spans="1:4" x14ac:dyDescent="0.25">
      <c r="A297" s="8">
        <v>41621</v>
      </c>
      <c r="B297" s="4" t="s">
        <v>100</v>
      </c>
      <c r="C297" s="4">
        <v>43</v>
      </c>
      <c r="D297" t="str">
        <f t="shared" si="5"/>
        <v>Phil Cool</v>
      </c>
    </row>
    <row r="298" spans="1:4" x14ac:dyDescent="0.25">
      <c r="A298" s="8">
        <v>41619</v>
      </c>
      <c r="B298" s="4" t="s">
        <v>716</v>
      </c>
      <c r="C298" s="4">
        <v>25</v>
      </c>
      <c r="D298" t="str">
        <f t="shared" si="5"/>
        <v>Battalion Pretty</v>
      </c>
    </row>
    <row r="299" spans="1:4" x14ac:dyDescent="0.25">
      <c r="A299" s="8">
        <v>41590</v>
      </c>
      <c r="B299" s="4" t="s">
        <v>722</v>
      </c>
      <c r="C299" s="4">
        <v>51</v>
      </c>
      <c r="D299" t="str">
        <f t="shared" si="5"/>
        <v>Battalion Sup</v>
      </c>
    </row>
    <row r="300" spans="1:4" x14ac:dyDescent="0.25">
      <c r="A300" s="8">
        <v>41567</v>
      </c>
      <c r="B300" s="4" t="s">
        <v>723</v>
      </c>
      <c r="C300" s="4">
        <v>11</v>
      </c>
      <c r="D300" t="str">
        <f t="shared" si="5"/>
        <v>Gigi Calm</v>
      </c>
    </row>
    <row r="301" spans="1:4" x14ac:dyDescent="0.25">
      <c r="A301" s="8">
        <v>41629</v>
      </c>
      <c r="B301" s="4" t="s">
        <v>728</v>
      </c>
      <c r="C301" s="4">
        <v>54</v>
      </c>
      <c r="D301" t="str">
        <f t="shared" si="5"/>
        <v>Gigi Cool</v>
      </c>
    </row>
    <row r="302" spans="1:4" x14ac:dyDescent="0.25">
      <c r="A302" s="8">
        <v>41589</v>
      </c>
      <c r="B302" s="4" t="s">
        <v>715</v>
      </c>
      <c r="C302" s="4">
        <v>46</v>
      </c>
      <c r="D302" t="str">
        <f t="shared" si="5"/>
        <v>Gardenia Rad</v>
      </c>
    </row>
    <row r="303" spans="1:4" x14ac:dyDescent="0.25">
      <c r="A303" s="8">
        <v>41501</v>
      </c>
      <c r="B303" s="4" t="s">
        <v>100</v>
      </c>
      <c r="C303" s="4">
        <v>23</v>
      </c>
      <c r="D303" t="str">
        <f t="shared" si="5"/>
        <v>Phil Cool</v>
      </c>
    </row>
    <row r="304" spans="1:4" x14ac:dyDescent="0.25">
      <c r="A304" s="8">
        <v>41555</v>
      </c>
      <c r="B304" s="4" t="s">
        <v>718</v>
      </c>
      <c r="C304" s="4">
        <v>25</v>
      </c>
      <c r="D304" t="str">
        <f t="shared" si="5"/>
        <v>Sioux Cool</v>
      </c>
    </row>
    <row r="305" spans="1:4" x14ac:dyDescent="0.25">
      <c r="A305" s="8">
        <v>41539</v>
      </c>
      <c r="B305" s="4" t="s">
        <v>712</v>
      </c>
      <c r="C305" s="4">
        <v>21</v>
      </c>
      <c r="D305" t="str">
        <f t="shared" si="5"/>
        <v>Phil Sup</v>
      </c>
    </row>
    <row r="306" spans="1:4" x14ac:dyDescent="0.25">
      <c r="A306" s="8">
        <v>41513</v>
      </c>
      <c r="B306" s="4" t="s">
        <v>713</v>
      </c>
      <c r="C306" s="4">
        <v>19</v>
      </c>
      <c r="D306" t="str">
        <f t="shared" si="5"/>
        <v>Gardenia Cool</v>
      </c>
    </row>
    <row r="307" spans="1:4" x14ac:dyDescent="0.25">
      <c r="A307" s="8">
        <v>41584</v>
      </c>
      <c r="B307" s="4" t="s">
        <v>713</v>
      </c>
      <c r="C307" s="4">
        <v>40</v>
      </c>
      <c r="D307" t="str">
        <f t="shared" si="5"/>
        <v>Gardenia Cool</v>
      </c>
    </row>
    <row r="308" spans="1:4" x14ac:dyDescent="0.25">
      <c r="A308" s="8">
        <v>41524</v>
      </c>
      <c r="B308" s="4" t="s">
        <v>726</v>
      </c>
      <c r="C308" s="4">
        <v>32</v>
      </c>
      <c r="D308" t="str">
        <f t="shared" si="5"/>
        <v>Sioux Sup</v>
      </c>
    </row>
    <row r="309" spans="1:4" x14ac:dyDescent="0.25">
      <c r="A309" s="8">
        <v>41633</v>
      </c>
      <c r="B309" s="4" t="s">
        <v>720</v>
      </c>
      <c r="C309" s="4">
        <v>34</v>
      </c>
      <c r="D309" t="str">
        <f t="shared" si="5"/>
        <v>Gardenia Calm</v>
      </c>
    </row>
    <row r="310" spans="1:4" x14ac:dyDescent="0.25">
      <c r="A310" s="8">
        <v>41563</v>
      </c>
      <c r="B310" s="4" t="s">
        <v>724</v>
      </c>
      <c r="C310" s="4">
        <v>32</v>
      </c>
      <c r="D310" t="str">
        <f t="shared" si="5"/>
        <v>Phil Pretty</v>
      </c>
    </row>
    <row r="311" spans="1:4" x14ac:dyDescent="0.25">
      <c r="A311" s="8">
        <v>41537</v>
      </c>
      <c r="B311" s="4" t="s">
        <v>726</v>
      </c>
      <c r="C311" s="4">
        <v>20</v>
      </c>
      <c r="D311" t="str">
        <f t="shared" si="5"/>
        <v>Sioux Sup</v>
      </c>
    </row>
    <row r="312" spans="1:4" x14ac:dyDescent="0.25">
      <c r="A312" s="8">
        <v>41504</v>
      </c>
      <c r="B312" s="4" t="s">
        <v>717</v>
      </c>
      <c r="C312" s="4">
        <v>40</v>
      </c>
      <c r="D312" t="str">
        <f t="shared" si="5"/>
        <v>Battalion Rad</v>
      </c>
    </row>
    <row r="313" spans="1:4" x14ac:dyDescent="0.25">
      <c r="A313" s="8">
        <v>41564</v>
      </c>
      <c r="B313" s="4" t="s">
        <v>712</v>
      </c>
      <c r="C313" s="4">
        <v>43</v>
      </c>
      <c r="D313" t="str">
        <f t="shared" si="5"/>
        <v>Phil Sup</v>
      </c>
    </row>
    <row r="314" spans="1:4" x14ac:dyDescent="0.25">
      <c r="A314" s="8">
        <v>41628</v>
      </c>
      <c r="B314" s="4" t="s">
        <v>724</v>
      </c>
      <c r="C314" s="4">
        <v>20</v>
      </c>
      <c r="D314" t="str">
        <f t="shared" si="5"/>
        <v>Phil Pretty</v>
      </c>
    </row>
    <row r="315" spans="1:4" x14ac:dyDescent="0.25">
      <c r="A315" s="8">
        <v>41557</v>
      </c>
      <c r="B315" s="4" t="s">
        <v>713</v>
      </c>
      <c r="C315" s="4">
        <v>49</v>
      </c>
      <c r="D315" t="str">
        <f t="shared" si="5"/>
        <v>Gardenia Cool</v>
      </c>
    </row>
    <row r="316" spans="1:4" x14ac:dyDescent="0.25">
      <c r="A316" s="8">
        <v>41599</v>
      </c>
      <c r="B316" s="4" t="s">
        <v>103</v>
      </c>
      <c r="C316" s="4">
        <v>21</v>
      </c>
      <c r="D316" t="str">
        <f t="shared" si="5"/>
        <v>Gardenia Pretty</v>
      </c>
    </row>
    <row r="317" spans="1:4" x14ac:dyDescent="0.25">
      <c r="A317" s="8">
        <v>41612</v>
      </c>
      <c r="B317" s="4" t="s">
        <v>713</v>
      </c>
      <c r="C317" s="4">
        <v>31</v>
      </c>
      <c r="D317" t="str">
        <f t="shared" si="5"/>
        <v>Gardenia Cool</v>
      </c>
    </row>
    <row r="318" spans="1:4" x14ac:dyDescent="0.25">
      <c r="A318" s="8">
        <v>41588</v>
      </c>
      <c r="B318" s="4" t="s">
        <v>725</v>
      </c>
      <c r="C318" s="4">
        <v>16</v>
      </c>
      <c r="D318" t="str">
        <f t="shared" si="5"/>
        <v>Phil Rad</v>
      </c>
    </row>
    <row r="319" spans="1:4" x14ac:dyDescent="0.25">
      <c r="A319" s="8">
        <v>41556</v>
      </c>
      <c r="B319" s="4" t="s">
        <v>723</v>
      </c>
      <c r="C319" s="4">
        <v>47</v>
      </c>
      <c r="D319" t="str">
        <f t="shared" si="5"/>
        <v>Gigi Calm</v>
      </c>
    </row>
    <row r="320" spans="1:4" x14ac:dyDescent="0.25">
      <c r="A320" s="8">
        <v>41571</v>
      </c>
      <c r="B320" s="4" t="s">
        <v>712</v>
      </c>
      <c r="C320" s="4">
        <v>44</v>
      </c>
      <c r="D320" t="str">
        <f t="shared" si="5"/>
        <v>Phil Sup</v>
      </c>
    </row>
    <row r="321" spans="1:4" x14ac:dyDescent="0.25">
      <c r="A321" s="8">
        <v>41609</v>
      </c>
      <c r="B321" s="4" t="s">
        <v>725</v>
      </c>
      <c r="C321" s="4">
        <v>56</v>
      </c>
      <c r="D321" t="str">
        <f t="shared" si="5"/>
        <v>Phil Rad</v>
      </c>
    </row>
    <row r="322" spans="1:4" x14ac:dyDescent="0.25">
      <c r="A322" s="8">
        <v>41547</v>
      </c>
      <c r="B322" s="4" t="s">
        <v>724</v>
      </c>
      <c r="C322" s="4">
        <v>31</v>
      </c>
      <c r="D322" t="str">
        <f t="shared" si="5"/>
        <v>Phil Pretty</v>
      </c>
    </row>
    <row r="323" spans="1:4" x14ac:dyDescent="0.25">
      <c r="A323" s="8">
        <v>41602</v>
      </c>
      <c r="B323" s="4" t="s">
        <v>728</v>
      </c>
      <c r="C323" s="4">
        <v>11</v>
      </c>
      <c r="D323" t="str">
        <f t="shared" ref="D323:D386" si="6">TRIM(B323)</f>
        <v>Gigi Cool</v>
      </c>
    </row>
    <row r="324" spans="1:4" x14ac:dyDescent="0.25">
      <c r="A324" s="8">
        <v>41604</v>
      </c>
      <c r="B324" s="4" t="s">
        <v>103</v>
      </c>
      <c r="C324" s="4">
        <v>31</v>
      </c>
      <c r="D324" t="str">
        <f t="shared" si="6"/>
        <v>Gardenia Pretty</v>
      </c>
    </row>
    <row r="325" spans="1:4" x14ac:dyDescent="0.25">
      <c r="A325" s="8">
        <v>41648</v>
      </c>
      <c r="B325" s="4" t="s">
        <v>718</v>
      </c>
      <c r="C325" s="4">
        <v>53</v>
      </c>
      <c r="D325" t="str">
        <f t="shared" si="6"/>
        <v>Sioux Cool</v>
      </c>
    </row>
    <row r="326" spans="1:4" x14ac:dyDescent="0.25">
      <c r="A326" s="8">
        <v>41592</v>
      </c>
      <c r="B326" s="4" t="s">
        <v>718</v>
      </c>
      <c r="C326" s="4">
        <v>16</v>
      </c>
      <c r="D326" t="str">
        <f t="shared" si="6"/>
        <v>Sioux Cool</v>
      </c>
    </row>
    <row r="327" spans="1:4" x14ac:dyDescent="0.25">
      <c r="A327" s="8">
        <v>41617</v>
      </c>
      <c r="B327" s="4" t="s">
        <v>714</v>
      </c>
      <c r="C327" s="4">
        <v>48</v>
      </c>
      <c r="D327" t="str">
        <f t="shared" si="6"/>
        <v>Gigi Rad</v>
      </c>
    </row>
    <row r="328" spans="1:4" x14ac:dyDescent="0.25">
      <c r="A328" s="8">
        <v>41507</v>
      </c>
      <c r="B328" s="4" t="s">
        <v>724</v>
      </c>
      <c r="C328" s="4">
        <v>46</v>
      </c>
      <c r="D328" t="str">
        <f t="shared" si="6"/>
        <v>Phil Pretty</v>
      </c>
    </row>
    <row r="329" spans="1:4" x14ac:dyDescent="0.25">
      <c r="A329" s="8">
        <v>41522</v>
      </c>
      <c r="B329" s="4" t="s">
        <v>727</v>
      </c>
      <c r="C329" s="4">
        <v>22</v>
      </c>
      <c r="D329" t="str">
        <f t="shared" si="6"/>
        <v>Phil Calm</v>
      </c>
    </row>
    <row r="330" spans="1:4" x14ac:dyDescent="0.25">
      <c r="A330" s="8">
        <v>41593</v>
      </c>
      <c r="B330" s="4" t="s">
        <v>718</v>
      </c>
      <c r="C330" s="4">
        <v>51</v>
      </c>
      <c r="D330" t="str">
        <f t="shared" si="6"/>
        <v>Sioux Cool</v>
      </c>
    </row>
    <row r="331" spans="1:4" x14ac:dyDescent="0.25">
      <c r="A331" s="8">
        <v>41520</v>
      </c>
      <c r="B331" s="4" t="s">
        <v>713</v>
      </c>
      <c r="C331" s="4">
        <v>45</v>
      </c>
      <c r="D331" t="str">
        <f t="shared" si="6"/>
        <v>Gardenia Cool</v>
      </c>
    </row>
    <row r="332" spans="1:4" x14ac:dyDescent="0.25">
      <c r="A332" s="8">
        <v>41599</v>
      </c>
      <c r="B332" s="4" t="s">
        <v>724</v>
      </c>
      <c r="C332" s="4">
        <v>11</v>
      </c>
      <c r="D332" t="str">
        <f t="shared" si="6"/>
        <v>Phil Pretty</v>
      </c>
    </row>
    <row r="333" spans="1:4" x14ac:dyDescent="0.25">
      <c r="A333" s="8">
        <v>41648</v>
      </c>
      <c r="B333" s="4" t="s">
        <v>712</v>
      </c>
      <c r="C333" s="4">
        <v>30</v>
      </c>
      <c r="D333" t="str">
        <f t="shared" si="6"/>
        <v>Phil Sup</v>
      </c>
    </row>
    <row r="334" spans="1:4" x14ac:dyDescent="0.25">
      <c r="A334" s="8">
        <v>41500</v>
      </c>
      <c r="B334" s="4" t="s">
        <v>716</v>
      </c>
      <c r="C334" s="4">
        <v>34</v>
      </c>
      <c r="D334" t="str">
        <f t="shared" si="6"/>
        <v>Battalion Pretty</v>
      </c>
    </row>
    <row r="335" spans="1:4" x14ac:dyDescent="0.25">
      <c r="A335" s="8">
        <v>41618</v>
      </c>
      <c r="B335" s="4" t="s">
        <v>723</v>
      </c>
      <c r="C335" s="4">
        <v>11</v>
      </c>
      <c r="D335" t="str">
        <f t="shared" si="6"/>
        <v>Gigi Calm</v>
      </c>
    </row>
    <row r="336" spans="1:4" x14ac:dyDescent="0.25">
      <c r="A336" s="8">
        <v>41542</v>
      </c>
      <c r="B336" s="4" t="s">
        <v>718</v>
      </c>
      <c r="C336" s="4">
        <v>21</v>
      </c>
      <c r="D336" t="str">
        <f t="shared" si="6"/>
        <v>Sioux Cool</v>
      </c>
    </row>
    <row r="337" spans="1:4" x14ac:dyDescent="0.25">
      <c r="A337" s="8">
        <v>41581</v>
      </c>
      <c r="B337" s="4" t="s">
        <v>729</v>
      </c>
      <c r="C337" s="4">
        <v>12</v>
      </c>
      <c r="D337" t="str">
        <f t="shared" si="6"/>
        <v>Gardenia Sup</v>
      </c>
    </row>
    <row r="338" spans="1:4" x14ac:dyDescent="0.25">
      <c r="A338" s="8">
        <v>41601</v>
      </c>
      <c r="B338" s="4" t="s">
        <v>715</v>
      </c>
      <c r="C338" s="4">
        <v>53</v>
      </c>
      <c r="D338" t="str">
        <f t="shared" si="6"/>
        <v>Gardenia Rad</v>
      </c>
    </row>
    <row r="339" spans="1:4" x14ac:dyDescent="0.25">
      <c r="A339" s="8">
        <v>41568</v>
      </c>
      <c r="B339" s="4" t="s">
        <v>721</v>
      </c>
      <c r="C339" s="4">
        <v>40</v>
      </c>
      <c r="D339" t="str">
        <f t="shared" si="6"/>
        <v>Battalion Cool</v>
      </c>
    </row>
    <row r="340" spans="1:4" x14ac:dyDescent="0.25">
      <c r="A340" s="8">
        <v>41543</v>
      </c>
      <c r="B340" s="4" t="s">
        <v>711</v>
      </c>
      <c r="C340" s="4">
        <v>52</v>
      </c>
      <c r="D340" t="str">
        <f t="shared" si="6"/>
        <v>Sioux Calm</v>
      </c>
    </row>
    <row r="341" spans="1:4" x14ac:dyDescent="0.25">
      <c r="A341" s="8">
        <v>41504</v>
      </c>
      <c r="B341" s="4" t="s">
        <v>720</v>
      </c>
      <c r="C341" s="4">
        <v>22</v>
      </c>
      <c r="D341" t="str">
        <f t="shared" si="6"/>
        <v>Gardenia Calm</v>
      </c>
    </row>
    <row r="342" spans="1:4" x14ac:dyDescent="0.25">
      <c r="A342" s="8">
        <v>41628</v>
      </c>
      <c r="B342" s="4" t="s">
        <v>724</v>
      </c>
      <c r="C342" s="4">
        <v>24</v>
      </c>
      <c r="D342" t="str">
        <f t="shared" si="6"/>
        <v>Phil Pretty</v>
      </c>
    </row>
    <row r="343" spans="1:4" x14ac:dyDescent="0.25">
      <c r="A343" s="8">
        <v>41631</v>
      </c>
      <c r="B343" s="4" t="s">
        <v>720</v>
      </c>
      <c r="C343" s="4">
        <v>31</v>
      </c>
      <c r="D343" t="str">
        <f t="shared" si="6"/>
        <v>Gardenia Calm</v>
      </c>
    </row>
    <row r="344" spans="1:4" x14ac:dyDescent="0.25">
      <c r="A344" s="8">
        <v>41596</v>
      </c>
      <c r="B344" s="4" t="s">
        <v>721</v>
      </c>
      <c r="C344" s="4">
        <v>48</v>
      </c>
      <c r="D344" t="str">
        <f t="shared" si="6"/>
        <v>Battalion Cool</v>
      </c>
    </row>
    <row r="345" spans="1:4" x14ac:dyDescent="0.25">
      <c r="A345" s="8">
        <v>41650</v>
      </c>
      <c r="B345" s="4" t="s">
        <v>102</v>
      </c>
      <c r="C345" s="4">
        <v>41</v>
      </c>
      <c r="D345" t="str">
        <f t="shared" si="6"/>
        <v>Battalion Calm</v>
      </c>
    </row>
    <row r="346" spans="1:4" x14ac:dyDescent="0.25">
      <c r="A346" s="8">
        <v>41570</v>
      </c>
      <c r="B346" s="4" t="s">
        <v>726</v>
      </c>
      <c r="C346" s="4">
        <v>52</v>
      </c>
      <c r="D346" t="str">
        <f t="shared" si="6"/>
        <v>Sioux Sup</v>
      </c>
    </row>
    <row r="347" spans="1:4" x14ac:dyDescent="0.25">
      <c r="A347" s="8">
        <v>41642</v>
      </c>
      <c r="B347" s="4" t="s">
        <v>103</v>
      </c>
      <c r="C347" s="4">
        <v>34</v>
      </c>
      <c r="D347" t="str">
        <f t="shared" si="6"/>
        <v>Gardenia Pretty</v>
      </c>
    </row>
    <row r="348" spans="1:4" x14ac:dyDescent="0.25">
      <c r="A348" s="8">
        <v>41594</v>
      </c>
      <c r="B348" s="4" t="s">
        <v>711</v>
      </c>
      <c r="C348" s="4">
        <v>57</v>
      </c>
      <c r="D348" t="str">
        <f t="shared" si="6"/>
        <v>Sioux Calm</v>
      </c>
    </row>
    <row r="349" spans="1:4" x14ac:dyDescent="0.25">
      <c r="A349" s="8">
        <v>41577</v>
      </c>
      <c r="B349" s="4" t="s">
        <v>722</v>
      </c>
      <c r="C349" s="4">
        <v>21</v>
      </c>
      <c r="D349" t="str">
        <f t="shared" si="6"/>
        <v>Battalion Sup</v>
      </c>
    </row>
    <row r="350" spans="1:4" x14ac:dyDescent="0.25">
      <c r="A350" s="8">
        <v>41577</v>
      </c>
      <c r="B350" s="4" t="s">
        <v>102</v>
      </c>
      <c r="C350" s="4">
        <v>51</v>
      </c>
      <c r="D350" t="str">
        <f t="shared" si="6"/>
        <v>Battalion Calm</v>
      </c>
    </row>
    <row r="351" spans="1:4" x14ac:dyDescent="0.25">
      <c r="A351" s="8">
        <v>41589</v>
      </c>
      <c r="B351" s="4" t="s">
        <v>725</v>
      </c>
      <c r="C351" s="4">
        <v>11</v>
      </c>
      <c r="D351" t="str">
        <f t="shared" si="6"/>
        <v>Phil Rad</v>
      </c>
    </row>
    <row r="352" spans="1:4" x14ac:dyDescent="0.25">
      <c r="A352" s="8">
        <v>41510</v>
      </c>
      <c r="B352" s="4" t="s">
        <v>719</v>
      </c>
      <c r="C352" s="4">
        <v>35</v>
      </c>
      <c r="D352" t="str">
        <f t="shared" si="6"/>
        <v>Sioux Pretty</v>
      </c>
    </row>
    <row r="353" spans="1:4" x14ac:dyDescent="0.25">
      <c r="A353" s="8">
        <v>41528</v>
      </c>
      <c r="B353" s="4" t="s">
        <v>728</v>
      </c>
      <c r="C353" s="4">
        <v>24</v>
      </c>
      <c r="D353" t="str">
        <f t="shared" si="6"/>
        <v>Gigi Cool</v>
      </c>
    </row>
    <row r="354" spans="1:4" x14ac:dyDescent="0.25">
      <c r="A354" s="8">
        <v>41564</v>
      </c>
      <c r="B354" s="4" t="s">
        <v>715</v>
      </c>
      <c r="C354" s="4">
        <v>11</v>
      </c>
      <c r="D354" t="str">
        <f t="shared" si="6"/>
        <v>Gardenia Rad</v>
      </c>
    </row>
    <row r="355" spans="1:4" x14ac:dyDescent="0.25">
      <c r="A355" s="8">
        <v>41612</v>
      </c>
      <c r="B355" s="4" t="s">
        <v>711</v>
      </c>
      <c r="C355" s="4">
        <v>21</v>
      </c>
      <c r="D355" t="str">
        <f t="shared" si="6"/>
        <v>Sioux Calm</v>
      </c>
    </row>
    <row r="356" spans="1:4" x14ac:dyDescent="0.25">
      <c r="A356" s="8">
        <v>41649</v>
      </c>
      <c r="B356" s="4" t="s">
        <v>102</v>
      </c>
      <c r="C356" s="4">
        <v>22</v>
      </c>
      <c r="D356" t="str">
        <f t="shared" si="6"/>
        <v>Battalion Calm</v>
      </c>
    </row>
    <row r="357" spans="1:4" x14ac:dyDescent="0.25">
      <c r="A357" s="8">
        <v>41602</v>
      </c>
      <c r="B357" s="4" t="s">
        <v>710</v>
      </c>
      <c r="C357" s="4">
        <v>28</v>
      </c>
      <c r="D357" t="str">
        <f t="shared" si="6"/>
        <v>Gigi Pretty</v>
      </c>
    </row>
    <row r="358" spans="1:4" x14ac:dyDescent="0.25">
      <c r="A358" s="8">
        <v>41520</v>
      </c>
      <c r="B358" s="4" t="s">
        <v>729</v>
      </c>
      <c r="C358" s="4">
        <v>28</v>
      </c>
      <c r="D358" t="str">
        <f t="shared" si="6"/>
        <v>Gardenia Sup</v>
      </c>
    </row>
    <row r="359" spans="1:4" x14ac:dyDescent="0.25">
      <c r="A359" s="8">
        <v>41647</v>
      </c>
      <c r="B359" s="4" t="s">
        <v>712</v>
      </c>
      <c r="C359" s="4">
        <v>22</v>
      </c>
      <c r="D359" t="str">
        <f t="shared" si="6"/>
        <v>Phil Sup</v>
      </c>
    </row>
    <row r="360" spans="1:4" x14ac:dyDescent="0.25">
      <c r="A360" s="8">
        <v>41645</v>
      </c>
      <c r="B360" s="4" t="s">
        <v>99</v>
      </c>
      <c r="C360" s="4">
        <v>12</v>
      </c>
      <c r="D360" t="str">
        <f t="shared" si="6"/>
        <v>Sioux Rad</v>
      </c>
    </row>
    <row r="361" spans="1:4" x14ac:dyDescent="0.25">
      <c r="A361" s="8">
        <v>41584</v>
      </c>
      <c r="B361" s="4" t="s">
        <v>717</v>
      </c>
      <c r="C361" s="4">
        <v>11</v>
      </c>
      <c r="D361" t="str">
        <f t="shared" si="6"/>
        <v>Battalion Rad</v>
      </c>
    </row>
    <row r="362" spans="1:4" x14ac:dyDescent="0.25">
      <c r="A362" s="8">
        <v>41523</v>
      </c>
      <c r="B362" s="4" t="s">
        <v>99</v>
      </c>
      <c r="C362" s="4">
        <v>15</v>
      </c>
      <c r="D362" t="str">
        <f t="shared" si="6"/>
        <v>Sioux Rad</v>
      </c>
    </row>
    <row r="363" spans="1:4" x14ac:dyDescent="0.25">
      <c r="A363" s="8">
        <v>41555</v>
      </c>
      <c r="B363" s="4" t="s">
        <v>720</v>
      </c>
      <c r="C363" s="4">
        <v>41</v>
      </c>
      <c r="D363" t="str">
        <f t="shared" si="6"/>
        <v>Gardenia Calm</v>
      </c>
    </row>
    <row r="364" spans="1:4" x14ac:dyDescent="0.25">
      <c r="A364" s="8">
        <v>41600</v>
      </c>
      <c r="B364" s="4" t="s">
        <v>100</v>
      </c>
      <c r="C364" s="4">
        <v>36</v>
      </c>
      <c r="D364" t="str">
        <f t="shared" si="6"/>
        <v>Phil Cool</v>
      </c>
    </row>
    <row r="365" spans="1:4" x14ac:dyDescent="0.25">
      <c r="A365" s="8">
        <v>41630</v>
      </c>
      <c r="B365" s="4" t="s">
        <v>726</v>
      </c>
      <c r="C365" s="4">
        <v>39</v>
      </c>
      <c r="D365" t="str">
        <f t="shared" si="6"/>
        <v>Sioux Sup</v>
      </c>
    </row>
    <row r="366" spans="1:4" x14ac:dyDescent="0.25">
      <c r="A366" s="8">
        <v>41618</v>
      </c>
      <c r="B366" s="4" t="s">
        <v>100</v>
      </c>
      <c r="C366" s="4">
        <v>10</v>
      </c>
      <c r="D366" t="str">
        <f t="shared" si="6"/>
        <v>Phil Cool</v>
      </c>
    </row>
    <row r="367" spans="1:4" x14ac:dyDescent="0.25">
      <c r="A367" s="8">
        <v>41586</v>
      </c>
      <c r="B367" s="4" t="s">
        <v>716</v>
      </c>
      <c r="C367" s="4">
        <v>34</v>
      </c>
      <c r="D367" t="str">
        <f t="shared" si="6"/>
        <v>Battalion Pretty</v>
      </c>
    </row>
    <row r="368" spans="1:4" x14ac:dyDescent="0.25">
      <c r="A368" s="8">
        <v>41577</v>
      </c>
      <c r="B368" s="4" t="s">
        <v>101</v>
      </c>
      <c r="C368" s="4">
        <v>15</v>
      </c>
      <c r="D368" t="str">
        <f t="shared" si="6"/>
        <v>Gigi Sup</v>
      </c>
    </row>
    <row r="369" spans="1:4" x14ac:dyDescent="0.25">
      <c r="A369" s="8">
        <v>41575</v>
      </c>
      <c r="B369" s="4" t="s">
        <v>99</v>
      </c>
      <c r="C369" s="4">
        <v>24</v>
      </c>
      <c r="D369" t="str">
        <f t="shared" si="6"/>
        <v>Sioux Rad</v>
      </c>
    </row>
    <row r="370" spans="1:4" x14ac:dyDescent="0.25">
      <c r="A370" s="8">
        <v>41595</v>
      </c>
      <c r="B370" s="4" t="s">
        <v>716</v>
      </c>
      <c r="C370" s="4">
        <v>56</v>
      </c>
      <c r="D370" t="str">
        <f t="shared" si="6"/>
        <v>Battalion Pretty</v>
      </c>
    </row>
    <row r="371" spans="1:4" x14ac:dyDescent="0.25">
      <c r="A371" s="8">
        <v>41621</v>
      </c>
      <c r="B371" s="4" t="s">
        <v>722</v>
      </c>
      <c r="C371" s="4">
        <v>27</v>
      </c>
      <c r="D371" t="str">
        <f t="shared" si="6"/>
        <v>Battalion Sup</v>
      </c>
    </row>
    <row r="372" spans="1:4" x14ac:dyDescent="0.25">
      <c r="A372" s="8">
        <v>41612</v>
      </c>
      <c r="B372" s="4" t="s">
        <v>102</v>
      </c>
      <c r="C372" s="4">
        <v>16</v>
      </c>
      <c r="D372" t="str">
        <f t="shared" si="6"/>
        <v>Battalion Calm</v>
      </c>
    </row>
    <row r="373" spans="1:4" x14ac:dyDescent="0.25">
      <c r="A373" s="8">
        <v>41605</v>
      </c>
      <c r="B373" s="4" t="s">
        <v>101</v>
      </c>
      <c r="C373" s="4">
        <v>32</v>
      </c>
      <c r="D373" t="str">
        <f t="shared" si="6"/>
        <v>Gigi Sup</v>
      </c>
    </row>
    <row r="374" spans="1:4" x14ac:dyDescent="0.25">
      <c r="A374" s="8">
        <v>41543</v>
      </c>
      <c r="B374" s="4" t="s">
        <v>713</v>
      </c>
      <c r="C374" s="4">
        <v>49</v>
      </c>
      <c r="D374" t="str">
        <f t="shared" si="6"/>
        <v>Gardenia Cool</v>
      </c>
    </row>
    <row r="375" spans="1:4" x14ac:dyDescent="0.25">
      <c r="A375" s="8">
        <v>41614</v>
      </c>
      <c r="B375" s="4" t="s">
        <v>722</v>
      </c>
      <c r="C375" s="4">
        <v>23</v>
      </c>
      <c r="D375" t="str">
        <f t="shared" si="6"/>
        <v>Battalion Sup</v>
      </c>
    </row>
    <row r="376" spans="1:4" x14ac:dyDescent="0.25">
      <c r="A376" s="8">
        <v>41636</v>
      </c>
      <c r="B376" s="4" t="s">
        <v>714</v>
      </c>
      <c r="C376" s="4">
        <v>10</v>
      </c>
      <c r="D376" t="str">
        <f t="shared" si="6"/>
        <v>Gigi Rad</v>
      </c>
    </row>
    <row r="377" spans="1:4" x14ac:dyDescent="0.25">
      <c r="A377" s="8">
        <v>41592</v>
      </c>
      <c r="B377" s="4" t="s">
        <v>717</v>
      </c>
      <c r="C377" s="4">
        <v>59</v>
      </c>
      <c r="D377" t="str">
        <f t="shared" si="6"/>
        <v>Battalion Rad</v>
      </c>
    </row>
    <row r="378" spans="1:4" x14ac:dyDescent="0.25">
      <c r="A378" s="8">
        <v>41566</v>
      </c>
      <c r="B378" s="4" t="s">
        <v>723</v>
      </c>
      <c r="C378" s="4">
        <v>51</v>
      </c>
      <c r="D378" t="str">
        <f t="shared" si="6"/>
        <v>Gigi Calm</v>
      </c>
    </row>
    <row r="379" spans="1:4" x14ac:dyDescent="0.25">
      <c r="A379" s="8">
        <v>41588</v>
      </c>
      <c r="B379" s="4" t="s">
        <v>721</v>
      </c>
      <c r="C379" s="4">
        <v>18</v>
      </c>
      <c r="D379" t="str">
        <f t="shared" si="6"/>
        <v>Battalion Cool</v>
      </c>
    </row>
    <row r="380" spans="1:4" x14ac:dyDescent="0.25">
      <c r="A380" s="8">
        <v>41572</v>
      </c>
      <c r="B380" s="4" t="s">
        <v>99</v>
      </c>
      <c r="C380" s="4">
        <v>36</v>
      </c>
      <c r="D380" t="str">
        <f t="shared" si="6"/>
        <v>Sioux Rad</v>
      </c>
    </row>
    <row r="381" spans="1:4" x14ac:dyDescent="0.25">
      <c r="A381" s="8">
        <v>41598</v>
      </c>
      <c r="B381" s="4" t="s">
        <v>724</v>
      </c>
      <c r="C381" s="4">
        <v>43</v>
      </c>
      <c r="D381" t="str">
        <f t="shared" si="6"/>
        <v>Phil Pretty</v>
      </c>
    </row>
    <row r="382" spans="1:4" x14ac:dyDescent="0.25">
      <c r="A382" s="8">
        <v>41519</v>
      </c>
      <c r="B382" s="4" t="s">
        <v>724</v>
      </c>
      <c r="C382" s="4">
        <v>55</v>
      </c>
      <c r="D382" t="str">
        <f t="shared" si="6"/>
        <v>Phil Pretty</v>
      </c>
    </row>
    <row r="383" spans="1:4" x14ac:dyDescent="0.25">
      <c r="A383" s="8">
        <v>41534</v>
      </c>
      <c r="B383" s="4" t="s">
        <v>723</v>
      </c>
      <c r="C383" s="4">
        <v>50</v>
      </c>
      <c r="D383" t="str">
        <f t="shared" si="6"/>
        <v>Gigi Calm</v>
      </c>
    </row>
    <row r="384" spans="1:4" x14ac:dyDescent="0.25">
      <c r="A384" s="8">
        <v>41634</v>
      </c>
      <c r="B384" s="4" t="s">
        <v>713</v>
      </c>
      <c r="C384" s="4">
        <v>49</v>
      </c>
      <c r="D384" t="str">
        <f t="shared" si="6"/>
        <v>Gardenia Cool</v>
      </c>
    </row>
    <row r="385" spans="1:4" x14ac:dyDescent="0.25">
      <c r="A385" s="8">
        <v>41616</v>
      </c>
      <c r="B385" s="4" t="s">
        <v>710</v>
      </c>
      <c r="C385" s="4">
        <v>34</v>
      </c>
      <c r="D385" t="str">
        <f t="shared" si="6"/>
        <v>Gigi Pretty</v>
      </c>
    </row>
    <row r="386" spans="1:4" x14ac:dyDescent="0.25">
      <c r="A386" s="8">
        <v>41505</v>
      </c>
      <c r="B386" s="4" t="s">
        <v>99</v>
      </c>
      <c r="C386" s="4">
        <v>43</v>
      </c>
      <c r="D386" t="str">
        <f t="shared" si="6"/>
        <v>Sioux Rad</v>
      </c>
    </row>
    <row r="387" spans="1:4" x14ac:dyDescent="0.25">
      <c r="A387" s="8">
        <v>41576</v>
      </c>
      <c r="B387" s="4" t="s">
        <v>719</v>
      </c>
      <c r="C387" s="4">
        <v>50</v>
      </c>
      <c r="D387" t="str">
        <f t="shared" ref="D387:D450" si="7">TRIM(B387)</f>
        <v>Sioux Pretty</v>
      </c>
    </row>
    <row r="388" spans="1:4" x14ac:dyDescent="0.25">
      <c r="A388" s="8">
        <v>41639</v>
      </c>
      <c r="B388" s="4" t="s">
        <v>710</v>
      </c>
      <c r="C388" s="4">
        <v>42</v>
      </c>
      <c r="D388" t="str">
        <f t="shared" si="7"/>
        <v>Gigi Pretty</v>
      </c>
    </row>
    <row r="389" spans="1:4" x14ac:dyDescent="0.25">
      <c r="A389" s="8">
        <v>41560</v>
      </c>
      <c r="B389" s="4" t="s">
        <v>729</v>
      </c>
      <c r="C389" s="4">
        <v>40</v>
      </c>
      <c r="D389" t="str">
        <f t="shared" si="7"/>
        <v>Gardenia Sup</v>
      </c>
    </row>
    <row r="390" spans="1:4" x14ac:dyDescent="0.25">
      <c r="A390" s="8">
        <v>41607</v>
      </c>
      <c r="B390" s="4" t="s">
        <v>99</v>
      </c>
      <c r="C390" s="4">
        <v>48</v>
      </c>
      <c r="D390" t="str">
        <f t="shared" si="7"/>
        <v>Sioux Rad</v>
      </c>
    </row>
    <row r="391" spans="1:4" x14ac:dyDescent="0.25">
      <c r="A391" s="8">
        <v>41638</v>
      </c>
      <c r="B391" s="4" t="s">
        <v>720</v>
      </c>
      <c r="C391" s="4">
        <v>59</v>
      </c>
      <c r="D391" t="str">
        <f t="shared" si="7"/>
        <v>Gardenia Calm</v>
      </c>
    </row>
    <row r="392" spans="1:4" x14ac:dyDescent="0.25">
      <c r="A392" s="8">
        <v>41520</v>
      </c>
      <c r="B392" s="4" t="s">
        <v>723</v>
      </c>
      <c r="C392" s="4">
        <v>55</v>
      </c>
      <c r="D392" t="str">
        <f t="shared" si="7"/>
        <v>Gigi Calm</v>
      </c>
    </row>
    <row r="393" spans="1:4" x14ac:dyDescent="0.25">
      <c r="A393" s="8">
        <v>41584</v>
      </c>
      <c r="B393" s="4" t="s">
        <v>724</v>
      </c>
      <c r="C393" s="4">
        <v>25</v>
      </c>
      <c r="D393" t="str">
        <f t="shared" si="7"/>
        <v>Phil Pretty</v>
      </c>
    </row>
    <row r="394" spans="1:4" x14ac:dyDescent="0.25">
      <c r="A394" s="8">
        <v>41648</v>
      </c>
      <c r="B394" s="4" t="s">
        <v>711</v>
      </c>
      <c r="C394" s="4">
        <v>39</v>
      </c>
      <c r="D394" t="str">
        <f t="shared" si="7"/>
        <v>Sioux Calm</v>
      </c>
    </row>
    <row r="395" spans="1:4" x14ac:dyDescent="0.25">
      <c r="A395" s="8">
        <v>41588</v>
      </c>
      <c r="B395" s="4" t="s">
        <v>100</v>
      </c>
      <c r="C395" s="4">
        <v>54</v>
      </c>
      <c r="D395" t="str">
        <f t="shared" si="7"/>
        <v>Phil Cool</v>
      </c>
    </row>
    <row r="396" spans="1:4" x14ac:dyDescent="0.25">
      <c r="A396" s="8">
        <v>41511</v>
      </c>
      <c r="B396" s="4" t="s">
        <v>100</v>
      </c>
      <c r="C396" s="4">
        <v>59</v>
      </c>
      <c r="D396" t="str">
        <f t="shared" si="7"/>
        <v>Phil Cool</v>
      </c>
    </row>
    <row r="397" spans="1:4" x14ac:dyDescent="0.25">
      <c r="A397" s="8">
        <v>41506</v>
      </c>
      <c r="B397" s="4" t="s">
        <v>103</v>
      </c>
      <c r="C397" s="4">
        <v>42</v>
      </c>
      <c r="D397" t="str">
        <f t="shared" si="7"/>
        <v>Gardenia Pretty</v>
      </c>
    </row>
    <row r="398" spans="1:4" x14ac:dyDescent="0.25">
      <c r="A398" s="8">
        <v>41573</v>
      </c>
      <c r="B398" s="4" t="s">
        <v>716</v>
      </c>
      <c r="C398" s="4">
        <v>35</v>
      </c>
      <c r="D398" t="str">
        <f t="shared" si="7"/>
        <v>Battalion Pretty</v>
      </c>
    </row>
    <row r="399" spans="1:4" x14ac:dyDescent="0.25">
      <c r="A399" s="8">
        <v>41589</v>
      </c>
      <c r="B399" s="4" t="s">
        <v>103</v>
      </c>
      <c r="C399" s="4">
        <v>46</v>
      </c>
      <c r="D399" t="str">
        <f t="shared" si="7"/>
        <v>Gardenia Pretty</v>
      </c>
    </row>
    <row r="400" spans="1:4" x14ac:dyDescent="0.25">
      <c r="A400" s="8">
        <v>41508</v>
      </c>
      <c r="B400" s="4" t="s">
        <v>103</v>
      </c>
      <c r="C400" s="4">
        <v>32</v>
      </c>
      <c r="D400" t="str">
        <f t="shared" si="7"/>
        <v>Gardenia Pretty</v>
      </c>
    </row>
    <row r="401" spans="1:4" x14ac:dyDescent="0.25">
      <c r="A401" s="8">
        <v>41637</v>
      </c>
      <c r="B401" s="4" t="s">
        <v>721</v>
      </c>
      <c r="C401" s="4">
        <v>34</v>
      </c>
      <c r="D401" t="str">
        <f t="shared" si="7"/>
        <v>Battalion Cool</v>
      </c>
    </row>
    <row r="402" spans="1:4" x14ac:dyDescent="0.25">
      <c r="A402" s="8">
        <v>41630</v>
      </c>
      <c r="B402" s="4" t="s">
        <v>727</v>
      </c>
      <c r="C402" s="4">
        <v>26</v>
      </c>
      <c r="D402" t="str">
        <f t="shared" si="7"/>
        <v>Phil Calm</v>
      </c>
    </row>
    <row r="403" spans="1:4" x14ac:dyDescent="0.25">
      <c r="A403" s="8">
        <v>41625</v>
      </c>
      <c r="B403" s="4" t="s">
        <v>718</v>
      </c>
      <c r="C403" s="4">
        <v>26</v>
      </c>
      <c r="D403" t="str">
        <f t="shared" si="7"/>
        <v>Sioux Cool</v>
      </c>
    </row>
    <row r="404" spans="1:4" x14ac:dyDescent="0.25">
      <c r="A404" s="8">
        <v>41517</v>
      </c>
      <c r="B404" s="4" t="s">
        <v>710</v>
      </c>
      <c r="C404" s="4">
        <v>31</v>
      </c>
      <c r="D404" t="str">
        <f t="shared" si="7"/>
        <v>Gigi Pretty</v>
      </c>
    </row>
    <row r="405" spans="1:4" x14ac:dyDescent="0.25">
      <c r="A405" s="8">
        <v>41585</v>
      </c>
      <c r="B405" s="4" t="s">
        <v>716</v>
      </c>
      <c r="C405" s="4">
        <v>22</v>
      </c>
      <c r="D405" t="str">
        <f t="shared" si="7"/>
        <v>Battalion Pretty</v>
      </c>
    </row>
    <row r="406" spans="1:4" x14ac:dyDescent="0.25">
      <c r="A406" s="8">
        <v>41630</v>
      </c>
      <c r="B406" s="4" t="s">
        <v>723</v>
      </c>
      <c r="C406" s="4">
        <v>43</v>
      </c>
      <c r="D406" t="str">
        <f t="shared" si="7"/>
        <v>Gigi Calm</v>
      </c>
    </row>
    <row r="407" spans="1:4" x14ac:dyDescent="0.25">
      <c r="A407" s="8">
        <v>41521</v>
      </c>
      <c r="B407" s="4" t="s">
        <v>99</v>
      </c>
      <c r="C407" s="4">
        <v>53</v>
      </c>
      <c r="D407" t="str">
        <f t="shared" si="7"/>
        <v>Sioux Rad</v>
      </c>
    </row>
    <row r="408" spans="1:4" x14ac:dyDescent="0.25">
      <c r="A408" s="8">
        <v>41648</v>
      </c>
      <c r="B408" s="4" t="s">
        <v>715</v>
      </c>
      <c r="C408" s="4">
        <v>54</v>
      </c>
      <c r="D408" t="str">
        <f t="shared" si="7"/>
        <v>Gardenia Rad</v>
      </c>
    </row>
    <row r="409" spans="1:4" x14ac:dyDescent="0.25">
      <c r="A409" s="8">
        <v>41513</v>
      </c>
      <c r="B409" s="4" t="s">
        <v>724</v>
      </c>
      <c r="C409" s="4">
        <v>26</v>
      </c>
      <c r="D409" t="str">
        <f t="shared" si="7"/>
        <v>Phil Pretty</v>
      </c>
    </row>
    <row r="410" spans="1:4" x14ac:dyDescent="0.25">
      <c r="A410" s="8">
        <v>41640</v>
      </c>
      <c r="B410" s="4" t="s">
        <v>726</v>
      </c>
      <c r="C410" s="4">
        <v>19</v>
      </c>
      <c r="D410" t="str">
        <f t="shared" si="7"/>
        <v>Sioux Sup</v>
      </c>
    </row>
    <row r="411" spans="1:4" x14ac:dyDescent="0.25">
      <c r="A411" s="8">
        <v>41592</v>
      </c>
      <c r="B411" s="4" t="s">
        <v>712</v>
      </c>
      <c r="C411" s="4">
        <v>15</v>
      </c>
      <c r="D411" t="str">
        <f t="shared" si="7"/>
        <v>Phil Sup</v>
      </c>
    </row>
    <row r="412" spans="1:4" x14ac:dyDescent="0.25">
      <c r="A412" s="8">
        <v>41571</v>
      </c>
      <c r="B412" s="4" t="s">
        <v>713</v>
      </c>
      <c r="C412" s="4">
        <v>48</v>
      </c>
      <c r="D412" t="str">
        <f t="shared" si="7"/>
        <v>Gardenia Cool</v>
      </c>
    </row>
    <row r="413" spans="1:4" x14ac:dyDescent="0.25">
      <c r="A413" s="8">
        <v>41566</v>
      </c>
      <c r="B413" s="4" t="s">
        <v>715</v>
      </c>
      <c r="C413" s="4">
        <v>53</v>
      </c>
      <c r="D413" t="str">
        <f t="shared" si="7"/>
        <v>Gardenia Rad</v>
      </c>
    </row>
    <row r="414" spans="1:4" x14ac:dyDescent="0.25">
      <c r="A414" s="8">
        <v>41559</v>
      </c>
      <c r="B414" s="4" t="s">
        <v>726</v>
      </c>
      <c r="C414" s="4">
        <v>40</v>
      </c>
      <c r="D414" t="str">
        <f t="shared" si="7"/>
        <v>Sioux Sup</v>
      </c>
    </row>
    <row r="415" spans="1:4" x14ac:dyDescent="0.25">
      <c r="A415" s="8">
        <v>41617</v>
      </c>
      <c r="B415" s="4" t="s">
        <v>718</v>
      </c>
      <c r="C415" s="4">
        <v>27</v>
      </c>
      <c r="D415" t="str">
        <f t="shared" si="7"/>
        <v>Sioux Cool</v>
      </c>
    </row>
    <row r="416" spans="1:4" x14ac:dyDescent="0.25">
      <c r="A416" s="8">
        <v>41530</v>
      </c>
      <c r="B416" s="4" t="s">
        <v>728</v>
      </c>
      <c r="C416" s="4">
        <v>53</v>
      </c>
      <c r="D416" t="str">
        <f t="shared" si="7"/>
        <v>Gigi Cool</v>
      </c>
    </row>
    <row r="417" spans="1:4" x14ac:dyDescent="0.25">
      <c r="A417" s="8">
        <v>41555</v>
      </c>
      <c r="B417" s="4" t="s">
        <v>715</v>
      </c>
      <c r="C417" s="4">
        <v>29</v>
      </c>
      <c r="D417" t="str">
        <f t="shared" si="7"/>
        <v>Gardenia Rad</v>
      </c>
    </row>
    <row r="418" spans="1:4" x14ac:dyDescent="0.25">
      <c r="A418" s="8">
        <v>41508</v>
      </c>
      <c r="B418" s="4" t="s">
        <v>716</v>
      </c>
      <c r="C418" s="4">
        <v>19</v>
      </c>
      <c r="D418" t="str">
        <f t="shared" si="7"/>
        <v>Battalion Pretty</v>
      </c>
    </row>
    <row r="419" spans="1:4" x14ac:dyDescent="0.25">
      <c r="A419" s="8">
        <v>41617</v>
      </c>
      <c r="B419" s="4" t="s">
        <v>100</v>
      </c>
      <c r="C419" s="4">
        <v>15</v>
      </c>
      <c r="D419" t="str">
        <f t="shared" si="7"/>
        <v>Phil Cool</v>
      </c>
    </row>
    <row r="420" spans="1:4" x14ac:dyDescent="0.25">
      <c r="A420" s="8">
        <v>41627</v>
      </c>
      <c r="B420" s="4" t="s">
        <v>719</v>
      </c>
      <c r="C420" s="4">
        <v>31</v>
      </c>
      <c r="D420" t="str">
        <f t="shared" si="7"/>
        <v>Sioux Pretty</v>
      </c>
    </row>
    <row r="421" spans="1:4" x14ac:dyDescent="0.25">
      <c r="A421" s="8">
        <v>41513</v>
      </c>
      <c r="B421" s="4" t="s">
        <v>102</v>
      </c>
      <c r="C421" s="4">
        <v>20</v>
      </c>
      <c r="D421" t="str">
        <f t="shared" si="7"/>
        <v>Battalion Calm</v>
      </c>
    </row>
    <row r="422" spans="1:4" x14ac:dyDescent="0.25">
      <c r="A422" s="8">
        <v>41546</v>
      </c>
      <c r="B422" s="4" t="s">
        <v>715</v>
      </c>
      <c r="C422" s="4">
        <v>15</v>
      </c>
      <c r="D422" t="str">
        <f t="shared" si="7"/>
        <v>Gardenia Rad</v>
      </c>
    </row>
    <row r="423" spans="1:4" x14ac:dyDescent="0.25">
      <c r="A423" s="8">
        <v>41548</v>
      </c>
      <c r="B423" s="4" t="s">
        <v>722</v>
      </c>
      <c r="C423" s="4">
        <v>50</v>
      </c>
      <c r="D423" t="str">
        <f t="shared" si="7"/>
        <v>Battalion Sup</v>
      </c>
    </row>
    <row r="424" spans="1:4" x14ac:dyDescent="0.25">
      <c r="A424" s="8">
        <v>41533</v>
      </c>
      <c r="B424" s="4" t="s">
        <v>718</v>
      </c>
      <c r="C424" s="4">
        <v>16</v>
      </c>
      <c r="D424" t="str">
        <f t="shared" si="7"/>
        <v>Sioux Cool</v>
      </c>
    </row>
    <row r="425" spans="1:4" x14ac:dyDescent="0.25">
      <c r="A425" s="8">
        <v>41582</v>
      </c>
      <c r="B425" s="4" t="s">
        <v>718</v>
      </c>
      <c r="C425" s="4">
        <v>10</v>
      </c>
      <c r="D425" t="str">
        <f t="shared" si="7"/>
        <v>Sioux Cool</v>
      </c>
    </row>
    <row r="426" spans="1:4" x14ac:dyDescent="0.25">
      <c r="A426" s="8">
        <v>41530</v>
      </c>
      <c r="B426" s="4" t="s">
        <v>717</v>
      </c>
      <c r="C426" s="4">
        <v>36</v>
      </c>
      <c r="D426" t="str">
        <f t="shared" si="7"/>
        <v>Battalion Rad</v>
      </c>
    </row>
    <row r="427" spans="1:4" x14ac:dyDescent="0.25">
      <c r="A427" s="8">
        <v>41533</v>
      </c>
      <c r="B427" s="4" t="s">
        <v>720</v>
      </c>
      <c r="C427" s="4">
        <v>24</v>
      </c>
      <c r="D427" t="str">
        <f t="shared" si="7"/>
        <v>Gardenia Calm</v>
      </c>
    </row>
    <row r="428" spans="1:4" x14ac:dyDescent="0.25">
      <c r="A428" s="8">
        <v>41617</v>
      </c>
      <c r="B428" s="4" t="s">
        <v>714</v>
      </c>
      <c r="C428" s="4">
        <v>18</v>
      </c>
      <c r="D428" t="str">
        <f t="shared" si="7"/>
        <v>Gigi Rad</v>
      </c>
    </row>
    <row r="429" spans="1:4" x14ac:dyDescent="0.25">
      <c r="A429" s="8">
        <v>41633</v>
      </c>
      <c r="B429" s="4" t="s">
        <v>711</v>
      </c>
      <c r="C429" s="4">
        <v>53</v>
      </c>
      <c r="D429" t="str">
        <f t="shared" si="7"/>
        <v>Sioux Calm</v>
      </c>
    </row>
    <row r="430" spans="1:4" x14ac:dyDescent="0.25">
      <c r="A430" s="8">
        <v>41604</v>
      </c>
      <c r="B430" s="4" t="s">
        <v>728</v>
      </c>
      <c r="C430" s="4">
        <v>58</v>
      </c>
      <c r="D430" t="str">
        <f t="shared" si="7"/>
        <v>Gigi Cool</v>
      </c>
    </row>
    <row r="431" spans="1:4" x14ac:dyDescent="0.25">
      <c r="A431" s="8">
        <v>41501</v>
      </c>
      <c r="B431" s="4" t="s">
        <v>714</v>
      </c>
      <c r="C431" s="4">
        <v>45</v>
      </c>
      <c r="D431" t="str">
        <f t="shared" si="7"/>
        <v>Gigi Rad</v>
      </c>
    </row>
    <row r="432" spans="1:4" x14ac:dyDescent="0.25">
      <c r="A432" s="8">
        <v>41643</v>
      </c>
      <c r="B432" s="4" t="s">
        <v>718</v>
      </c>
      <c r="C432" s="4">
        <v>32</v>
      </c>
      <c r="D432" t="str">
        <f t="shared" si="7"/>
        <v>Sioux Cool</v>
      </c>
    </row>
    <row r="433" spans="1:4" x14ac:dyDescent="0.25">
      <c r="A433" s="8">
        <v>41610</v>
      </c>
      <c r="B433" s="4" t="s">
        <v>714</v>
      </c>
      <c r="C433" s="4">
        <v>28</v>
      </c>
      <c r="D433" t="str">
        <f t="shared" si="7"/>
        <v>Gigi Rad</v>
      </c>
    </row>
    <row r="434" spans="1:4" x14ac:dyDescent="0.25">
      <c r="A434" s="8">
        <v>41609</v>
      </c>
      <c r="B434" s="4" t="s">
        <v>721</v>
      </c>
      <c r="C434" s="4">
        <v>17</v>
      </c>
      <c r="D434" t="str">
        <f t="shared" si="7"/>
        <v>Battalion Cool</v>
      </c>
    </row>
    <row r="435" spans="1:4" x14ac:dyDescent="0.25">
      <c r="A435" s="8">
        <v>41550</v>
      </c>
      <c r="B435" s="4" t="s">
        <v>715</v>
      </c>
      <c r="C435" s="4">
        <v>24</v>
      </c>
      <c r="D435" t="str">
        <f t="shared" si="7"/>
        <v>Gardenia Rad</v>
      </c>
    </row>
    <row r="436" spans="1:4" x14ac:dyDescent="0.25">
      <c r="A436" s="8">
        <v>41593</v>
      </c>
      <c r="B436" s="4" t="s">
        <v>727</v>
      </c>
      <c r="C436" s="4">
        <v>59</v>
      </c>
      <c r="D436" t="str">
        <f t="shared" si="7"/>
        <v>Phil Calm</v>
      </c>
    </row>
    <row r="437" spans="1:4" x14ac:dyDescent="0.25">
      <c r="A437" s="8">
        <v>41530</v>
      </c>
      <c r="B437" s="4" t="s">
        <v>101</v>
      </c>
      <c r="C437" s="4">
        <v>10</v>
      </c>
      <c r="D437" t="str">
        <f t="shared" si="7"/>
        <v>Gigi Sup</v>
      </c>
    </row>
    <row r="438" spans="1:4" x14ac:dyDescent="0.25">
      <c r="A438" s="8">
        <v>41553</v>
      </c>
      <c r="B438" s="4" t="s">
        <v>103</v>
      </c>
      <c r="C438" s="4">
        <v>12</v>
      </c>
      <c r="D438" t="str">
        <f t="shared" si="7"/>
        <v>Gardenia Pretty</v>
      </c>
    </row>
    <row r="439" spans="1:4" x14ac:dyDescent="0.25">
      <c r="A439" s="8">
        <v>41610</v>
      </c>
      <c r="B439" s="4" t="s">
        <v>726</v>
      </c>
      <c r="C439" s="4">
        <v>38</v>
      </c>
      <c r="D439" t="str">
        <f t="shared" si="7"/>
        <v>Sioux Sup</v>
      </c>
    </row>
    <row r="440" spans="1:4" x14ac:dyDescent="0.25">
      <c r="A440" s="8">
        <v>41503</v>
      </c>
      <c r="B440" s="4" t="s">
        <v>715</v>
      </c>
      <c r="C440" s="4">
        <v>13</v>
      </c>
      <c r="D440" t="str">
        <f t="shared" si="7"/>
        <v>Gardenia Rad</v>
      </c>
    </row>
    <row r="441" spans="1:4" x14ac:dyDescent="0.25">
      <c r="A441" s="8">
        <v>41590</v>
      </c>
      <c r="B441" s="4" t="s">
        <v>727</v>
      </c>
      <c r="C441" s="4">
        <v>13</v>
      </c>
      <c r="D441" t="str">
        <f t="shared" si="7"/>
        <v>Phil Calm</v>
      </c>
    </row>
    <row r="442" spans="1:4" x14ac:dyDescent="0.25">
      <c r="A442" s="8">
        <v>41646</v>
      </c>
      <c r="B442" s="4" t="s">
        <v>728</v>
      </c>
      <c r="C442" s="4">
        <v>29</v>
      </c>
      <c r="D442" t="str">
        <f t="shared" si="7"/>
        <v>Gigi Cool</v>
      </c>
    </row>
    <row r="443" spans="1:4" x14ac:dyDescent="0.25">
      <c r="A443" s="8">
        <v>41562</v>
      </c>
      <c r="B443" s="4" t="s">
        <v>712</v>
      </c>
      <c r="C443" s="4">
        <v>34</v>
      </c>
      <c r="D443" t="str">
        <f t="shared" si="7"/>
        <v>Phil Sup</v>
      </c>
    </row>
    <row r="444" spans="1:4" x14ac:dyDescent="0.25">
      <c r="A444" s="8">
        <v>41565</v>
      </c>
      <c r="B444" s="4" t="s">
        <v>712</v>
      </c>
      <c r="C444" s="4">
        <v>13</v>
      </c>
      <c r="D444" t="str">
        <f t="shared" si="7"/>
        <v>Phil Sup</v>
      </c>
    </row>
    <row r="445" spans="1:4" x14ac:dyDescent="0.25">
      <c r="A445" s="8">
        <v>41539</v>
      </c>
      <c r="B445" s="4" t="s">
        <v>721</v>
      </c>
      <c r="C445" s="4">
        <v>44</v>
      </c>
      <c r="D445" t="str">
        <f t="shared" si="7"/>
        <v>Battalion Cool</v>
      </c>
    </row>
    <row r="446" spans="1:4" x14ac:dyDescent="0.25">
      <c r="A446" s="8">
        <v>41514</v>
      </c>
      <c r="B446" s="4" t="s">
        <v>723</v>
      </c>
      <c r="C446" s="4">
        <v>51</v>
      </c>
      <c r="D446" t="str">
        <f t="shared" si="7"/>
        <v>Gigi Calm</v>
      </c>
    </row>
    <row r="447" spans="1:4" x14ac:dyDescent="0.25">
      <c r="A447" s="8">
        <v>41604</v>
      </c>
      <c r="B447" s="4" t="s">
        <v>715</v>
      </c>
      <c r="C447" s="4">
        <v>33</v>
      </c>
      <c r="D447" t="str">
        <f t="shared" si="7"/>
        <v>Gardenia Rad</v>
      </c>
    </row>
    <row r="448" spans="1:4" x14ac:dyDescent="0.25">
      <c r="A448" s="8">
        <v>41519</v>
      </c>
      <c r="B448" s="4" t="s">
        <v>723</v>
      </c>
      <c r="C448" s="4">
        <v>52</v>
      </c>
      <c r="D448" t="str">
        <f t="shared" si="7"/>
        <v>Gigi Calm</v>
      </c>
    </row>
    <row r="449" spans="1:4" x14ac:dyDescent="0.25">
      <c r="A449" s="8">
        <v>41560</v>
      </c>
      <c r="B449" s="4" t="s">
        <v>717</v>
      </c>
      <c r="C449" s="4">
        <v>23</v>
      </c>
      <c r="D449" t="str">
        <f t="shared" si="7"/>
        <v>Battalion Rad</v>
      </c>
    </row>
    <row r="450" spans="1:4" x14ac:dyDescent="0.25">
      <c r="A450" s="8">
        <v>41624</v>
      </c>
      <c r="B450" s="4" t="s">
        <v>99</v>
      </c>
      <c r="C450" s="4">
        <v>29</v>
      </c>
      <c r="D450" t="str">
        <f t="shared" si="7"/>
        <v>Sioux Rad</v>
      </c>
    </row>
    <row r="451" spans="1:4" x14ac:dyDescent="0.25">
      <c r="A451" s="8">
        <v>41599</v>
      </c>
      <c r="B451" s="4" t="s">
        <v>722</v>
      </c>
      <c r="C451" s="4">
        <v>30</v>
      </c>
      <c r="D451" t="str">
        <f t="shared" ref="D451:D514" si="8">TRIM(B451)</f>
        <v>Battalion Sup</v>
      </c>
    </row>
    <row r="452" spans="1:4" x14ac:dyDescent="0.25">
      <c r="A452" s="8">
        <v>41605</v>
      </c>
      <c r="B452" s="4" t="s">
        <v>710</v>
      </c>
      <c r="C452" s="4">
        <v>35</v>
      </c>
      <c r="D452" t="str">
        <f t="shared" si="8"/>
        <v>Gigi Pretty</v>
      </c>
    </row>
    <row r="453" spans="1:4" x14ac:dyDescent="0.25">
      <c r="A453" s="8">
        <v>41509</v>
      </c>
      <c r="B453" s="4" t="s">
        <v>724</v>
      </c>
      <c r="C453" s="4">
        <v>59</v>
      </c>
      <c r="D453" t="str">
        <f t="shared" si="8"/>
        <v>Phil Pretty</v>
      </c>
    </row>
    <row r="454" spans="1:4" x14ac:dyDescent="0.25">
      <c r="A454" s="8">
        <v>41576</v>
      </c>
      <c r="B454" s="4" t="s">
        <v>724</v>
      </c>
      <c r="C454" s="4">
        <v>39</v>
      </c>
      <c r="D454" t="str">
        <f t="shared" si="8"/>
        <v>Phil Pretty</v>
      </c>
    </row>
    <row r="455" spans="1:4" x14ac:dyDescent="0.25">
      <c r="A455" s="8">
        <v>41580</v>
      </c>
      <c r="B455" s="4" t="s">
        <v>722</v>
      </c>
      <c r="C455" s="4">
        <v>35</v>
      </c>
      <c r="D455" t="str">
        <f t="shared" si="8"/>
        <v>Battalion Sup</v>
      </c>
    </row>
    <row r="456" spans="1:4" x14ac:dyDescent="0.25">
      <c r="A456" s="8">
        <v>41622</v>
      </c>
      <c r="B456" s="4" t="s">
        <v>715</v>
      </c>
      <c r="C456" s="4">
        <v>13</v>
      </c>
      <c r="D456" t="str">
        <f t="shared" si="8"/>
        <v>Gardenia Rad</v>
      </c>
    </row>
    <row r="457" spans="1:4" x14ac:dyDescent="0.25">
      <c r="A457" s="8">
        <v>41579</v>
      </c>
      <c r="B457" s="4" t="s">
        <v>710</v>
      </c>
      <c r="C457" s="4">
        <v>43</v>
      </c>
      <c r="D457" t="str">
        <f t="shared" si="8"/>
        <v>Gigi Pretty</v>
      </c>
    </row>
    <row r="458" spans="1:4" x14ac:dyDescent="0.25">
      <c r="A458" s="8">
        <v>41541</v>
      </c>
      <c r="B458" s="4" t="s">
        <v>719</v>
      </c>
      <c r="C458" s="4">
        <v>50</v>
      </c>
      <c r="D458" t="str">
        <f t="shared" si="8"/>
        <v>Sioux Pretty</v>
      </c>
    </row>
    <row r="459" spans="1:4" x14ac:dyDescent="0.25">
      <c r="A459" s="8">
        <v>41539</v>
      </c>
      <c r="B459" s="4" t="s">
        <v>102</v>
      </c>
      <c r="C459" s="4">
        <v>21</v>
      </c>
      <c r="D459" t="str">
        <f t="shared" si="8"/>
        <v>Battalion Calm</v>
      </c>
    </row>
    <row r="460" spans="1:4" x14ac:dyDescent="0.25">
      <c r="A460" s="8">
        <v>41516</v>
      </c>
      <c r="B460" s="4" t="s">
        <v>725</v>
      </c>
      <c r="C460" s="4">
        <v>46</v>
      </c>
      <c r="D460" t="str">
        <f t="shared" si="8"/>
        <v>Phil Rad</v>
      </c>
    </row>
    <row r="461" spans="1:4" x14ac:dyDescent="0.25">
      <c r="A461" s="8">
        <v>41567</v>
      </c>
      <c r="B461" s="4" t="s">
        <v>716</v>
      </c>
      <c r="C461" s="4">
        <v>55</v>
      </c>
      <c r="D461" t="str">
        <f t="shared" si="8"/>
        <v>Battalion Pretty</v>
      </c>
    </row>
    <row r="462" spans="1:4" x14ac:dyDescent="0.25">
      <c r="A462" s="8">
        <v>41523</v>
      </c>
      <c r="B462" s="4" t="s">
        <v>720</v>
      </c>
      <c r="C462" s="4">
        <v>20</v>
      </c>
      <c r="D462" t="str">
        <f t="shared" si="8"/>
        <v>Gardenia Calm</v>
      </c>
    </row>
    <row r="463" spans="1:4" x14ac:dyDescent="0.25">
      <c r="A463" s="8">
        <v>41635</v>
      </c>
      <c r="B463" s="4" t="s">
        <v>715</v>
      </c>
      <c r="C463" s="4">
        <v>50</v>
      </c>
      <c r="D463" t="str">
        <f t="shared" si="8"/>
        <v>Gardenia Rad</v>
      </c>
    </row>
    <row r="464" spans="1:4" x14ac:dyDescent="0.25">
      <c r="A464" s="8">
        <v>41585</v>
      </c>
      <c r="B464" s="4" t="s">
        <v>719</v>
      </c>
      <c r="C464" s="4">
        <v>31</v>
      </c>
      <c r="D464" t="str">
        <f t="shared" si="8"/>
        <v>Sioux Pretty</v>
      </c>
    </row>
    <row r="465" spans="1:4" x14ac:dyDescent="0.25">
      <c r="A465" s="8">
        <v>41537</v>
      </c>
      <c r="B465" s="4" t="s">
        <v>721</v>
      </c>
      <c r="C465" s="4">
        <v>20</v>
      </c>
      <c r="D465" t="str">
        <f t="shared" si="8"/>
        <v>Battalion Cool</v>
      </c>
    </row>
    <row r="466" spans="1:4" x14ac:dyDescent="0.25">
      <c r="A466" s="8">
        <v>41595</v>
      </c>
      <c r="B466" s="4" t="s">
        <v>100</v>
      </c>
      <c r="C466" s="4">
        <v>58</v>
      </c>
      <c r="D466" t="str">
        <f t="shared" si="8"/>
        <v>Phil Cool</v>
      </c>
    </row>
    <row r="467" spans="1:4" x14ac:dyDescent="0.25">
      <c r="A467" s="8">
        <v>41530</v>
      </c>
      <c r="B467" s="4" t="s">
        <v>721</v>
      </c>
      <c r="C467" s="4">
        <v>35</v>
      </c>
      <c r="D467" t="str">
        <f t="shared" si="8"/>
        <v>Battalion Cool</v>
      </c>
    </row>
    <row r="468" spans="1:4" x14ac:dyDescent="0.25">
      <c r="A468" s="8">
        <v>41556</v>
      </c>
      <c r="B468" s="4" t="s">
        <v>718</v>
      </c>
      <c r="C468" s="4">
        <v>50</v>
      </c>
      <c r="D468" t="str">
        <f t="shared" si="8"/>
        <v>Sioux Cool</v>
      </c>
    </row>
    <row r="469" spans="1:4" x14ac:dyDescent="0.25">
      <c r="A469" s="8">
        <v>41631</v>
      </c>
      <c r="B469" s="4" t="s">
        <v>710</v>
      </c>
      <c r="C469" s="4">
        <v>59</v>
      </c>
      <c r="D469" t="str">
        <f t="shared" si="8"/>
        <v>Gigi Pretty</v>
      </c>
    </row>
    <row r="470" spans="1:4" x14ac:dyDescent="0.25">
      <c r="A470" s="8">
        <v>41567</v>
      </c>
      <c r="B470" s="4" t="s">
        <v>101</v>
      </c>
      <c r="C470" s="4">
        <v>18</v>
      </c>
      <c r="D470" t="str">
        <f t="shared" si="8"/>
        <v>Gigi Sup</v>
      </c>
    </row>
    <row r="471" spans="1:4" x14ac:dyDescent="0.25">
      <c r="A471" s="8">
        <v>41624</v>
      </c>
      <c r="B471" s="4" t="s">
        <v>716</v>
      </c>
      <c r="C471" s="4">
        <v>34</v>
      </c>
      <c r="D471" t="str">
        <f t="shared" si="8"/>
        <v>Battalion Pretty</v>
      </c>
    </row>
    <row r="472" spans="1:4" x14ac:dyDescent="0.25">
      <c r="A472" s="8">
        <v>41636</v>
      </c>
      <c r="B472" s="4" t="s">
        <v>725</v>
      </c>
      <c r="C472" s="4">
        <v>47</v>
      </c>
      <c r="D472" t="str">
        <f t="shared" si="8"/>
        <v>Phil Rad</v>
      </c>
    </row>
    <row r="473" spans="1:4" x14ac:dyDescent="0.25">
      <c r="A473" s="8">
        <v>41619</v>
      </c>
      <c r="B473" s="4" t="s">
        <v>711</v>
      </c>
      <c r="C473" s="4">
        <v>33</v>
      </c>
      <c r="D473" t="str">
        <f t="shared" si="8"/>
        <v>Sioux Calm</v>
      </c>
    </row>
    <row r="474" spans="1:4" x14ac:dyDescent="0.25">
      <c r="A474" s="8">
        <v>41516</v>
      </c>
      <c r="B474" s="4" t="s">
        <v>724</v>
      </c>
      <c r="C474" s="4">
        <v>19</v>
      </c>
      <c r="D474" t="str">
        <f t="shared" si="8"/>
        <v>Phil Pretty</v>
      </c>
    </row>
    <row r="475" spans="1:4" x14ac:dyDescent="0.25">
      <c r="A475" s="8">
        <v>41544</v>
      </c>
      <c r="B475" s="4" t="s">
        <v>719</v>
      </c>
      <c r="C475" s="4">
        <v>59</v>
      </c>
      <c r="D475" t="str">
        <f t="shared" si="8"/>
        <v>Sioux Pretty</v>
      </c>
    </row>
    <row r="476" spans="1:4" x14ac:dyDescent="0.25">
      <c r="A476" s="8">
        <v>41637</v>
      </c>
      <c r="B476" s="4" t="s">
        <v>713</v>
      </c>
      <c r="C476" s="4">
        <v>16</v>
      </c>
      <c r="D476" t="str">
        <f t="shared" si="8"/>
        <v>Gardenia Cool</v>
      </c>
    </row>
    <row r="477" spans="1:4" x14ac:dyDescent="0.25">
      <c r="A477" s="8">
        <v>41507</v>
      </c>
      <c r="B477" s="4" t="s">
        <v>100</v>
      </c>
      <c r="C477" s="4">
        <v>43</v>
      </c>
      <c r="D477" t="str">
        <f t="shared" si="8"/>
        <v>Phil Cool</v>
      </c>
    </row>
    <row r="478" spans="1:4" x14ac:dyDescent="0.25">
      <c r="A478" s="8">
        <v>41546</v>
      </c>
      <c r="B478" s="4" t="s">
        <v>102</v>
      </c>
      <c r="C478" s="4">
        <v>58</v>
      </c>
      <c r="D478" t="str">
        <f t="shared" si="8"/>
        <v>Battalion Calm</v>
      </c>
    </row>
    <row r="479" spans="1:4" x14ac:dyDescent="0.25">
      <c r="A479" s="8">
        <v>41560</v>
      </c>
      <c r="B479" s="4" t="s">
        <v>725</v>
      </c>
      <c r="C479" s="4">
        <v>38</v>
      </c>
      <c r="D479" t="str">
        <f t="shared" si="8"/>
        <v>Phil Rad</v>
      </c>
    </row>
    <row r="480" spans="1:4" x14ac:dyDescent="0.25">
      <c r="A480" s="8">
        <v>41575</v>
      </c>
      <c r="B480" s="4" t="s">
        <v>727</v>
      </c>
      <c r="C480" s="4">
        <v>56</v>
      </c>
      <c r="D480" t="str">
        <f t="shared" si="8"/>
        <v>Phil Calm</v>
      </c>
    </row>
    <row r="481" spans="1:4" x14ac:dyDescent="0.25">
      <c r="A481" s="8">
        <v>41585</v>
      </c>
      <c r="B481" s="4" t="s">
        <v>712</v>
      </c>
      <c r="C481" s="4">
        <v>18</v>
      </c>
      <c r="D481" t="str">
        <f t="shared" si="8"/>
        <v>Phil Sup</v>
      </c>
    </row>
    <row r="482" spans="1:4" x14ac:dyDescent="0.25">
      <c r="A482" s="8">
        <v>41546</v>
      </c>
      <c r="B482" s="4" t="s">
        <v>724</v>
      </c>
      <c r="C482" s="4">
        <v>59</v>
      </c>
      <c r="D482" t="str">
        <f t="shared" si="8"/>
        <v>Phil Pretty</v>
      </c>
    </row>
    <row r="483" spans="1:4" x14ac:dyDescent="0.25">
      <c r="A483" s="8">
        <v>41644</v>
      </c>
      <c r="B483" s="4" t="s">
        <v>715</v>
      </c>
      <c r="C483" s="4">
        <v>18</v>
      </c>
      <c r="D483" t="str">
        <f t="shared" si="8"/>
        <v>Gardenia Rad</v>
      </c>
    </row>
    <row r="484" spans="1:4" x14ac:dyDescent="0.25">
      <c r="A484" s="8">
        <v>41556</v>
      </c>
      <c r="B484" s="4" t="s">
        <v>99</v>
      </c>
      <c r="C484" s="4">
        <v>14</v>
      </c>
      <c r="D484" t="str">
        <f t="shared" si="8"/>
        <v>Sioux Rad</v>
      </c>
    </row>
    <row r="485" spans="1:4" x14ac:dyDescent="0.25">
      <c r="A485" s="8">
        <v>41618</v>
      </c>
      <c r="B485" s="4" t="s">
        <v>717</v>
      </c>
      <c r="C485" s="4">
        <v>47</v>
      </c>
      <c r="D485" t="str">
        <f t="shared" si="8"/>
        <v>Battalion Rad</v>
      </c>
    </row>
    <row r="486" spans="1:4" x14ac:dyDescent="0.25">
      <c r="A486" s="8">
        <v>41546</v>
      </c>
      <c r="B486" s="4" t="s">
        <v>100</v>
      </c>
      <c r="C486" s="4">
        <v>59</v>
      </c>
      <c r="D486" t="str">
        <f t="shared" si="8"/>
        <v>Phil Cool</v>
      </c>
    </row>
    <row r="487" spans="1:4" x14ac:dyDescent="0.25">
      <c r="A487" s="8">
        <v>41623</v>
      </c>
      <c r="B487" s="4" t="s">
        <v>99</v>
      </c>
      <c r="C487" s="4">
        <v>56</v>
      </c>
      <c r="D487" t="str">
        <f t="shared" si="8"/>
        <v>Sioux Rad</v>
      </c>
    </row>
    <row r="488" spans="1:4" x14ac:dyDescent="0.25">
      <c r="A488" s="8">
        <v>41599</v>
      </c>
      <c r="B488" s="4" t="s">
        <v>712</v>
      </c>
      <c r="C488" s="4">
        <v>47</v>
      </c>
      <c r="D488" t="str">
        <f t="shared" si="8"/>
        <v>Phil Sup</v>
      </c>
    </row>
    <row r="489" spans="1:4" x14ac:dyDescent="0.25">
      <c r="A489" s="8">
        <v>41615</v>
      </c>
      <c r="B489" s="4" t="s">
        <v>101</v>
      </c>
      <c r="C489" s="4">
        <v>53</v>
      </c>
      <c r="D489" t="str">
        <f t="shared" si="8"/>
        <v>Gigi Sup</v>
      </c>
    </row>
    <row r="490" spans="1:4" x14ac:dyDescent="0.25">
      <c r="A490" s="8">
        <v>41580</v>
      </c>
      <c r="B490" s="4" t="s">
        <v>103</v>
      </c>
      <c r="C490" s="4">
        <v>30</v>
      </c>
      <c r="D490" t="str">
        <f t="shared" si="8"/>
        <v>Gardenia Pretty</v>
      </c>
    </row>
    <row r="491" spans="1:4" x14ac:dyDescent="0.25">
      <c r="A491" s="8">
        <v>41624</v>
      </c>
      <c r="B491" s="4" t="s">
        <v>724</v>
      </c>
      <c r="C491" s="4">
        <v>56</v>
      </c>
      <c r="D491" t="str">
        <f t="shared" si="8"/>
        <v>Phil Pretty</v>
      </c>
    </row>
    <row r="492" spans="1:4" x14ac:dyDescent="0.25">
      <c r="A492" s="8">
        <v>41644</v>
      </c>
      <c r="B492" s="4" t="s">
        <v>719</v>
      </c>
      <c r="C492" s="4">
        <v>11</v>
      </c>
      <c r="D492" t="str">
        <f t="shared" si="8"/>
        <v>Sioux Pretty</v>
      </c>
    </row>
    <row r="493" spans="1:4" x14ac:dyDescent="0.25">
      <c r="A493" s="8">
        <v>41535</v>
      </c>
      <c r="B493" s="4" t="s">
        <v>723</v>
      </c>
      <c r="C493" s="4">
        <v>15</v>
      </c>
      <c r="D493" t="str">
        <f t="shared" si="8"/>
        <v>Gigi Calm</v>
      </c>
    </row>
    <row r="494" spans="1:4" x14ac:dyDescent="0.25">
      <c r="A494" s="8">
        <v>41529</v>
      </c>
      <c r="B494" s="4" t="s">
        <v>724</v>
      </c>
      <c r="C494" s="4">
        <v>59</v>
      </c>
      <c r="D494" t="str">
        <f t="shared" si="8"/>
        <v>Phil Pretty</v>
      </c>
    </row>
    <row r="495" spans="1:4" x14ac:dyDescent="0.25">
      <c r="A495" s="8">
        <v>41595</v>
      </c>
      <c r="B495" s="4" t="s">
        <v>719</v>
      </c>
      <c r="C495" s="4">
        <v>38</v>
      </c>
      <c r="D495" t="str">
        <f t="shared" si="8"/>
        <v>Sioux Pretty</v>
      </c>
    </row>
    <row r="496" spans="1:4" x14ac:dyDescent="0.25">
      <c r="A496" s="8">
        <v>41585</v>
      </c>
      <c r="B496" s="4" t="s">
        <v>716</v>
      </c>
      <c r="C496" s="4">
        <v>17</v>
      </c>
      <c r="D496" t="str">
        <f t="shared" si="8"/>
        <v>Battalion Pretty</v>
      </c>
    </row>
    <row r="497" spans="1:4" x14ac:dyDescent="0.25">
      <c r="A497" s="8">
        <v>41561</v>
      </c>
      <c r="B497" s="4" t="s">
        <v>725</v>
      </c>
      <c r="C497" s="4">
        <v>56</v>
      </c>
      <c r="D497" t="str">
        <f t="shared" si="8"/>
        <v>Phil Rad</v>
      </c>
    </row>
    <row r="498" spans="1:4" x14ac:dyDescent="0.25">
      <c r="A498" s="8">
        <v>41616</v>
      </c>
      <c r="B498" s="4" t="s">
        <v>717</v>
      </c>
      <c r="C498" s="4">
        <v>15</v>
      </c>
      <c r="D498" t="str">
        <f t="shared" si="8"/>
        <v>Battalion Rad</v>
      </c>
    </row>
    <row r="499" spans="1:4" x14ac:dyDescent="0.25">
      <c r="A499" s="8">
        <v>41617</v>
      </c>
      <c r="B499" s="4" t="s">
        <v>100</v>
      </c>
      <c r="C499" s="4">
        <v>11</v>
      </c>
      <c r="D499" t="str">
        <f t="shared" si="8"/>
        <v>Phil Cool</v>
      </c>
    </row>
    <row r="500" spans="1:4" x14ac:dyDescent="0.25">
      <c r="A500" s="8">
        <v>41645</v>
      </c>
      <c r="B500" s="4" t="s">
        <v>100</v>
      </c>
      <c r="C500" s="4">
        <v>41</v>
      </c>
      <c r="D500" t="str">
        <f t="shared" si="8"/>
        <v>Phil Cool</v>
      </c>
    </row>
    <row r="501" spans="1:4" x14ac:dyDescent="0.25">
      <c r="A501" s="8">
        <v>41537</v>
      </c>
      <c r="B501" s="4" t="s">
        <v>720</v>
      </c>
      <c r="C501" s="4">
        <v>26</v>
      </c>
      <c r="D501" t="str">
        <f t="shared" si="8"/>
        <v>Gardenia Calm</v>
      </c>
    </row>
    <row r="502" spans="1:4" x14ac:dyDescent="0.25">
      <c r="A502" s="8">
        <v>41505</v>
      </c>
      <c r="B502" s="4" t="s">
        <v>725</v>
      </c>
      <c r="C502" s="4">
        <v>15</v>
      </c>
      <c r="D502" t="str">
        <f t="shared" si="8"/>
        <v>Phil Rad</v>
      </c>
    </row>
    <row r="503" spans="1:4" x14ac:dyDescent="0.25">
      <c r="A503" s="8">
        <v>41558</v>
      </c>
      <c r="B503" s="4" t="s">
        <v>729</v>
      </c>
      <c r="C503" s="4">
        <v>59</v>
      </c>
      <c r="D503" t="str">
        <f t="shared" si="8"/>
        <v>Gardenia Sup</v>
      </c>
    </row>
    <row r="504" spans="1:4" x14ac:dyDescent="0.25">
      <c r="A504" s="8">
        <v>41616</v>
      </c>
      <c r="B504" s="4" t="s">
        <v>720</v>
      </c>
      <c r="C504" s="4">
        <v>37</v>
      </c>
      <c r="D504" t="str">
        <f t="shared" si="8"/>
        <v>Gardenia Calm</v>
      </c>
    </row>
    <row r="505" spans="1:4" x14ac:dyDescent="0.25">
      <c r="A505" s="8">
        <v>41526</v>
      </c>
      <c r="B505" s="4" t="s">
        <v>711</v>
      </c>
      <c r="C505" s="4">
        <v>13</v>
      </c>
      <c r="D505" t="str">
        <f t="shared" si="8"/>
        <v>Sioux Calm</v>
      </c>
    </row>
    <row r="506" spans="1:4" x14ac:dyDescent="0.25">
      <c r="A506" s="8">
        <v>41618</v>
      </c>
      <c r="B506" s="4" t="s">
        <v>722</v>
      </c>
      <c r="C506" s="4">
        <v>37</v>
      </c>
      <c r="D506" t="str">
        <f t="shared" si="8"/>
        <v>Battalion Sup</v>
      </c>
    </row>
    <row r="507" spans="1:4" x14ac:dyDescent="0.25">
      <c r="A507" s="8">
        <v>41510</v>
      </c>
      <c r="B507" s="4" t="s">
        <v>100</v>
      </c>
      <c r="C507" s="4">
        <v>35</v>
      </c>
      <c r="D507" t="str">
        <f t="shared" si="8"/>
        <v>Phil Cool</v>
      </c>
    </row>
    <row r="508" spans="1:4" x14ac:dyDescent="0.25">
      <c r="A508" s="8">
        <v>41565</v>
      </c>
      <c r="B508" s="4" t="s">
        <v>723</v>
      </c>
      <c r="C508" s="4">
        <v>26</v>
      </c>
      <c r="D508" t="str">
        <f t="shared" si="8"/>
        <v>Gigi Calm</v>
      </c>
    </row>
    <row r="509" spans="1:4" x14ac:dyDescent="0.25">
      <c r="A509" s="8">
        <v>41561</v>
      </c>
      <c r="B509" s="4" t="s">
        <v>726</v>
      </c>
      <c r="C509" s="4">
        <v>31</v>
      </c>
      <c r="D509" t="str">
        <f t="shared" si="8"/>
        <v>Sioux Sup</v>
      </c>
    </row>
    <row r="510" spans="1:4" x14ac:dyDescent="0.25">
      <c r="A510" s="8">
        <v>41552</v>
      </c>
      <c r="B510" s="4" t="s">
        <v>727</v>
      </c>
      <c r="C510" s="4">
        <v>10</v>
      </c>
      <c r="D510" t="str">
        <f t="shared" si="8"/>
        <v>Phil Calm</v>
      </c>
    </row>
    <row r="511" spans="1:4" x14ac:dyDescent="0.25">
      <c r="A511" s="8">
        <v>41539</v>
      </c>
      <c r="B511" s="4" t="s">
        <v>721</v>
      </c>
      <c r="C511" s="4">
        <v>14</v>
      </c>
      <c r="D511" t="str">
        <f t="shared" si="8"/>
        <v>Battalion Cool</v>
      </c>
    </row>
    <row r="512" spans="1:4" x14ac:dyDescent="0.25">
      <c r="A512" s="8">
        <v>41603</v>
      </c>
      <c r="B512" s="4" t="s">
        <v>713</v>
      </c>
      <c r="C512" s="4">
        <v>35</v>
      </c>
      <c r="D512" t="str">
        <f t="shared" si="8"/>
        <v>Gardenia Cool</v>
      </c>
    </row>
    <row r="513" spans="1:4" x14ac:dyDescent="0.25">
      <c r="A513" s="8">
        <v>41627</v>
      </c>
      <c r="B513" s="4" t="s">
        <v>715</v>
      </c>
      <c r="C513" s="4">
        <v>46</v>
      </c>
      <c r="D513" t="str">
        <f t="shared" si="8"/>
        <v>Gardenia Rad</v>
      </c>
    </row>
    <row r="514" spans="1:4" x14ac:dyDescent="0.25">
      <c r="A514" s="8">
        <v>41626</v>
      </c>
      <c r="B514" s="4" t="s">
        <v>717</v>
      </c>
      <c r="C514" s="4">
        <v>53</v>
      </c>
      <c r="D514" t="str">
        <f t="shared" si="8"/>
        <v>Battalion Rad</v>
      </c>
    </row>
    <row r="515" spans="1:4" x14ac:dyDescent="0.25">
      <c r="A515" s="8">
        <v>41618</v>
      </c>
      <c r="B515" s="4" t="s">
        <v>712</v>
      </c>
      <c r="C515" s="4">
        <v>57</v>
      </c>
      <c r="D515" t="str">
        <f t="shared" ref="D515:D578" si="9">TRIM(B515)</f>
        <v>Phil Sup</v>
      </c>
    </row>
    <row r="516" spans="1:4" x14ac:dyDescent="0.25">
      <c r="A516" s="8">
        <v>41604</v>
      </c>
      <c r="B516" s="4" t="s">
        <v>727</v>
      </c>
      <c r="C516" s="4">
        <v>31</v>
      </c>
      <c r="D516" t="str">
        <f t="shared" si="9"/>
        <v>Phil Calm</v>
      </c>
    </row>
    <row r="517" spans="1:4" x14ac:dyDescent="0.25">
      <c r="A517" s="8">
        <v>41601</v>
      </c>
      <c r="B517" s="4" t="s">
        <v>716</v>
      </c>
      <c r="C517" s="4">
        <v>20</v>
      </c>
      <c r="D517" t="str">
        <f t="shared" si="9"/>
        <v>Battalion Pretty</v>
      </c>
    </row>
    <row r="518" spans="1:4" x14ac:dyDescent="0.25">
      <c r="A518" s="8">
        <v>41531</v>
      </c>
      <c r="B518" s="4" t="s">
        <v>712</v>
      </c>
      <c r="C518" s="4">
        <v>11</v>
      </c>
      <c r="D518" t="str">
        <f t="shared" si="9"/>
        <v>Phil Sup</v>
      </c>
    </row>
    <row r="519" spans="1:4" x14ac:dyDescent="0.25">
      <c r="A519" s="8">
        <v>41503</v>
      </c>
      <c r="B519" s="4" t="s">
        <v>710</v>
      </c>
      <c r="C519" s="4">
        <v>25</v>
      </c>
      <c r="D519" t="str">
        <f t="shared" si="9"/>
        <v>Gigi Pretty</v>
      </c>
    </row>
    <row r="520" spans="1:4" x14ac:dyDescent="0.25">
      <c r="A520" s="8">
        <v>41616</v>
      </c>
      <c r="B520" s="4" t="s">
        <v>712</v>
      </c>
      <c r="C520" s="4">
        <v>35</v>
      </c>
      <c r="D520" t="str">
        <f t="shared" si="9"/>
        <v>Phil Sup</v>
      </c>
    </row>
    <row r="521" spans="1:4" x14ac:dyDescent="0.25">
      <c r="A521" s="8">
        <v>41621</v>
      </c>
      <c r="B521" s="4" t="s">
        <v>724</v>
      </c>
      <c r="C521" s="4">
        <v>55</v>
      </c>
      <c r="D521" t="str">
        <f t="shared" si="9"/>
        <v>Phil Pretty</v>
      </c>
    </row>
    <row r="522" spans="1:4" x14ac:dyDescent="0.25">
      <c r="A522" s="8">
        <v>41546</v>
      </c>
      <c r="B522" s="4" t="s">
        <v>725</v>
      </c>
      <c r="C522" s="4">
        <v>51</v>
      </c>
      <c r="D522" t="str">
        <f t="shared" si="9"/>
        <v>Phil Rad</v>
      </c>
    </row>
    <row r="523" spans="1:4" x14ac:dyDescent="0.25">
      <c r="A523" s="8">
        <v>41547</v>
      </c>
      <c r="B523" s="4" t="s">
        <v>714</v>
      </c>
      <c r="C523" s="4">
        <v>25</v>
      </c>
      <c r="D523" t="str">
        <f t="shared" si="9"/>
        <v>Gigi Rad</v>
      </c>
    </row>
    <row r="524" spans="1:4" x14ac:dyDescent="0.25">
      <c r="A524" s="8">
        <v>41556</v>
      </c>
      <c r="B524" s="4" t="s">
        <v>101</v>
      </c>
      <c r="C524" s="4">
        <v>21</v>
      </c>
      <c r="D524" t="str">
        <f t="shared" si="9"/>
        <v>Gigi Sup</v>
      </c>
    </row>
    <row r="525" spans="1:4" x14ac:dyDescent="0.25">
      <c r="A525" s="8">
        <v>41574</v>
      </c>
      <c r="B525" s="4" t="s">
        <v>716</v>
      </c>
      <c r="C525" s="4">
        <v>28</v>
      </c>
      <c r="D525" t="str">
        <f t="shared" si="9"/>
        <v>Battalion Pretty</v>
      </c>
    </row>
    <row r="526" spans="1:4" x14ac:dyDescent="0.25">
      <c r="A526" s="8">
        <v>41545</v>
      </c>
      <c r="B526" s="4" t="s">
        <v>714</v>
      </c>
      <c r="C526" s="4">
        <v>53</v>
      </c>
      <c r="D526" t="str">
        <f t="shared" si="9"/>
        <v>Gigi Rad</v>
      </c>
    </row>
    <row r="527" spans="1:4" x14ac:dyDescent="0.25">
      <c r="A527" s="8">
        <v>41645</v>
      </c>
      <c r="B527" s="4" t="s">
        <v>100</v>
      </c>
      <c r="C527" s="4">
        <v>17</v>
      </c>
      <c r="D527" t="str">
        <f t="shared" si="9"/>
        <v>Phil Cool</v>
      </c>
    </row>
    <row r="528" spans="1:4" x14ac:dyDescent="0.25">
      <c r="A528" s="8">
        <v>41513</v>
      </c>
      <c r="B528" s="4" t="s">
        <v>102</v>
      </c>
      <c r="C528" s="4">
        <v>52</v>
      </c>
      <c r="D528" t="str">
        <f t="shared" si="9"/>
        <v>Battalion Calm</v>
      </c>
    </row>
    <row r="529" spans="1:4" x14ac:dyDescent="0.25">
      <c r="A529" s="8">
        <v>41579</v>
      </c>
      <c r="B529" s="4" t="s">
        <v>100</v>
      </c>
      <c r="C529" s="4">
        <v>51</v>
      </c>
      <c r="D529" t="str">
        <f t="shared" si="9"/>
        <v>Phil Cool</v>
      </c>
    </row>
    <row r="530" spans="1:4" x14ac:dyDescent="0.25">
      <c r="A530" s="8">
        <v>41501</v>
      </c>
      <c r="B530" s="4" t="s">
        <v>720</v>
      </c>
      <c r="C530" s="4">
        <v>17</v>
      </c>
      <c r="D530" t="str">
        <f t="shared" si="9"/>
        <v>Gardenia Calm</v>
      </c>
    </row>
    <row r="531" spans="1:4" x14ac:dyDescent="0.25">
      <c r="A531" s="8">
        <v>41552</v>
      </c>
      <c r="B531" s="4" t="s">
        <v>727</v>
      </c>
      <c r="C531" s="4">
        <v>48</v>
      </c>
      <c r="D531" t="str">
        <f t="shared" si="9"/>
        <v>Phil Calm</v>
      </c>
    </row>
    <row r="532" spans="1:4" x14ac:dyDescent="0.25">
      <c r="A532" s="8">
        <v>41642</v>
      </c>
      <c r="B532" s="4" t="s">
        <v>715</v>
      </c>
      <c r="C532" s="4">
        <v>33</v>
      </c>
      <c r="D532" t="str">
        <f t="shared" si="9"/>
        <v>Gardenia Rad</v>
      </c>
    </row>
    <row r="533" spans="1:4" x14ac:dyDescent="0.25">
      <c r="A533" s="8">
        <v>41594</v>
      </c>
      <c r="B533" s="4" t="s">
        <v>717</v>
      </c>
      <c r="C533" s="4">
        <v>23</v>
      </c>
      <c r="D533" t="str">
        <f t="shared" si="9"/>
        <v>Battalion Rad</v>
      </c>
    </row>
    <row r="534" spans="1:4" x14ac:dyDescent="0.25">
      <c r="A534" s="8">
        <v>41504</v>
      </c>
      <c r="B534" s="4" t="s">
        <v>724</v>
      </c>
      <c r="C534" s="4">
        <v>25</v>
      </c>
      <c r="D534" t="str">
        <f t="shared" si="9"/>
        <v>Phil Pretty</v>
      </c>
    </row>
    <row r="535" spans="1:4" x14ac:dyDescent="0.25">
      <c r="A535" s="8">
        <v>41615</v>
      </c>
      <c r="B535" s="4" t="s">
        <v>718</v>
      </c>
      <c r="C535" s="4">
        <v>11</v>
      </c>
      <c r="D535" t="str">
        <f t="shared" si="9"/>
        <v>Sioux Cool</v>
      </c>
    </row>
    <row r="536" spans="1:4" x14ac:dyDescent="0.25">
      <c r="A536" s="8">
        <v>41503</v>
      </c>
      <c r="B536" s="4" t="s">
        <v>102</v>
      </c>
      <c r="C536" s="4">
        <v>40</v>
      </c>
      <c r="D536" t="str">
        <f t="shared" si="9"/>
        <v>Battalion Calm</v>
      </c>
    </row>
    <row r="537" spans="1:4" x14ac:dyDescent="0.25">
      <c r="A537" s="8">
        <v>41561</v>
      </c>
      <c r="B537" s="4" t="s">
        <v>711</v>
      </c>
      <c r="C537" s="4">
        <v>53</v>
      </c>
      <c r="D537" t="str">
        <f t="shared" si="9"/>
        <v>Sioux Calm</v>
      </c>
    </row>
    <row r="538" spans="1:4" x14ac:dyDescent="0.25">
      <c r="A538" s="8">
        <v>41570</v>
      </c>
      <c r="B538" s="4" t="s">
        <v>99</v>
      </c>
      <c r="C538" s="4">
        <v>29</v>
      </c>
      <c r="D538" t="str">
        <f t="shared" si="9"/>
        <v>Sioux Rad</v>
      </c>
    </row>
    <row r="539" spans="1:4" x14ac:dyDescent="0.25">
      <c r="A539" s="8">
        <v>41560</v>
      </c>
      <c r="B539" s="4" t="s">
        <v>714</v>
      </c>
      <c r="C539" s="4">
        <v>21</v>
      </c>
      <c r="D539" t="str">
        <f t="shared" si="9"/>
        <v>Gigi Rad</v>
      </c>
    </row>
    <row r="540" spans="1:4" x14ac:dyDescent="0.25">
      <c r="A540" s="8">
        <v>41533</v>
      </c>
      <c r="B540" s="4" t="s">
        <v>717</v>
      </c>
      <c r="C540" s="4">
        <v>49</v>
      </c>
      <c r="D540" t="str">
        <f t="shared" si="9"/>
        <v>Battalion Rad</v>
      </c>
    </row>
    <row r="541" spans="1:4" x14ac:dyDescent="0.25">
      <c r="A541" s="8">
        <v>41500</v>
      </c>
      <c r="B541" s="4" t="s">
        <v>713</v>
      </c>
      <c r="C541" s="4">
        <v>57</v>
      </c>
      <c r="D541" t="str">
        <f t="shared" si="9"/>
        <v>Gardenia Cool</v>
      </c>
    </row>
    <row r="542" spans="1:4" x14ac:dyDescent="0.25">
      <c r="A542" s="8">
        <v>41604</v>
      </c>
      <c r="B542" s="4" t="s">
        <v>99</v>
      </c>
      <c r="C542" s="4">
        <v>27</v>
      </c>
      <c r="D542" t="str">
        <f t="shared" si="9"/>
        <v>Sioux Rad</v>
      </c>
    </row>
    <row r="543" spans="1:4" x14ac:dyDescent="0.25">
      <c r="A543" s="8">
        <v>41626</v>
      </c>
      <c r="B543" s="4" t="s">
        <v>722</v>
      </c>
      <c r="C543" s="4">
        <v>32</v>
      </c>
      <c r="D543" t="str">
        <f t="shared" si="9"/>
        <v>Battalion Sup</v>
      </c>
    </row>
    <row r="544" spans="1:4" x14ac:dyDescent="0.25">
      <c r="A544" s="8">
        <v>41501</v>
      </c>
      <c r="B544" s="4" t="s">
        <v>102</v>
      </c>
      <c r="C544" s="4">
        <v>57</v>
      </c>
      <c r="D544" t="str">
        <f t="shared" si="9"/>
        <v>Battalion Calm</v>
      </c>
    </row>
    <row r="545" spans="1:4" x14ac:dyDescent="0.25">
      <c r="A545" s="8">
        <v>41573</v>
      </c>
      <c r="B545" s="4" t="s">
        <v>726</v>
      </c>
      <c r="C545" s="4">
        <v>34</v>
      </c>
      <c r="D545" t="str">
        <f t="shared" si="9"/>
        <v>Sioux Sup</v>
      </c>
    </row>
    <row r="546" spans="1:4" x14ac:dyDescent="0.25">
      <c r="A546" s="8">
        <v>41513</v>
      </c>
      <c r="B546" s="4" t="s">
        <v>718</v>
      </c>
      <c r="C546" s="4">
        <v>56</v>
      </c>
      <c r="D546" t="str">
        <f t="shared" si="9"/>
        <v>Sioux Cool</v>
      </c>
    </row>
    <row r="547" spans="1:4" x14ac:dyDescent="0.25">
      <c r="A547" s="8">
        <v>41546</v>
      </c>
      <c r="B547" s="4" t="s">
        <v>726</v>
      </c>
      <c r="C547" s="4">
        <v>48</v>
      </c>
      <c r="D547" t="str">
        <f t="shared" si="9"/>
        <v>Sioux Sup</v>
      </c>
    </row>
    <row r="548" spans="1:4" x14ac:dyDescent="0.25">
      <c r="A548" s="8">
        <v>41533</v>
      </c>
      <c r="B548" s="4" t="s">
        <v>103</v>
      </c>
      <c r="C548" s="4">
        <v>38</v>
      </c>
      <c r="D548" t="str">
        <f t="shared" si="9"/>
        <v>Gardenia Pretty</v>
      </c>
    </row>
    <row r="549" spans="1:4" x14ac:dyDescent="0.25">
      <c r="A549" s="8">
        <v>41543</v>
      </c>
      <c r="B549" s="4" t="s">
        <v>723</v>
      </c>
      <c r="C549" s="4">
        <v>11</v>
      </c>
      <c r="D549" t="str">
        <f t="shared" si="9"/>
        <v>Gigi Calm</v>
      </c>
    </row>
    <row r="550" spans="1:4" x14ac:dyDescent="0.25">
      <c r="A550" s="8">
        <v>41637</v>
      </c>
      <c r="B550" s="4" t="s">
        <v>710</v>
      </c>
      <c r="C550" s="4">
        <v>17</v>
      </c>
      <c r="D550" t="str">
        <f t="shared" si="9"/>
        <v>Gigi Pretty</v>
      </c>
    </row>
    <row r="551" spans="1:4" x14ac:dyDescent="0.25">
      <c r="A551" s="8">
        <v>41510</v>
      </c>
      <c r="B551" s="4" t="s">
        <v>714</v>
      </c>
      <c r="C551" s="4">
        <v>50</v>
      </c>
      <c r="D551" t="str">
        <f t="shared" si="9"/>
        <v>Gigi Rad</v>
      </c>
    </row>
    <row r="552" spans="1:4" x14ac:dyDescent="0.25">
      <c r="A552" s="8">
        <v>41583</v>
      </c>
      <c r="B552" s="4" t="s">
        <v>727</v>
      </c>
      <c r="C552" s="4">
        <v>53</v>
      </c>
      <c r="D552" t="str">
        <f t="shared" si="9"/>
        <v>Phil Calm</v>
      </c>
    </row>
    <row r="553" spans="1:4" x14ac:dyDescent="0.25">
      <c r="A553" s="8">
        <v>41542</v>
      </c>
      <c r="B553" s="4" t="s">
        <v>729</v>
      </c>
      <c r="C553" s="4">
        <v>40</v>
      </c>
      <c r="D553" t="str">
        <f t="shared" si="9"/>
        <v>Gardenia Sup</v>
      </c>
    </row>
    <row r="554" spans="1:4" x14ac:dyDescent="0.25">
      <c r="A554" s="8">
        <v>41589</v>
      </c>
      <c r="B554" s="4" t="s">
        <v>715</v>
      </c>
      <c r="C554" s="4">
        <v>32</v>
      </c>
      <c r="D554" t="str">
        <f t="shared" si="9"/>
        <v>Gardenia Rad</v>
      </c>
    </row>
    <row r="555" spans="1:4" x14ac:dyDescent="0.25">
      <c r="A555" s="8">
        <v>41552</v>
      </c>
      <c r="B555" s="4" t="s">
        <v>711</v>
      </c>
      <c r="C555" s="4">
        <v>11</v>
      </c>
      <c r="D555" t="str">
        <f t="shared" si="9"/>
        <v>Sioux Calm</v>
      </c>
    </row>
    <row r="556" spans="1:4" x14ac:dyDescent="0.25">
      <c r="A556" s="8">
        <v>41647</v>
      </c>
      <c r="B556" s="4" t="s">
        <v>718</v>
      </c>
      <c r="C556" s="4">
        <v>17</v>
      </c>
      <c r="D556" t="str">
        <f t="shared" si="9"/>
        <v>Sioux Cool</v>
      </c>
    </row>
    <row r="557" spans="1:4" x14ac:dyDescent="0.25">
      <c r="A557" s="8">
        <v>41528</v>
      </c>
      <c r="B557" s="4" t="s">
        <v>718</v>
      </c>
      <c r="C557" s="4">
        <v>57</v>
      </c>
      <c r="D557" t="str">
        <f t="shared" si="9"/>
        <v>Sioux Cool</v>
      </c>
    </row>
    <row r="558" spans="1:4" x14ac:dyDescent="0.25">
      <c r="A558" s="8">
        <v>41538</v>
      </c>
      <c r="B558" s="4" t="s">
        <v>721</v>
      </c>
      <c r="C558" s="4">
        <v>27</v>
      </c>
      <c r="D558" t="str">
        <f t="shared" si="9"/>
        <v>Battalion Cool</v>
      </c>
    </row>
    <row r="559" spans="1:4" x14ac:dyDescent="0.25">
      <c r="A559" s="8">
        <v>41504</v>
      </c>
      <c r="B559" s="4" t="s">
        <v>726</v>
      </c>
      <c r="C559" s="4">
        <v>28</v>
      </c>
      <c r="D559" t="str">
        <f t="shared" si="9"/>
        <v>Sioux Sup</v>
      </c>
    </row>
    <row r="560" spans="1:4" x14ac:dyDescent="0.25">
      <c r="A560" s="8">
        <v>41611</v>
      </c>
      <c r="B560" s="4" t="s">
        <v>716</v>
      </c>
      <c r="C560" s="4">
        <v>33</v>
      </c>
      <c r="D560" t="str">
        <f t="shared" si="9"/>
        <v>Battalion Pretty</v>
      </c>
    </row>
    <row r="561" spans="1:4" x14ac:dyDescent="0.25">
      <c r="A561" s="8">
        <v>41570</v>
      </c>
      <c r="B561" s="4" t="s">
        <v>720</v>
      </c>
      <c r="C561" s="4">
        <v>20</v>
      </c>
      <c r="D561" t="str">
        <f t="shared" si="9"/>
        <v>Gardenia Calm</v>
      </c>
    </row>
    <row r="562" spans="1:4" x14ac:dyDescent="0.25">
      <c r="A562" s="8">
        <v>41559</v>
      </c>
      <c r="B562" s="4" t="s">
        <v>728</v>
      </c>
      <c r="C562" s="4">
        <v>54</v>
      </c>
      <c r="D562" t="str">
        <f t="shared" si="9"/>
        <v>Gigi Cool</v>
      </c>
    </row>
    <row r="563" spans="1:4" x14ac:dyDescent="0.25">
      <c r="A563" s="8">
        <v>41543</v>
      </c>
      <c r="B563" s="4" t="s">
        <v>721</v>
      </c>
      <c r="C563" s="4">
        <v>42</v>
      </c>
      <c r="D563" t="str">
        <f t="shared" si="9"/>
        <v>Battalion Cool</v>
      </c>
    </row>
    <row r="564" spans="1:4" x14ac:dyDescent="0.25">
      <c r="A564" s="8">
        <v>41563</v>
      </c>
      <c r="B564" s="4" t="s">
        <v>716</v>
      </c>
      <c r="C564" s="4">
        <v>19</v>
      </c>
      <c r="D564" t="str">
        <f t="shared" si="9"/>
        <v>Battalion Pretty</v>
      </c>
    </row>
    <row r="565" spans="1:4" x14ac:dyDescent="0.25">
      <c r="A565" s="8">
        <v>41570</v>
      </c>
      <c r="B565" s="4" t="s">
        <v>718</v>
      </c>
      <c r="C565" s="4">
        <v>23</v>
      </c>
      <c r="D565" t="str">
        <f t="shared" si="9"/>
        <v>Sioux Cool</v>
      </c>
    </row>
    <row r="566" spans="1:4" x14ac:dyDescent="0.25">
      <c r="A566" s="8">
        <v>41577</v>
      </c>
      <c r="B566" s="4" t="s">
        <v>100</v>
      </c>
      <c r="C566" s="4">
        <v>53</v>
      </c>
      <c r="D566" t="str">
        <f t="shared" si="9"/>
        <v>Phil Cool</v>
      </c>
    </row>
    <row r="567" spans="1:4" x14ac:dyDescent="0.25">
      <c r="A567" s="8">
        <v>41630</v>
      </c>
      <c r="B567" s="4" t="s">
        <v>711</v>
      </c>
      <c r="C567" s="4">
        <v>33</v>
      </c>
      <c r="D567" t="str">
        <f t="shared" si="9"/>
        <v>Sioux Calm</v>
      </c>
    </row>
    <row r="568" spans="1:4" x14ac:dyDescent="0.25">
      <c r="A568" s="8">
        <v>41633</v>
      </c>
      <c r="B568" s="4" t="s">
        <v>722</v>
      </c>
      <c r="C568" s="4">
        <v>43</v>
      </c>
      <c r="D568" t="str">
        <f t="shared" si="9"/>
        <v>Battalion Sup</v>
      </c>
    </row>
    <row r="569" spans="1:4" x14ac:dyDescent="0.25">
      <c r="A569" s="8">
        <v>41649</v>
      </c>
      <c r="B569" s="4" t="s">
        <v>725</v>
      </c>
      <c r="C569" s="4">
        <v>44</v>
      </c>
      <c r="D569" t="str">
        <f t="shared" si="9"/>
        <v>Phil Rad</v>
      </c>
    </row>
    <row r="570" spans="1:4" x14ac:dyDescent="0.25">
      <c r="A570" s="8">
        <v>41622</v>
      </c>
      <c r="B570" s="4" t="s">
        <v>726</v>
      </c>
      <c r="C570" s="4">
        <v>58</v>
      </c>
      <c r="D570" t="str">
        <f t="shared" si="9"/>
        <v>Sioux Sup</v>
      </c>
    </row>
    <row r="571" spans="1:4" x14ac:dyDescent="0.25">
      <c r="A571" s="8">
        <v>41563</v>
      </c>
      <c r="B571" s="4" t="s">
        <v>103</v>
      </c>
      <c r="C571" s="4">
        <v>55</v>
      </c>
      <c r="D571" t="str">
        <f t="shared" si="9"/>
        <v>Gardenia Pretty</v>
      </c>
    </row>
    <row r="572" spans="1:4" x14ac:dyDescent="0.25">
      <c r="A572" s="8">
        <v>41554</v>
      </c>
      <c r="B572" s="4" t="s">
        <v>718</v>
      </c>
      <c r="C572" s="4">
        <v>50</v>
      </c>
      <c r="D572" t="str">
        <f t="shared" si="9"/>
        <v>Sioux Cool</v>
      </c>
    </row>
    <row r="573" spans="1:4" x14ac:dyDescent="0.25">
      <c r="A573" s="8">
        <v>41548</v>
      </c>
      <c r="B573" s="4" t="s">
        <v>103</v>
      </c>
      <c r="C573" s="4">
        <v>35</v>
      </c>
      <c r="D573" t="str">
        <f t="shared" si="9"/>
        <v>Gardenia Pretty</v>
      </c>
    </row>
    <row r="574" spans="1:4" x14ac:dyDescent="0.25">
      <c r="A574" s="8">
        <v>41592</v>
      </c>
      <c r="B574" s="4" t="s">
        <v>711</v>
      </c>
      <c r="C574" s="4">
        <v>12</v>
      </c>
      <c r="D574" t="str">
        <f t="shared" si="9"/>
        <v>Sioux Calm</v>
      </c>
    </row>
    <row r="575" spans="1:4" x14ac:dyDescent="0.25">
      <c r="A575" s="8">
        <v>41541</v>
      </c>
      <c r="B575" s="4" t="s">
        <v>99</v>
      </c>
      <c r="C575" s="4">
        <v>41</v>
      </c>
      <c r="D575" t="str">
        <f t="shared" si="9"/>
        <v>Sioux Rad</v>
      </c>
    </row>
    <row r="576" spans="1:4" x14ac:dyDescent="0.25">
      <c r="A576" s="8">
        <v>41572</v>
      </c>
      <c r="B576" s="4" t="s">
        <v>99</v>
      </c>
      <c r="C576" s="4">
        <v>31</v>
      </c>
      <c r="D576" t="str">
        <f t="shared" si="9"/>
        <v>Sioux Rad</v>
      </c>
    </row>
    <row r="577" spans="1:4" x14ac:dyDescent="0.25">
      <c r="A577" s="8">
        <v>41561</v>
      </c>
      <c r="B577" s="4" t="s">
        <v>99</v>
      </c>
      <c r="C577" s="4">
        <v>35</v>
      </c>
      <c r="D577" t="str">
        <f t="shared" si="9"/>
        <v>Sioux Rad</v>
      </c>
    </row>
    <row r="578" spans="1:4" x14ac:dyDescent="0.25">
      <c r="A578" s="8">
        <v>41572</v>
      </c>
      <c r="B578" s="4" t="s">
        <v>723</v>
      </c>
      <c r="C578" s="4">
        <v>27</v>
      </c>
      <c r="D578" t="str">
        <f t="shared" si="9"/>
        <v>Gigi Calm</v>
      </c>
    </row>
    <row r="579" spans="1:4" x14ac:dyDescent="0.25">
      <c r="A579" s="8">
        <v>41588</v>
      </c>
      <c r="B579" s="4" t="s">
        <v>100</v>
      </c>
      <c r="C579" s="4">
        <v>34</v>
      </c>
      <c r="D579" t="str">
        <f t="shared" ref="D579:D642" si="10">TRIM(B579)</f>
        <v>Phil Cool</v>
      </c>
    </row>
    <row r="580" spans="1:4" x14ac:dyDescent="0.25">
      <c r="A580" s="8">
        <v>41643</v>
      </c>
      <c r="B580" s="4" t="s">
        <v>711</v>
      </c>
      <c r="C580" s="4">
        <v>14</v>
      </c>
      <c r="D580" t="str">
        <f t="shared" si="10"/>
        <v>Sioux Calm</v>
      </c>
    </row>
    <row r="581" spans="1:4" x14ac:dyDescent="0.25">
      <c r="A581" s="8">
        <v>41577</v>
      </c>
      <c r="B581" s="4" t="s">
        <v>723</v>
      </c>
      <c r="C581" s="4">
        <v>57</v>
      </c>
      <c r="D581" t="str">
        <f t="shared" si="10"/>
        <v>Gigi Calm</v>
      </c>
    </row>
    <row r="582" spans="1:4" x14ac:dyDescent="0.25">
      <c r="A582" s="8">
        <v>41544</v>
      </c>
      <c r="B582" s="4" t="s">
        <v>100</v>
      </c>
      <c r="C582" s="4">
        <v>34</v>
      </c>
      <c r="D582" t="str">
        <f t="shared" si="10"/>
        <v>Phil Cool</v>
      </c>
    </row>
    <row r="583" spans="1:4" x14ac:dyDescent="0.25">
      <c r="A583" s="8">
        <v>41535</v>
      </c>
      <c r="B583" s="4" t="s">
        <v>713</v>
      </c>
      <c r="C583" s="4">
        <v>26</v>
      </c>
      <c r="D583" t="str">
        <f t="shared" si="10"/>
        <v>Gardenia Cool</v>
      </c>
    </row>
    <row r="584" spans="1:4" x14ac:dyDescent="0.25">
      <c r="A584" s="8">
        <v>41524</v>
      </c>
      <c r="B584" s="4" t="s">
        <v>719</v>
      </c>
      <c r="C584" s="4">
        <v>44</v>
      </c>
      <c r="D584" t="str">
        <f t="shared" si="10"/>
        <v>Sioux Pretty</v>
      </c>
    </row>
    <row r="585" spans="1:4" x14ac:dyDescent="0.25">
      <c r="A585" s="8">
        <v>41583</v>
      </c>
      <c r="B585" s="4" t="s">
        <v>100</v>
      </c>
      <c r="C585" s="4">
        <v>24</v>
      </c>
      <c r="D585" t="str">
        <f t="shared" si="10"/>
        <v>Phil Cool</v>
      </c>
    </row>
    <row r="586" spans="1:4" x14ac:dyDescent="0.25">
      <c r="A586" s="8">
        <v>41562</v>
      </c>
      <c r="B586" s="4" t="s">
        <v>714</v>
      </c>
      <c r="C586" s="4">
        <v>12</v>
      </c>
      <c r="D586" t="str">
        <f t="shared" si="10"/>
        <v>Gigi Rad</v>
      </c>
    </row>
    <row r="587" spans="1:4" x14ac:dyDescent="0.25">
      <c r="A587" s="8">
        <v>41541</v>
      </c>
      <c r="B587" s="4" t="s">
        <v>724</v>
      </c>
      <c r="C587" s="4">
        <v>38</v>
      </c>
      <c r="D587" t="str">
        <f t="shared" si="10"/>
        <v>Phil Pretty</v>
      </c>
    </row>
    <row r="588" spans="1:4" x14ac:dyDescent="0.25">
      <c r="A588" s="8">
        <v>41500</v>
      </c>
      <c r="B588" s="4" t="s">
        <v>729</v>
      </c>
      <c r="C588" s="4">
        <v>47</v>
      </c>
      <c r="D588" t="str">
        <f t="shared" si="10"/>
        <v>Gardenia Sup</v>
      </c>
    </row>
    <row r="589" spans="1:4" x14ac:dyDescent="0.25">
      <c r="A589" s="8">
        <v>41540</v>
      </c>
      <c r="B589" s="4" t="s">
        <v>100</v>
      </c>
      <c r="C589" s="4">
        <v>34</v>
      </c>
      <c r="D589" t="str">
        <f t="shared" si="10"/>
        <v>Phil Cool</v>
      </c>
    </row>
    <row r="590" spans="1:4" x14ac:dyDescent="0.25">
      <c r="A590" s="8">
        <v>41625</v>
      </c>
      <c r="B590" s="4" t="s">
        <v>716</v>
      </c>
      <c r="C590" s="4">
        <v>59</v>
      </c>
      <c r="D590" t="str">
        <f t="shared" si="10"/>
        <v>Battalion Pretty</v>
      </c>
    </row>
    <row r="591" spans="1:4" x14ac:dyDescent="0.25">
      <c r="A591" s="8">
        <v>41519</v>
      </c>
      <c r="B591" s="4" t="s">
        <v>728</v>
      </c>
      <c r="C591" s="4">
        <v>59</v>
      </c>
      <c r="D591" t="str">
        <f t="shared" si="10"/>
        <v>Gigi Cool</v>
      </c>
    </row>
    <row r="592" spans="1:4" x14ac:dyDescent="0.25">
      <c r="A592" s="8">
        <v>41572</v>
      </c>
      <c r="B592" s="4" t="s">
        <v>101</v>
      </c>
      <c r="C592" s="4">
        <v>29</v>
      </c>
      <c r="D592" t="str">
        <f t="shared" si="10"/>
        <v>Gigi Sup</v>
      </c>
    </row>
    <row r="593" spans="1:4" x14ac:dyDescent="0.25">
      <c r="A593" s="8">
        <v>41609</v>
      </c>
      <c r="B593" s="4" t="s">
        <v>720</v>
      </c>
      <c r="C593" s="4">
        <v>11</v>
      </c>
      <c r="D593" t="str">
        <f t="shared" si="10"/>
        <v>Gardenia Calm</v>
      </c>
    </row>
    <row r="594" spans="1:4" x14ac:dyDescent="0.25">
      <c r="A594" s="8">
        <v>41508</v>
      </c>
      <c r="B594" s="4" t="s">
        <v>723</v>
      </c>
      <c r="C594" s="4">
        <v>58</v>
      </c>
      <c r="D594" t="str">
        <f t="shared" si="10"/>
        <v>Gigi Calm</v>
      </c>
    </row>
    <row r="595" spans="1:4" x14ac:dyDescent="0.25">
      <c r="A595" s="8">
        <v>41585</v>
      </c>
      <c r="B595" s="4" t="s">
        <v>713</v>
      </c>
      <c r="C595" s="4">
        <v>33</v>
      </c>
      <c r="D595" t="str">
        <f t="shared" si="10"/>
        <v>Gardenia Cool</v>
      </c>
    </row>
    <row r="596" spans="1:4" x14ac:dyDescent="0.25">
      <c r="A596" s="8">
        <v>41510</v>
      </c>
      <c r="B596" s="4" t="s">
        <v>712</v>
      </c>
      <c r="C596" s="4">
        <v>23</v>
      </c>
      <c r="D596" t="str">
        <f t="shared" si="10"/>
        <v>Phil Sup</v>
      </c>
    </row>
    <row r="597" spans="1:4" x14ac:dyDescent="0.25">
      <c r="A597" s="8">
        <v>41527</v>
      </c>
      <c r="B597" s="4" t="s">
        <v>716</v>
      </c>
      <c r="C597" s="4">
        <v>36</v>
      </c>
      <c r="D597" t="str">
        <f t="shared" si="10"/>
        <v>Battalion Pretty</v>
      </c>
    </row>
    <row r="598" spans="1:4" x14ac:dyDescent="0.25">
      <c r="A598" s="8">
        <v>41521</v>
      </c>
      <c r="B598" s="4" t="s">
        <v>711</v>
      </c>
      <c r="C598" s="4">
        <v>20</v>
      </c>
      <c r="D598" t="str">
        <f t="shared" si="10"/>
        <v>Sioux Calm</v>
      </c>
    </row>
    <row r="599" spans="1:4" x14ac:dyDescent="0.25">
      <c r="A599" s="8">
        <v>41576</v>
      </c>
      <c r="B599" s="4" t="s">
        <v>727</v>
      </c>
      <c r="C599" s="4">
        <v>39</v>
      </c>
      <c r="D599" t="str">
        <f t="shared" si="10"/>
        <v>Phil Calm</v>
      </c>
    </row>
    <row r="600" spans="1:4" x14ac:dyDescent="0.25">
      <c r="A600" s="8">
        <v>41531</v>
      </c>
      <c r="B600" s="4" t="s">
        <v>711</v>
      </c>
      <c r="C600" s="4">
        <v>53</v>
      </c>
      <c r="D600" t="str">
        <f t="shared" si="10"/>
        <v>Sioux Calm</v>
      </c>
    </row>
    <row r="601" spans="1:4" x14ac:dyDescent="0.25">
      <c r="A601" s="8">
        <v>41559</v>
      </c>
      <c r="B601" s="4" t="s">
        <v>717</v>
      </c>
      <c r="C601" s="4">
        <v>49</v>
      </c>
      <c r="D601" t="str">
        <f t="shared" si="10"/>
        <v>Battalion Rad</v>
      </c>
    </row>
    <row r="602" spans="1:4" x14ac:dyDescent="0.25">
      <c r="A602" s="8">
        <v>41514</v>
      </c>
      <c r="B602" s="4" t="s">
        <v>712</v>
      </c>
      <c r="C602" s="4">
        <v>28</v>
      </c>
      <c r="D602" t="str">
        <f t="shared" si="10"/>
        <v>Phil Sup</v>
      </c>
    </row>
    <row r="603" spans="1:4" x14ac:dyDescent="0.25">
      <c r="A603" s="8">
        <v>41573</v>
      </c>
      <c r="B603" s="4" t="s">
        <v>720</v>
      </c>
      <c r="C603" s="4">
        <v>27</v>
      </c>
      <c r="D603" t="str">
        <f t="shared" si="10"/>
        <v>Gardenia Calm</v>
      </c>
    </row>
    <row r="604" spans="1:4" x14ac:dyDescent="0.25">
      <c r="A604" s="8">
        <v>41626</v>
      </c>
      <c r="B604" s="4" t="s">
        <v>716</v>
      </c>
      <c r="C604" s="4">
        <v>20</v>
      </c>
      <c r="D604" t="str">
        <f t="shared" si="10"/>
        <v>Battalion Pretty</v>
      </c>
    </row>
    <row r="605" spans="1:4" x14ac:dyDescent="0.25">
      <c r="A605" s="8">
        <v>41641</v>
      </c>
      <c r="B605" s="4" t="s">
        <v>718</v>
      </c>
      <c r="C605" s="4">
        <v>18</v>
      </c>
      <c r="D605" t="str">
        <f t="shared" si="10"/>
        <v>Sioux Cool</v>
      </c>
    </row>
    <row r="606" spans="1:4" x14ac:dyDescent="0.25">
      <c r="A606" s="8">
        <v>41598</v>
      </c>
      <c r="B606" s="4" t="s">
        <v>101</v>
      </c>
      <c r="C606" s="4">
        <v>35</v>
      </c>
      <c r="D606" t="str">
        <f t="shared" si="10"/>
        <v>Gigi Sup</v>
      </c>
    </row>
    <row r="607" spans="1:4" x14ac:dyDescent="0.25">
      <c r="A607" s="8">
        <v>41645</v>
      </c>
      <c r="B607" s="4" t="s">
        <v>711</v>
      </c>
      <c r="C607" s="4">
        <v>36</v>
      </c>
      <c r="D607" t="str">
        <f t="shared" si="10"/>
        <v>Sioux Calm</v>
      </c>
    </row>
    <row r="608" spans="1:4" x14ac:dyDescent="0.25">
      <c r="A608" s="8">
        <v>41533</v>
      </c>
      <c r="B608" s="4" t="s">
        <v>727</v>
      </c>
      <c r="C608" s="4">
        <v>48</v>
      </c>
      <c r="D608" t="str">
        <f t="shared" si="10"/>
        <v>Phil Calm</v>
      </c>
    </row>
    <row r="609" spans="1:4" x14ac:dyDescent="0.25">
      <c r="A609" s="8">
        <v>41518</v>
      </c>
      <c r="B609" s="4" t="s">
        <v>710</v>
      </c>
      <c r="C609" s="4">
        <v>22</v>
      </c>
      <c r="D609" t="str">
        <f t="shared" si="10"/>
        <v>Gigi Pretty</v>
      </c>
    </row>
    <row r="610" spans="1:4" x14ac:dyDescent="0.25">
      <c r="A610" s="8">
        <v>41521</v>
      </c>
      <c r="B610" s="4" t="s">
        <v>719</v>
      </c>
      <c r="C610" s="4">
        <v>31</v>
      </c>
      <c r="D610" t="str">
        <f t="shared" si="10"/>
        <v>Sioux Pretty</v>
      </c>
    </row>
    <row r="611" spans="1:4" x14ac:dyDescent="0.25">
      <c r="A611" s="8">
        <v>41632</v>
      </c>
      <c r="B611" s="4" t="s">
        <v>727</v>
      </c>
      <c r="C611" s="4">
        <v>30</v>
      </c>
      <c r="D611" t="str">
        <f t="shared" si="10"/>
        <v>Phil Calm</v>
      </c>
    </row>
    <row r="612" spans="1:4" x14ac:dyDescent="0.25">
      <c r="A612" s="8">
        <v>41591</v>
      </c>
      <c r="B612" s="4" t="s">
        <v>727</v>
      </c>
      <c r="C612" s="4">
        <v>44</v>
      </c>
      <c r="D612" t="str">
        <f t="shared" si="10"/>
        <v>Phil Calm</v>
      </c>
    </row>
    <row r="613" spans="1:4" x14ac:dyDescent="0.25">
      <c r="A613" s="8">
        <v>41508</v>
      </c>
      <c r="B613" s="4" t="s">
        <v>726</v>
      </c>
      <c r="C613" s="4">
        <v>15</v>
      </c>
      <c r="D613" t="str">
        <f t="shared" si="10"/>
        <v>Sioux Sup</v>
      </c>
    </row>
    <row r="614" spans="1:4" x14ac:dyDescent="0.25">
      <c r="A614" s="8">
        <v>41548</v>
      </c>
      <c r="B614" s="4" t="s">
        <v>726</v>
      </c>
      <c r="C614" s="4">
        <v>52</v>
      </c>
      <c r="D614" t="str">
        <f t="shared" si="10"/>
        <v>Sioux Sup</v>
      </c>
    </row>
    <row r="615" spans="1:4" x14ac:dyDescent="0.25">
      <c r="A615" s="8">
        <v>41546</v>
      </c>
      <c r="B615" s="4" t="s">
        <v>724</v>
      </c>
      <c r="C615" s="4">
        <v>44</v>
      </c>
      <c r="D615" t="str">
        <f t="shared" si="10"/>
        <v>Phil Pretty</v>
      </c>
    </row>
    <row r="616" spans="1:4" x14ac:dyDescent="0.25">
      <c r="A616" s="8">
        <v>41533</v>
      </c>
      <c r="B616" s="4" t="s">
        <v>723</v>
      </c>
      <c r="C616" s="4">
        <v>56</v>
      </c>
      <c r="D616" t="str">
        <f t="shared" si="10"/>
        <v>Gigi Calm</v>
      </c>
    </row>
    <row r="617" spans="1:4" x14ac:dyDescent="0.25">
      <c r="A617" s="8">
        <v>41518</v>
      </c>
      <c r="B617" s="4" t="s">
        <v>725</v>
      </c>
      <c r="C617" s="4">
        <v>50</v>
      </c>
      <c r="D617" t="str">
        <f t="shared" si="10"/>
        <v>Phil Rad</v>
      </c>
    </row>
    <row r="618" spans="1:4" x14ac:dyDescent="0.25">
      <c r="A618" s="8">
        <v>41602</v>
      </c>
      <c r="B618" s="4" t="s">
        <v>719</v>
      </c>
      <c r="C618" s="4">
        <v>10</v>
      </c>
      <c r="D618" t="str">
        <f t="shared" si="10"/>
        <v>Sioux Pretty</v>
      </c>
    </row>
    <row r="619" spans="1:4" x14ac:dyDescent="0.25">
      <c r="A619" s="8">
        <v>41528</v>
      </c>
      <c r="B619" s="4" t="s">
        <v>102</v>
      </c>
      <c r="C619" s="4">
        <v>57</v>
      </c>
      <c r="D619" t="str">
        <f t="shared" si="10"/>
        <v>Battalion Calm</v>
      </c>
    </row>
    <row r="620" spans="1:4" x14ac:dyDescent="0.25">
      <c r="A620" s="8">
        <v>41607</v>
      </c>
      <c r="B620" s="4" t="s">
        <v>102</v>
      </c>
      <c r="C620" s="4">
        <v>53</v>
      </c>
      <c r="D620" t="str">
        <f t="shared" si="10"/>
        <v>Battalion Calm</v>
      </c>
    </row>
    <row r="621" spans="1:4" x14ac:dyDescent="0.25">
      <c r="A621" s="8">
        <v>41633</v>
      </c>
      <c r="B621" s="4" t="s">
        <v>715</v>
      </c>
      <c r="C621" s="4">
        <v>17</v>
      </c>
      <c r="D621" t="str">
        <f t="shared" si="10"/>
        <v>Gardenia Rad</v>
      </c>
    </row>
    <row r="622" spans="1:4" x14ac:dyDescent="0.25">
      <c r="A622" s="8">
        <v>41589</v>
      </c>
      <c r="B622" s="4" t="s">
        <v>717</v>
      </c>
      <c r="C622" s="4">
        <v>23</v>
      </c>
      <c r="D622" t="str">
        <f t="shared" si="10"/>
        <v>Battalion Rad</v>
      </c>
    </row>
    <row r="623" spans="1:4" x14ac:dyDescent="0.25">
      <c r="A623" s="8">
        <v>41586</v>
      </c>
      <c r="B623" s="4" t="s">
        <v>99</v>
      </c>
      <c r="C623" s="4">
        <v>48</v>
      </c>
      <c r="D623" t="str">
        <f t="shared" si="10"/>
        <v>Sioux Rad</v>
      </c>
    </row>
    <row r="624" spans="1:4" x14ac:dyDescent="0.25">
      <c r="A624" s="8">
        <v>41566</v>
      </c>
      <c r="B624" s="4" t="s">
        <v>729</v>
      </c>
      <c r="C624" s="4">
        <v>58</v>
      </c>
      <c r="D624" t="str">
        <f t="shared" si="10"/>
        <v>Gardenia Sup</v>
      </c>
    </row>
    <row r="625" spans="1:4" x14ac:dyDescent="0.25">
      <c r="A625" s="8">
        <v>41551</v>
      </c>
      <c r="B625" s="4" t="s">
        <v>720</v>
      </c>
      <c r="C625" s="4">
        <v>36</v>
      </c>
      <c r="D625" t="str">
        <f t="shared" si="10"/>
        <v>Gardenia Calm</v>
      </c>
    </row>
    <row r="626" spans="1:4" x14ac:dyDescent="0.25">
      <c r="A626" s="8">
        <v>41560</v>
      </c>
      <c r="B626" s="4" t="s">
        <v>728</v>
      </c>
      <c r="C626" s="4">
        <v>57</v>
      </c>
      <c r="D626" t="str">
        <f t="shared" si="10"/>
        <v>Gigi Cool</v>
      </c>
    </row>
    <row r="627" spans="1:4" x14ac:dyDescent="0.25">
      <c r="A627" s="8">
        <v>41507</v>
      </c>
      <c r="B627" s="4" t="s">
        <v>723</v>
      </c>
      <c r="C627" s="4">
        <v>43</v>
      </c>
      <c r="D627" t="str">
        <f t="shared" si="10"/>
        <v>Gigi Calm</v>
      </c>
    </row>
    <row r="628" spans="1:4" x14ac:dyDescent="0.25">
      <c r="A628" s="8">
        <v>41621</v>
      </c>
      <c r="B628" s="4" t="s">
        <v>718</v>
      </c>
      <c r="C628" s="4">
        <v>43</v>
      </c>
      <c r="D628" t="str">
        <f t="shared" si="10"/>
        <v>Sioux Cool</v>
      </c>
    </row>
    <row r="629" spans="1:4" x14ac:dyDescent="0.25">
      <c r="A629" s="8">
        <v>41500</v>
      </c>
      <c r="B629" s="4" t="s">
        <v>717</v>
      </c>
      <c r="C629" s="4">
        <v>27</v>
      </c>
      <c r="D629" t="str">
        <f t="shared" si="10"/>
        <v>Battalion Rad</v>
      </c>
    </row>
    <row r="630" spans="1:4" x14ac:dyDescent="0.25">
      <c r="A630" s="8">
        <v>41520</v>
      </c>
      <c r="B630" s="4" t="s">
        <v>719</v>
      </c>
      <c r="C630" s="4">
        <v>11</v>
      </c>
      <c r="D630" t="str">
        <f t="shared" si="10"/>
        <v>Sioux Pretty</v>
      </c>
    </row>
    <row r="631" spans="1:4" x14ac:dyDescent="0.25">
      <c r="A631" s="8">
        <v>41615</v>
      </c>
      <c r="B631" s="4" t="s">
        <v>723</v>
      </c>
      <c r="C631" s="4">
        <v>18</v>
      </c>
      <c r="D631" t="str">
        <f t="shared" si="10"/>
        <v>Gigi Calm</v>
      </c>
    </row>
    <row r="632" spans="1:4" x14ac:dyDescent="0.25">
      <c r="A632" s="8">
        <v>41590</v>
      </c>
      <c r="B632" s="4" t="s">
        <v>723</v>
      </c>
      <c r="C632" s="4">
        <v>28</v>
      </c>
      <c r="D632" t="str">
        <f t="shared" si="10"/>
        <v>Gigi Calm</v>
      </c>
    </row>
    <row r="633" spans="1:4" x14ac:dyDescent="0.25">
      <c r="A633" s="8">
        <v>41502</v>
      </c>
      <c r="B633" s="4" t="s">
        <v>713</v>
      </c>
      <c r="C633" s="4">
        <v>37</v>
      </c>
      <c r="D633" t="str">
        <f t="shared" si="10"/>
        <v>Gardenia Cool</v>
      </c>
    </row>
    <row r="634" spans="1:4" x14ac:dyDescent="0.25">
      <c r="A634" s="8">
        <v>41511</v>
      </c>
      <c r="B634" s="4" t="s">
        <v>100</v>
      </c>
      <c r="C634" s="4">
        <v>41</v>
      </c>
      <c r="D634" t="str">
        <f t="shared" si="10"/>
        <v>Phil Cool</v>
      </c>
    </row>
    <row r="635" spans="1:4" x14ac:dyDescent="0.25">
      <c r="A635" s="8">
        <v>41623</v>
      </c>
      <c r="B635" s="4" t="s">
        <v>729</v>
      </c>
      <c r="C635" s="4">
        <v>22</v>
      </c>
      <c r="D635" t="str">
        <f t="shared" si="10"/>
        <v>Gardenia Sup</v>
      </c>
    </row>
    <row r="636" spans="1:4" x14ac:dyDescent="0.25">
      <c r="A636" s="8">
        <v>41572</v>
      </c>
      <c r="B636" s="4" t="s">
        <v>718</v>
      </c>
      <c r="C636" s="4">
        <v>37</v>
      </c>
      <c r="D636" t="str">
        <f t="shared" si="10"/>
        <v>Sioux Cool</v>
      </c>
    </row>
    <row r="637" spans="1:4" x14ac:dyDescent="0.25">
      <c r="A637" s="8">
        <v>41621</v>
      </c>
      <c r="B637" s="4" t="s">
        <v>717</v>
      </c>
      <c r="C637" s="4">
        <v>39</v>
      </c>
      <c r="D637" t="str">
        <f t="shared" si="10"/>
        <v>Battalion Rad</v>
      </c>
    </row>
    <row r="638" spans="1:4" x14ac:dyDescent="0.25">
      <c r="A638" s="8">
        <v>41608</v>
      </c>
      <c r="B638" s="4" t="s">
        <v>101</v>
      </c>
      <c r="C638" s="4">
        <v>45</v>
      </c>
      <c r="D638" t="str">
        <f t="shared" si="10"/>
        <v>Gigi Sup</v>
      </c>
    </row>
    <row r="639" spans="1:4" x14ac:dyDescent="0.25">
      <c r="A639" s="8">
        <v>41573</v>
      </c>
      <c r="B639" s="4" t="s">
        <v>726</v>
      </c>
      <c r="C639" s="4">
        <v>39</v>
      </c>
      <c r="D639" t="str">
        <f t="shared" si="10"/>
        <v>Sioux Sup</v>
      </c>
    </row>
    <row r="640" spans="1:4" x14ac:dyDescent="0.25">
      <c r="A640" s="8">
        <v>41522</v>
      </c>
      <c r="B640" s="4" t="s">
        <v>103</v>
      </c>
      <c r="C640" s="4">
        <v>44</v>
      </c>
      <c r="D640" t="str">
        <f t="shared" si="10"/>
        <v>Gardenia Pretty</v>
      </c>
    </row>
    <row r="641" spans="1:4" x14ac:dyDescent="0.25">
      <c r="A641" s="8">
        <v>41527</v>
      </c>
      <c r="B641" s="4" t="s">
        <v>725</v>
      </c>
      <c r="C641" s="4">
        <v>32</v>
      </c>
      <c r="D641" t="str">
        <f t="shared" si="10"/>
        <v>Phil Rad</v>
      </c>
    </row>
    <row r="642" spans="1:4" x14ac:dyDescent="0.25">
      <c r="A642" s="8">
        <v>41565</v>
      </c>
      <c r="B642" s="4" t="s">
        <v>710</v>
      </c>
      <c r="C642" s="4">
        <v>28</v>
      </c>
      <c r="D642" t="str">
        <f t="shared" si="10"/>
        <v>Gigi Pretty</v>
      </c>
    </row>
    <row r="643" spans="1:4" x14ac:dyDescent="0.25">
      <c r="A643" s="8">
        <v>41552</v>
      </c>
      <c r="B643" s="4" t="s">
        <v>727</v>
      </c>
      <c r="C643" s="4">
        <v>57</v>
      </c>
      <c r="D643" t="str">
        <f t="shared" ref="D643:D706" si="11">TRIM(B643)</f>
        <v>Phil Calm</v>
      </c>
    </row>
    <row r="644" spans="1:4" x14ac:dyDescent="0.25">
      <c r="A644" s="8">
        <v>41510</v>
      </c>
      <c r="B644" s="4" t="s">
        <v>729</v>
      </c>
      <c r="C644" s="4">
        <v>11</v>
      </c>
      <c r="D644" t="str">
        <f t="shared" si="11"/>
        <v>Gardenia Sup</v>
      </c>
    </row>
    <row r="645" spans="1:4" x14ac:dyDescent="0.25">
      <c r="A645" s="8">
        <v>41541</v>
      </c>
      <c r="B645" s="4" t="s">
        <v>725</v>
      </c>
      <c r="C645" s="4">
        <v>37</v>
      </c>
      <c r="D645" t="str">
        <f t="shared" si="11"/>
        <v>Phil Rad</v>
      </c>
    </row>
    <row r="646" spans="1:4" x14ac:dyDescent="0.25">
      <c r="A646" s="8">
        <v>41576</v>
      </c>
      <c r="B646" s="4" t="s">
        <v>715</v>
      </c>
      <c r="C646" s="4">
        <v>35</v>
      </c>
      <c r="D646" t="str">
        <f t="shared" si="11"/>
        <v>Gardenia Rad</v>
      </c>
    </row>
    <row r="647" spans="1:4" x14ac:dyDescent="0.25">
      <c r="A647" s="8">
        <v>41633</v>
      </c>
      <c r="B647" s="4" t="s">
        <v>722</v>
      </c>
      <c r="C647" s="4">
        <v>51</v>
      </c>
      <c r="D647" t="str">
        <f t="shared" si="11"/>
        <v>Battalion Sup</v>
      </c>
    </row>
    <row r="648" spans="1:4" x14ac:dyDescent="0.25">
      <c r="A648" s="8">
        <v>41572</v>
      </c>
      <c r="B648" s="4" t="s">
        <v>729</v>
      </c>
      <c r="C648" s="4">
        <v>18</v>
      </c>
      <c r="D648" t="str">
        <f t="shared" si="11"/>
        <v>Gardenia Sup</v>
      </c>
    </row>
    <row r="649" spans="1:4" x14ac:dyDescent="0.25">
      <c r="A649" s="8">
        <v>41586</v>
      </c>
      <c r="B649" s="4" t="s">
        <v>722</v>
      </c>
      <c r="C649" s="4">
        <v>56</v>
      </c>
      <c r="D649" t="str">
        <f t="shared" si="11"/>
        <v>Battalion Sup</v>
      </c>
    </row>
    <row r="650" spans="1:4" x14ac:dyDescent="0.25">
      <c r="A650" s="8">
        <v>41588</v>
      </c>
      <c r="B650" s="4" t="s">
        <v>728</v>
      </c>
      <c r="C650" s="4">
        <v>29</v>
      </c>
      <c r="D650" t="str">
        <f t="shared" si="11"/>
        <v>Gigi Cool</v>
      </c>
    </row>
    <row r="651" spans="1:4" x14ac:dyDescent="0.25">
      <c r="A651" s="8">
        <v>41506</v>
      </c>
      <c r="B651" s="4" t="s">
        <v>103</v>
      </c>
      <c r="C651" s="4">
        <v>13</v>
      </c>
      <c r="D651" t="str">
        <f t="shared" si="11"/>
        <v>Gardenia Pretty</v>
      </c>
    </row>
    <row r="652" spans="1:4" x14ac:dyDescent="0.25">
      <c r="A652" s="8">
        <v>41641</v>
      </c>
      <c r="B652" s="4" t="s">
        <v>722</v>
      </c>
      <c r="C652" s="4">
        <v>35</v>
      </c>
      <c r="D652" t="str">
        <f t="shared" si="11"/>
        <v>Battalion Sup</v>
      </c>
    </row>
    <row r="653" spans="1:4" x14ac:dyDescent="0.25">
      <c r="A653" s="8">
        <v>41646</v>
      </c>
      <c r="B653" s="4" t="s">
        <v>713</v>
      </c>
      <c r="C653" s="4">
        <v>12</v>
      </c>
      <c r="D653" t="str">
        <f t="shared" si="11"/>
        <v>Gardenia Cool</v>
      </c>
    </row>
    <row r="654" spans="1:4" x14ac:dyDescent="0.25">
      <c r="A654" s="8">
        <v>41628</v>
      </c>
      <c r="B654" s="4" t="s">
        <v>722</v>
      </c>
      <c r="C654" s="4">
        <v>19</v>
      </c>
      <c r="D654" t="str">
        <f t="shared" si="11"/>
        <v>Battalion Sup</v>
      </c>
    </row>
    <row r="655" spans="1:4" x14ac:dyDescent="0.25">
      <c r="A655" s="8">
        <v>41575</v>
      </c>
      <c r="B655" s="4" t="s">
        <v>718</v>
      </c>
      <c r="C655" s="4">
        <v>44</v>
      </c>
      <c r="D655" t="str">
        <f t="shared" si="11"/>
        <v>Sioux Cool</v>
      </c>
    </row>
    <row r="656" spans="1:4" x14ac:dyDescent="0.25">
      <c r="A656" s="8">
        <v>41539</v>
      </c>
      <c r="B656" s="4" t="s">
        <v>720</v>
      </c>
      <c r="C656" s="4">
        <v>33</v>
      </c>
      <c r="D656" t="str">
        <f t="shared" si="11"/>
        <v>Gardenia Calm</v>
      </c>
    </row>
    <row r="657" spans="1:4" x14ac:dyDescent="0.25">
      <c r="A657" s="8">
        <v>41642</v>
      </c>
      <c r="B657" s="4" t="s">
        <v>722</v>
      </c>
      <c r="C657" s="4">
        <v>56</v>
      </c>
      <c r="D657" t="str">
        <f t="shared" si="11"/>
        <v>Battalion Sup</v>
      </c>
    </row>
    <row r="658" spans="1:4" x14ac:dyDescent="0.25">
      <c r="A658" s="8">
        <v>41577</v>
      </c>
      <c r="B658" s="4" t="s">
        <v>713</v>
      </c>
      <c r="C658" s="4">
        <v>49</v>
      </c>
      <c r="D658" t="str">
        <f t="shared" si="11"/>
        <v>Gardenia Cool</v>
      </c>
    </row>
    <row r="659" spans="1:4" x14ac:dyDescent="0.25">
      <c r="A659" s="8">
        <v>41595</v>
      </c>
      <c r="B659" s="4" t="s">
        <v>99</v>
      </c>
      <c r="C659" s="4">
        <v>29</v>
      </c>
      <c r="D659" t="str">
        <f t="shared" si="11"/>
        <v>Sioux Rad</v>
      </c>
    </row>
    <row r="660" spans="1:4" x14ac:dyDescent="0.25">
      <c r="A660" s="8">
        <v>41614</v>
      </c>
      <c r="B660" s="4" t="s">
        <v>710</v>
      </c>
      <c r="C660" s="4">
        <v>29</v>
      </c>
      <c r="D660" t="str">
        <f t="shared" si="11"/>
        <v>Gigi Pretty</v>
      </c>
    </row>
    <row r="661" spans="1:4" x14ac:dyDescent="0.25">
      <c r="A661" s="8">
        <v>41577</v>
      </c>
      <c r="B661" s="4" t="s">
        <v>712</v>
      </c>
      <c r="C661" s="4">
        <v>40</v>
      </c>
      <c r="D661" t="str">
        <f t="shared" si="11"/>
        <v>Phil Sup</v>
      </c>
    </row>
    <row r="662" spans="1:4" x14ac:dyDescent="0.25">
      <c r="A662" s="8">
        <v>41650</v>
      </c>
      <c r="B662" s="4" t="s">
        <v>723</v>
      </c>
      <c r="C662" s="4">
        <v>18</v>
      </c>
      <c r="D662" t="str">
        <f t="shared" si="11"/>
        <v>Gigi Calm</v>
      </c>
    </row>
    <row r="663" spans="1:4" x14ac:dyDescent="0.25">
      <c r="A663" s="8">
        <v>41576</v>
      </c>
      <c r="B663" s="4" t="s">
        <v>724</v>
      </c>
      <c r="C663" s="4">
        <v>42</v>
      </c>
      <c r="D663" t="str">
        <f t="shared" si="11"/>
        <v>Phil Pretty</v>
      </c>
    </row>
    <row r="664" spans="1:4" x14ac:dyDescent="0.25">
      <c r="A664" s="8">
        <v>41640</v>
      </c>
      <c r="B664" s="4" t="s">
        <v>716</v>
      </c>
      <c r="C664" s="4">
        <v>22</v>
      </c>
      <c r="D664" t="str">
        <f t="shared" si="11"/>
        <v>Battalion Pretty</v>
      </c>
    </row>
    <row r="665" spans="1:4" x14ac:dyDescent="0.25">
      <c r="A665" s="8">
        <v>41518</v>
      </c>
      <c r="B665" s="4" t="s">
        <v>102</v>
      </c>
      <c r="C665" s="4">
        <v>41</v>
      </c>
      <c r="D665" t="str">
        <f t="shared" si="11"/>
        <v>Battalion Calm</v>
      </c>
    </row>
    <row r="666" spans="1:4" x14ac:dyDescent="0.25">
      <c r="A666" s="8">
        <v>41521</v>
      </c>
      <c r="B666" s="4" t="s">
        <v>715</v>
      </c>
      <c r="C666" s="4">
        <v>39</v>
      </c>
      <c r="D666" t="str">
        <f t="shared" si="11"/>
        <v>Gardenia Rad</v>
      </c>
    </row>
    <row r="667" spans="1:4" x14ac:dyDescent="0.25">
      <c r="A667" s="8">
        <v>41599</v>
      </c>
      <c r="B667" s="4" t="s">
        <v>103</v>
      </c>
      <c r="C667" s="4">
        <v>25</v>
      </c>
      <c r="D667" t="str">
        <f t="shared" si="11"/>
        <v>Gardenia Pretty</v>
      </c>
    </row>
    <row r="668" spans="1:4" x14ac:dyDescent="0.25">
      <c r="A668" s="8">
        <v>41596</v>
      </c>
      <c r="B668" s="4" t="s">
        <v>713</v>
      </c>
      <c r="C668" s="4">
        <v>48</v>
      </c>
      <c r="D668" t="str">
        <f t="shared" si="11"/>
        <v>Gardenia Cool</v>
      </c>
    </row>
    <row r="669" spans="1:4" x14ac:dyDescent="0.25">
      <c r="A669" s="8">
        <v>41579</v>
      </c>
      <c r="B669" s="4" t="s">
        <v>100</v>
      </c>
      <c r="C669" s="4">
        <v>56</v>
      </c>
      <c r="D669" t="str">
        <f t="shared" si="11"/>
        <v>Phil Cool</v>
      </c>
    </row>
    <row r="670" spans="1:4" x14ac:dyDescent="0.25">
      <c r="A670" s="8">
        <v>41624</v>
      </c>
      <c r="B670" s="4" t="s">
        <v>725</v>
      </c>
      <c r="C670" s="4">
        <v>30</v>
      </c>
      <c r="D670" t="str">
        <f t="shared" si="11"/>
        <v>Phil Rad</v>
      </c>
    </row>
    <row r="671" spans="1:4" x14ac:dyDescent="0.25">
      <c r="A671" s="8">
        <v>41516</v>
      </c>
      <c r="B671" s="4" t="s">
        <v>717</v>
      </c>
      <c r="C671" s="4">
        <v>33</v>
      </c>
      <c r="D671" t="str">
        <f t="shared" si="11"/>
        <v>Battalion Rad</v>
      </c>
    </row>
    <row r="672" spans="1:4" x14ac:dyDescent="0.25">
      <c r="A672" s="8">
        <v>41507</v>
      </c>
      <c r="B672" s="4" t="s">
        <v>719</v>
      </c>
      <c r="C672" s="4">
        <v>23</v>
      </c>
      <c r="D672" t="str">
        <f t="shared" si="11"/>
        <v>Sioux Pretty</v>
      </c>
    </row>
    <row r="673" spans="1:4" x14ac:dyDescent="0.25">
      <c r="A673" s="8">
        <v>41617</v>
      </c>
      <c r="B673" s="4" t="s">
        <v>716</v>
      </c>
      <c r="C673" s="4">
        <v>37</v>
      </c>
      <c r="D673" t="str">
        <f t="shared" si="11"/>
        <v>Battalion Pretty</v>
      </c>
    </row>
    <row r="674" spans="1:4" x14ac:dyDescent="0.25">
      <c r="A674" s="8">
        <v>41550</v>
      </c>
      <c r="B674" s="4" t="s">
        <v>712</v>
      </c>
      <c r="C674" s="4">
        <v>33</v>
      </c>
      <c r="D674" t="str">
        <f t="shared" si="11"/>
        <v>Phil Sup</v>
      </c>
    </row>
    <row r="675" spans="1:4" x14ac:dyDescent="0.25">
      <c r="A675" s="8">
        <v>41584</v>
      </c>
      <c r="B675" s="4" t="s">
        <v>725</v>
      </c>
      <c r="C675" s="4">
        <v>15</v>
      </c>
      <c r="D675" t="str">
        <f t="shared" si="11"/>
        <v>Phil Rad</v>
      </c>
    </row>
    <row r="676" spans="1:4" x14ac:dyDescent="0.25">
      <c r="A676" s="8">
        <v>41522</v>
      </c>
      <c r="B676" s="4" t="s">
        <v>102</v>
      </c>
      <c r="C676" s="4">
        <v>51</v>
      </c>
      <c r="D676" t="str">
        <f t="shared" si="11"/>
        <v>Battalion Calm</v>
      </c>
    </row>
    <row r="677" spans="1:4" x14ac:dyDescent="0.25">
      <c r="A677" s="8">
        <v>41592</v>
      </c>
      <c r="B677" s="4" t="s">
        <v>718</v>
      </c>
      <c r="C677" s="4">
        <v>54</v>
      </c>
      <c r="D677" t="str">
        <f t="shared" si="11"/>
        <v>Sioux Cool</v>
      </c>
    </row>
    <row r="678" spans="1:4" x14ac:dyDescent="0.25">
      <c r="A678" s="8">
        <v>41520</v>
      </c>
      <c r="B678" s="4" t="s">
        <v>727</v>
      </c>
      <c r="C678" s="4">
        <v>36</v>
      </c>
      <c r="D678" t="str">
        <f t="shared" si="11"/>
        <v>Phil Calm</v>
      </c>
    </row>
    <row r="679" spans="1:4" x14ac:dyDescent="0.25">
      <c r="A679" s="8">
        <v>41512</v>
      </c>
      <c r="B679" s="4" t="s">
        <v>728</v>
      </c>
      <c r="C679" s="4">
        <v>37</v>
      </c>
      <c r="D679" t="str">
        <f t="shared" si="11"/>
        <v>Gigi Cool</v>
      </c>
    </row>
    <row r="680" spans="1:4" x14ac:dyDescent="0.25">
      <c r="A680" s="8">
        <v>41542</v>
      </c>
      <c r="B680" s="4" t="s">
        <v>101</v>
      </c>
      <c r="C680" s="4">
        <v>16</v>
      </c>
      <c r="D680" t="str">
        <f t="shared" si="11"/>
        <v>Gigi Sup</v>
      </c>
    </row>
    <row r="681" spans="1:4" x14ac:dyDescent="0.25">
      <c r="A681" s="8">
        <v>41516</v>
      </c>
      <c r="B681" s="4" t="s">
        <v>712</v>
      </c>
      <c r="C681" s="4">
        <v>53</v>
      </c>
      <c r="D681" t="str">
        <f t="shared" si="11"/>
        <v>Phil Sup</v>
      </c>
    </row>
    <row r="682" spans="1:4" x14ac:dyDescent="0.25">
      <c r="A682" s="8">
        <v>41611</v>
      </c>
      <c r="B682" s="4" t="s">
        <v>711</v>
      </c>
      <c r="C682" s="4">
        <v>21</v>
      </c>
      <c r="D682" t="str">
        <f t="shared" si="11"/>
        <v>Sioux Calm</v>
      </c>
    </row>
    <row r="683" spans="1:4" x14ac:dyDescent="0.25">
      <c r="A683" s="8">
        <v>41514</v>
      </c>
      <c r="B683" s="4" t="s">
        <v>719</v>
      </c>
      <c r="C683" s="4">
        <v>30</v>
      </c>
      <c r="D683" t="str">
        <f t="shared" si="11"/>
        <v>Sioux Pretty</v>
      </c>
    </row>
    <row r="684" spans="1:4" x14ac:dyDescent="0.25">
      <c r="A684" s="8">
        <v>41646</v>
      </c>
      <c r="B684" s="4" t="s">
        <v>716</v>
      </c>
      <c r="C684" s="4">
        <v>50</v>
      </c>
      <c r="D684" t="str">
        <f t="shared" si="11"/>
        <v>Battalion Pretty</v>
      </c>
    </row>
    <row r="685" spans="1:4" x14ac:dyDescent="0.25">
      <c r="A685" s="8">
        <v>41560</v>
      </c>
      <c r="B685" s="4" t="s">
        <v>712</v>
      </c>
      <c r="C685" s="4">
        <v>38</v>
      </c>
      <c r="D685" t="str">
        <f t="shared" si="11"/>
        <v>Phil Sup</v>
      </c>
    </row>
    <row r="686" spans="1:4" x14ac:dyDescent="0.25">
      <c r="A686" s="8">
        <v>41585</v>
      </c>
      <c r="B686" s="4" t="s">
        <v>724</v>
      </c>
      <c r="C686" s="4">
        <v>16</v>
      </c>
      <c r="D686" t="str">
        <f t="shared" si="11"/>
        <v>Phil Pretty</v>
      </c>
    </row>
    <row r="687" spans="1:4" x14ac:dyDescent="0.25">
      <c r="A687" s="8">
        <v>41501</v>
      </c>
      <c r="B687" s="4" t="s">
        <v>723</v>
      </c>
      <c r="C687" s="4">
        <v>14</v>
      </c>
      <c r="D687" t="str">
        <f t="shared" si="11"/>
        <v>Gigi Calm</v>
      </c>
    </row>
    <row r="688" spans="1:4" x14ac:dyDescent="0.25">
      <c r="A688" s="8">
        <v>41556</v>
      </c>
      <c r="B688" s="4" t="s">
        <v>714</v>
      </c>
      <c r="C688" s="4">
        <v>55</v>
      </c>
      <c r="D688" t="str">
        <f t="shared" si="11"/>
        <v>Gigi Rad</v>
      </c>
    </row>
    <row r="689" spans="1:4" x14ac:dyDescent="0.25">
      <c r="A689" s="8">
        <v>41611</v>
      </c>
      <c r="B689" s="4" t="s">
        <v>712</v>
      </c>
      <c r="C689" s="4">
        <v>58</v>
      </c>
      <c r="D689" t="str">
        <f t="shared" si="11"/>
        <v>Phil Sup</v>
      </c>
    </row>
    <row r="690" spans="1:4" x14ac:dyDescent="0.25">
      <c r="A690" s="8">
        <v>41504</v>
      </c>
      <c r="B690" s="4" t="s">
        <v>716</v>
      </c>
      <c r="C690" s="4">
        <v>32</v>
      </c>
      <c r="D690" t="str">
        <f t="shared" si="11"/>
        <v>Battalion Pretty</v>
      </c>
    </row>
    <row r="691" spans="1:4" x14ac:dyDescent="0.25">
      <c r="A691" s="8">
        <v>41636</v>
      </c>
      <c r="B691" s="4" t="s">
        <v>712</v>
      </c>
      <c r="C691" s="4">
        <v>33</v>
      </c>
      <c r="D691" t="str">
        <f t="shared" si="11"/>
        <v>Phil Sup</v>
      </c>
    </row>
    <row r="692" spans="1:4" x14ac:dyDescent="0.25">
      <c r="A692" s="8">
        <v>41636</v>
      </c>
      <c r="B692" s="4" t="s">
        <v>713</v>
      </c>
      <c r="C692" s="4">
        <v>57</v>
      </c>
      <c r="D692" t="str">
        <f t="shared" si="11"/>
        <v>Gardenia Cool</v>
      </c>
    </row>
    <row r="693" spans="1:4" x14ac:dyDescent="0.25">
      <c r="A693" s="8">
        <v>41643</v>
      </c>
      <c r="B693" s="4" t="s">
        <v>719</v>
      </c>
      <c r="C693" s="4">
        <v>11</v>
      </c>
      <c r="D693" t="str">
        <f t="shared" si="11"/>
        <v>Sioux Pretty</v>
      </c>
    </row>
    <row r="694" spans="1:4" x14ac:dyDescent="0.25">
      <c r="A694" s="8">
        <v>41530</v>
      </c>
      <c r="B694" s="4" t="s">
        <v>712</v>
      </c>
      <c r="C694" s="4">
        <v>31</v>
      </c>
      <c r="D694" t="str">
        <f t="shared" si="11"/>
        <v>Phil Sup</v>
      </c>
    </row>
    <row r="695" spans="1:4" x14ac:dyDescent="0.25">
      <c r="A695" s="8">
        <v>41589</v>
      </c>
      <c r="B695" s="4" t="s">
        <v>100</v>
      </c>
      <c r="C695" s="4">
        <v>59</v>
      </c>
      <c r="D695" t="str">
        <f t="shared" si="11"/>
        <v>Phil Cool</v>
      </c>
    </row>
    <row r="696" spans="1:4" x14ac:dyDescent="0.25">
      <c r="A696" s="8">
        <v>41500</v>
      </c>
      <c r="B696" s="4" t="s">
        <v>713</v>
      </c>
      <c r="C696" s="4">
        <v>31</v>
      </c>
      <c r="D696" t="str">
        <f t="shared" si="11"/>
        <v>Gardenia Cool</v>
      </c>
    </row>
    <row r="697" spans="1:4" x14ac:dyDescent="0.25">
      <c r="A697" s="8">
        <v>41577</v>
      </c>
      <c r="B697" s="4" t="s">
        <v>719</v>
      </c>
      <c r="C697" s="4">
        <v>24</v>
      </c>
      <c r="D697" t="str">
        <f t="shared" si="11"/>
        <v>Sioux Pretty</v>
      </c>
    </row>
    <row r="698" spans="1:4" x14ac:dyDescent="0.25">
      <c r="A698" s="8">
        <v>41520</v>
      </c>
      <c r="B698" s="4" t="s">
        <v>715</v>
      </c>
      <c r="C698" s="4">
        <v>21</v>
      </c>
      <c r="D698" t="str">
        <f t="shared" si="11"/>
        <v>Gardenia Rad</v>
      </c>
    </row>
    <row r="699" spans="1:4" x14ac:dyDescent="0.25">
      <c r="A699" s="8">
        <v>41602</v>
      </c>
      <c r="B699" s="4" t="s">
        <v>721</v>
      </c>
      <c r="C699" s="4">
        <v>37</v>
      </c>
      <c r="D699" t="str">
        <f t="shared" si="11"/>
        <v>Battalion Cool</v>
      </c>
    </row>
    <row r="700" spans="1:4" x14ac:dyDescent="0.25">
      <c r="A700" s="8">
        <v>41562</v>
      </c>
      <c r="B700" s="4" t="s">
        <v>713</v>
      </c>
      <c r="C700" s="4">
        <v>41</v>
      </c>
      <c r="D700" t="str">
        <f t="shared" si="11"/>
        <v>Gardenia Cool</v>
      </c>
    </row>
    <row r="701" spans="1:4" x14ac:dyDescent="0.25">
      <c r="A701" s="8">
        <v>41641</v>
      </c>
      <c r="B701" s="4" t="s">
        <v>721</v>
      </c>
      <c r="C701" s="4">
        <v>42</v>
      </c>
      <c r="D701" t="str">
        <f t="shared" si="11"/>
        <v>Battalion Cool</v>
      </c>
    </row>
    <row r="702" spans="1:4" x14ac:dyDescent="0.25">
      <c r="A702" s="8">
        <v>41524</v>
      </c>
      <c r="B702" s="4" t="s">
        <v>99</v>
      </c>
      <c r="C702" s="4">
        <v>11</v>
      </c>
      <c r="D702" t="str">
        <f t="shared" si="11"/>
        <v>Sioux Rad</v>
      </c>
    </row>
    <row r="703" spans="1:4" x14ac:dyDescent="0.25">
      <c r="A703" s="8">
        <v>41535</v>
      </c>
      <c r="B703" s="4" t="s">
        <v>726</v>
      </c>
      <c r="C703" s="4">
        <v>58</v>
      </c>
      <c r="D703" t="str">
        <f t="shared" si="11"/>
        <v>Sioux Sup</v>
      </c>
    </row>
    <row r="704" spans="1:4" x14ac:dyDescent="0.25">
      <c r="A704" s="8">
        <v>41606</v>
      </c>
      <c r="B704" s="4" t="s">
        <v>710</v>
      </c>
      <c r="C704" s="4">
        <v>32</v>
      </c>
      <c r="D704" t="str">
        <f t="shared" si="11"/>
        <v>Gigi Pretty</v>
      </c>
    </row>
    <row r="705" spans="1:4" x14ac:dyDescent="0.25">
      <c r="A705" s="8">
        <v>41512</v>
      </c>
      <c r="B705" s="4" t="s">
        <v>100</v>
      </c>
      <c r="C705" s="4">
        <v>19</v>
      </c>
      <c r="D705" t="str">
        <f t="shared" si="11"/>
        <v>Phil Cool</v>
      </c>
    </row>
    <row r="706" spans="1:4" x14ac:dyDescent="0.25">
      <c r="A706" s="8">
        <v>41625</v>
      </c>
      <c r="B706" s="4" t="s">
        <v>717</v>
      </c>
      <c r="C706" s="4">
        <v>39</v>
      </c>
      <c r="D706" t="str">
        <f t="shared" si="11"/>
        <v>Battalion Rad</v>
      </c>
    </row>
    <row r="707" spans="1:4" x14ac:dyDescent="0.25">
      <c r="A707" s="8">
        <v>41504</v>
      </c>
      <c r="B707" s="4" t="s">
        <v>724</v>
      </c>
      <c r="C707" s="4">
        <v>17</v>
      </c>
      <c r="D707" t="str">
        <f t="shared" ref="D707:D770" si="12">TRIM(B707)</f>
        <v>Phil Pretty</v>
      </c>
    </row>
    <row r="708" spans="1:4" x14ac:dyDescent="0.25">
      <c r="A708" s="8">
        <v>41606</v>
      </c>
      <c r="B708" s="4" t="s">
        <v>103</v>
      </c>
      <c r="C708" s="4">
        <v>53</v>
      </c>
      <c r="D708" t="str">
        <f t="shared" si="12"/>
        <v>Gardenia Pretty</v>
      </c>
    </row>
    <row r="709" spans="1:4" x14ac:dyDescent="0.25">
      <c r="A709" s="8">
        <v>41576</v>
      </c>
      <c r="B709" s="4" t="s">
        <v>729</v>
      </c>
      <c r="C709" s="4">
        <v>52</v>
      </c>
      <c r="D709" t="str">
        <f t="shared" si="12"/>
        <v>Gardenia Sup</v>
      </c>
    </row>
    <row r="710" spans="1:4" x14ac:dyDescent="0.25">
      <c r="A710" s="8">
        <v>41563</v>
      </c>
      <c r="B710" s="4" t="s">
        <v>722</v>
      </c>
      <c r="C710" s="4">
        <v>59</v>
      </c>
      <c r="D710" t="str">
        <f t="shared" si="12"/>
        <v>Battalion Sup</v>
      </c>
    </row>
    <row r="711" spans="1:4" x14ac:dyDescent="0.25">
      <c r="A711" s="8">
        <v>41637</v>
      </c>
      <c r="B711" s="4" t="s">
        <v>718</v>
      </c>
      <c r="C711" s="4">
        <v>18</v>
      </c>
      <c r="D711" t="str">
        <f t="shared" si="12"/>
        <v>Sioux Cool</v>
      </c>
    </row>
    <row r="712" spans="1:4" x14ac:dyDescent="0.25">
      <c r="A712" s="8">
        <v>41527</v>
      </c>
      <c r="B712" s="4" t="s">
        <v>728</v>
      </c>
      <c r="C712" s="4">
        <v>33</v>
      </c>
      <c r="D712" t="str">
        <f t="shared" si="12"/>
        <v>Gigi Cool</v>
      </c>
    </row>
    <row r="713" spans="1:4" x14ac:dyDescent="0.25">
      <c r="A713" s="8">
        <v>41535</v>
      </c>
      <c r="B713" s="4" t="s">
        <v>712</v>
      </c>
      <c r="C713" s="4">
        <v>11</v>
      </c>
      <c r="D713" t="str">
        <f t="shared" si="12"/>
        <v>Phil Sup</v>
      </c>
    </row>
    <row r="714" spans="1:4" x14ac:dyDescent="0.25">
      <c r="A714" s="8">
        <v>41602</v>
      </c>
      <c r="B714" s="4" t="s">
        <v>710</v>
      </c>
      <c r="C714" s="4">
        <v>28</v>
      </c>
      <c r="D714" t="str">
        <f t="shared" si="12"/>
        <v>Gigi Pretty</v>
      </c>
    </row>
    <row r="715" spans="1:4" x14ac:dyDescent="0.25">
      <c r="A715" s="8">
        <v>41515</v>
      </c>
      <c r="B715" s="4" t="s">
        <v>714</v>
      </c>
      <c r="C715" s="4">
        <v>45</v>
      </c>
      <c r="D715" t="str">
        <f t="shared" si="12"/>
        <v>Gigi Rad</v>
      </c>
    </row>
    <row r="716" spans="1:4" x14ac:dyDescent="0.25">
      <c r="A716" s="8">
        <v>41540</v>
      </c>
      <c r="B716" s="4" t="s">
        <v>714</v>
      </c>
      <c r="C716" s="4">
        <v>17</v>
      </c>
      <c r="D716" t="str">
        <f t="shared" si="12"/>
        <v>Gigi Rad</v>
      </c>
    </row>
    <row r="717" spans="1:4" x14ac:dyDescent="0.25">
      <c r="A717" s="8">
        <v>41632</v>
      </c>
      <c r="B717" s="4" t="s">
        <v>714</v>
      </c>
      <c r="C717" s="4">
        <v>27</v>
      </c>
      <c r="D717" t="str">
        <f t="shared" si="12"/>
        <v>Gigi Rad</v>
      </c>
    </row>
    <row r="718" spans="1:4" x14ac:dyDescent="0.25">
      <c r="A718" s="8">
        <v>41539</v>
      </c>
      <c r="B718" s="4" t="s">
        <v>710</v>
      </c>
      <c r="C718" s="4">
        <v>39</v>
      </c>
      <c r="D718" t="str">
        <f t="shared" si="12"/>
        <v>Gigi Pretty</v>
      </c>
    </row>
    <row r="719" spans="1:4" x14ac:dyDescent="0.25">
      <c r="A719" s="8">
        <v>41632</v>
      </c>
      <c r="B719" s="4" t="s">
        <v>710</v>
      </c>
      <c r="C719" s="4">
        <v>27</v>
      </c>
      <c r="D719" t="str">
        <f t="shared" si="12"/>
        <v>Gigi Pretty</v>
      </c>
    </row>
    <row r="720" spans="1:4" x14ac:dyDescent="0.25">
      <c r="A720" s="8">
        <v>41596</v>
      </c>
      <c r="B720" s="4" t="s">
        <v>715</v>
      </c>
      <c r="C720" s="4">
        <v>22</v>
      </c>
      <c r="D720" t="str">
        <f t="shared" si="12"/>
        <v>Gardenia Rad</v>
      </c>
    </row>
    <row r="721" spans="1:4" x14ac:dyDescent="0.25">
      <c r="A721" s="8">
        <v>41603</v>
      </c>
      <c r="B721" s="4" t="s">
        <v>715</v>
      </c>
      <c r="C721" s="4">
        <v>39</v>
      </c>
      <c r="D721" t="str">
        <f t="shared" si="12"/>
        <v>Gardenia Rad</v>
      </c>
    </row>
    <row r="722" spans="1:4" x14ac:dyDescent="0.25">
      <c r="A722" s="8">
        <v>41634</v>
      </c>
      <c r="B722" s="4" t="s">
        <v>717</v>
      </c>
      <c r="C722" s="4">
        <v>11</v>
      </c>
      <c r="D722" t="str">
        <f t="shared" si="12"/>
        <v>Battalion Rad</v>
      </c>
    </row>
    <row r="723" spans="1:4" x14ac:dyDescent="0.25">
      <c r="A723" s="8">
        <v>41562</v>
      </c>
      <c r="B723" s="4" t="s">
        <v>728</v>
      </c>
      <c r="C723" s="4">
        <v>11</v>
      </c>
      <c r="D723" t="str">
        <f t="shared" si="12"/>
        <v>Gigi Cool</v>
      </c>
    </row>
    <row r="724" spans="1:4" x14ac:dyDescent="0.25">
      <c r="A724" s="8">
        <v>41640</v>
      </c>
      <c r="B724" s="4" t="s">
        <v>711</v>
      </c>
      <c r="C724" s="4">
        <v>17</v>
      </c>
      <c r="D724" t="str">
        <f t="shared" si="12"/>
        <v>Sioux Calm</v>
      </c>
    </row>
    <row r="725" spans="1:4" x14ac:dyDescent="0.25">
      <c r="A725" s="8">
        <v>41607</v>
      </c>
      <c r="B725" s="4" t="s">
        <v>724</v>
      </c>
      <c r="C725" s="4">
        <v>29</v>
      </c>
      <c r="D725" t="str">
        <f t="shared" si="12"/>
        <v>Phil Pretty</v>
      </c>
    </row>
    <row r="726" spans="1:4" x14ac:dyDescent="0.25">
      <c r="A726" s="8">
        <v>41586</v>
      </c>
      <c r="B726" s="4" t="s">
        <v>717</v>
      </c>
      <c r="C726" s="4">
        <v>44</v>
      </c>
      <c r="D726" t="str">
        <f t="shared" si="12"/>
        <v>Battalion Rad</v>
      </c>
    </row>
    <row r="727" spans="1:4" x14ac:dyDescent="0.25">
      <c r="A727" s="8">
        <v>41564</v>
      </c>
      <c r="B727" s="4" t="s">
        <v>716</v>
      </c>
      <c r="C727" s="4">
        <v>17</v>
      </c>
      <c r="D727" t="str">
        <f t="shared" si="12"/>
        <v>Battalion Pretty</v>
      </c>
    </row>
    <row r="728" spans="1:4" x14ac:dyDescent="0.25">
      <c r="A728" s="8">
        <v>41648</v>
      </c>
      <c r="B728" s="4" t="s">
        <v>725</v>
      </c>
      <c r="C728" s="4">
        <v>18</v>
      </c>
      <c r="D728" t="str">
        <f t="shared" si="12"/>
        <v>Phil Rad</v>
      </c>
    </row>
    <row r="729" spans="1:4" x14ac:dyDescent="0.25">
      <c r="A729" s="8">
        <v>41632</v>
      </c>
      <c r="B729" s="4" t="s">
        <v>712</v>
      </c>
      <c r="C729" s="4">
        <v>11</v>
      </c>
      <c r="D729" t="str">
        <f t="shared" si="12"/>
        <v>Phil Sup</v>
      </c>
    </row>
    <row r="730" spans="1:4" x14ac:dyDescent="0.25">
      <c r="A730" s="8">
        <v>41565</v>
      </c>
      <c r="B730" s="4" t="s">
        <v>728</v>
      </c>
      <c r="C730" s="4">
        <v>22</v>
      </c>
      <c r="D730" t="str">
        <f t="shared" si="12"/>
        <v>Gigi Cool</v>
      </c>
    </row>
    <row r="731" spans="1:4" x14ac:dyDescent="0.25">
      <c r="A731" s="8">
        <v>41535</v>
      </c>
      <c r="B731" s="4" t="s">
        <v>724</v>
      </c>
      <c r="C731" s="4">
        <v>27</v>
      </c>
      <c r="D731" t="str">
        <f t="shared" si="12"/>
        <v>Phil Pretty</v>
      </c>
    </row>
    <row r="732" spans="1:4" x14ac:dyDescent="0.25">
      <c r="A732" s="8">
        <v>41578</v>
      </c>
      <c r="B732" s="4" t="s">
        <v>722</v>
      </c>
      <c r="C732" s="4">
        <v>25</v>
      </c>
      <c r="D732" t="str">
        <f t="shared" si="12"/>
        <v>Battalion Sup</v>
      </c>
    </row>
    <row r="733" spans="1:4" x14ac:dyDescent="0.25">
      <c r="A733" s="8">
        <v>41528</v>
      </c>
      <c r="B733" s="4" t="s">
        <v>100</v>
      </c>
      <c r="C733" s="4">
        <v>50</v>
      </c>
      <c r="D733" t="str">
        <f t="shared" si="12"/>
        <v>Phil Cool</v>
      </c>
    </row>
    <row r="734" spans="1:4" x14ac:dyDescent="0.25">
      <c r="A734" s="8">
        <v>41643</v>
      </c>
      <c r="B734" s="4" t="s">
        <v>714</v>
      </c>
      <c r="C734" s="4">
        <v>54</v>
      </c>
      <c r="D734" t="str">
        <f t="shared" si="12"/>
        <v>Gigi Rad</v>
      </c>
    </row>
    <row r="735" spans="1:4" x14ac:dyDescent="0.25">
      <c r="A735" s="8">
        <v>41598</v>
      </c>
      <c r="B735" s="4" t="s">
        <v>99</v>
      </c>
      <c r="C735" s="4">
        <v>25</v>
      </c>
      <c r="D735" t="str">
        <f t="shared" si="12"/>
        <v>Sioux Rad</v>
      </c>
    </row>
    <row r="736" spans="1:4" x14ac:dyDescent="0.25">
      <c r="A736" s="8">
        <v>41611</v>
      </c>
      <c r="B736" s="4" t="s">
        <v>726</v>
      </c>
      <c r="C736" s="4">
        <v>39</v>
      </c>
      <c r="D736" t="str">
        <f t="shared" si="12"/>
        <v>Sioux Sup</v>
      </c>
    </row>
    <row r="737" spans="1:4" x14ac:dyDescent="0.25">
      <c r="A737" s="8">
        <v>41573</v>
      </c>
      <c r="B737" s="4" t="s">
        <v>102</v>
      </c>
      <c r="C737" s="4">
        <v>49</v>
      </c>
      <c r="D737" t="str">
        <f t="shared" si="12"/>
        <v>Battalion Calm</v>
      </c>
    </row>
    <row r="738" spans="1:4" x14ac:dyDescent="0.25">
      <c r="A738" s="8">
        <v>41535</v>
      </c>
      <c r="B738" s="4" t="s">
        <v>712</v>
      </c>
      <c r="C738" s="4">
        <v>22</v>
      </c>
      <c r="D738" t="str">
        <f t="shared" si="12"/>
        <v>Phil Sup</v>
      </c>
    </row>
    <row r="739" spans="1:4" x14ac:dyDescent="0.25">
      <c r="A739" s="8">
        <v>41575</v>
      </c>
      <c r="B739" s="4" t="s">
        <v>716</v>
      </c>
      <c r="C739" s="4">
        <v>49</v>
      </c>
      <c r="D739" t="str">
        <f t="shared" si="12"/>
        <v>Battalion Pretty</v>
      </c>
    </row>
    <row r="740" spans="1:4" x14ac:dyDescent="0.25">
      <c r="A740" s="8">
        <v>41555</v>
      </c>
      <c r="B740" s="4" t="s">
        <v>711</v>
      </c>
      <c r="C740" s="4">
        <v>26</v>
      </c>
      <c r="D740" t="str">
        <f t="shared" si="12"/>
        <v>Sioux Calm</v>
      </c>
    </row>
    <row r="741" spans="1:4" x14ac:dyDescent="0.25">
      <c r="A741" s="8">
        <v>41618</v>
      </c>
      <c r="B741" s="4" t="s">
        <v>710</v>
      </c>
      <c r="C741" s="4">
        <v>13</v>
      </c>
      <c r="D741" t="str">
        <f t="shared" si="12"/>
        <v>Gigi Pretty</v>
      </c>
    </row>
    <row r="742" spans="1:4" x14ac:dyDescent="0.25">
      <c r="A742" s="8">
        <v>41623</v>
      </c>
      <c r="B742" s="4" t="s">
        <v>714</v>
      </c>
      <c r="C742" s="4">
        <v>25</v>
      </c>
      <c r="D742" t="str">
        <f t="shared" si="12"/>
        <v>Gigi Rad</v>
      </c>
    </row>
    <row r="743" spans="1:4" x14ac:dyDescent="0.25">
      <c r="A743" s="8">
        <v>41503</v>
      </c>
      <c r="B743" s="4" t="s">
        <v>722</v>
      </c>
      <c r="C743" s="4">
        <v>24</v>
      </c>
      <c r="D743" t="str">
        <f t="shared" si="12"/>
        <v>Battalion Sup</v>
      </c>
    </row>
    <row r="744" spans="1:4" x14ac:dyDescent="0.25">
      <c r="A744" s="8">
        <v>41562</v>
      </c>
      <c r="B744" s="4" t="s">
        <v>714</v>
      </c>
      <c r="C744" s="4">
        <v>27</v>
      </c>
      <c r="D744" t="str">
        <f t="shared" si="12"/>
        <v>Gigi Rad</v>
      </c>
    </row>
    <row r="745" spans="1:4" x14ac:dyDescent="0.25">
      <c r="A745" s="8">
        <v>41593</v>
      </c>
      <c r="B745" s="4" t="s">
        <v>717</v>
      </c>
      <c r="C745" s="4">
        <v>23</v>
      </c>
      <c r="D745" t="str">
        <f t="shared" si="12"/>
        <v>Battalion Rad</v>
      </c>
    </row>
    <row r="746" spans="1:4" x14ac:dyDescent="0.25">
      <c r="A746" s="8">
        <v>41634</v>
      </c>
      <c r="B746" s="4" t="s">
        <v>725</v>
      </c>
      <c r="C746" s="4">
        <v>32</v>
      </c>
      <c r="D746" t="str">
        <f t="shared" si="12"/>
        <v>Phil Rad</v>
      </c>
    </row>
    <row r="747" spans="1:4" x14ac:dyDescent="0.25">
      <c r="A747" s="8">
        <v>41646</v>
      </c>
      <c r="B747" s="4" t="s">
        <v>715</v>
      </c>
      <c r="C747" s="4">
        <v>36</v>
      </c>
      <c r="D747" t="str">
        <f t="shared" si="12"/>
        <v>Gardenia Rad</v>
      </c>
    </row>
    <row r="748" spans="1:4" x14ac:dyDescent="0.25">
      <c r="A748" s="8">
        <v>41533</v>
      </c>
      <c r="B748" s="4" t="s">
        <v>710</v>
      </c>
      <c r="C748" s="4">
        <v>44</v>
      </c>
      <c r="D748" t="str">
        <f t="shared" si="12"/>
        <v>Gigi Pretty</v>
      </c>
    </row>
    <row r="749" spans="1:4" x14ac:dyDescent="0.25">
      <c r="A749" s="8">
        <v>41576</v>
      </c>
      <c r="B749" s="4" t="s">
        <v>715</v>
      </c>
      <c r="C749" s="4">
        <v>59</v>
      </c>
      <c r="D749" t="str">
        <f t="shared" si="12"/>
        <v>Gardenia Rad</v>
      </c>
    </row>
    <row r="750" spans="1:4" x14ac:dyDescent="0.25">
      <c r="A750" s="8">
        <v>41572</v>
      </c>
      <c r="B750" s="4" t="s">
        <v>728</v>
      </c>
      <c r="C750" s="4">
        <v>23</v>
      </c>
      <c r="D750" t="str">
        <f t="shared" si="12"/>
        <v>Gigi Cool</v>
      </c>
    </row>
    <row r="751" spans="1:4" x14ac:dyDescent="0.25">
      <c r="A751" s="8">
        <v>41577</v>
      </c>
      <c r="B751" s="4" t="s">
        <v>99</v>
      </c>
      <c r="C751" s="4">
        <v>56</v>
      </c>
      <c r="D751" t="str">
        <f t="shared" si="12"/>
        <v>Sioux Rad</v>
      </c>
    </row>
    <row r="752" spans="1:4" x14ac:dyDescent="0.25">
      <c r="A752" s="8">
        <v>41629</v>
      </c>
      <c r="B752" s="4" t="s">
        <v>727</v>
      </c>
      <c r="C752" s="4">
        <v>53</v>
      </c>
      <c r="D752" t="str">
        <f t="shared" si="12"/>
        <v>Phil Calm</v>
      </c>
    </row>
    <row r="753" spans="1:4" x14ac:dyDescent="0.25">
      <c r="A753" s="8">
        <v>41548</v>
      </c>
      <c r="B753" s="4" t="s">
        <v>726</v>
      </c>
      <c r="C753" s="4">
        <v>32</v>
      </c>
      <c r="D753" t="str">
        <f t="shared" si="12"/>
        <v>Sioux Sup</v>
      </c>
    </row>
    <row r="754" spans="1:4" x14ac:dyDescent="0.25">
      <c r="A754" s="8">
        <v>41600</v>
      </c>
      <c r="B754" s="4" t="s">
        <v>724</v>
      </c>
      <c r="C754" s="4">
        <v>40</v>
      </c>
      <c r="D754" t="str">
        <f t="shared" si="12"/>
        <v>Phil Pretty</v>
      </c>
    </row>
    <row r="755" spans="1:4" x14ac:dyDescent="0.25">
      <c r="A755" s="8">
        <v>41515</v>
      </c>
      <c r="B755" s="4" t="s">
        <v>719</v>
      </c>
      <c r="C755" s="4">
        <v>29</v>
      </c>
      <c r="D755" t="str">
        <f t="shared" si="12"/>
        <v>Sioux Pretty</v>
      </c>
    </row>
    <row r="756" spans="1:4" x14ac:dyDescent="0.25">
      <c r="A756" s="8">
        <v>41556</v>
      </c>
      <c r="B756" s="4" t="s">
        <v>101</v>
      </c>
      <c r="C756" s="4">
        <v>40</v>
      </c>
      <c r="D756" t="str">
        <f t="shared" si="12"/>
        <v>Gigi Sup</v>
      </c>
    </row>
    <row r="757" spans="1:4" x14ac:dyDescent="0.25">
      <c r="A757" s="8">
        <v>41565</v>
      </c>
      <c r="B757" s="4" t="s">
        <v>99</v>
      </c>
      <c r="C757" s="4">
        <v>11</v>
      </c>
      <c r="D757" t="str">
        <f t="shared" si="12"/>
        <v>Sioux Rad</v>
      </c>
    </row>
    <row r="758" spans="1:4" x14ac:dyDescent="0.25">
      <c r="A758" s="8">
        <v>41612</v>
      </c>
      <c r="B758" s="4" t="s">
        <v>726</v>
      </c>
      <c r="C758" s="4">
        <v>47</v>
      </c>
      <c r="D758" t="str">
        <f t="shared" si="12"/>
        <v>Sioux Sup</v>
      </c>
    </row>
    <row r="759" spans="1:4" x14ac:dyDescent="0.25">
      <c r="A759" s="8">
        <v>41648</v>
      </c>
      <c r="B759" s="4" t="s">
        <v>715</v>
      </c>
      <c r="C759" s="4">
        <v>51</v>
      </c>
      <c r="D759" t="str">
        <f t="shared" si="12"/>
        <v>Gardenia Rad</v>
      </c>
    </row>
    <row r="760" spans="1:4" x14ac:dyDescent="0.25">
      <c r="A760" s="8">
        <v>41583</v>
      </c>
      <c r="B760" s="4" t="s">
        <v>101</v>
      </c>
      <c r="C760" s="4">
        <v>14</v>
      </c>
      <c r="D760" t="str">
        <f t="shared" si="12"/>
        <v>Gigi Sup</v>
      </c>
    </row>
    <row r="761" spans="1:4" x14ac:dyDescent="0.25">
      <c r="A761" s="8">
        <v>41649</v>
      </c>
      <c r="B761" s="4" t="s">
        <v>726</v>
      </c>
      <c r="C761" s="4">
        <v>56</v>
      </c>
      <c r="D761" t="str">
        <f t="shared" si="12"/>
        <v>Sioux Sup</v>
      </c>
    </row>
    <row r="762" spans="1:4" x14ac:dyDescent="0.25">
      <c r="A762" s="8">
        <v>41530</v>
      </c>
      <c r="B762" s="4" t="s">
        <v>727</v>
      </c>
      <c r="C762" s="4">
        <v>15</v>
      </c>
      <c r="D762" t="str">
        <f t="shared" si="12"/>
        <v>Phil Calm</v>
      </c>
    </row>
    <row r="763" spans="1:4" x14ac:dyDescent="0.25">
      <c r="A763" s="8">
        <v>41613</v>
      </c>
      <c r="B763" s="4" t="s">
        <v>724</v>
      </c>
      <c r="C763" s="4">
        <v>26</v>
      </c>
      <c r="D763" t="str">
        <f t="shared" si="12"/>
        <v>Phil Pretty</v>
      </c>
    </row>
    <row r="764" spans="1:4" x14ac:dyDescent="0.25">
      <c r="A764" s="8">
        <v>41548</v>
      </c>
      <c r="B764" s="4" t="s">
        <v>716</v>
      </c>
      <c r="C764" s="4">
        <v>33</v>
      </c>
      <c r="D764" t="str">
        <f t="shared" si="12"/>
        <v>Battalion Pretty</v>
      </c>
    </row>
    <row r="765" spans="1:4" x14ac:dyDescent="0.25">
      <c r="A765" s="8">
        <v>41542</v>
      </c>
      <c r="B765" s="4" t="s">
        <v>713</v>
      </c>
      <c r="C765" s="4">
        <v>23</v>
      </c>
      <c r="D765" t="str">
        <f t="shared" si="12"/>
        <v>Gardenia Cool</v>
      </c>
    </row>
    <row r="766" spans="1:4" x14ac:dyDescent="0.25">
      <c r="A766" s="8">
        <v>41562</v>
      </c>
      <c r="B766" s="4" t="s">
        <v>729</v>
      </c>
      <c r="C766" s="4">
        <v>15</v>
      </c>
      <c r="D766" t="str">
        <f t="shared" si="12"/>
        <v>Gardenia Sup</v>
      </c>
    </row>
    <row r="767" spans="1:4" x14ac:dyDescent="0.25">
      <c r="A767" s="8">
        <v>41607</v>
      </c>
      <c r="B767" s="4" t="s">
        <v>724</v>
      </c>
      <c r="C767" s="4">
        <v>18</v>
      </c>
      <c r="D767" t="str">
        <f t="shared" si="12"/>
        <v>Phil Pretty</v>
      </c>
    </row>
    <row r="768" spans="1:4" x14ac:dyDescent="0.25">
      <c r="A768" s="8">
        <v>41607</v>
      </c>
      <c r="B768" s="4" t="s">
        <v>710</v>
      </c>
      <c r="C768" s="4">
        <v>32</v>
      </c>
      <c r="D768" t="str">
        <f t="shared" si="12"/>
        <v>Gigi Pretty</v>
      </c>
    </row>
    <row r="769" spans="1:4" x14ac:dyDescent="0.25">
      <c r="A769" s="8">
        <v>41591</v>
      </c>
      <c r="B769" s="4" t="s">
        <v>728</v>
      </c>
      <c r="C769" s="4">
        <v>40</v>
      </c>
      <c r="D769" t="str">
        <f t="shared" si="12"/>
        <v>Gigi Cool</v>
      </c>
    </row>
    <row r="770" spans="1:4" x14ac:dyDescent="0.25">
      <c r="A770" s="8">
        <v>41646</v>
      </c>
      <c r="B770" s="4" t="s">
        <v>722</v>
      </c>
      <c r="C770" s="4">
        <v>13</v>
      </c>
      <c r="D770" t="str">
        <f t="shared" si="12"/>
        <v>Battalion Sup</v>
      </c>
    </row>
    <row r="771" spans="1:4" x14ac:dyDescent="0.25">
      <c r="A771" s="8">
        <v>41514</v>
      </c>
      <c r="B771" s="4" t="s">
        <v>710</v>
      </c>
      <c r="C771" s="4">
        <v>17</v>
      </c>
      <c r="D771" t="str">
        <f t="shared" ref="D771:D802" si="13">TRIM(B771)</f>
        <v>Gigi Pretty</v>
      </c>
    </row>
    <row r="772" spans="1:4" x14ac:dyDescent="0.25">
      <c r="A772" s="8">
        <v>41634</v>
      </c>
      <c r="B772" s="4" t="s">
        <v>728</v>
      </c>
      <c r="C772" s="4">
        <v>51</v>
      </c>
      <c r="D772" t="str">
        <f t="shared" si="13"/>
        <v>Gigi Cool</v>
      </c>
    </row>
    <row r="773" spans="1:4" x14ac:dyDescent="0.25">
      <c r="A773" s="8">
        <v>41626</v>
      </c>
      <c r="B773" s="4" t="s">
        <v>712</v>
      </c>
      <c r="C773" s="4">
        <v>29</v>
      </c>
      <c r="D773" t="str">
        <f t="shared" si="13"/>
        <v>Phil Sup</v>
      </c>
    </row>
    <row r="774" spans="1:4" x14ac:dyDescent="0.25">
      <c r="A774" s="8">
        <v>41508</v>
      </c>
      <c r="B774" s="4" t="s">
        <v>100</v>
      </c>
      <c r="C774" s="4">
        <v>21</v>
      </c>
      <c r="D774" t="str">
        <f t="shared" si="13"/>
        <v>Phil Cool</v>
      </c>
    </row>
    <row r="775" spans="1:4" x14ac:dyDescent="0.25">
      <c r="A775" s="8">
        <v>41604</v>
      </c>
      <c r="B775" s="4" t="s">
        <v>713</v>
      </c>
      <c r="C775" s="4">
        <v>18</v>
      </c>
      <c r="D775" t="str">
        <f t="shared" si="13"/>
        <v>Gardenia Cool</v>
      </c>
    </row>
    <row r="776" spans="1:4" x14ac:dyDescent="0.25">
      <c r="A776" s="8">
        <v>41632</v>
      </c>
      <c r="B776" s="4" t="s">
        <v>723</v>
      </c>
      <c r="C776" s="4">
        <v>51</v>
      </c>
      <c r="D776" t="str">
        <f t="shared" si="13"/>
        <v>Gigi Calm</v>
      </c>
    </row>
    <row r="777" spans="1:4" x14ac:dyDescent="0.25">
      <c r="A777" s="8">
        <v>41514</v>
      </c>
      <c r="B777" s="4" t="s">
        <v>718</v>
      </c>
      <c r="C777" s="4">
        <v>47</v>
      </c>
      <c r="D777" t="str">
        <f t="shared" si="13"/>
        <v>Sioux Cool</v>
      </c>
    </row>
    <row r="778" spans="1:4" x14ac:dyDescent="0.25">
      <c r="A778" s="8">
        <v>41516</v>
      </c>
      <c r="B778" s="4" t="s">
        <v>729</v>
      </c>
      <c r="C778" s="4">
        <v>54</v>
      </c>
      <c r="D778" t="str">
        <f t="shared" si="13"/>
        <v>Gardenia Sup</v>
      </c>
    </row>
    <row r="779" spans="1:4" x14ac:dyDescent="0.25">
      <c r="A779" s="8">
        <v>41531</v>
      </c>
      <c r="B779" s="4" t="s">
        <v>721</v>
      </c>
      <c r="C779" s="4">
        <v>32</v>
      </c>
      <c r="D779" t="str">
        <f t="shared" si="13"/>
        <v>Battalion Cool</v>
      </c>
    </row>
    <row r="780" spans="1:4" x14ac:dyDescent="0.25">
      <c r="A780" s="8">
        <v>41584</v>
      </c>
      <c r="B780" s="4" t="s">
        <v>722</v>
      </c>
      <c r="C780" s="4">
        <v>29</v>
      </c>
      <c r="D780" t="str">
        <f t="shared" si="13"/>
        <v>Battalion Sup</v>
      </c>
    </row>
    <row r="781" spans="1:4" x14ac:dyDescent="0.25">
      <c r="A781" s="8">
        <v>41519</v>
      </c>
      <c r="B781" s="4" t="s">
        <v>728</v>
      </c>
      <c r="C781" s="4">
        <v>45</v>
      </c>
      <c r="D781" t="str">
        <f t="shared" si="13"/>
        <v>Gigi Cool</v>
      </c>
    </row>
    <row r="782" spans="1:4" x14ac:dyDescent="0.25">
      <c r="A782" s="8">
        <v>41617</v>
      </c>
      <c r="B782" s="4" t="s">
        <v>102</v>
      </c>
      <c r="C782" s="4">
        <v>23</v>
      </c>
      <c r="D782" t="str">
        <f t="shared" si="13"/>
        <v>Battalion Calm</v>
      </c>
    </row>
    <row r="783" spans="1:4" x14ac:dyDescent="0.25">
      <c r="A783" s="8">
        <v>41635</v>
      </c>
      <c r="B783" s="4" t="s">
        <v>714</v>
      </c>
      <c r="C783" s="4">
        <v>47</v>
      </c>
      <c r="D783" t="str">
        <f t="shared" si="13"/>
        <v>Gigi Rad</v>
      </c>
    </row>
    <row r="784" spans="1:4" x14ac:dyDescent="0.25">
      <c r="A784" s="8">
        <v>41640</v>
      </c>
      <c r="B784" s="4" t="s">
        <v>727</v>
      </c>
      <c r="C784" s="4">
        <v>17</v>
      </c>
      <c r="D784" t="str">
        <f t="shared" si="13"/>
        <v>Phil Calm</v>
      </c>
    </row>
    <row r="785" spans="1:4" x14ac:dyDescent="0.25">
      <c r="A785" s="8">
        <v>41620</v>
      </c>
      <c r="B785" s="4" t="s">
        <v>721</v>
      </c>
      <c r="C785" s="4">
        <v>42</v>
      </c>
      <c r="D785" t="str">
        <f t="shared" si="13"/>
        <v>Battalion Cool</v>
      </c>
    </row>
    <row r="786" spans="1:4" x14ac:dyDescent="0.25">
      <c r="A786" s="8">
        <v>41539</v>
      </c>
      <c r="B786" s="4" t="s">
        <v>727</v>
      </c>
      <c r="C786" s="4">
        <v>56</v>
      </c>
      <c r="D786" t="str">
        <f t="shared" si="13"/>
        <v>Phil Calm</v>
      </c>
    </row>
    <row r="787" spans="1:4" x14ac:dyDescent="0.25">
      <c r="A787" s="8">
        <v>41600</v>
      </c>
      <c r="B787" s="4" t="s">
        <v>715</v>
      </c>
      <c r="C787" s="4">
        <v>27</v>
      </c>
      <c r="D787" t="str">
        <f t="shared" si="13"/>
        <v>Gardenia Rad</v>
      </c>
    </row>
    <row r="788" spans="1:4" x14ac:dyDescent="0.25">
      <c r="A788" s="8">
        <v>41648</v>
      </c>
      <c r="B788" s="4" t="s">
        <v>725</v>
      </c>
      <c r="C788" s="4">
        <v>45</v>
      </c>
      <c r="D788" t="str">
        <f t="shared" si="13"/>
        <v>Phil Rad</v>
      </c>
    </row>
    <row r="789" spans="1:4" x14ac:dyDescent="0.25">
      <c r="A789" s="8">
        <v>41508</v>
      </c>
      <c r="B789" s="4" t="s">
        <v>725</v>
      </c>
      <c r="C789" s="4">
        <v>37</v>
      </c>
      <c r="D789" t="str">
        <f t="shared" si="13"/>
        <v>Phil Rad</v>
      </c>
    </row>
    <row r="790" spans="1:4" x14ac:dyDescent="0.25">
      <c r="A790" s="8">
        <v>41570</v>
      </c>
      <c r="B790" s="4" t="s">
        <v>101</v>
      </c>
      <c r="C790" s="4">
        <v>34</v>
      </c>
      <c r="D790" t="str">
        <f t="shared" si="13"/>
        <v>Gigi Sup</v>
      </c>
    </row>
    <row r="791" spans="1:4" x14ac:dyDescent="0.25">
      <c r="A791" s="8">
        <v>41565</v>
      </c>
      <c r="B791" s="4" t="s">
        <v>99</v>
      </c>
      <c r="C791" s="4">
        <v>58</v>
      </c>
      <c r="D791" t="str">
        <f t="shared" si="13"/>
        <v>Sioux Rad</v>
      </c>
    </row>
    <row r="792" spans="1:4" x14ac:dyDescent="0.25">
      <c r="A792" s="8">
        <v>41636</v>
      </c>
      <c r="B792" s="4" t="s">
        <v>721</v>
      </c>
      <c r="C792" s="4">
        <v>23</v>
      </c>
      <c r="D792" t="str">
        <f t="shared" si="13"/>
        <v>Battalion Cool</v>
      </c>
    </row>
    <row r="793" spans="1:4" x14ac:dyDescent="0.25">
      <c r="A793" s="8">
        <v>41613</v>
      </c>
      <c r="B793" s="4" t="s">
        <v>717</v>
      </c>
      <c r="C793" s="4">
        <v>54</v>
      </c>
      <c r="D793" t="str">
        <f t="shared" si="13"/>
        <v>Battalion Rad</v>
      </c>
    </row>
    <row r="794" spans="1:4" x14ac:dyDescent="0.25">
      <c r="A794" s="8">
        <v>41547</v>
      </c>
      <c r="B794" s="4" t="s">
        <v>722</v>
      </c>
      <c r="C794" s="4">
        <v>58</v>
      </c>
      <c r="D794" t="str">
        <f t="shared" si="13"/>
        <v>Battalion Sup</v>
      </c>
    </row>
    <row r="795" spans="1:4" x14ac:dyDescent="0.25">
      <c r="A795" s="8">
        <v>41537</v>
      </c>
      <c r="B795" s="4" t="s">
        <v>728</v>
      </c>
      <c r="C795" s="4">
        <v>23</v>
      </c>
      <c r="D795" t="str">
        <f t="shared" si="13"/>
        <v>Gigi Cool</v>
      </c>
    </row>
    <row r="796" spans="1:4" x14ac:dyDescent="0.25">
      <c r="A796" s="8">
        <v>41644</v>
      </c>
      <c r="B796" s="4" t="s">
        <v>726</v>
      </c>
      <c r="C796" s="4">
        <v>51</v>
      </c>
      <c r="D796" t="str">
        <f t="shared" si="13"/>
        <v>Sioux Sup</v>
      </c>
    </row>
    <row r="797" spans="1:4" x14ac:dyDescent="0.25">
      <c r="A797" s="8">
        <v>41595</v>
      </c>
      <c r="B797" s="4" t="s">
        <v>728</v>
      </c>
      <c r="C797" s="4">
        <v>38</v>
      </c>
      <c r="D797" t="str">
        <f t="shared" si="13"/>
        <v>Gigi Cool</v>
      </c>
    </row>
    <row r="798" spans="1:4" x14ac:dyDescent="0.25">
      <c r="A798" s="8">
        <v>41597</v>
      </c>
      <c r="B798" s="4" t="s">
        <v>102</v>
      </c>
      <c r="C798" s="4">
        <v>32</v>
      </c>
      <c r="D798" t="str">
        <f t="shared" si="13"/>
        <v>Battalion Calm</v>
      </c>
    </row>
    <row r="799" spans="1:4" x14ac:dyDescent="0.25">
      <c r="A799" s="8">
        <v>41601</v>
      </c>
      <c r="B799" s="4" t="s">
        <v>714</v>
      </c>
      <c r="C799" s="4">
        <v>33</v>
      </c>
      <c r="D799" t="str">
        <f t="shared" si="13"/>
        <v>Gigi Rad</v>
      </c>
    </row>
    <row r="800" spans="1:4" x14ac:dyDescent="0.25">
      <c r="A800" s="8">
        <v>41616</v>
      </c>
      <c r="B800" s="4" t="s">
        <v>721</v>
      </c>
      <c r="C800" s="4">
        <v>47</v>
      </c>
      <c r="D800" t="str">
        <f t="shared" si="13"/>
        <v>Battalion Cool</v>
      </c>
    </row>
    <row r="801" spans="1:4" x14ac:dyDescent="0.25">
      <c r="A801" s="8">
        <v>41529</v>
      </c>
      <c r="B801" s="4" t="s">
        <v>723</v>
      </c>
      <c r="C801" s="4">
        <v>16</v>
      </c>
      <c r="D801" t="str">
        <f t="shared" si="13"/>
        <v>Gigi Calm</v>
      </c>
    </row>
    <row r="802" spans="1:4" x14ac:dyDescent="0.25">
      <c r="A802" s="8">
        <v>41628</v>
      </c>
      <c r="B802" s="4" t="s">
        <v>727</v>
      </c>
      <c r="C802" s="4">
        <v>18</v>
      </c>
      <c r="D802" t="str">
        <f t="shared" si="13"/>
        <v>Phil Calm</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M802"/>
  <sheetViews>
    <sheetView zoomScale="176" zoomScaleNormal="176" workbookViewId="0">
      <selection activeCell="G6" sqref="G6"/>
    </sheetView>
  </sheetViews>
  <sheetFormatPr defaultRowHeight="15" x14ac:dyDescent="0.25"/>
  <cols>
    <col min="1" max="1" width="10.7109375" customWidth="1"/>
    <col min="2" max="2" width="18.140625" bestFit="1" customWidth="1"/>
    <col min="3" max="3" width="11" customWidth="1"/>
    <col min="5" max="5" width="13.140625" customWidth="1"/>
    <col min="6" max="6" width="13" customWidth="1"/>
    <col min="7" max="7" width="13.85546875" customWidth="1"/>
    <col min="11" max="11" width="13.140625" customWidth="1"/>
    <col min="13" max="13" width="10.85546875" customWidth="1"/>
    <col min="17" max="17" width="17.28515625" customWidth="1"/>
  </cols>
  <sheetData>
    <row r="1" spans="1:13" x14ac:dyDescent="0.25">
      <c r="A1" s="11" t="s">
        <v>91</v>
      </c>
      <c r="B1" s="11" t="s">
        <v>92</v>
      </c>
      <c r="C1" s="11" t="s">
        <v>93</v>
      </c>
      <c r="E1" s="28" t="s">
        <v>704</v>
      </c>
      <c r="F1" s="8">
        <f t="array" ref="F1">MIN($A$2:$A$802+0)</f>
        <v>41500</v>
      </c>
      <c r="K1" s="8">
        <f t="shared" ref="K1" si="0">_xlfn.AGGREGATE(15,4,$A$2:$A$802+0,1)</f>
        <v>41500</v>
      </c>
      <c r="M1" s="11" t="s">
        <v>91</v>
      </c>
    </row>
    <row r="2" spans="1:13" x14ac:dyDescent="0.25">
      <c r="A2" s="8" t="s">
        <v>109</v>
      </c>
      <c r="B2" s="4" t="s">
        <v>710</v>
      </c>
      <c r="C2" s="4">
        <v>51</v>
      </c>
      <c r="E2" s="28" t="s">
        <v>705</v>
      </c>
      <c r="F2" s="8">
        <f t="array" ref="F2">MAX($A$2:$A$802+0)</f>
        <v>41650</v>
      </c>
      <c r="K2" s="8">
        <f>_xlfn.AGGREGATE(14,4,$A$2:$A$802+0,1)</f>
        <v>41650</v>
      </c>
      <c r="M2" s="8" t="s">
        <v>109</v>
      </c>
    </row>
    <row r="3" spans="1:13" x14ac:dyDescent="0.25">
      <c r="A3" s="8" t="s">
        <v>110</v>
      </c>
      <c r="B3" s="4" t="s">
        <v>711</v>
      </c>
      <c r="C3" s="4">
        <v>12</v>
      </c>
      <c r="M3" s="8" t="s">
        <v>110</v>
      </c>
    </row>
    <row r="4" spans="1:13" x14ac:dyDescent="0.25">
      <c r="A4" s="8" t="s">
        <v>111</v>
      </c>
      <c r="B4" s="4" t="s">
        <v>712</v>
      </c>
      <c r="C4" s="4">
        <v>38</v>
      </c>
      <c r="M4" s="8" t="s">
        <v>111</v>
      </c>
    </row>
    <row r="5" spans="1:13" x14ac:dyDescent="0.25">
      <c r="A5" s="8" t="s">
        <v>112</v>
      </c>
      <c r="B5" s="4" t="s">
        <v>103</v>
      </c>
      <c r="C5" s="4">
        <v>36</v>
      </c>
      <c r="E5" s="11" t="s">
        <v>706</v>
      </c>
      <c r="F5" s="11" t="s">
        <v>707</v>
      </c>
      <c r="G5" s="11" t="s">
        <v>82</v>
      </c>
      <c r="K5" s="11" t="s">
        <v>82</v>
      </c>
      <c r="M5" s="8" t="s">
        <v>112</v>
      </c>
    </row>
    <row r="6" spans="1:13" x14ac:dyDescent="0.25">
      <c r="A6" s="8" t="s">
        <v>113</v>
      </c>
      <c r="B6" s="4" t="s">
        <v>103</v>
      </c>
      <c r="C6" s="4">
        <v>12</v>
      </c>
      <c r="E6" s="8">
        <f>F1</f>
        <v>41500</v>
      </c>
      <c r="F6" s="8">
        <f>EOMONTH(E6,0)</f>
        <v>41517</v>
      </c>
      <c r="G6" s="22"/>
      <c r="K6" s="22">
        <f>SUMPRODUCT(--(M2:M802+0&gt;=E6),--(M2:M802+0&lt;=F6),C2:C802)</f>
        <v>3174</v>
      </c>
      <c r="M6" s="8" t="s">
        <v>113</v>
      </c>
    </row>
    <row r="7" spans="1:13" x14ac:dyDescent="0.25">
      <c r="A7" s="8" t="s">
        <v>114</v>
      </c>
      <c r="B7" s="4" t="s">
        <v>101</v>
      </c>
      <c r="C7" s="4">
        <v>26</v>
      </c>
      <c r="E7" s="8">
        <f>F6+1</f>
        <v>41518</v>
      </c>
      <c r="F7" s="8">
        <f>EOMONTH(E7,0)</f>
        <v>41547</v>
      </c>
      <c r="G7" s="22"/>
      <c r="K7" s="22">
        <f t="shared" ref="K7:K11" si="1">SUMPRODUCT(--(M3:M803+0&gt;=E7),--(M3:M803+0&lt;=F7),C3:C803)</f>
        <v>5255</v>
      </c>
      <c r="M7" s="8" t="s">
        <v>114</v>
      </c>
    </row>
    <row r="8" spans="1:13" x14ac:dyDescent="0.25">
      <c r="A8" s="8" t="s">
        <v>115</v>
      </c>
      <c r="B8" s="4" t="s">
        <v>711</v>
      </c>
      <c r="C8" s="4">
        <v>13</v>
      </c>
      <c r="E8" s="8">
        <f t="shared" ref="E8:E11" si="2">F7+1</f>
        <v>41548</v>
      </c>
      <c r="F8" s="8">
        <f t="shared" ref="F8:F11" si="3">EOMONTH(E8,0)</f>
        <v>41578</v>
      </c>
      <c r="G8" s="22"/>
      <c r="K8" s="22">
        <f t="shared" si="1"/>
        <v>6145</v>
      </c>
      <c r="M8" s="8" t="s">
        <v>115</v>
      </c>
    </row>
    <row r="9" spans="1:13" x14ac:dyDescent="0.25">
      <c r="A9" s="8" t="s">
        <v>116</v>
      </c>
      <c r="B9" s="4" t="s">
        <v>713</v>
      </c>
      <c r="C9" s="4">
        <v>29</v>
      </c>
      <c r="E9" s="8">
        <f t="shared" si="2"/>
        <v>41579</v>
      </c>
      <c r="F9" s="8">
        <f t="shared" si="3"/>
        <v>41608</v>
      </c>
      <c r="G9" s="22"/>
      <c r="K9" s="22">
        <f t="shared" si="1"/>
        <v>5556</v>
      </c>
      <c r="M9" s="8" t="s">
        <v>116</v>
      </c>
    </row>
    <row r="10" spans="1:13" x14ac:dyDescent="0.25">
      <c r="A10" s="8" t="s">
        <v>117</v>
      </c>
      <c r="B10" s="4" t="s">
        <v>714</v>
      </c>
      <c r="C10" s="4">
        <v>33</v>
      </c>
      <c r="E10" s="8">
        <f t="shared" si="2"/>
        <v>41609</v>
      </c>
      <c r="F10" s="8">
        <f t="shared" si="3"/>
        <v>41639</v>
      </c>
      <c r="G10" s="22"/>
      <c r="K10" s="22">
        <f t="shared" si="1"/>
        <v>5273</v>
      </c>
      <c r="M10" s="8" t="s">
        <v>117</v>
      </c>
    </row>
    <row r="11" spans="1:13" x14ac:dyDescent="0.25">
      <c r="A11" s="8" t="s">
        <v>118</v>
      </c>
      <c r="B11" s="4" t="s">
        <v>715</v>
      </c>
      <c r="C11" s="4">
        <v>48</v>
      </c>
      <c r="E11" s="8">
        <f t="shared" si="2"/>
        <v>41640</v>
      </c>
      <c r="F11" s="8">
        <f t="shared" si="3"/>
        <v>41670</v>
      </c>
      <c r="G11" s="22"/>
      <c r="K11" s="22">
        <f t="shared" si="1"/>
        <v>2248</v>
      </c>
      <c r="M11" s="8" t="s">
        <v>118</v>
      </c>
    </row>
    <row r="12" spans="1:13" x14ac:dyDescent="0.25">
      <c r="A12" s="8" t="s">
        <v>119</v>
      </c>
      <c r="B12" s="4" t="s">
        <v>716</v>
      </c>
      <c r="C12" s="4">
        <v>45</v>
      </c>
      <c r="E12" s="25"/>
      <c r="F12" s="25"/>
      <c r="M12" s="8" t="s">
        <v>119</v>
      </c>
    </row>
    <row r="13" spans="1:13" x14ac:dyDescent="0.25">
      <c r="A13" s="8" t="s">
        <v>120</v>
      </c>
      <c r="B13" s="4" t="s">
        <v>101</v>
      </c>
      <c r="C13" s="4">
        <v>36</v>
      </c>
      <c r="E13" s="25"/>
      <c r="F13" s="25"/>
      <c r="M13" s="8" t="s">
        <v>120</v>
      </c>
    </row>
    <row r="14" spans="1:13" x14ac:dyDescent="0.25">
      <c r="A14" s="8" t="s">
        <v>121</v>
      </c>
      <c r="B14" s="4" t="s">
        <v>717</v>
      </c>
      <c r="C14" s="4">
        <v>54</v>
      </c>
      <c r="M14" s="8" t="s">
        <v>121</v>
      </c>
    </row>
    <row r="15" spans="1:13" x14ac:dyDescent="0.25">
      <c r="A15" s="8" t="s">
        <v>122</v>
      </c>
      <c r="B15" s="4" t="s">
        <v>101</v>
      </c>
      <c r="C15" s="4">
        <v>45</v>
      </c>
      <c r="M15" s="8" t="s">
        <v>122</v>
      </c>
    </row>
    <row r="16" spans="1:13" x14ac:dyDescent="0.25">
      <c r="A16" s="8" t="s">
        <v>123</v>
      </c>
      <c r="B16" s="4" t="s">
        <v>718</v>
      </c>
      <c r="C16" s="4">
        <v>37</v>
      </c>
      <c r="M16" s="8" t="s">
        <v>123</v>
      </c>
    </row>
    <row r="17" spans="1:13" x14ac:dyDescent="0.25">
      <c r="A17" s="8" t="s">
        <v>124</v>
      </c>
      <c r="B17" s="4" t="s">
        <v>719</v>
      </c>
      <c r="C17" s="4">
        <v>41</v>
      </c>
      <c r="M17" s="8" t="s">
        <v>124</v>
      </c>
    </row>
    <row r="18" spans="1:13" x14ac:dyDescent="0.25">
      <c r="A18" s="8" t="s">
        <v>125</v>
      </c>
      <c r="B18" s="4" t="s">
        <v>717</v>
      </c>
      <c r="C18" s="4">
        <v>46</v>
      </c>
      <c r="M18" s="8" t="s">
        <v>125</v>
      </c>
    </row>
    <row r="19" spans="1:13" x14ac:dyDescent="0.25">
      <c r="A19" s="8" t="s">
        <v>126</v>
      </c>
      <c r="B19" s="4" t="s">
        <v>720</v>
      </c>
      <c r="C19" s="4">
        <v>23</v>
      </c>
      <c r="M19" s="8" t="s">
        <v>126</v>
      </c>
    </row>
    <row r="20" spans="1:13" x14ac:dyDescent="0.25">
      <c r="A20" s="8" t="s">
        <v>127</v>
      </c>
      <c r="B20" s="4" t="s">
        <v>715</v>
      </c>
      <c r="C20" s="4">
        <v>27</v>
      </c>
      <c r="M20" s="8" t="s">
        <v>127</v>
      </c>
    </row>
    <row r="21" spans="1:13" x14ac:dyDescent="0.25">
      <c r="A21" s="8" t="s">
        <v>128</v>
      </c>
      <c r="B21" s="4" t="s">
        <v>712</v>
      </c>
      <c r="C21" s="4">
        <v>55</v>
      </c>
      <c r="M21" s="8" t="s">
        <v>128</v>
      </c>
    </row>
    <row r="22" spans="1:13" x14ac:dyDescent="0.25">
      <c r="A22" s="8" t="s">
        <v>129</v>
      </c>
      <c r="B22" s="4" t="s">
        <v>101</v>
      </c>
      <c r="C22" s="4">
        <v>36</v>
      </c>
      <c r="M22" s="8" t="s">
        <v>129</v>
      </c>
    </row>
    <row r="23" spans="1:13" x14ac:dyDescent="0.25">
      <c r="A23" s="8" t="s">
        <v>130</v>
      </c>
      <c r="B23" s="4" t="s">
        <v>713</v>
      </c>
      <c r="C23" s="4">
        <v>15</v>
      </c>
      <c r="M23" s="8" t="s">
        <v>130</v>
      </c>
    </row>
    <row r="24" spans="1:13" x14ac:dyDescent="0.25">
      <c r="A24" s="8" t="s">
        <v>131</v>
      </c>
      <c r="B24" s="4" t="s">
        <v>721</v>
      </c>
      <c r="C24" s="4">
        <v>19</v>
      </c>
      <c r="M24" s="8" t="s">
        <v>131</v>
      </c>
    </row>
    <row r="25" spans="1:13" x14ac:dyDescent="0.25">
      <c r="A25" s="8" t="s">
        <v>132</v>
      </c>
      <c r="B25" s="4" t="s">
        <v>721</v>
      </c>
      <c r="C25" s="4">
        <v>32</v>
      </c>
      <c r="M25" s="8" t="s">
        <v>132</v>
      </c>
    </row>
    <row r="26" spans="1:13" x14ac:dyDescent="0.25">
      <c r="A26" s="8" t="s">
        <v>133</v>
      </c>
      <c r="B26" s="4" t="s">
        <v>720</v>
      </c>
      <c r="C26" s="4">
        <v>30</v>
      </c>
      <c r="M26" s="8" t="s">
        <v>133</v>
      </c>
    </row>
    <row r="27" spans="1:13" x14ac:dyDescent="0.25">
      <c r="A27" s="8" t="s">
        <v>134</v>
      </c>
      <c r="B27" s="4" t="s">
        <v>721</v>
      </c>
      <c r="C27" s="4">
        <v>36</v>
      </c>
      <c r="M27" s="8" t="s">
        <v>134</v>
      </c>
    </row>
    <row r="28" spans="1:13" x14ac:dyDescent="0.25">
      <c r="A28" s="8" t="s">
        <v>121</v>
      </c>
      <c r="B28" s="4" t="s">
        <v>722</v>
      </c>
      <c r="C28" s="4">
        <v>43</v>
      </c>
      <c r="M28" s="8" t="s">
        <v>121</v>
      </c>
    </row>
    <row r="29" spans="1:13" x14ac:dyDescent="0.25">
      <c r="A29" s="8" t="s">
        <v>135</v>
      </c>
      <c r="B29" s="4" t="s">
        <v>715</v>
      </c>
      <c r="C29" s="4">
        <v>55</v>
      </c>
      <c r="M29" s="8" t="s">
        <v>135</v>
      </c>
    </row>
    <row r="30" spans="1:13" x14ac:dyDescent="0.25">
      <c r="A30" s="8" t="s">
        <v>111</v>
      </c>
      <c r="B30" s="4" t="s">
        <v>100</v>
      </c>
      <c r="C30" s="4">
        <v>31</v>
      </c>
      <c r="M30" s="8" t="s">
        <v>111</v>
      </c>
    </row>
    <row r="31" spans="1:13" x14ac:dyDescent="0.25">
      <c r="A31" s="8" t="s">
        <v>133</v>
      </c>
      <c r="B31" s="4" t="s">
        <v>101</v>
      </c>
      <c r="C31" s="4">
        <v>14</v>
      </c>
      <c r="M31" s="8" t="s">
        <v>133</v>
      </c>
    </row>
    <row r="32" spans="1:13" x14ac:dyDescent="0.25">
      <c r="A32" s="8" t="s">
        <v>136</v>
      </c>
      <c r="B32" s="4" t="s">
        <v>711</v>
      </c>
      <c r="C32" s="4">
        <v>29</v>
      </c>
      <c r="M32" s="8" t="s">
        <v>136</v>
      </c>
    </row>
    <row r="33" spans="1:13" x14ac:dyDescent="0.25">
      <c r="A33" s="8" t="s">
        <v>137</v>
      </c>
      <c r="B33" s="4" t="s">
        <v>723</v>
      </c>
      <c r="C33" s="4">
        <v>58</v>
      </c>
      <c r="M33" s="8" t="s">
        <v>137</v>
      </c>
    </row>
    <row r="34" spans="1:13" x14ac:dyDescent="0.25">
      <c r="A34" s="8" t="s">
        <v>129</v>
      </c>
      <c r="B34" s="4" t="s">
        <v>710</v>
      </c>
      <c r="C34" s="4">
        <v>37</v>
      </c>
      <c r="M34" s="8" t="s">
        <v>129</v>
      </c>
    </row>
    <row r="35" spans="1:13" x14ac:dyDescent="0.25">
      <c r="A35" s="8" t="s">
        <v>138</v>
      </c>
      <c r="B35" s="4" t="s">
        <v>723</v>
      </c>
      <c r="C35" s="4">
        <v>57</v>
      </c>
      <c r="M35" s="8" t="s">
        <v>138</v>
      </c>
    </row>
    <row r="36" spans="1:13" x14ac:dyDescent="0.25">
      <c r="A36" s="8" t="s">
        <v>139</v>
      </c>
      <c r="B36" s="4" t="s">
        <v>718</v>
      </c>
      <c r="C36" s="4">
        <v>43</v>
      </c>
      <c r="M36" s="8" t="s">
        <v>139</v>
      </c>
    </row>
    <row r="37" spans="1:13" x14ac:dyDescent="0.25">
      <c r="A37" s="8" t="s">
        <v>140</v>
      </c>
      <c r="B37" s="4" t="s">
        <v>102</v>
      </c>
      <c r="C37" s="4">
        <v>43</v>
      </c>
      <c r="M37" s="8" t="s">
        <v>140</v>
      </c>
    </row>
    <row r="38" spans="1:13" x14ac:dyDescent="0.25">
      <c r="A38" s="8" t="s">
        <v>141</v>
      </c>
      <c r="B38" s="4" t="s">
        <v>720</v>
      </c>
      <c r="C38" s="4">
        <v>49</v>
      </c>
      <c r="M38" s="8" t="s">
        <v>141</v>
      </c>
    </row>
    <row r="39" spans="1:13" x14ac:dyDescent="0.25">
      <c r="A39" s="8" t="s">
        <v>142</v>
      </c>
      <c r="B39" s="4" t="s">
        <v>714</v>
      </c>
      <c r="C39" s="4">
        <v>56</v>
      </c>
      <c r="M39" s="8" t="s">
        <v>142</v>
      </c>
    </row>
    <row r="40" spans="1:13" x14ac:dyDescent="0.25">
      <c r="A40" s="8" t="s">
        <v>116</v>
      </c>
      <c r="B40" s="4" t="s">
        <v>720</v>
      </c>
      <c r="C40" s="4">
        <v>58</v>
      </c>
      <c r="M40" s="8" t="s">
        <v>116</v>
      </c>
    </row>
    <row r="41" spans="1:13" x14ac:dyDescent="0.25">
      <c r="A41" s="8" t="s">
        <v>143</v>
      </c>
      <c r="B41" s="4" t="s">
        <v>102</v>
      </c>
      <c r="C41" s="4">
        <v>17</v>
      </c>
      <c r="M41" s="8" t="s">
        <v>143</v>
      </c>
    </row>
    <row r="42" spans="1:13" x14ac:dyDescent="0.25">
      <c r="A42" s="8" t="s">
        <v>139</v>
      </c>
      <c r="B42" s="4" t="s">
        <v>710</v>
      </c>
      <c r="C42" s="4">
        <v>27</v>
      </c>
      <c r="M42" s="8" t="s">
        <v>139</v>
      </c>
    </row>
    <row r="43" spans="1:13" x14ac:dyDescent="0.25">
      <c r="A43" s="8" t="s">
        <v>144</v>
      </c>
      <c r="B43" s="4" t="s">
        <v>102</v>
      </c>
      <c r="C43" s="4">
        <v>26</v>
      </c>
      <c r="M43" s="8" t="s">
        <v>144</v>
      </c>
    </row>
    <row r="44" spans="1:13" x14ac:dyDescent="0.25">
      <c r="A44" s="8" t="s">
        <v>145</v>
      </c>
      <c r="B44" s="4" t="s">
        <v>723</v>
      </c>
      <c r="C44" s="4">
        <v>25</v>
      </c>
      <c r="M44" s="8" t="s">
        <v>145</v>
      </c>
    </row>
    <row r="45" spans="1:13" x14ac:dyDescent="0.25">
      <c r="A45" s="8" t="s">
        <v>115</v>
      </c>
      <c r="B45" s="4" t="s">
        <v>711</v>
      </c>
      <c r="C45" s="4">
        <v>55</v>
      </c>
      <c r="M45" s="8" t="s">
        <v>115</v>
      </c>
    </row>
    <row r="46" spans="1:13" x14ac:dyDescent="0.25">
      <c r="A46" s="8" t="s">
        <v>126</v>
      </c>
      <c r="B46" s="4" t="s">
        <v>722</v>
      </c>
      <c r="C46" s="4">
        <v>31</v>
      </c>
      <c r="M46" s="8" t="s">
        <v>126</v>
      </c>
    </row>
    <row r="47" spans="1:13" x14ac:dyDescent="0.25">
      <c r="A47" s="8" t="s">
        <v>146</v>
      </c>
      <c r="B47" s="4" t="s">
        <v>99</v>
      </c>
      <c r="C47" s="4">
        <v>50</v>
      </c>
      <c r="M47" s="8" t="s">
        <v>146</v>
      </c>
    </row>
    <row r="48" spans="1:13" x14ac:dyDescent="0.25">
      <c r="A48" s="8" t="s">
        <v>113</v>
      </c>
      <c r="B48" s="4" t="s">
        <v>712</v>
      </c>
      <c r="C48" s="4">
        <v>42</v>
      </c>
      <c r="M48" s="8" t="s">
        <v>113</v>
      </c>
    </row>
    <row r="49" spans="1:13" x14ac:dyDescent="0.25">
      <c r="A49" s="8" t="s">
        <v>147</v>
      </c>
      <c r="B49" s="4" t="s">
        <v>102</v>
      </c>
      <c r="C49" s="4">
        <v>40</v>
      </c>
      <c r="M49" s="8" t="s">
        <v>147</v>
      </c>
    </row>
    <row r="50" spans="1:13" x14ac:dyDescent="0.25">
      <c r="A50" s="8" t="s">
        <v>148</v>
      </c>
      <c r="B50" s="4" t="s">
        <v>99</v>
      </c>
      <c r="C50" s="4">
        <v>35</v>
      </c>
      <c r="M50" s="8" t="s">
        <v>148</v>
      </c>
    </row>
    <row r="51" spans="1:13" x14ac:dyDescent="0.25">
      <c r="A51" s="8" t="s">
        <v>149</v>
      </c>
      <c r="B51" s="4" t="s">
        <v>714</v>
      </c>
      <c r="C51" s="4">
        <v>17</v>
      </c>
      <c r="M51" s="8" t="s">
        <v>149</v>
      </c>
    </row>
    <row r="52" spans="1:13" x14ac:dyDescent="0.25">
      <c r="A52" s="8" t="s">
        <v>150</v>
      </c>
      <c r="B52" s="4" t="s">
        <v>724</v>
      </c>
      <c r="C52" s="4">
        <v>17</v>
      </c>
      <c r="M52" s="8" t="s">
        <v>150</v>
      </c>
    </row>
    <row r="53" spans="1:13" x14ac:dyDescent="0.25">
      <c r="A53" s="8" t="s">
        <v>151</v>
      </c>
      <c r="B53" s="4" t="s">
        <v>102</v>
      </c>
      <c r="C53" s="4">
        <v>10</v>
      </c>
      <c r="M53" s="8" t="s">
        <v>151</v>
      </c>
    </row>
    <row r="54" spans="1:13" x14ac:dyDescent="0.25">
      <c r="A54" s="8" t="s">
        <v>152</v>
      </c>
      <c r="B54" s="4" t="s">
        <v>719</v>
      </c>
      <c r="C54" s="4">
        <v>17</v>
      </c>
      <c r="M54" s="8" t="s">
        <v>152</v>
      </c>
    </row>
    <row r="55" spans="1:13" x14ac:dyDescent="0.25">
      <c r="A55" s="8" t="s">
        <v>148</v>
      </c>
      <c r="B55" s="4" t="s">
        <v>99</v>
      </c>
      <c r="C55" s="4">
        <v>27</v>
      </c>
      <c r="M55" s="8" t="s">
        <v>148</v>
      </c>
    </row>
    <row r="56" spans="1:13" x14ac:dyDescent="0.25">
      <c r="A56" s="8" t="s">
        <v>153</v>
      </c>
      <c r="B56" s="4" t="s">
        <v>725</v>
      </c>
      <c r="C56" s="4">
        <v>53</v>
      </c>
      <c r="M56" s="8" t="s">
        <v>153</v>
      </c>
    </row>
    <row r="57" spans="1:13" x14ac:dyDescent="0.25">
      <c r="A57" s="8" t="s">
        <v>154</v>
      </c>
      <c r="B57" s="4" t="s">
        <v>719</v>
      </c>
      <c r="C57" s="4">
        <v>59</v>
      </c>
      <c r="M57" s="8" t="s">
        <v>154</v>
      </c>
    </row>
    <row r="58" spans="1:13" x14ac:dyDescent="0.25">
      <c r="A58" s="8" t="s">
        <v>155</v>
      </c>
      <c r="B58" s="4" t="s">
        <v>721</v>
      </c>
      <c r="C58" s="4">
        <v>29</v>
      </c>
      <c r="M58" s="8" t="s">
        <v>155</v>
      </c>
    </row>
    <row r="59" spans="1:13" x14ac:dyDescent="0.25">
      <c r="A59" s="8" t="s">
        <v>156</v>
      </c>
      <c r="B59" s="4" t="s">
        <v>711</v>
      </c>
      <c r="C59" s="4">
        <v>49</v>
      </c>
      <c r="M59" s="8" t="s">
        <v>156</v>
      </c>
    </row>
    <row r="60" spans="1:13" x14ac:dyDescent="0.25">
      <c r="A60" s="8" t="s">
        <v>123</v>
      </c>
      <c r="B60" s="4" t="s">
        <v>100</v>
      </c>
      <c r="C60" s="4">
        <v>33</v>
      </c>
      <c r="M60" s="8" t="s">
        <v>123</v>
      </c>
    </row>
    <row r="61" spans="1:13" x14ac:dyDescent="0.25">
      <c r="A61" s="8" t="s">
        <v>157</v>
      </c>
      <c r="B61" s="4" t="s">
        <v>715</v>
      </c>
      <c r="C61" s="4">
        <v>38</v>
      </c>
      <c r="M61" s="8" t="s">
        <v>157</v>
      </c>
    </row>
    <row r="62" spans="1:13" x14ac:dyDescent="0.25">
      <c r="A62" s="8" t="s">
        <v>158</v>
      </c>
      <c r="B62" s="4" t="s">
        <v>719</v>
      </c>
      <c r="C62" s="4">
        <v>53</v>
      </c>
      <c r="M62" s="8" t="s">
        <v>158</v>
      </c>
    </row>
    <row r="63" spans="1:13" x14ac:dyDescent="0.25">
      <c r="A63" s="8" t="s">
        <v>159</v>
      </c>
      <c r="B63" s="4" t="s">
        <v>724</v>
      </c>
      <c r="C63" s="4">
        <v>41</v>
      </c>
      <c r="M63" s="8" t="s">
        <v>159</v>
      </c>
    </row>
    <row r="64" spans="1:13" x14ac:dyDescent="0.25">
      <c r="A64" s="8" t="s">
        <v>160</v>
      </c>
      <c r="B64" s="4" t="s">
        <v>722</v>
      </c>
      <c r="C64" s="4">
        <v>56</v>
      </c>
      <c r="M64" s="8" t="s">
        <v>160</v>
      </c>
    </row>
    <row r="65" spans="1:13" x14ac:dyDescent="0.25">
      <c r="A65" s="8" t="s">
        <v>161</v>
      </c>
      <c r="B65" s="4" t="s">
        <v>713</v>
      </c>
      <c r="C65" s="4">
        <v>29</v>
      </c>
      <c r="M65" s="8" t="s">
        <v>161</v>
      </c>
    </row>
    <row r="66" spans="1:13" x14ac:dyDescent="0.25">
      <c r="A66" s="8" t="s">
        <v>162</v>
      </c>
      <c r="B66" s="4" t="s">
        <v>715</v>
      </c>
      <c r="C66" s="4">
        <v>55</v>
      </c>
      <c r="M66" s="8" t="s">
        <v>162</v>
      </c>
    </row>
    <row r="67" spans="1:13" x14ac:dyDescent="0.25">
      <c r="A67" s="8" t="s">
        <v>162</v>
      </c>
      <c r="B67" s="4" t="s">
        <v>715</v>
      </c>
      <c r="C67" s="4">
        <v>16</v>
      </c>
      <c r="M67" s="8" t="s">
        <v>162</v>
      </c>
    </row>
    <row r="68" spans="1:13" x14ac:dyDescent="0.25">
      <c r="A68" s="8" t="s">
        <v>163</v>
      </c>
      <c r="B68" s="4" t="s">
        <v>726</v>
      </c>
      <c r="C68" s="4">
        <v>46</v>
      </c>
      <c r="M68" s="8" t="s">
        <v>163</v>
      </c>
    </row>
    <row r="69" spans="1:13" x14ac:dyDescent="0.25">
      <c r="A69" s="8" t="s">
        <v>164</v>
      </c>
      <c r="B69" s="4" t="s">
        <v>724</v>
      </c>
      <c r="C69" s="4">
        <v>56</v>
      </c>
      <c r="M69" s="8" t="s">
        <v>164</v>
      </c>
    </row>
    <row r="70" spans="1:13" x14ac:dyDescent="0.25">
      <c r="A70" s="8" t="s">
        <v>158</v>
      </c>
      <c r="B70" s="4" t="s">
        <v>727</v>
      </c>
      <c r="C70" s="4">
        <v>21</v>
      </c>
      <c r="M70" s="8" t="s">
        <v>158</v>
      </c>
    </row>
    <row r="71" spans="1:13" x14ac:dyDescent="0.25">
      <c r="A71" s="8" t="s">
        <v>165</v>
      </c>
      <c r="B71" s="4" t="s">
        <v>727</v>
      </c>
      <c r="C71" s="4">
        <v>41</v>
      </c>
      <c r="M71" s="8" t="s">
        <v>165</v>
      </c>
    </row>
    <row r="72" spans="1:13" x14ac:dyDescent="0.25">
      <c r="A72" s="8" t="s">
        <v>166</v>
      </c>
      <c r="B72" s="4" t="s">
        <v>102</v>
      </c>
      <c r="C72" s="4">
        <v>25</v>
      </c>
      <c r="M72" s="8" t="s">
        <v>166</v>
      </c>
    </row>
    <row r="73" spans="1:13" x14ac:dyDescent="0.25">
      <c r="A73" s="8" t="s">
        <v>167</v>
      </c>
      <c r="B73" s="4" t="s">
        <v>725</v>
      </c>
      <c r="C73" s="4">
        <v>17</v>
      </c>
      <c r="M73" s="8" t="s">
        <v>167</v>
      </c>
    </row>
    <row r="74" spans="1:13" x14ac:dyDescent="0.25">
      <c r="A74" s="8" t="s">
        <v>168</v>
      </c>
      <c r="B74" s="4" t="s">
        <v>713</v>
      </c>
      <c r="C74" s="4">
        <v>17</v>
      </c>
      <c r="M74" s="8" t="s">
        <v>168</v>
      </c>
    </row>
    <row r="75" spans="1:13" x14ac:dyDescent="0.25">
      <c r="A75" s="8" t="s">
        <v>155</v>
      </c>
      <c r="B75" s="4" t="s">
        <v>710</v>
      </c>
      <c r="C75" s="4">
        <v>45</v>
      </c>
      <c r="M75" s="8" t="s">
        <v>155</v>
      </c>
    </row>
    <row r="76" spans="1:13" x14ac:dyDescent="0.25">
      <c r="A76" s="8" t="s">
        <v>169</v>
      </c>
      <c r="B76" s="4" t="s">
        <v>727</v>
      </c>
      <c r="C76" s="4">
        <v>46</v>
      </c>
      <c r="M76" s="8" t="s">
        <v>169</v>
      </c>
    </row>
    <row r="77" spans="1:13" x14ac:dyDescent="0.25">
      <c r="A77" s="8" t="s">
        <v>170</v>
      </c>
      <c r="B77" s="4" t="s">
        <v>722</v>
      </c>
      <c r="C77" s="4">
        <v>17</v>
      </c>
      <c r="M77" s="8" t="s">
        <v>170</v>
      </c>
    </row>
    <row r="78" spans="1:13" x14ac:dyDescent="0.25">
      <c r="A78" s="8" t="s">
        <v>171</v>
      </c>
      <c r="B78" s="4" t="s">
        <v>719</v>
      </c>
      <c r="C78" s="4">
        <v>26</v>
      </c>
      <c r="M78" s="8" t="s">
        <v>171</v>
      </c>
    </row>
    <row r="79" spans="1:13" x14ac:dyDescent="0.25">
      <c r="A79" s="8" t="s">
        <v>172</v>
      </c>
      <c r="B79" s="4" t="s">
        <v>714</v>
      </c>
      <c r="C79" s="4">
        <v>37</v>
      </c>
      <c r="M79" s="8" t="s">
        <v>172</v>
      </c>
    </row>
    <row r="80" spans="1:13" x14ac:dyDescent="0.25">
      <c r="A80" s="8" t="s">
        <v>173</v>
      </c>
      <c r="B80" s="4" t="s">
        <v>714</v>
      </c>
      <c r="C80" s="4">
        <v>54</v>
      </c>
      <c r="M80" s="8" t="s">
        <v>173</v>
      </c>
    </row>
    <row r="81" spans="1:13" x14ac:dyDescent="0.25">
      <c r="A81" s="8" t="s">
        <v>174</v>
      </c>
      <c r="B81" s="4" t="s">
        <v>712</v>
      </c>
      <c r="C81" s="4">
        <v>55</v>
      </c>
      <c r="M81" s="8" t="s">
        <v>174</v>
      </c>
    </row>
    <row r="82" spans="1:13" x14ac:dyDescent="0.25">
      <c r="A82" s="8" t="s">
        <v>139</v>
      </c>
      <c r="B82" s="4" t="s">
        <v>728</v>
      </c>
      <c r="C82" s="4">
        <v>53</v>
      </c>
      <c r="M82" s="8" t="s">
        <v>139</v>
      </c>
    </row>
    <row r="83" spans="1:13" x14ac:dyDescent="0.25">
      <c r="A83" s="8" t="s">
        <v>175</v>
      </c>
      <c r="B83" s="4" t="s">
        <v>723</v>
      </c>
      <c r="C83" s="4">
        <v>35</v>
      </c>
      <c r="M83" s="8" t="s">
        <v>175</v>
      </c>
    </row>
    <row r="84" spans="1:13" x14ac:dyDescent="0.25">
      <c r="A84" s="8" t="s">
        <v>118</v>
      </c>
      <c r="B84" s="4" t="s">
        <v>715</v>
      </c>
      <c r="C84" s="4">
        <v>36</v>
      </c>
      <c r="M84" s="8" t="s">
        <v>118</v>
      </c>
    </row>
    <row r="85" spans="1:13" x14ac:dyDescent="0.25">
      <c r="A85" s="8" t="s">
        <v>176</v>
      </c>
      <c r="B85" s="4" t="s">
        <v>722</v>
      </c>
      <c r="C85" s="4">
        <v>33</v>
      </c>
      <c r="M85" s="8" t="s">
        <v>176</v>
      </c>
    </row>
    <row r="86" spans="1:13" x14ac:dyDescent="0.25">
      <c r="A86" s="8" t="s">
        <v>173</v>
      </c>
      <c r="B86" s="4" t="s">
        <v>712</v>
      </c>
      <c r="C86" s="4">
        <v>33</v>
      </c>
      <c r="M86" s="8" t="s">
        <v>173</v>
      </c>
    </row>
    <row r="87" spans="1:13" x14ac:dyDescent="0.25">
      <c r="A87" s="8" t="s">
        <v>126</v>
      </c>
      <c r="B87" s="4" t="s">
        <v>715</v>
      </c>
      <c r="C87" s="4">
        <v>18</v>
      </c>
      <c r="M87" s="8" t="s">
        <v>126</v>
      </c>
    </row>
    <row r="88" spans="1:13" x14ac:dyDescent="0.25">
      <c r="A88" s="8" t="s">
        <v>129</v>
      </c>
      <c r="B88" s="4" t="s">
        <v>714</v>
      </c>
      <c r="C88" s="4">
        <v>36</v>
      </c>
      <c r="M88" s="8" t="s">
        <v>129</v>
      </c>
    </row>
    <row r="89" spans="1:13" x14ac:dyDescent="0.25">
      <c r="A89" s="8" t="s">
        <v>177</v>
      </c>
      <c r="B89" s="4" t="s">
        <v>719</v>
      </c>
      <c r="C89" s="4">
        <v>22</v>
      </c>
      <c r="M89" s="8" t="s">
        <v>177</v>
      </c>
    </row>
    <row r="90" spans="1:13" x14ac:dyDescent="0.25">
      <c r="A90" s="8" t="s">
        <v>178</v>
      </c>
      <c r="B90" s="4" t="s">
        <v>726</v>
      </c>
      <c r="C90" s="4">
        <v>17</v>
      </c>
      <c r="M90" s="8" t="s">
        <v>178</v>
      </c>
    </row>
    <row r="91" spans="1:13" x14ac:dyDescent="0.25">
      <c r="A91" s="8" t="s">
        <v>179</v>
      </c>
      <c r="B91" s="4" t="s">
        <v>100</v>
      </c>
      <c r="C91" s="4">
        <v>45</v>
      </c>
      <c r="M91" s="8" t="s">
        <v>179</v>
      </c>
    </row>
    <row r="92" spans="1:13" x14ac:dyDescent="0.25">
      <c r="A92" s="8" t="s">
        <v>124</v>
      </c>
      <c r="B92" s="4" t="s">
        <v>716</v>
      </c>
      <c r="C92" s="4">
        <v>35</v>
      </c>
      <c r="M92" s="8" t="s">
        <v>124</v>
      </c>
    </row>
    <row r="93" spans="1:13" x14ac:dyDescent="0.25">
      <c r="A93" s="8" t="s">
        <v>141</v>
      </c>
      <c r="B93" s="4" t="s">
        <v>715</v>
      </c>
      <c r="C93" s="4">
        <v>29</v>
      </c>
      <c r="M93" s="8" t="s">
        <v>141</v>
      </c>
    </row>
    <row r="94" spans="1:13" x14ac:dyDescent="0.25">
      <c r="A94" s="8" t="s">
        <v>170</v>
      </c>
      <c r="B94" s="4" t="s">
        <v>727</v>
      </c>
      <c r="C94" s="4">
        <v>21</v>
      </c>
      <c r="M94" s="8" t="s">
        <v>170</v>
      </c>
    </row>
    <row r="95" spans="1:13" x14ac:dyDescent="0.25">
      <c r="A95" s="8" t="s">
        <v>137</v>
      </c>
      <c r="B95" s="4" t="s">
        <v>99</v>
      </c>
      <c r="C95" s="4">
        <v>32</v>
      </c>
      <c r="M95" s="8" t="s">
        <v>137</v>
      </c>
    </row>
    <row r="96" spans="1:13" x14ac:dyDescent="0.25">
      <c r="A96" s="8" t="s">
        <v>169</v>
      </c>
      <c r="B96" s="4" t="s">
        <v>725</v>
      </c>
      <c r="C96" s="4">
        <v>12</v>
      </c>
      <c r="M96" s="8" t="s">
        <v>169</v>
      </c>
    </row>
    <row r="97" spans="1:13" x14ac:dyDescent="0.25">
      <c r="A97" s="8" t="s">
        <v>121</v>
      </c>
      <c r="B97" s="4" t="s">
        <v>721</v>
      </c>
      <c r="C97" s="4">
        <v>43</v>
      </c>
      <c r="M97" s="8" t="s">
        <v>121</v>
      </c>
    </row>
    <row r="98" spans="1:13" x14ac:dyDescent="0.25">
      <c r="A98" s="8" t="s">
        <v>180</v>
      </c>
      <c r="B98" s="4" t="s">
        <v>103</v>
      </c>
      <c r="C98" s="4">
        <v>54</v>
      </c>
      <c r="M98" s="8" t="s">
        <v>180</v>
      </c>
    </row>
    <row r="99" spans="1:13" x14ac:dyDescent="0.25">
      <c r="A99" s="8" t="s">
        <v>137</v>
      </c>
      <c r="B99" s="4" t="s">
        <v>711</v>
      </c>
      <c r="C99" s="4">
        <v>23</v>
      </c>
      <c r="M99" s="8" t="s">
        <v>137</v>
      </c>
    </row>
    <row r="100" spans="1:13" x14ac:dyDescent="0.25">
      <c r="A100" s="8" t="s">
        <v>181</v>
      </c>
      <c r="B100" s="4" t="s">
        <v>99</v>
      </c>
      <c r="C100" s="4">
        <v>37</v>
      </c>
      <c r="M100" s="8" t="s">
        <v>181</v>
      </c>
    </row>
    <row r="101" spans="1:13" x14ac:dyDescent="0.25">
      <c r="A101" s="8" t="s">
        <v>182</v>
      </c>
      <c r="B101" s="4" t="s">
        <v>99</v>
      </c>
      <c r="C101" s="4">
        <v>31</v>
      </c>
      <c r="M101" s="8" t="s">
        <v>182</v>
      </c>
    </row>
    <row r="102" spans="1:13" x14ac:dyDescent="0.25">
      <c r="A102" s="8" t="s">
        <v>135</v>
      </c>
      <c r="B102" s="4" t="s">
        <v>715</v>
      </c>
      <c r="C102" s="4">
        <v>12</v>
      </c>
      <c r="M102" s="8" t="s">
        <v>135</v>
      </c>
    </row>
    <row r="103" spans="1:13" x14ac:dyDescent="0.25">
      <c r="A103" s="8" t="s">
        <v>115</v>
      </c>
      <c r="B103" s="4" t="s">
        <v>714</v>
      </c>
      <c r="C103" s="4">
        <v>14</v>
      </c>
      <c r="M103" s="8" t="s">
        <v>115</v>
      </c>
    </row>
    <row r="104" spans="1:13" x14ac:dyDescent="0.25">
      <c r="A104" s="8" t="s">
        <v>125</v>
      </c>
      <c r="B104" s="4" t="s">
        <v>723</v>
      </c>
      <c r="C104" s="4">
        <v>35</v>
      </c>
      <c r="M104" s="8" t="s">
        <v>125</v>
      </c>
    </row>
    <row r="105" spans="1:13" x14ac:dyDescent="0.25">
      <c r="A105" s="8" t="s">
        <v>125</v>
      </c>
      <c r="B105" s="4" t="s">
        <v>726</v>
      </c>
      <c r="C105" s="4">
        <v>41</v>
      </c>
      <c r="M105" s="8" t="s">
        <v>125</v>
      </c>
    </row>
    <row r="106" spans="1:13" x14ac:dyDescent="0.25">
      <c r="A106" s="8" t="s">
        <v>183</v>
      </c>
      <c r="B106" s="4" t="s">
        <v>729</v>
      </c>
      <c r="C106" s="4">
        <v>45</v>
      </c>
      <c r="M106" s="8" t="s">
        <v>183</v>
      </c>
    </row>
    <row r="107" spans="1:13" x14ac:dyDescent="0.25">
      <c r="A107" s="8" t="s">
        <v>160</v>
      </c>
      <c r="B107" s="4" t="s">
        <v>101</v>
      </c>
      <c r="C107" s="4">
        <v>31</v>
      </c>
      <c r="M107" s="8" t="s">
        <v>160</v>
      </c>
    </row>
    <row r="108" spans="1:13" x14ac:dyDescent="0.25">
      <c r="A108" s="8" t="s">
        <v>144</v>
      </c>
      <c r="B108" s="4" t="s">
        <v>724</v>
      </c>
      <c r="C108" s="4">
        <v>29</v>
      </c>
      <c r="M108" s="8" t="s">
        <v>144</v>
      </c>
    </row>
    <row r="109" spans="1:13" x14ac:dyDescent="0.25">
      <c r="A109" s="8" t="s">
        <v>184</v>
      </c>
      <c r="B109" s="4" t="s">
        <v>716</v>
      </c>
      <c r="C109" s="4">
        <v>55</v>
      </c>
      <c r="M109" s="8" t="s">
        <v>184</v>
      </c>
    </row>
    <row r="110" spans="1:13" x14ac:dyDescent="0.25">
      <c r="A110" s="8" t="s">
        <v>119</v>
      </c>
      <c r="B110" s="4" t="s">
        <v>723</v>
      </c>
      <c r="C110" s="4">
        <v>16</v>
      </c>
      <c r="M110" s="8" t="s">
        <v>119</v>
      </c>
    </row>
    <row r="111" spans="1:13" x14ac:dyDescent="0.25">
      <c r="A111" s="8" t="s">
        <v>185</v>
      </c>
      <c r="B111" s="4" t="s">
        <v>101</v>
      </c>
      <c r="C111" s="4">
        <v>58</v>
      </c>
      <c r="M111" s="8" t="s">
        <v>185</v>
      </c>
    </row>
    <row r="112" spans="1:13" x14ac:dyDescent="0.25">
      <c r="A112" s="8" t="s">
        <v>171</v>
      </c>
      <c r="B112" s="4" t="s">
        <v>716</v>
      </c>
      <c r="C112" s="4">
        <v>42</v>
      </c>
      <c r="M112" s="8" t="s">
        <v>171</v>
      </c>
    </row>
    <row r="113" spans="1:13" x14ac:dyDescent="0.25">
      <c r="A113" s="8" t="s">
        <v>171</v>
      </c>
      <c r="B113" s="4" t="s">
        <v>710</v>
      </c>
      <c r="C113" s="4">
        <v>16</v>
      </c>
      <c r="M113" s="8" t="s">
        <v>171</v>
      </c>
    </row>
    <row r="114" spans="1:13" x14ac:dyDescent="0.25">
      <c r="A114" s="8" t="s">
        <v>173</v>
      </c>
      <c r="B114" s="4" t="s">
        <v>710</v>
      </c>
      <c r="C114" s="4">
        <v>29</v>
      </c>
      <c r="M114" s="8" t="s">
        <v>173</v>
      </c>
    </row>
    <row r="115" spans="1:13" x14ac:dyDescent="0.25">
      <c r="A115" s="8" t="s">
        <v>161</v>
      </c>
      <c r="B115" s="4" t="s">
        <v>715</v>
      </c>
      <c r="C115" s="4">
        <v>39</v>
      </c>
      <c r="M115" s="8" t="s">
        <v>161</v>
      </c>
    </row>
    <row r="116" spans="1:13" x14ac:dyDescent="0.25">
      <c r="A116" s="8" t="s">
        <v>123</v>
      </c>
      <c r="B116" s="4" t="s">
        <v>99</v>
      </c>
      <c r="C116" s="4">
        <v>46</v>
      </c>
      <c r="M116" s="8" t="s">
        <v>123</v>
      </c>
    </row>
    <row r="117" spans="1:13" x14ac:dyDescent="0.25">
      <c r="A117" s="8" t="s">
        <v>186</v>
      </c>
      <c r="B117" s="4" t="s">
        <v>720</v>
      </c>
      <c r="C117" s="4">
        <v>18</v>
      </c>
      <c r="M117" s="8" t="s">
        <v>186</v>
      </c>
    </row>
    <row r="118" spans="1:13" x14ac:dyDescent="0.25">
      <c r="A118" s="8" t="s">
        <v>187</v>
      </c>
      <c r="B118" s="4" t="s">
        <v>726</v>
      </c>
      <c r="C118" s="4">
        <v>54</v>
      </c>
      <c r="M118" s="8" t="s">
        <v>187</v>
      </c>
    </row>
    <row r="119" spans="1:13" x14ac:dyDescent="0.25">
      <c r="A119" s="8" t="s">
        <v>188</v>
      </c>
      <c r="B119" s="4" t="s">
        <v>721</v>
      </c>
      <c r="C119" s="4">
        <v>40</v>
      </c>
      <c r="M119" s="8" t="s">
        <v>188</v>
      </c>
    </row>
    <row r="120" spans="1:13" x14ac:dyDescent="0.25">
      <c r="A120" s="8" t="s">
        <v>114</v>
      </c>
      <c r="B120" s="4" t="s">
        <v>721</v>
      </c>
      <c r="C120" s="4">
        <v>47</v>
      </c>
      <c r="M120" s="8" t="s">
        <v>114</v>
      </c>
    </row>
    <row r="121" spans="1:13" x14ac:dyDescent="0.25">
      <c r="A121" s="8" t="s">
        <v>154</v>
      </c>
      <c r="B121" s="4" t="s">
        <v>723</v>
      </c>
      <c r="C121" s="4">
        <v>54</v>
      </c>
      <c r="M121" s="8" t="s">
        <v>154</v>
      </c>
    </row>
    <row r="122" spans="1:13" x14ac:dyDescent="0.25">
      <c r="A122" s="8" t="s">
        <v>119</v>
      </c>
      <c r="B122" s="4" t="s">
        <v>713</v>
      </c>
      <c r="C122" s="4">
        <v>38</v>
      </c>
      <c r="M122" s="8" t="s">
        <v>119</v>
      </c>
    </row>
    <row r="123" spans="1:13" x14ac:dyDescent="0.25">
      <c r="A123" s="8" t="s">
        <v>189</v>
      </c>
      <c r="B123" s="4" t="s">
        <v>726</v>
      </c>
      <c r="C123" s="4">
        <v>21</v>
      </c>
      <c r="M123" s="8" t="s">
        <v>189</v>
      </c>
    </row>
    <row r="124" spans="1:13" x14ac:dyDescent="0.25">
      <c r="A124" s="8" t="s">
        <v>153</v>
      </c>
      <c r="B124" s="4" t="s">
        <v>721</v>
      </c>
      <c r="C124" s="4">
        <v>48</v>
      </c>
      <c r="M124" s="8" t="s">
        <v>153</v>
      </c>
    </row>
    <row r="125" spans="1:13" x14ac:dyDescent="0.25">
      <c r="A125" s="8" t="s">
        <v>173</v>
      </c>
      <c r="B125" s="4" t="s">
        <v>729</v>
      </c>
      <c r="C125" s="4">
        <v>36</v>
      </c>
      <c r="M125" s="8" t="s">
        <v>173</v>
      </c>
    </row>
    <row r="126" spans="1:13" x14ac:dyDescent="0.25">
      <c r="A126" s="8" t="s">
        <v>190</v>
      </c>
      <c r="B126" s="4" t="s">
        <v>725</v>
      </c>
      <c r="C126" s="4">
        <v>13</v>
      </c>
      <c r="M126" s="8" t="s">
        <v>190</v>
      </c>
    </row>
    <row r="127" spans="1:13" x14ac:dyDescent="0.25">
      <c r="A127" s="8" t="s">
        <v>142</v>
      </c>
      <c r="B127" s="4" t="s">
        <v>100</v>
      </c>
      <c r="C127" s="4">
        <v>45</v>
      </c>
      <c r="M127" s="8" t="s">
        <v>142</v>
      </c>
    </row>
    <row r="128" spans="1:13" x14ac:dyDescent="0.25">
      <c r="A128" s="8" t="s">
        <v>188</v>
      </c>
      <c r="B128" s="4" t="s">
        <v>719</v>
      </c>
      <c r="C128" s="4">
        <v>15</v>
      </c>
      <c r="M128" s="8" t="s">
        <v>188</v>
      </c>
    </row>
    <row r="129" spans="1:13" x14ac:dyDescent="0.25">
      <c r="A129" s="8" t="s">
        <v>141</v>
      </c>
      <c r="B129" s="4" t="s">
        <v>712</v>
      </c>
      <c r="C129" s="4">
        <v>21</v>
      </c>
      <c r="M129" s="8" t="s">
        <v>141</v>
      </c>
    </row>
    <row r="130" spans="1:13" x14ac:dyDescent="0.25">
      <c r="A130" s="8" t="s">
        <v>191</v>
      </c>
      <c r="B130" s="4" t="s">
        <v>724</v>
      </c>
      <c r="C130" s="4">
        <v>14</v>
      </c>
      <c r="M130" s="8" t="s">
        <v>191</v>
      </c>
    </row>
    <row r="131" spans="1:13" x14ac:dyDescent="0.25">
      <c r="A131" s="8" t="s">
        <v>151</v>
      </c>
      <c r="B131" s="4" t="s">
        <v>727</v>
      </c>
      <c r="C131" s="4">
        <v>35</v>
      </c>
      <c r="M131" s="8" t="s">
        <v>151</v>
      </c>
    </row>
    <row r="132" spans="1:13" x14ac:dyDescent="0.25">
      <c r="A132" s="8" t="s">
        <v>192</v>
      </c>
      <c r="B132" s="4" t="s">
        <v>727</v>
      </c>
      <c r="C132" s="4">
        <v>54</v>
      </c>
      <c r="M132" s="8" t="s">
        <v>192</v>
      </c>
    </row>
    <row r="133" spans="1:13" x14ac:dyDescent="0.25">
      <c r="A133" s="8" t="s">
        <v>121</v>
      </c>
      <c r="B133" s="4" t="s">
        <v>716</v>
      </c>
      <c r="C133" s="4">
        <v>10</v>
      </c>
      <c r="M133" s="8" t="s">
        <v>121</v>
      </c>
    </row>
    <row r="134" spans="1:13" x14ac:dyDescent="0.25">
      <c r="A134" s="8" t="s">
        <v>113</v>
      </c>
      <c r="B134" s="4" t="s">
        <v>102</v>
      </c>
      <c r="C134" s="4">
        <v>28</v>
      </c>
      <c r="M134" s="8" t="s">
        <v>113</v>
      </c>
    </row>
    <row r="135" spans="1:13" x14ac:dyDescent="0.25">
      <c r="A135" s="8" t="s">
        <v>193</v>
      </c>
      <c r="B135" s="4" t="s">
        <v>99</v>
      </c>
      <c r="C135" s="4">
        <v>34</v>
      </c>
      <c r="M135" s="8" t="s">
        <v>193</v>
      </c>
    </row>
    <row r="136" spans="1:13" x14ac:dyDescent="0.25">
      <c r="A136" s="8" t="s">
        <v>194</v>
      </c>
      <c r="B136" s="4" t="s">
        <v>102</v>
      </c>
      <c r="C136" s="4">
        <v>45</v>
      </c>
      <c r="M136" s="8" t="s">
        <v>194</v>
      </c>
    </row>
    <row r="137" spans="1:13" x14ac:dyDescent="0.25">
      <c r="A137" s="8" t="s">
        <v>138</v>
      </c>
      <c r="B137" s="4" t="s">
        <v>717</v>
      </c>
      <c r="C137" s="4">
        <v>16</v>
      </c>
      <c r="M137" s="8" t="s">
        <v>138</v>
      </c>
    </row>
    <row r="138" spans="1:13" x14ac:dyDescent="0.25">
      <c r="A138" s="8" t="s">
        <v>195</v>
      </c>
      <c r="B138" s="4" t="s">
        <v>720</v>
      </c>
      <c r="C138" s="4">
        <v>28</v>
      </c>
      <c r="M138" s="8" t="s">
        <v>195</v>
      </c>
    </row>
    <row r="139" spans="1:13" x14ac:dyDescent="0.25">
      <c r="A139" s="8" t="s">
        <v>196</v>
      </c>
      <c r="B139" s="4" t="s">
        <v>718</v>
      </c>
      <c r="C139" s="4">
        <v>56</v>
      </c>
      <c r="M139" s="8" t="s">
        <v>196</v>
      </c>
    </row>
    <row r="140" spans="1:13" x14ac:dyDescent="0.25">
      <c r="A140" s="8" t="s">
        <v>196</v>
      </c>
      <c r="B140" s="4" t="s">
        <v>101</v>
      </c>
      <c r="C140" s="4">
        <v>16</v>
      </c>
      <c r="M140" s="8" t="s">
        <v>196</v>
      </c>
    </row>
    <row r="141" spans="1:13" x14ac:dyDescent="0.25">
      <c r="A141" s="8" t="s">
        <v>131</v>
      </c>
      <c r="B141" s="4" t="s">
        <v>714</v>
      </c>
      <c r="C141" s="4">
        <v>29</v>
      </c>
      <c r="M141" s="8" t="s">
        <v>131</v>
      </c>
    </row>
    <row r="142" spans="1:13" x14ac:dyDescent="0.25">
      <c r="A142" s="8" t="s">
        <v>154</v>
      </c>
      <c r="B142" s="4" t="s">
        <v>721</v>
      </c>
      <c r="C142" s="4">
        <v>59</v>
      </c>
      <c r="M142" s="8" t="s">
        <v>154</v>
      </c>
    </row>
    <row r="143" spans="1:13" x14ac:dyDescent="0.25">
      <c r="A143" s="8" t="s">
        <v>197</v>
      </c>
      <c r="B143" s="4" t="s">
        <v>725</v>
      </c>
      <c r="C143" s="4">
        <v>36</v>
      </c>
      <c r="M143" s="8" t="s">
        <v>197</v>
      </c>
    </row>
    <row r="144" spans="1:13" x14ac:dyDescent="0.25">
      <c r="A144" s="8" t="s">
        <v>146</v>
      </c>
      <c r="B144" s="4" t="s">
        <v>722</v>
      </c>
      <c r="C144" s="4">
        <v>40</v>
      </c>
      <c r="M144" s="8" t="s">
        <v>146</v>
      </c>
    </row>
    <row r="145" spans="1:13" x14ac:dyDescent="0.25">
      <c r="A145" s="8" t="s">
        <v>193</v>
      </c>
      <c r="B145" s="4" t="s">
        <v>728</v>
      </c>
      <c r="C145" s="4">
        <v>19</v>
      </c>
      <c r="M145" s="8" t="s">
        <v>193</v>
      </c>
    </row>
    <row r="146" spans="1:13" x14ac:dyDescent="0.25">
      <c r="A146" s="8" t="s">
        <v>124</v>
      </c>
      <c r="B146" s="4" t="s">
        <v>722</v>
      </c>
      <c r="C146" s="4">
        <v>14</v>
      </c>
      <c r="M146" s="8" t="s">
        <v>124</v>
      </c>
    </row>
    <row r="147" spans="1:13" x14ac:dyDescent="0.25">
      <c r="A147" s="8" t="s">
        <v>128</v>
      </c>
      <c r="B147" s="4" t="s">
        <v>720</v>
      </c>
      <c r="C147" s="4">
        <v>41</v>
      </c>
      <c r="M147" s="8" t="s">
        <v>128</v>
      </c>
    </row>
    <row r="148" spans="1:13" x14ac:dyDescent="0.25">
      <c r="A148" s="8" t="s">
        <v>198</v>
      </c>
      <c r="B148" s="4" t="s">
        <v>100</v>
      </c>
      <c r="C148" s="4">
        <v>26</v>
      </c>
      <c r="M148" s="8" t="s">
        <v>198</v>
      </c>
    </row>
    <row r="149" spans="1:13" x14ac:dyDescent="0.25">
      <c r="A149" s="8" t="s">
        <v>126</v>
      </c>
      <c r="B149" s="4" t="s">
        <v>722</v>
      </c>
      <c r="C149" s="4">
        <v>22</v>
      </c>
      <c r="M149" s="8" t="s">
        <v>126</v>
      </c>
    </row>
    <row r="150" spans="1:13" x14ac:dyDescent="0.25">
      <c r="A150" s="8" t="s">
        <v>199</v>
      </c>
      <c r="B150" s="4" t="s">
        <v>710</v>
      </c>
      <c r="C150" s="4">
        <v>36</v>
      </c>
      <c r="M150" s="8" t="s">
        <v>199</v>
      </c>
    </row>
    <row r="151" spans="1:13" x14ac:dyDescent="0.25">
      <c r="A151" s="8" t="s">
        <v>200</v>
      </c>
      <c r="B151" s="4" t="s">
        <v>101</v>
      </c>
      <c r="C151" s="4">
        <v>38</v>
      </c>
      <c r="M151" s="8" t="s">
        <v>200</v>
      </c>
    </row>
    <row r="152" spans="1:13" x14ac:dyDescent="0.25">
      <c r="A152" s="8" t="s">
        <v>116</v>
      </c>
      <c r="B152" s="4" t="s">
        <v>715</v>
      </c>
      <c r="C152" s="4">
        <v>20</v>
      </c>
      <c r="M152" s="8" t="s">
        <v>116</v>
      </c>
    </row>
    <row r="153" spans="1:13" x14ac:dyDescent="0.25">
      <c r="A153" s="8" t="s">
        <v>154</v>
      </c>
      <c r="B153" s="4" t="s">
        <v>719</v>
      </c>
      <c r="C153" s="4">
        <v>25</v>
      </c>
      <c r="M153" s="8" t="s">
        <v>154</v>
      </c>
    </row>
    <row r="154" spans="1:13" x14ac:dyDescent="0.25">
      <c r="A154" s="8" t="s">
        <v>158</v>
      </c>
      <c r="B154" s="4" t="s">
        <v>714</v>
      </c>
      <c r="C154" s="4">
        <v>22</v>
      </c>
      <c r="M154" s="8" t="s">
        <v>158</v>
      </c>
    </row>
    <row r="155" spans="1:13" x14ac:dyDescent="0.25">
      <c r="A155" s="8" t="s">
        <v>195</v>
      </c>
      <c r="B155" s="4" t="s">
        <v>716</v>
      </c>
      <c r="C155" s="4">
        <v>15</v>
      </c>
      <c r="M155" s="8" t="s">
        <v>195</v>
      </c>
    </row>
    <row r="156" spans="1:13" x14ac:dyDescent="0.25">
      <c r="A156" s="8" t="s">
        <v>201</v>
      </c>
      <c r="B156" s="4" t="s">
        <v>710</v>
      </c>
      <c r="C156" s="4">
        <v>47</v>
      </c>
      <c r="M156" s="8" t="s">
        <v>201</v>
      </c>
    </row>
    <row r="157" spans="1:13" x14ac:dyDescent="0.25">
      <c r="A157" s="8" t="s">
        <v>202</v>
      </c>
      <c r="B157" s="4" t="s">
        <v>715</v>
      </c>
      <c r="C157" s="4">
        <v>20</v>
      </c>
      <c r="M157" s="8" t="s">
        <v>202</v>
      </c>
    </row>
    <row r="158" spans="1:13" x14ac:dyDescent="0.25">
      <c r="A158" s="8" t="s">
        <v>203</v>
      </c>
      <c r="B158" s="4" t="s">
        <v>727</v>
      </c>
      <c r="C158" s="4">
        <v>46</v>
      </c>
      <c r="M158" s="8" t="s">
        <v>203</v>
      </c>
    </row>
    <row r="159" spans="1:13" x14ac:dyDescent="0.25">
      <c r="A159" s="8" t="s">
        <v>158</v>
      </c>
      <c r="B159" s="4" t="s">
        <v>724</v>
      </c>
      <c r="C159" s="4">
        <v>47</v>
      </c>
      <c r="M159" s="8" t="s">
        <v>158</v>
      </c>
    </row>
    <row r="160" spans="1:13" x14ac:dyDescent="0.25">
      <c r="A160" s="8" t="s">
        <v>165</v>
      </c>
      <c r="B160" s="4" t="s">
        <v>716</v>
      </c>
      <c r="C160" s="4">
        <v>27</v>
      </c>
      <c r="M160" s="8" t="s">
        <v>165</v>
      </c>
    </row>
    <row r="161" spans="1:13" x14ac:dyDescent="0.25">
      <c r="A161" s="8" t="s">
        <v>201</v>
      </c>
      <c r="B161" s="4" t="s">
        <v>726</v>
      </c>
      <c r="C161" s="4">
        <v>24</v>
      </c>
      <c r="M161" s="8" t="s">
        <v>201</v>
      </c>
    </row>
    <row r="162" spans="1:13" x14ac:dyDescent="0.25">
      <c r="A162" s="8" t="s">
        <v>146</v>
      </c>
      <c r="B162" s="4" t="s">
        <v>713</v>
      </c>
      <c r="C162" s="4">
        <v>59</v>
      </c>
      <c r="M162" s="8" t="s">
        <v>146</v>
      </c>
    </row>
    <row r="163" spans="1:13" x14ac:dyDescent="0.25">
      <c r="A163" s="8" t="s">
        <v>154</v>
      </c>
      <c r="B163" s="4" t="s">
        <v>723</v>
      </c>
      <c r="C163" s="4">
        <v>16</v>
      </c>
      <c r="M163" s="8" t="s">
        <v>154</v>
      </c>
    </row>
    <row r="164" spans="1:13" x14ac:dyDescent="0.25">
      <c r="A164" s="8" t="s">
        <v>166</v>
      </c>
      <c r="B164" s="4" t="s">
        <v>718</v>
      </c>
      <c r="C164" s="4">
        <v>12</v>
      </c>
      <c r="M164" s="8" t="s">
        <v>166</v>
      </c>
    </row>
    <row r="165" spans="1:13" x14ac:dyDescent="0.25">
      <c r="A165" s="8" t="s">
        <v>204</v>
      </c>
      <c r="B165" s="4" t="s">
        <v>716</v>
      </c>
      <c r="C165" s="4">
        <v>23</v>
      </c>
      <c r="M165" s="8" t="s">
        <v>204</v>
      </c>
    </row>
    <row r="166" spans="1:13" x14ac:dyDescent="0.25">
      <c r="A166" s="8" t="s">
        <v>205</v>
      </c>
      <c r="B166" s="4" t="s">
        <v>729</v>
      </c>
      <c r="C166" s="4">
        <v>49</v>
      </c>
      <c r="M166" s="8" t="s">
        <v>205</v>
      </c>
    </row>
    <row r="167" spans="1:13" x14ac:dyDescent="0.25">
      <c r="A167" s="8" t="s">
        <v>206</v>
      </c>
      <c r="B167" s="4" t="s">
        <v>722</v>
      </c>
      <c r="C167" s="4">
        <v>17</v>
      </c>
      <c r="M167" s="8" t="s">
        <v>206</v>
      </c>
    </row>
    <row r="168" spans="1:13" x14ac:dyDescent="0.25">
      <c r="A168" s="8" t="s">
        <v>173</v>
      </c>
      <c r="B168" s="4" t="s">
        <v>729</v>
      </c>
      <c r="C168" s="4">
        <v>19</v>
      </c>
      <c r="M168" s="8" t="s">
        <v>173</v>
      </c>
    </row>
    <row r="169" spans="1:13" x14ac:dyDescent="0.25">
      <c r="A169" s="8" t="s">
        <v>207</v>
      </c>
      <c r="B169" s="4" t="s">
        <v>713</v>
      </c>
      <c r="C169" s="4">
        <v>57</v>
      </c>
      <c r="M169" s="8" t="s">
        <v>207</v>
      </c>
    </row>
    <row r="170" spans="1:13" x14ac:dyDescent="0.25">
      <c r="A170" s="8" t="s">
        <v>208</v>
      </c>
      <c r="B170" s="4" t="s">
        <v>710</v>
      </c>
      <c r="C170" s="4">
        <v>42</v>
      </c>
      <c r="M170" s="8" t="s">
        <v>208</v>
      </c>
    </row>
    <row r="171" spans="1:13" x14ac:dyDescent="0.25">
      <c r="A171" s="8" t="s">
        <v>117</v>
      </c>
      <c r="B171" s="4" t="s">
        <v>727</v>
      </c>
      <c r="C171" s="4">
        <v>31</v>
      </c>
      <c r="M171" s="8" t="s">
        <v>117</v>
      </c>
    </row>
    <row r="172" spans="1:13" x14ac:dyDescent="0.25">
      <c r="A172" s="8" t="s">
        <v>209</v>
      </c>
      <c r="B172" s="4" t="s">
        <v>714</v>
      </c>
      <c r="C172" s="4">
        <v>54</v>
      </c>
      <c r="M172" s="8" t="s">
        <v>209</v>
      </c>
    </row>
    <row r="173" spans="1:13" x14ac:dyDescent="0.25">
      <c r="A173" s="8" t="s">
        <v>115</v>
      </c>
      <c r="B173" s="4" t="s">
        <v>101</v>
      </c>
      <c r="C173" s="4">
        <v>52</v>
      </c>
      <c r="M173" s="8" t="s">
        <v>115</v>
      </c>
    </row>
    <row r="174" spans="1:13" x14ac:dyDescent="0.25">
      <c r="A174" s="8" t="s">
        <v>183</v>
      </c>
      <c r="B174" s="4" t="s">
        <v>727</v>
      </c>
      <c r="C174" s="4">
        <v>52</v>
      </c>
      <c r="M174" s="8" t="s">
        <v>183</v>
      </c>
    </row>
    <row r="175" spans="1:13" x14ac:dyDescent="0.25">
      <c r="A175" s="8" t="s">
        <v>146</v>
      </c>
      <c r="B175" s="4" t="s">
        <v>102</v>
      </c>
      <c r="C175" s="4">
        <v>10</v>
      </c>
      <c r="M175" s="8" t="s">
        <v>146</v>
      </c>
    </row>
    <row r="176" spans="1:13" x14ac:dyDescent="0.25">
      <c r="A176" s="8" t="s">
        <v>210</v>
      </c>
      <c r="B176" s="4" t="s">
        <v>103</v>
      </c>
      <c r="C176" s="4">
        <v>35</v>
      </c>
      <c r="M176" s="8" t="s">
        <v>210</v>
      </c>
    </row>
    <row r="177" spans="1:13" x14ac:dyDescent="0.25">
      <c r="A177" s="8" t="s">
        <v>154</v>
      </c>
      <c r="B177" s="4" t="s">
        <v>101</v>
      </c>
      <c r="C177" s="4">
        <v>10</v>
      </c>
      <c r="M177" s="8" t="s">
        <v>154</v>
      </c>
    </row>
    <row r="178" spans="1:13" x14ac:dyDescent="0.25">
      <c r="A178" s="8" t="s">
        <v>211</v>
      </c>
      <c r="B178" s="4" t="s">
        <v>717</v>
      </c>
      <c r="C178" s="4">
        <v>53</v>
      </c>
      <c r="M178" s="8" t="s">
        <v>211</v>
      </c>
    </row>
    <row r="179" spans="1:13" x14ac:dyDescent="0.25">
      <c r="A179" s="8" t="s">
        <v>162</v>
      </c>
      <c r="B179" s="4" t="s">
        <v>719</v>
      </c>
      <c r="C179" s="4">
        <v>51</v>
      </c>
      <c r="M179" s="8" t="s">
        <v>162</v>
      </c>
    </row>
    <row r="180" spans="1:13" x14ac:dyDescent="0.25">
      <c r="A180" s="8" t="s">
        <v>181</v>
      </c>
      <c r="B180" s="4" t="s">
        <v>728</v>
      </c>
      <c r="C180" s="4">
        <v>17</v>
      </c>
      <c r="M180" s="8" t="s">
        <v>181</v>
      </c>
    </row>
    <row r="181" spans="1:13" x14ac:dyDescent="0.25">
      <c r="A181" s="8" t="s">
        <v>207</v>
      </c>
      <c r="B181" s="4" t="s">
        <v>711</v>
      </c>
      <c r="C181" s="4">
        <v>26</v>
      </c>
      <c r="M181" s="8" t="s">
        <v>207</v>
      </c>
    </row>
    <row r="182" spans="1:13" x14ac:dyDescent="0.25">
      <c r="A182" s="8" t="s">
        <v>117</v>
      </c>
      <c r="B182" s="4" t="s">
        <v>718</v>
      </c>
      <c r="C182" s="4">
        <v>37</v>
      </c>
      <c r="M182" s="8" t="s">
        <v>117</v>
      </c>
    </row>
    <row r="183" spans="1:13" x14ac:dyDescent="0.25">
      <c r="A183" s="8" t="s">
        <v>212</v>
      </c>
      <c r="B183" s="4" t="s">
        <v>100</v>
      </c>
      <c r="C183" s="4">
        <v>57</v>
      </c>
      <c r="M183" s="8" t="s">
        <v>212</v>
      </c>
    </row>
    <row r="184" spans="1:13" x14ac:dyDescent="0.25">
      <c r="A184" s="8" t="s">
        <v>169</v>
      </c>
      <c r="B184" s="4" t="s">
        <v>103</v>
      </c>
      <c r="C184" s="4">
        <v>45</v>
      </c>
      <c r="M184" s="8" t="s">
        <v>169</v>
      </c>
    </row>
    <row r="185" spans="1:13" x14ac:dyDescent="0.25">
      <c r="A185" s="8" t="s">
        <v>213</v>
      </c>
      <c r="B185" s="4" t="s">
        <v>722</v>
      </c>
      <c r="C185" s="4">
        <v>15</v>
      </c>
      <c r="M185" s="8" t="s">
        <v>213</v>
      </c>
    </row>
    <row r="186" spans="1:13" x14ac:dyDescent="0.25">
      <c r="A186" s="8" t="s">
        <v>149</v>
      </c>
      <c r="B186" s="4" t="s">
        <v>721</v>
      </c>
      <c r="C186" s="4">
        <v>46</v>
      </c>
      <c r="M186" s="8" t="s">
        <v>149</v>
      </c>
    </row>
    <row r="187" spans="1:13" x14ac:dyDescent="0.25">
      <c r="A187" s="8" t="s">
        <v>148</v>
      </c>
      <c r="B187" s="4" t="s">
        <v>718</v>
      </c>
      <c r="C187" s="4">
        <v>57</v>
      </c>
      <c r="M187" s="8" t="s">
        <v>148</v>
      </c>
    </row>
    <row r="188" spans="1:13" x14ac:dyDescent="0.25">
      <c r="A188" s="8" t="s">
        <v>196</v>
      </c>
      <c r="B188" s="4" t="s">
        <v>729</v>
      </c>
      <c r="C188" s="4">
        <v>54</v>
      </c>
      <c r="M188" s="8" t="s">
        <v>196</v>
      </c>
    </row>
    <row r="189" spans="1:13" x14ac:dyDescent="0.25">
      <c r="A189" s="8" t="s">
        <v>214</v>
      </c>
      <c r="B189" s="4" t="s">
        <v>726</v>
      </c>
      <c r="C189" s="4">
        <v>17</v>
      </c>
      <c r="M189" s="8" t="s">
        <v>214</v>
      </c>
    </row>
    <row r="190" spans="1:13" x14ac:dyDescent="0.25">
      <c r="A190" s="8" t="s">
        <v>215</v>
      </c>
      <c r="B190" s="4" t="s">
        <v>716</v>
      </c>
      <c r="C190" s="4">
        <v>30</v>
      </c>
      <c r="M190" s="8" t="s">
        <v>215</v>
      </c>
    </row>
    <row r="191" spans="1:13" x14ac:dyDescent="0.25">
      <c r="A191" s="8" t="s">
        <v>216</v>
      </c>
      <c r="B191" s="4" t="s">
        <v>723</v>
      </c>
      <c r="C191" s="4">
        <v>38</v>
      </c>
      <c r="M191" s="8" t="s">
        <v>216</v>
      </c>
    </row>
    <row r="192" spans="1:13" x14ac:dyDescent="0.25">
      <c r="A192" s="8" t="s">
        <v>217</v>
      </c>
      <c r="B192" s="4" t="s">
        <v>710</v>
      </c>
      <c r="C192" s="4">
        <v>39</v>
      </c>
      <c r="M192" s="8" t="s">
        <v>217</v>
      </c>
    </row>
    <row r="193" spans="1:13" x14ac:dyDescent="0.25">
      <c r="A193" s="8" t="s">
        <v>176</v>
      </c>
      <c r="B193" s="4" t="s">
        <v>728</v>
      </c>
      <c r="C193" s="4">
        <v>22</v>
      </c>
      <c r="M193" s="8" t="s">
        <v>176</v>
      </c>
    </row>
    <row r="194" spans="1:13" x14ac:dyDescent="0.25">
      <c r="A194" s="8" t="s">
        <v>142</v>
      </c>
      <c r="B194" s="4" t="s">
        <v>729</v>
      </c>
      <c r="C194" s="4">
        <v>56</v>
      </c>
      <c r="M194" s="8" t="s">
        <v>142</v>
      </c>
    </row>
    <row r="195" spans="1:13" x14ac:dyDescent="0.25">
      <c r="A195" s="8" t="s">
        <v>166</v>
      </c>
      <c r="B195" s="4" t="s">
        <v>726</v>
      </c>
      <c r="C195" s="4">
        <v>34</v>
      </c>
      <c r="M195" s="8" t="s">
        <v>166</v>
      </c>
    </row>
    <row r="196" spans="1:13" x14ac:dyDescent="0.25">
      <c r="A196" s="8" t="s">
        <v>164</v>
      </c>
      <c r="B196" s="4" t="s">
        <v>719</v>
      </c>
      <c r="C196" s="4">
        <v>15</v>
      </c>
      <c r="M196" s="8" t="s">
        <v>164</v>
      </c>
    </row>
    <row r="197" spans="1:13" x14ac:dyDescent="0.25">
      <c r="A197" s="8" t="s">
        <v>177</v>
      </c>
      <c r="B197" s="4" t="s">
        <v>727</v>
      </c>
      <c r="C197" s="4">
        <v>45</v>
      </c>
      <c r="M197" s="8" t="s">
        <v>177</v>
      </c>
    </row>
    <row r="198" spans="1:13" x14ac:dyDescent="0.25">
      <c r="A198" s="8" t="s">
        <v>158</v>
      </c>
      <c r="B198" s="4" t="s">
        <v>725</v>
      </c>
      <c r="C198" s="4">
        <v>48</v>
      </c>
      <c r="M198" s="8" t="s">
        <v>158</v>
      </c>
    </row>
    <row r="199" spans="1:13" x14ac:dyDescent="0.25">
      <c r="A199" s="8" t="s">
        <v>218</v>
      </c>
      <c r="B199" s="4" t="s">
        <v>721</v>
      </c>
      <c r="C199" s="4">
        <v>19</v>
      </c>
      <c r="M199" s="8" t="s">
        <v>218</v>
      </c>
    </row>
    <row r="200" spans="1:13" x14ac:dyDescent="0.25">
      <c r="A200" s="8" t="s">
        <v>130</v>
      </c>
      <c r="B200" s="4" t="s">
        <v>712</v>
      </c>
      <c r="C200" s="4">
        <v>14</v>
      </c>
      <c r="M200" s="8" t="s">
        <v>130</v>
      </c>
    </row>
    <row r="201" spans="1:13" x14ac:dyDescent="0.25">
      <c r="A201" s="8" t="s">
        <v>183</v>
      </c>
      <c r="B201" s="4" t="s">
        <v>103</v>
      </c>
      <c r="C201" s="4">
        <v>29</v>
      </c>
      <c r="M201" s="8" t="s">
        <v>183</v>
      </c>
    </row>
    <row r="202" spans="1:13" x14ac:dyDescent="0.25">
      <c r="A202" s="8" t="s">
        <v>139</v>
      </c>
      <c r="B202" s="4" t="s">
        <v>715</v>
      </c>
      <c r="C202" s="4">
        <v>52</v>
      </c>
      <c r="M202" s="8" t="s">
        <v>139</v>
      </c>
    </row>
    <row r="203" spans="1:13" x14ac:dyDescent="0.25">
      <c r="A203" s="8" t="s">
        <v>209</v>
      </c>
      <c r="B203" s="4" t="s">
        <v>100</v>
      </c>
      <c r="C203" s="4">
        <v>31</v>
      </c>
      <c r="M203" s="8" t="s">
        <v>209</v>
      </c>
    </row>
    <row r="204" spans="1:13" x14ac:dyDescent="0.25">
      <c r="A204" s="8" t="s">
        <v>219</v>
      </c>
      <c r="B204" s="4" t="s">
        <v>712</v>
      </c>
      <c r="C204" s="4">
        <v>30</v>
      </c>
      <c r="M204" s="8" t="s">
        <v>219</v>
      </c>
    </row>
    <row r="205" spans="1:13" x14ac:dyDescent="0.25">
      <c r="A205" s="8" t="s">
        <v>128</v>
      </c>
      <c r="B205" s="4" t="s">
        <v>726</v>
      </c>
      <c r="C205" s="4">
        <v>16</v>
      </c>
      <c r="M205" s="8" t="s">
        <v>128</v>
      </c>
    </row>
    <row r="206" spans="1:13" x14ac:dyDescent="0.25">
      <c r="A206" s="8" t="s">
        <v>201</v>
      </c>
      <c r="B206" s="4" t="s">
        <v>727</v>
      </c>
      <c r="C206" s="4">
        <v>40</v>
      </c>
      <c r="M206" s="8" t="s">
        <v>201</v>
      </c>
    </row>
    <row r="207" spans="1:13" x14ac:dyDescent="0.25">
      <c r="A207" s="8" t="s">
        <v>204</v>
      </c>
      <c r="B207" s="4" t="s">
        <v>99</v>
      </c>
      <c r="C207" s="4">
        <v>43</v>
      </c>
      <c r="M207" s="8" t="s">
        <v>204</v>
      </c>
    </row>
    <row r="208" spans="1:13" x14ac:dyDescent="0.25">
      <c r="A208" s="8" t="s">
        <v>220</v>
      </c>
      <c r="B208" s="4" t="s">
        <v>722</v>
      </c>
      <c r="C208" s="4">
        <v>33</v>
      </c>
      <c r="M208" s="8" t="s">
        <v>220</v>
      </c>
    </row>
    <row r="209" spans="1:13" x14ac:dyDescent="0.25">
      <c r="A209" s="8" t="s">
        <v>221</v>
      </c>
      <c r="B209" s="4" t="s">
        <v>727</v>
      </c>
      <c r="C209" s="4">
        <v>26</v>
      </c>
      <c r="M209" s="8" t="s">
        <v>221</v>
      </c>
    </row>
    <row r="210" spans="1:13" x14ac:dyDescent="0.25">
      <c r="A210" s="8" t="s">
        <v>203</v>
      </c>
      <c r="B210" s="4" t="s">
        <v>727</v>
      </c>
      <c r="C210" s="4">
        <v>34</v>
      </c>
      <c r="M210" s="8" t="s">
        <v>203</v>
      </c>
    </row>
    <row r="211" spans="1:13" x14ac:dyDescent="0.25">
      <c r="A211" s="8" t="s">
        <v>112</v>
      </c>
      <c r="B211" s="4" t="s">
        <v>728</v>
      </c>
      <c r="C211" s="4">
        <v>15</v>
      </c>
      <c r="M211" s="8" t="s">
        <v>112</v>
      </c>
    </row>
    <row r="212" spans="1:13" x14ac:dyDescent="0.25">
      <c r="A212" s="8" t="s">
        <v>196</v>
      </c>
      <c r="B212" s="4" t="s">
        <v>723</v>
      </c>
      <c r="C212" s="4">
        <v>55</v>
      </c>
      <c r="M212" s="8" t="s">
        <v>196</v>
      </c>
    </row>
    <row r="213" spans="1:13" x14ac:dyDescent="0.25">
      <c r="A213" s="8" t="s">
        <v>138</v>
      </c>
      <c r="B213" s="4" t="s">
        <v>101</v>
      </c>
      <c r="C213" s="4">
        <v>28</v>
      </c>
      <c r="M213" s="8" t="s">
        <v>138</v>
      </c>
    </row>
    <row r="214" spans="1:13" x14ac:dyDescent="0.25">
      <c r="A214" s="8" t="s">
        <v>115</v>
      </c>
      <c r="B214" s="4" t="s">
        <v>720</v>
      </c>
      <c r="C214" s="4">
        <v>19</v>
      </c>
      <c r="M214" s="8" t="s">
        <v>115</v>
      </c>
    </row>
    <row r="215" spans="1:13" x14ac:dyDescent="0.25">
      <c r="A215" s="8" t="s">
        <v>148</v>
      </c>
      <c r="B215" s="4" t="s">
        <v>100</v>
      </c>
      <c r="C215" s="4">
        <v>34</v>
      </c>
      <c r="M215" s="8" t="s">
        <v>148</v>
      </c>
    </row>
    <row r="216" spans="1:13" x14ac:dyDescent="0.25">
      <c r="A216" s="8" t="s">
        <v>150</v>
      </c>
      <c r="B216" s="4" t="s">
        <v>721</v>
      </c>
      <c r="C216" s="4">
        <v>43</v>
      </c>
      <c r="M216" s="8" t="s">
        <v>150</v>
      </c>
    </row>
    <row r="217" spans="1:13" x14ac:dyDescent="0.25">
      <c r="A217" s="8" t="s">
        <v>222</v>
      </c>
      <c r="B217" s="4" t="s">
        <v>711</v>
      </c>
      <c r="C217" s="4">
        <v>25</v>
      </c>
      <c r="M217" s="8" t="s">
        <v>222</v>
      </c>
    </row>
    <row r="218" spans="1:13" x14ac:dyDescent="0.25">
      <c r="A218" s="8" t="s">
        <v>223</v>
      </c>
      <c r="B218" s="4" t="s">
        <v>722</v>
      </c>
      <c r="C218" s="4">
        <v>19</v>
      </c>
      <c r="M218" s="8" t="s">
        <v>223</v>
      </c>
    </row>
    <row r="219" spans="1:13" x14ac:dyDescent="0.25">
      <c r="A219" s="8" t="s">
        <v>170</v>
      </c>
      <c r="B219" s="4" t="s">
        <v>102</v>
      </c>
      <c r="C219" s="4">
        <v>28</v>
      </c>
      <c r="M219" s="8" t="s">
        <v>170</v>
      </c>
    </row>
    <row r="220" spans="1:13" x14ac:dyDescent="0.25">
      <c r="A220" s="8" t="s">
        <v>109</v>
      </c>
      <c r="B220" s="4" t="s">
        <v>102</v>
      </c>
      <c r="C220" s="4">
        <v>54</v>
      </c>
      <c r="M220" s="8" t="s">
        <v>109</v>
      </c>
    </row>
    <row r="221" spans="1:13" x14ac:dyDescent="0.25">
      <c r="A221" s="8" t="s">
        <v>224</v>
      </c>
      <c r="B221" s="4" t="s">
        <v>710</v>
      </c>
      <c r="C221" s="4">
        <v>42</v>
      </c>
      <c r="M221" s="8" t="s">
        <v>224</v>
      </c>
    </row>
    <row r="222" spans="1:13" x14ac:dyDescent="0.25">
      <c r="A222" s="8" t="s">
        <v>223</v>
      </c>
      <c r="B222" s="4" t="s">
        <v>721</v>
      </c>
      <c r="C222" s="4">
        <v>47</v>
      </c>
      <c r="M222" s="8" t="s">
        <v>223</v>
      </c>
    </row>
    <row r="223" spans="1:13" x14ac:dyDescent="0.25">
      <c r="A223" s="8" t="s">
        <v>225</v>
      </c>
      <c r="B223" s="4" t="s">
        <v>720</v>
      </c>
      <c r="C223" s="4">
        <v>35</v>
      </c>
      <c r="M223" s="8" t="s">
        <v>225</v>
      </c>
    </row>
    <row r="224" spans="1:13" x14ac:dyDescent="0.25">
      <c r="A224" s="8" t="s">
        <v>226</v>
      </c>
      <c r="B224" s="4" t="s">
        <v>724</v>
      </c>
      <c r="C224" s="4">
        <v>25</v>
      </c>
      <c r="M224" s="8" t="s">
        <v>226</v>
      </c>
    </row>
    <row r="225" spans="1:13" x14ac:dyDescent="0.25">
      <c r="A225" s="8" t="s">
        <v>227</v>
      </c>
      <c r="B225" s="4" t="s">
        <v>713</v>
      </c>
      <c r="C225" s="4">
        <v>27</v>
      </c>
      <c r="M225" s="8" t="s">
        <v>227</v>
      </c>
    </row>
    <row r="226" spans="1:13" x14ac:dyDescent="0.25">
      <c r="A226" s="8" t="s">
        <v>228</v>
      </c>
      <c r="B226" s="4" t="s">
        <v>726</v>
      </c>
      <c r="C226" s="4">
        <v>54</v>
      </c>
      <c r="M226" s="8" t="s">
        <v>228</v>
      </c>
    </row>
    <row r="227" spans="1:13" x14ac:dyDescent="0.25">
      <c r="A227" s="8" t="s">
        <v>182</v>
      </c>
      <c r="B227" s="4" t="s">
        <v>722</v>
      </c>
      <c r="C227" s="4">
        <v>54</v>
      </c>
      <c r="M227" s="8" t="s">
        <v>182</v>
      </c>
    </row>
    <row r="228" spans="1:13" x14ac:dyDescent="0.25">
      <c r="A228" s="8" t="s">
        <v>229</v>
      </c>
      <c r="B228" s="4" t="s">
        <v>99</v>
      </c>
      <c r="C228" s="4">
        <v>26</v>
      </c>
      <c r="M228" s="8" t="s">
        <v>229</v>
      </c>
    </row>
    <row r="229" spans="1:13" x14ac:dyDescent="0.25">
      <c r="A229" s="8" t="s">
        <v>117</v>
      </c>
      <c r="B229" s="4" t="s">
        <v>727</v>
      </c>
      <c r="C229" s="4">
        <v>45</v>
      </c>
      <c r="M229" s="8" t="s">
        <v>117</v>
      </c>
    </row>
    <row r="230" spans="1:13" x14ac:dyDescent="0.25">
      <c r="A230" s="8" t="s">
        <v>158</v>
      </c>
      <c r="B230" s="4" t="s">
        <v>102</v>
      </c>
      <c r="C230" s="4">
        <v>54</v>
      </c>
      <c r="M230" s="8" t="s">
        <v>158</v>
      </c>
    </row>
    <row r="231" spans="1:13" x14ac:dyDescent="0.25">
      <c r="A231" s="8" t="s">
        <v>127</v>
      </c>
      <c r="B231" s="4" t="s">
        <v>710</v>
      </c>
      <c r="C231" s="4">
        <v>35</v>
      </c>
      <c r="M231" s="8" t="s">
        <v>127</v>
      </c>
    </row>
    <row r="232" spans="1:13" x14ac:dyDescent="0.25">
      <c r="A232" s="8" t="s">
        <v>120</v>
      </c>
      <c r="B232" s="4" t="s">
        <v>711</v>
      </c>
      <c r="C232" s="4">
        <v>32</v>
      </c>
      <c r="M232" s="8" t="s">
        <v>120</v>
      </c>
    </row>
    <row r="233" spans="1:13" x14ac:dyDescent="0.25">
      <c r="A233" s="8" t="s">
        <v>113</v>
      </c>
      <c r="B233" s="4" t="s">
        <v>718</v>
      </c>
      <c r="C233" s="4">
        <v>32</v>
      </c>
      <c r="M233" s="8" t="s">
        <v>113</v>
      </c>
    </row>
    <row r="234" spans="1:13" x14ac:dyDescent="0.25">
      <c r="A234" s="8" t="s">
        <v>229</v>
      </c>
      <c r="B234" s="4" t="s">
        <v>99</v>
      </c>
      <c r="C234" s="4">
        <v>38</v>
      </c>
      <c r="M234" s="8" t="s">
        <v>229</v>
      </c>
    </row>
    <row r="235" spans="1:13" x14ac:dyDescent="0.25">
      <c r="A235" s="8" t="s">
        <v>178</v>
      </c>
      <c r="B235" s="4" t="s">
        <v>726</v>
      </c>
      <c r="C235" s="4">
        <v>42</v>
      </c>
      <c r="M235" s="8" t="s">
        <v>178</v>
      </c>
    </row>
    <row r="236" spans="1:13" x14ac:dyDescent="0.25">
      <c r="A236" s="8" t="s">
        <v>201</v>
      </c>
      <c r="B236" s="4" t="s">
        <v>102</v>
      </c>
      <c r="C236" s="4">
        <v>47</v>
      </c>
      <c r="M236" s="8" t="s">
        <v>201</v>
      </c>
    </row>
    <row r="237" spans="1:13" x14ac:dyDescent="0.25">
      <c r="A237" s="8" t="s">
        <v>123</v>
      </c>
      <c r="B237" s="4" t="s">
        <v>102</v>
      </c>
      <c r="C237" s="4">
        <v>40</v>
      </c>
      <c r="M237" s="8" t="s">
        <v>123</v>
      </c>
    </row>
    <row r="238" spans="1:13" x14ac:dyDescent="0.25">
      <c r="A238" s="8" t="s">
        <v>209</v>
      </c>
      <c r="B238" s="4" t="s">
        <v>724</v>
      </c>
      <c r="C238" s="4">
        <v>48</v>
      </c>
      <c r="M238" s="8" t="s">
        <v>209</v>
      </c>
    </row>
    <row r="239" spans="1:13" x14ac:dyDescent="0.25">
      <c r="A239" s="8" t="s">
        <v>137</v>
      </c>
      <c r="B239" s="4" t="s">
        <v>710</v>
      </c>
      <c r="C239" s="4">
        <v>12</v>
      </c>
      <c r="M239" s="8" t="s">
        <v>137</v>
      </c>
    </row>
    <row r="240" spans="1:13" x14ac:dyDescent="0.25">
      <c r="A240" s="8" t="s">
        <v>188</v>
      </c>
      <c r="B240" s="4" t="s">
        <v>715</v>
      </c>
      <c r="C240" s="4">
        <v>42</v>
      </c>
      <c r="M240" s="8" t="s">
        <v>188</v>
      </c>
    </row>
    <row r="241" spans="1:13" x14ac:dyDescent="0.25">
      <c r="A241" s="8" t="s">
        <v>230</v>
      </c>
      <c r="B241" s="4" t="s">
        <v>716</v>
      </c>
      <c r="C241" s="4">
        <v>32</v>
      </c>
      <c r="M241" s="8" t="s">
        <v>230</v>
      </c>
    </row>
    <row r="242" spans="1:13" x14ac:dyDescent="0.25">
      <c r="A242" s="8" t="s">
        <v>163</v>
      </c>
      <c r="B242" s="4" t="s">
        <v>101</v>
      </c>
      <c r="C242" s="4">
        <v>47</v>
      </c>
      <c r="M242" s="8" t="s">
        <v>163</v>
      </c>
    </row>
    <row r="243" spans="1:13" x14ac:dyDescent="0.25">
      <c r="A243" s="8" t="s">
        <v>187</v>
      </c>
      <c r="B243" s="4" t="s">
        <v>728</v>
      </c>
      <c r="C243" s="4">
        <v>55</v>
      </c>
      <c r="M243" s="8" t="s">
        <v>187</v>
      </c>
    </row>
    <row r="244" spans="1:13" x14ac:dyDescent="0.25">
      <c r="A244" s="8" t="s">
        <v>231</v>
      </c>
      <c r="B244" s="4" t="s">
        <v>727</v>
      </c>
      <c r="C244" s="4">
        <v>17</v>
      </c>
      <c r="M244" s="8" t="s">
        <v>231</v>
      </c>
    </row>
    <row r="245" spans="1:13" x14ac:dyDescent="0.25">
      <c r="A245" s="8" t="s">
        <v>232</v>
      </c>
      <c r="B245" s="4" t="s">
        <v>717</v>
      </c>
      <c r="C245" s="4">
        <v>32</v>
      </c>
      <c r="M245" s="8" t="s">
        <v>232</v>
      </c>
    </row>
    <row r="246" spans="1:13" x14ac:dyDescent="0.25">
      <c r="A246" s="8" t="s">
        <v>186</v>
      </c>
      <c r="B246" s="4" t="s">
        <v>721</v>
      </c>
      <c r="C246" s="4">
        <v>24</v>
      </c>
      <c r="M246" s="8" t="s">
        <v>186</v>
      </c>
    </row>
    <row r="247" spans="1:13" x14ac:dyDescent="0.25">
      <c r="A247" s="8" t="s">
        <v>233</v>
      </c>
      <c r="B247" s="4" t="s">
        <v>729</v>
      </c>
      <c r="C247" s="4">
        <v>12</v>
      </c>
      <c r="M247" s="8" t="s">
        <v>233</v>
      </c>
    </row>
    <row r="248" spans="1:13" x14ac:dyDescent="0.25">
      <c r="A248" s="8" t="s">
        <v>222</v>
      </c>
      <c r="B248" s="4" t="s">
        <v>724</v>
      </c>
      <c r="C248" s="4">
        <v>38</v>
      </c>
      <c r="M248" s="8" t="s">
        <v>222</v>
      </c>
    </row>
    <row r="249" spans="1:13" x14ac:dyDescent="0.25">
      <c r="A249" s="8" t="s">
        <v>214</v>
      </c>
      <c r="B249" s="4" t="s">
        <v>716</v>
      </c>
      <c r="C249" s="4">
        <v>40</v>
      </c>
      <c r="M249" s="8" t="s">
        <v>214</v>
      </c>
    </row>
    <row r="250" spans="1:13" x14ac:dyDescent="0.25">
      <c r="A250" s="8" t="s">
        <v>205</v>
      </c>
      <c r="B250" s="4" t="s">
        <v>103</v>
      </c>
      <c r="C250" s="4">
        <v>23</v>
      </c>
      <c r="M250" s="8" t="s">
        <v>205</v>
      </c>
    </row>
    <row r="251" spans="1:13" x14ac:dyDescent="0.25">
      <c r="A251" s="8" t="s">
        <v>223</v>
      </c>
      <c r="B251" s="4" t="s">
        <v>103</v>
      </c>
      <c r="C251" s="4">
        <v>48</v>
      </c>
      <c r="M251" s="8" t="s">
        <v>223</v>
      </c>
    </row>
    <row r="252" spans="1:13" x14ac:dyDescent="0.25">
      <c r="A252" s="8" t="s">
        <v>162</v>
      </c>
      <c r="B252" s="4" t="s">
        <v>719</v>
      </c>
      <c r="C252" s="4">
        <v>30</v>
      </c>
      <c r="M252" s="8" t="s">
        <v>162</v>
      </c>
    </row>
    <row r="253" spans="1:13" x14ac:dyDescent="0.25">
      <c r="A253" s="8" t="s">
        <v>195</v>
      </c>
      <c r="B253" s="4" t="s">
        <v>712</v>
      </c>
      <c r="C253" s="4">
        <v>56</v>
      </c>
      <c r="M253" s="8" t="s">
        <v>195</v>
      </c>
    </row>
    <row r="254" spans="1:13" x14ac:dyDescent="0.25">
      <c r="A254" s="8" t="s">
        <v>166</v>
      </c>
      <c r="B254" s="4" t="s">
        <v>99</v>
      </c>
      <c r="C254" s="4">
        <v>37</v>
      </c>
      <c r="M254" s="8" t="s">
        <v>166</v>
      </c>
    </row>
    <row r="255" spans="1:13" x14ac:dyDescent="0.25">
      <c r="A255" s="8" t="s">
        <v>225</v>
      </c>
      <c r="B255" s="4" t="s">
        <v>712</v>
      </c>
      <c r="C255" s="4">
        <v>49</v>
      </c>
      <c r="M255" s="8" t="s">
        <v>225</v>
      </c>
    </row>
    <row r="256" spans="1:13" x14ac:dyDescent="0.25">
      <c r="A256" s="8" t="s">
        <v>147</v>
      </c>
      <c r="B256" s="4" t="s">
        <v>721</v>
      </c>
      <c r="C256" s="4">
        <v>15</v>
      </c>
      <c r="M256" s="8" t="s">
        <v>147</v>
      </c>
    </row>
    <row r="257" spans="1:13" x14ac:dyDescent="0.25">
      <c r="A257" s="8" t="s">
        <v>234</v>
      </c>
      <c r="B257" s="4" t="s">
        <v>726</v>
      </c>
      <c r="C257" s="4">
        <v>30</v>
      </c>
      <c r="M257" s="8" t="s">
        <v>234</v>
      </c>
    </row>
    <row r="258" spans="1:13" x14ac:dyDescent="0.25">
      <c r="A258" s="8" t="s">
        <v>235</v>
      </c>
      <c r="B258" s="4" t="s">
        <v>719</v>
      </c>
      <c r="C258" s="4">
        <v>32</v>
      </c>
      <c r="M258" s="8" t="s">
        <v>235</v>
      </c>
    </row>
    <row r="259" spans="1:13" x14ac:dyDescent="0.25">
      <c r="A259" s="8" t="s">
        <v>138</v>
      </c>
      <c r="B259" s="4" t="s">
        <v>728</v>
      </c>
      <c r="C259" s="4">
        <v>41</v>
      </c>
      <c r="M259" s="8" t="s">
        <v>138</v>
      </c>
    </row>
    <row r="260" spans="1:13" x14ac:dyDescent="0.25">
      <c r="A260" s="8" t="s">
        <v>130</v>
      </c>
      <c r="B260" s="4" t="s">
        <v>103</v>
      </c>
      <c r="C260" s="4">
        <v>24</v>
      </c>
      <c r="M260" s="8" t="s">
        <v>130</v>
      </c>
    </row>
    <row r="261" spans="1:13" x14ac:dyDescent="0.25">
      <c r="A261" s="8" t="s">
        <v>236</v>
      </c>
      <c r="B261" s="4" t="s">
        <v>727</v>
      </c>
      <c r="C261" s="4">
        <v>35</v>
      </c>
      <c r="M261" s="8" t="s">
        <v>236</v>
      </c>
    </row>
    <row r="262" spans="1:13" x14ac:dyDescent="0.25">
      <c r="A262" s="8" t="s">
        <v>186</v>
      </c>
      <c r="B262" s="4" t="s">
        <v>713</v>
      </c>
      <c r="C262" s="4">
        <v>51</v>
      </c>
      <c r="M262" s="8" t="s">
        <v>186</v>
      </c>
    </row>
    <row r="263" spans="1:13" x14ac:dyDescent="0.25">
      <c r="A263" s="8" t="s">
        <v>220</v>
      </c>
      <c r="B263" s="4" t="s">
        <v>716</v>
      </c>
      <c r="C263" s="4">
        <v>58</v>
      </c>
      <c r="M263" s="8" t="s">
        <v>220</v>
      </c>
    </row>
    <row r="264" spans="1:13" x14ac:dyDescent="0.25">
      <c r="A264" s="8" t="s">
        <v>162</v>
      </c>
      <c r="B264" s="4" t="s">
        <v>710</v>
      </c>
      <c r="C264" s="4">
        <v>42</v>
      </c>
      <c r="M264" s="8" t="s">
        <v>162</v>
      </c>
    </row>
    <row r="265" spans="1:13" x14ac:dyDescent="0.25">
      <c r="A265" s="8" t="s">
        <v>205</v>
      </c>
      <c r="B265" s="4" t="s">
        <v>721</v>
      </c>
      <c r="C265" s="4">
        <v>59</v>
      </c>
      <c r="M265" s="8" t="s">
        <v>205</v>
      </c>
    </row>
    <row r="266" spans="1:13" x14ac:dyDescent="0.25">
      <c r="A266" s="8" t="s">
        <v>131</v>
      </c>
      <c r="B266" s="4" t="s">
        <v>103</v>
      </c>
      <c r="C266" s="4">
        <v>30</v>
      </c>
      <c r="M266" s="8" t="s">
        <v>131</v>
      </c>
    </row>
    <row r="267" spans="1:13" x14ac:dyDescent="0.25">
      <c r="A267" s="8" t="s">
        <v>194</v>
      </c>
      <c r="B267" s="4" t="s">
        <v>712</v>
      </c>
      <c r="C267" s="4">
        <v>59</v>
      </c>
      <c r="M267" s="8" t="s">
        <v>194</v>
      </c>
    </row>
    <row r="268" spans="1:13" x14ac:dyDescent="0.25">
      <c r="A268" s="8" t="s">
        <v>187</v>
      </c>
      <c r="B268" s="4" t="s">
        <v>101</v>
      </c>
      <c r="C268" s="4">
        <v>17</v>
      </c>
      <c r="M268" s="8" t="s">
        <v>187</v>
      </c>
    </row>
    <row r="269" spans="1:13" x14ac:dyDescent="0.25">
      <c r="A269" s="8" t="s">
        <v>133</v>
      </c>
      <c r="B269" s="4" t="s">
        <v>719</v>
      </c>
      <c r="C269" s="4">
        <v>47</v>
      </c>
      <c r="M269" s="8" t="s">
        <v>133</v>
      </c>
    </row>
    <row r="270" spans="1:13" x14ac:dyDescent="0.25">
      <c r="A270" s="8" t="s">
        <v>168</v>
      </c>
      <c r="B270" s="4" t="s">
        <v>719</v>
      </c>
      <c r="C270" s="4">
        <v>53</v>
      </c>
      <c r="M270" s="8" t="s">
        <v>168</v>
      </c>
    </row>
    <row r="271" spans="1:13" x14ac:dyDescent="0.25">
      <c r="A271" s="8" t="s">
        <v>201</v>
      </c>
      <c r="B271" s="4" t="s">
        <v>722</v>
      </c>
      <c r="C271" s="4">
        <v>17</v>
      </c>
      <c r="M271" s="8" t="s">
        <v>201</v>
      </c>
    </row>
    <row r="272" spans="1:13" x14ac:dyDescent="0.25">
      <c r="A272" s="8" t="s">
        <v>237</v>
      </c>
      <c r="B272" s="4" t="s">
        <v>714</v>
      </c>
      <c r="C272" s="4">
        <v>11</v>
      </c>
      <c r="M272" s="8" t="s">
        <v>237</v>
      </c>
    </row>
    <row r="273" spans="1:13" x14ac:dyDescent="0.25">
      <c r="A273" s="8" t="s">
        <v>113</v>
      </c>
      <c r="B273" s="4" t="s">
        <v>718</v>
      </c>
      <c r="C273" s="4">
        <v>58</v>
      </c>
      <c r="M273" s="8" t="s">
        <v>113</v>
      </c>
    </row>
    <row r="274" spans="1:13" x14ac:dyDescent="0.25">
      <c r="A274" s="8" t="s">
        <v>214</v>
      </c>
      <c r="B274" s="4" t="s">
        <v>728</v>
      </c>
      <c r="C274" s="4">
        <v>46</v>
      </c>
      <c r="M274" s="8" t="s">
        <v>214</v>
      </c>
    </row>
    <row r="275" spans="1:13" x14ac:dyDescent="0.25">
      <c r="A275" s="8" t="s">
        <v>198</v>
      </c>
      <c r="B275" s="4" t="s">
        <v>713</v>
      </c>
      <c r="C275" s="4">
        <v>49</v>
      </c>
      <c r="M275" s="8" t="s">
        <v>198</v>
      </c>
    </row>
    <row r="276" spans="1:13" x14ac:dyDescent="0.25">
      <c r="A276" s="8" t="s">
        <v>153</v>
      </c>
      <c r="B276" s="4" t="s">
        <v>718</v>
      </c>
      <c r="C276" s="4">
        <v>16</v>
      </c>
      <c r="M276" s="8" t="s">
        <v>153</v>
      </c>
    </row>
    <row r="277" spans="1:13" x14ac:dyDescent="0.25">
      <c r="A277" s="8" t="s">
        <v>158</v>
      </c>
      <c r="B277" s="4" t="s">
        <v>723</v>
      </c>
      <c r="C277" s="4">
        <v>32</v>
      </c>
      <c r="M277" s="8" t="s">
        <v>158</v>
      </c>
    </row>
    <row r="278" spans="1:13" x14ac:dyDescent="0.25">
      <c r="A278" s="8" t="s">
        <v>209</v>
      </c>
      <c r="B278" s="4" t="s">
        <v>717</v>
      </c>
      <c r="C278" s="4">
        <v>32</v>
      </c>
      <c r="M278" s="8" t="s">
        <v>209</v>
      </c>
    </row>
    <row r="279" spans="1:13" x14ac:dyDescent="0.25">
      <c r="A279" s="8" t="s">
        <v>135</v>
      </c>
      <c r="B279" s="4" t="s">
        <v>100</v>
      </c>
      <c r="C279" s="4">
        <v>19</v>
      </c>
      <c r="M279" s="8" t="s">
        <v>135</v>
      </c>
    </row>
    <row r="280" spans="1:13" x14ac:dyDescent="0.25">
      <c r="A280" s="8" t="s">
        <v>145</v>
      </c>
      <c r="B280" s="4" t="s">
        <v>725</v>
      </c>
      <c r="C280" s="4">
        <v>32</v>
      </c>
      <c r="M280" s="8" t="s">
        <v>145</v>
      </c>
    </row>
    <row r="281" spans="1:13" x14ac:dyDescent="0.25">
      <c r="A281" s="8" t="s">
        <v>220</v>
      </c>
      <c r="B281" s="4" t="s">
        <v>718</v>
      </c>
      <c r="C281" s="4">
        <v>13</v>
      </c>
      <c r="M281" s="8" t="s">
        <v>220</v>
      </c>
    </row>
    <row r="282" spans="1:13" x14ac:dyDescent="0.25">
      <c r="A282" s="8" t="s">
        <v>224</v>
      </c>
      <c r="B282" s="4" t="s">
        <v>720</v>
      </c>
      <c r="C282" s="4">
        <v>52</v>
      </c>
      <c r="M282" s="8" t="s">
        <v>224</v>
      </c>
    </row>
    <row r="283" spans="1:13" x14ac:dyDescent="0.25">
      <c r="A283" s="8" t="s">
        <v>190</v>
      </c>
      <c r="B283" s="4" t="s">
        <v>102</v>
      </c>
      <c r="C283" s="4">
        <v>59</v>
      </c>
      <c r="M283" s="8" t="s">
        <v>190</v>
      </c>
    </row>
    <row r="284" spans="1:13" x14ac:dyDescent="0.25">
      <c r="A284" s="8" t="s">
        <v>139</v>
      </c>
      <c r="B284" s="4" t="s">
        <v>715</v>
      </c>
      <c r="C284" s="4">
        <v>48</v>
      </c>
      <c r="M284" s="8" t="s">
        <v>139</v>
      </c>
    </row>
    <row r="285" spans="1:13" x14ac:dyDescent="0.25">
      <c r="A285" s="8" t="s">
        <v>129</v>
      </c>
      <c r="B285" s="4" t="s">
        <v>726</v>
      </c>
      <c r="C285" s="4">
        <v>46</v>
      </c>
      <c r="M285" s="8" t="s">
        <v>129</v>
      </c>
    </row>
    <row r="286" spans="1:13" x14ac:dyDescent="0.25">
      <c r="A286" s="8" t="s">
        <v>139</v>
      </c>
      <c r="B286" s="4" t="s">
        <v>727</v>
      </c>
      <c r="C286" s="4">
        <v>43</v>
      </c>
      <c r="M286" s="8" t="s">
        <v>139</v>
      </c>
    </row>
    <row r="287" spans="1:13" x14ac:dyDescent="0.25">
      <c r="A287" s="8" t="s">
        <v>129</v>
      </c>
      <c r="B287" s="4" t="s">
        <v>715</v>
      </c>
      <c r="C287" s="4">
        <v>45</v>
      </c>
      <c r="M287" s="8" t="s">
        <v>129</v>
      </c>
    </row>
    <row r="288" spans="1:13" x14ac:dyDescent="0.25">
      <c r="A288" s="8" t="s">
        <v>120</v>
      </c>
      <c r="B288" s="4" t="s">
        <v>721</v>
      </c>
      <c r="C288" s="4">
        <v>56</v>
      </c>
      <c r="M288" s="8" t="s">
        <v>120</v>
      </c>
    </row>
    <row r="289" spans="1:13" x14ac:dyDescent="0.25">
      <c r="A289" s="8" t="s">
        <v>238</v>
      </c>
      <c r="B289" s="4" t="s">
        <v>712</v>
      </c>
      <c r="C289" s="4">
        <v>10</v>
      </c>
      <c r="M289" s="8" t="s">
        <v>238</v>
      </c>
    </row>
    <row r="290" spans="1:13" x14ac:dyDescent="0.25">
      <c r="A290" s="8" t="s">
        <v>235</v>
      </c>
      <c r="B290" s="4" t="s">
        <v>715</v>
      </c>
      <c r="C290" s="4">
        <v>57</v>
      </c>
      <c r="M290" s="8" t="s">
        <v>235</v>
      </c>
    </row>
    <row r="291" spans="1:13" x14ac:dyDescent="0.25">
      <c r="A291" s="8" t="s">
        <v>135</v>
      </c>
      <c r="B291" s="4" t="s">
        <v>723</v>
      </c>
      <c r="C291" s="4">
        <v>50</v>
      </c>
      <c r="M291" s="8" t="s">
        <v>135</v>
      </c>
    </row>
    <row r="292" spans="1:13" x14ac:dyDescent="0.25">
      <c r="A292" s="8" t="s">
        <v>217</v>
      </c>
      <c r="B292" s="4" t="s">
        <v>712</v>
      </c>
      <c r="C292" s="4">
        <v>40</v>
      </c>
      <c r="M292" s="8" t="s">
        <v>217</v>
      </c>
    </row>
    <row r="293" spans="1:13" x14ac:dyDescent="0.25">
      <c r="A293" s="8" t="s">
        <v>136</v>
      </c>
      <c r="B293" s="4" t="s">
        <v>714</v>
      </c>
      <c r="C293" s="4">
        <v>33</v>
      </c>
      <c r="M293" s="8" t="s">
        <v>136</v>
      </c>
    </row>
    <row r="294" spans="1:13" x14ac:dyDescent="0.25">
      <c r="A294" s="8" t="s">
        <v>238</v>
      </c>
      <c r="B294" s="4" t="s">
        <v>100</v>
      </c>
      <c r="C294" s="4">
        <v>24</v>
      </c>
      <c r="M294" s="8" t="s">
        <v>238</v>
      </c>
    </row>
    <row r="295" spans="1:13" x14ac:dyDescent="0.25">
      <c r="A295" s="8" t="s">
        <v>165</v>
      </c>
      <c r="B295" s="4" t="s">
        <v>101</v>
      </c>
      <c r="C295" s="4">
        <v>38</v>
      </c>
      <c r="M295" s="8" t="s">
        <v>165</v>
      </c>
    </row>
    <row r="296" spans="1:13" x14ac:dyDescent="0.25">
      <c r="A296" s="8" t="s">
        <v>178</v>
      </c>
      <c r="B296" s="4" t="s">
        <v>100</v>
      </c>
      <c r="C296" s="4">
        <v>49</v>
      </c>
      <c r="M296" s="8" t="s">
        <v>178</v>
      </c>
    </row>
    <row r="297" spans="1:13" x14ac:dyDescent="0.25">
      <c r="A297" s="8" t="s">
        <v>154</v>
      </c>
      <c r="B297" s="4" t="s">
        <v>716</v>
      </c>
      <c r="C297" s="4">
        <v>11</v>
      </c>
      <c r="M297" s="8" t="s">
        <v>154</v>
      </c>
    </row>
    <row r="298" spans="1:13" x14ac:dyDescent="0.25">
      <c r="A298" s="8" t="s">
        <v>120</v>
      </c>
      <c r="B298" s="4" t="s">
        <v>720</v>
      </c>
      <c r="C298" s="4">
        <v>57</v>
      </c>
      <c r="M298" s="8" t="s">
        <v>120</v>
      </c>
    </row>
    <row r="299" spans="1:13" x14ac:dyDescent="0.25">
      <c r="A299" s="8" t="s">
        <v>127</v>
      </c>
      <c r="B299" s="4" t="s">
        <v>103</v>
      </c>
      <c r="C299" s="4">
        <v>19</v>
      </c>
      <c r="M299" s="8" t="s">
        <v>127</v>
      </c>
    </row>
    <row r="300" spans="1:13" x14ac:dyDescent="0.25">
      <c r="A300" s="8" t="s">
        <v>203</v>
      </c>
      <c r="B300" s="4" t="s">
        <v>715</v>
      </c>
      <c r="C300" s="4">
        <v>45</v>
      </c>
      <c r="M300" s="8" t="s">
        <v>203</v>
      </c>
    </row>
    <row r="301" spans="1:13" x14ac:dyDescent="0.25">
      <c r="A301" s="8" t="s">
        <v>222</v>
      </c>
      <c r="B301" s="4" t="s">
        <v>719</v>
      </c>
      <c r="C301" s="4">
        <v>38</v>
      </c>
      <c r="M301" s="8" t="s">
        <v>222</v>
      </c>
    </row>
    <row r="302" spans="1:13" x14ac:dyDescent="0.25">
      <c r="A302" s="8" t="s">
        <v>237</v>
      </c>
      <c r="B302" s="4" t="s">
        <v>716</v>
      </c>
      <c r="C302" s="4">
        <v>32</v>
      </c>
      <c r="M302" s="8" t="s">
        <v>237</v>
      </c>
    </row>
    <row r="303" spans="1:13" x14ac:dyDescent="0.25">
      <c r="A303" s="8" t="s">
        <v>175</v>
      </c>
      <c r="B303" s="4" t="s">
        <v>718</v>
      </c>
      <c r="C303" s="4">
        <v>54</v>
      </c>
      <c r="M303" s="8" t="s">
        <v>175</v>
      </c>
    </row>
    <row r="304" spans="1:13" x14ac:dyDescent="0.25">
      <c r="A304" s="8" t="s">
        <v>120</v>
      </c>
      <c r="B304" s="4" t="s">
        <v>715</v>
      </c>
      <c r="C304" s="4">
        <v>18</v>
      </c>
      <c r="M304" s="8" t="s">
        <v>120</v>
      </c>
    </row>
    <row r="305" spans="1:13" x14ac:dyDescent="0.25">
      <c r="A305" s="8" t="s">
        <v>234</v>
      </c>
      <c r="B305" s="4" t="s">
        <v>102</v>
      </c>
      <c r="C305" s="4">
        <v>56</v>
      </c>
      <c r="M305" s="8" t="s">
        <v>234</v>
      </c>
    </row>
    <row r="306" spans="1:13" x14ac:dyDescent="0.25">
      <c r="A306" s="8" t="s">
        <v>125</v>
      </c>
      <c r="B306" s="4" t="s">
        <v>715</v>
      </c>
      <c r="C306" s="4">
        <v>50</v>
      </c>
      <c r="M306" s="8" t="s">
        <v>125</v>
      </c>
    </row>
    <row r="307" spans="1:13" x14ac:dyDescent="0.25">
      <c r="A307" s="8" t="s">
        <v>175</v>
      </c>
      <c r="B307" s="4" t="s">
        <v>721</v>
      </c>
      <c r="C307" s="4">
        <v>10</v>
      </c>
      <c r="M307" s="8" t="s">
        <v>175</v>
      </c>
    </row>
    <row r="308" spans="1:13" x14ac:dyDescent="0.25">
      <c r="A308" s="8" t="s">
        <v>239</v>
      </c>
      <c r="B308" s="4" t="s">
        <v>728</v>
      </c>
      <c r="C308" s="4">
        <v>42</v>
      </c>
      <c r="M308" s="8" t="s">
        <v>239</v>
      </c>
    </row>
    <row r="309" spans="1:13" x14ac:dyDescent="0.25">
      <c r="A309" s="8" t="s">
        <v>185</v>
      </c>
      <c r="B309" s="4" t="s">
        <v>728</v>
      </c>
      <c r="C309" s="4">
        <v>14</v>
      </c>
      <c r="M309" s="8" t="s">
        <v>185</v>
      </c>
    </row>
    <row r="310" spans="1:13" x14ac:dyDescent="0.25">
      <c r="A310" s="8" t="s">
        <v>188</v>
      </c>
      <c r="B310" s="4" t="s">
        <v>102</v>
      </c>
      <c r="C310" s="4">
        <v>57</v>
      </c>
      <c r="M310" s="8" t="s">
        <v>188</v>
      </c>
    </row>
    <row r="311" spans="1:13" x14ac:dyDescent="0.25">
      <c r="A311" s="8" t="s">
        <v>214</v>
      </c>
      <c r="B311" s="4" t="s">
        <v>729</v>
      </c>
      <c r="C311" s="4">
        <v>53</v>
      </c>
      <c r="M311" s="8" t="s">
        <v>214</v>
      </c>
    </row>
    <row r="312" spans="1:13" x14ac:dyDescent="0.25">
      <c r="A312" s="8" t="s">
        <v>160</v>
      </c>
      <c r="B312" s="4" t="s">
        <v>714</v>
      </c>
      <c r="C312" s="4">
        <v>43</v>
      </c>
      <c r="M312" s="8" t="s">
        <v>160</v>
      </c>
    </row>
    <row r="313" spans="1:13" x14ac:dyDescent="0.25">
      <c r="A313" s="8" t="s">
        <v>230</v>
      </c>
      <c r="B313" s="4" t="s">
        <v>724</v>
      </c>
      <c r="C313" s="4">
        <v>37</v>
      </c>
      <c r="M313" s="8" t="s">
        <v>230</v>
      </c>
    </row>
    <row r="314" spans="1:13" x14ac:dyDescent="0.25">
      <c r="A314" s="8" t="s">
        <v>175</v>
      </c>
      <c r="B314" s="4" t="s">
        <v>719</v>
      </c>
      <c r="C314" s="4">
        <v>54</v>
      </c>
      <c r="M314" s="8" t="s">
        <v>175</v>
      </c>
    </row>
    <row r="315" spans="1:13" x14ac:dyDescent="0.25">
      <c r="A315" s="8" t="s">
        <v>172</v>
      </c>
      <c r="B315" s="4" t="s">
        <v>728</v>
      </c>
      <c r="C315" s="4">
        <v>55</v>
      </c>
      <c r="M315" s="8" t="s">
        <v>172</v>
      </c>
    </row>
    <row r="316" spans="1:13" x14ac:dyDescent="0.25">
      <c r="A316" s="8" t="s">
        <v>240</v>
      </c>
      <c r="B316" s="4" t="s">
        <v>101</v>
      </c>
      <c r="C316" s="4">
        <v>48</v>
      </c>
      <c r="M316" s="8" t="s">
        <v>240</v>
      </c>
    </row>
    <row r="317" spans="1:13" x14ac:dyDescent="0.25">
      <c r="A317" s="8" t="s">
        <v>241</v>
      </c>
      <c r="B317" s="4" t="s">
        <v>714</v>
      </c>
      <c r="C317" s="4">
        <v>28</v>
      </c>
      <c r="M317" s="8" t="s">
        <v>241</v>
      </c>
    </row>
    <row r="318" spans="1:13" x14ac:dyDescent="0.25">
      <c r="A318" s="8" t="s">
        <v>242</v>
      </c>
      <c r="B318" s="4" t="s">
        <v>728</v>
      </c>
      <c r="C318" s="4">
        <v>16</v>
      </c>
      <c r="M318" s="8" t="s">
        <v>242</v>
      </c>
    </row>
    <row r="319" spans="1:13" x14ac:dyDescent="0.25">
      <c r="A319" s="8" t="s">
        <v>153</v>
      </c>
      <c r="B319" s="4" t="s">
        <v>725</v>
      </c>
      <c r="C319" s="4">
        <v>47</v>
      </c>
      <c r="M319" s="8" t="s">
        <v>153</v>
      </c>
    </row>
    <row r="320" spans="1:13" x14ac:dyDescent="0.25">
      <c r="A320" s="8" t="s">
        <v>150</v>
      </c>
      <c r="B320" s="4" t="s">
        <v>99</v>
      </c>
      <c r="C320" s="4">
        <v>17</v>
      </c>
      <c r="M320" s="8" t="s">
        <v>150</v>
      </c>
    </row>
    <row r="321" spans="1:13" x14ac:dyDescent="0.25">
      <c r="A321" s="8" t="s">
        <v>117</v>
      </c>
      <c r="B321" s="4" t="s">
        <v>715</v>
      </c>
      <c r="C321" s="4">
        <v>53</v>
      </c>
      <c r="M321" s="8" t="s">
        <v>117</v>
      </c>
    </row>
    <row r="322" spans="1:13" x14ac:dyDescent="0.25">
      <c r="A322" s="8" t="s">
        <v>136</v>
      </c>
      <c r="B322" s="4" t="s">
        <v>717</v>
      </c>
      <c r="C322" s="4">
        <v>45</v>
      </c>
      <c r="M322" s="8" t="s">
        <v>136</v>
      </c>
    </row>
    <row r="323" spans="1:13" x14ac:dyDescent="0.25">
      <c r="A323" s="8" t="s">
        <v>126</v>
      </c>
      <c r="B323" s="4" t="s">
        <v>722</v>
      </c>
      <c r="C323" s="4">
        <v>57</v>
      </c>
      <c r="M323" s="8" t="s">
        <v>126</v>
      </c>
    </row>
    <row r="324" spans="1:13" x14ac:dyDescent="0.25">
      <c r="A324" s="8" t="s">
        <v>199</v>
      </c>
      <c r="B324" s="4" t="s">
        <v>102</v>
      </c>
      <c r="C324" s="4">
        <v>52</v>
      </c>
      <c r="M324" s="8" t="s">
        <v>199</v>
      </c>
    </row>
    <row r="325" spans="1:13" x14ac:dyDescent="0.25">
      <c r="A325" s="8" t="s">
        <v>177</v>
      </c>
      <c r="B325" s="4" t="s">
        <v>727</v>
      </c>
      <c r="C325" s="4">
        <v>39</v>
      </c>
      <c r="M325" s="8" t="s">
        <v>177</v>
      </c>
    </row>
    <row r="326" spans="1:13" x14ac:dyDescent="0.25">
      <c r="A326" s="8" t="s">
        <v>117</v>
      </c>
      <c r="B326" s="4" t="s">
        <v>717</v>
      </c>
      <c r="C326" s="4">
        <v>42</v>
      </c>
      <c r="M326" s="8" t="s">
        <v>117</v>
      </c>
    </row>
    <row r="327" spans="1:13" x14ac:dyDescent="0.25">
      <c r="A327" s="8" t="s">
        <v>243</v>
      </c>
      <c r="B327" s="4" t="s">
        <v>724</v>
      </c>
      <c r="C327" s="4">
        <v>50</v>
      </c>
      <c r="M327" s="8" t="s">
        <v>243</v>
      </c>
    </row>
    <row r="328" spans="1:13" x14ac:dyDescent="0.25">
      <c r="A328" s="8" t="s">
        <v>127</v>
      </c>
      <c r="B328" s="4" t="s">
        <v>720</v>
      </c>
      <c r="C328" s="4">
        <v>53</v>
      </c>
      <c r="M328" s="8" t="s">
        <v>127</v>
      </c>
    </row>
    <row r="329" spans="1:13" x14ac:dyDescent="0.25">
      <c r="A329" s="8" t="s">
        <v>182</v>
      </c>
      <c r="B329" s="4" t="s">
        <v>100</v>
      </c>
      <c r="C329" s="4">
        <v>23</v>
      </c>
      <c r="M329" s="8" t="s">
        <v>182</v>
      </c>
    </row>
    <row r="330" spans="1:13" x14ac:dyDescent="0.25">
      <c r="A330" s="8" t="s">
        <v>224</v>
      </c>
      <c r="B330" s="4" t="s">
        <v>712</v>
      </c>
      <c r="C330" s="4">
        <v>38</v>
      </c>
      <c r="M330" s="8" t="s">
        <v>224</v>
      </c>
    </row>
    <row r="331" spans="1:13" x14ac:dyDescent="0.25">
      <c r="A331" s="8" t="s">
        <v>233</v>
      </c>
      <c r="B331" s="4" t="s">
        <v>712</v>
      </c>
      <c r="C331" s="4">
        <v>56</v>
      </c>
      <c r="M331" s="8" t="s">
        <v>233</v>
      </c>
    </row>
    <row r="332" spans="1:13" x14ac:dyDescent="0.25">
      <c r="A332" s="8" t="s">
        <v>110</v>
      </c>
      <c r="B332" s="4" t="s">
        <v>721</v>
      </c>
      <c r="C332" s="4">
        <v>37</v>
      </c>
      <c r="M332" s="8" t="s">
        <v>110</v>
      </c>
    </row>
    <row r="333" spans="1:13" x14ac:dyDescent="0.25">
      <c r="A333" s="8" t="s">
        <v>145</v>
      </c>
      <c r="B333" s="4" t="s">
        <v>725</v>
      </c>
      <c r="C333" s="4">
        <v>56</v>
      </c>
      <c r="M333" s="8" t="s">
        <v>145</v>
      </c>
    </row>
    <row r="334" spans="1:13" x14ac:dyDescent="0.25">
      <c r="A334" s="8" t="s">
        <v>240</v>
      </c>
      <c r="B334" s="4" t="s">
        <v>102</v>
      </c>
      <c r="C334" s="4">
        <v>43</v>
      </c>
      <c r="M334" s="8" t="s">
        <v>240</v>
      </c>
    </row>
    <row r="335" spans="1:13" x14ac:dyDescent="0.25">
      <c r="A335" s="8" t="s">
        <v>171</v>
      </c>
      <c r="B335" s="4" t="s">
        <v>718</v>
      </c>
      <c r="C335" s="4">
        <v>36</v>
      </c>
      <c r="M335" s="8" t="s">
        <v>171</v>
      </c>
    </row>
    <row r="336" spans="1:13" x14ac:dyDescent="0.25">
      <c r="A336" s="8" t="s">
        <v>112</v>
      </c>
      <c r="B336" s="4" t="s">
        <v>99</v>
      </c>
      <c r="C336" s="4">
        <v>51</v>
      </c>
      <c r="M336" s="8" t="s">
        <v>112</v>
      </c>
    </row>
    <row r="337" spans="1:13" x14ac:dyDescent="0.25">
      <c r="A337" s="8" t="s">
        <v>183</v>
      </c>
      <c r="B337" s="4" t="s">
        <v>718</v>
      </c>
      <c r="C337" s="4">
        <v>15</v>
      </c>
      <c r="M337" s="8" t="s">
        <v>183</v>
      </c>
    </row>
    <row r="338" spans="1:13" x14ac:dyDescent="0.25">
      <c r="A338" s="8" t="s">
        <v>229</v>
      </c>
      <c r="B338" s="4" t="s">
        <v>101</v>
      </c>
      <c r="C338" s="4">
        <v>14</v>
      </c>
      <c r="M338" s="8" t="s">
        <v>229</v>
      </c>
    </row>
    <row r="339" spans="1:13" x14ac:dyDescent="0.25">
      <c r="A339" s="8" t="s">
        <v>182</v>
      </c>
      <c r="B339" s="4" t="s">
        <v>729</v>
      </c>
      <c r="C339" s="4">
        <v>59</v>
      </c>
      <c r="M339" s="8" t="s">
        <v>182</v>
      </c>
    </row>
    <row r="340" spans="1:13" x14ac:dyDescent="0.25">
      <c r="A340" s="8" t="s">
        <v>184</v>
      </c>
      <c r="B340" s="4" t="s">
        <v>714</v>
      </c>
      <c r="C340" s="4">
        <v>14</v>
      </c>
      <c r="M340" s="8" t="s">
        <v>184</v>
      </c>
    </row>
    <row r="341" spans="1:13" x14ac:dyDescent="0.25">
      <c r="A341" s="8" t="s">
        <v>129</v>
      </c>
      <c r="B341" s="4" t="s">
        <v>728</v>
      </c>
      <c r="C341" s="4">
        <v>24</v>
      </c>
      <c r="M341" s="8" t="s">
        <v>129</v>
      </c>
    </row>
    <row r="342" spans="1:13" x14ac:dyDescent="0.25">
      <c r="A342" s="8" t="s">
        <v>145</v>
      </c>
      <c r="B342" s="4" t="s">
        <v>719</v>
      </c>
      <c r="C342" s="4">
        <v>20</v>
      </c>
      <c r="M342" s="8" t="s">
        <v>145</v>
      </c>
    </row>
    <row r="343" spans="1:13" x14ac:dyDescent="0.25">
      <c r="A343" s="8" t="s">
        <v>196</v>
      </c>
      <c r="B343" s="4" t="s">
        <v>726</v>
      </c>
      <c r="C343" s="4">
        <v>52</v>
      </c>
      <c r="M343" s="8" t="s">
        <v>196</v>
      </c>
    </row>
    <row r="344" spans="1:13" x14ac:dyDescent="0.25">
      <c r="A344" s="8" t="s">
        <v>204</v>
      </c>
      <c r="B344" s="4" t="s">
        <v>717</v>
      </c>
      <c r="C344" s="4">
        <v>54</v>
      </c>
      <c r="M344" s="8" t="s">
        <v>204</v>
      </c>
    </row>
    <row r="345" spans="1:13" x14ac:dyDescent="0.25">
      <c r="A345" s="8" t="s">
        <v>216</v>
      </c>
      <c r="B345" s="4" t="s">
        <v>101</v>
      </c>
      <c r="C345" s="4">
        <v>12</v>
      </c>
      <c r="M345" s="8" t="s">
        <v>216</v>
      </c>
    </row>
    <row r="346" spans="1:13" x14ac:dyDescent="0.25">
      <c r="A346" s="8" t="s">
        <v>165</v>
      </c>
      <c r="B346" s="4" t="s">
        <v>715</v>
      </c>
      <c r="C346" s="4">
        <v>24</v>
      </c>
      <c r="M346" s="8" t="s">
        <v>165</v>
      </c>
    </row>
    <row r="347" spans="1:13" x14ac:dyDescent="0.25">
      <c r="A347" s="8" t="s">
        <v>116</v>
      </c>
      <c r="B347" s="4" t="s">
        <v>103</v>
      </c>
      <c r="C347" s="4">
        <v>57</v>
      </c>
      <c r="M347" s="8" t="s">
        <v>116</v>
      </c>
    </row>
    <row r="348" spans="1:13" x14ac:dyDescent="0.25">
      <c r="A348" s="8" t="s">
        <v>114</v>
      </c>
      <c r="B348" s="4" t="s">
        <v>99</v>
      </c>
      <c r="C348" s="4">
        <v>53</v>
      </c>
      <c r="M348" s="8" t="s">
        <v>114</v>
      </c>
    </row>
    <row r="349" spans="1:13" x14ac:dyDescent="0.25">
      <c r="A349" s="8" t="s">
        <v>214</v>
      </c>
      <c r="B349" s="4" t="s">
        <v>713</v>
      </c>
      <c r="C349" s="4">
        <v>46</v>
      </c>
      <c r="M349" s="8" t="s">
        <v>214</v>
      </c>
    </row>
    <row r="350" spans="1:13" x14ac:dyDescent="0.25">
      <c r="A350" s="8" t="s">
        <v>191</v>
      </c>
      <c r="B350" s="4" t="s">
        <v>101</v>
      </c>
      <c r="C350" s="4">
        <v>59</v>
      </c>
      <c r="M350" s="8" t="s">
        <v>191</v>
      </c>
    </row>
    <row r="351" spans="1:13" x14ac:dyDescent="0.25">
      <c r="A351" s="8" t="s">
        <v>153</v>
      </c>
      <c r="B351" s="4" t="s">
        <v>714</v>
      </c>
      <c r="C351" s="4">
        <v>16</v>
      </c>
      <c r="M351" s="8" t="s">
        <v>153</v>
      </c>
    </row>
    <row r="352" spans="1:13" x14ac:dyDescent="0.25">
      <c r="A352" s="8" t="s">
        <v>244</v>
      </c>
      <c r="B352" s="4" t="s">
        <v>715</v>
      </c>
      <c r="C352" s="4">
        <v>16</v>
      </c>
      <c r="M352" s="8" t="s">
        <v>244</v>
      </c>
    </row>
    <row r="353" spans="1:13" x14ac:dyDescent="0.25">
      <c r="A353" s="8" t="s">
        <v>148</v>
      </c>
      <c r="B353" s="4" t="s">
        <v>719</v>
      </c>
      <c r="C353" s="4">
        <v>29</v>
      </c>
      <c r="M353" s="8" t="s">
        <v>148</v>
      </c>
    </row>
    <row r="354" spans="1:13" x14ac:dyDescent="0.25">
      <c r="A354" s="8" t="s">
        <v>200</v>
      </c>
      <c r="B354" s="4" t="s">
        <v>717</v>
      </c>
      <c r="C354" s="4">
        <v>12</v>
      </c>
      <c r="M354" s="8" t="s">
        <v>200</v>
      </c>
    </row>
    <row r="355" spans="1:13" x14ac:dyDescent="0.25">
      <c r="A355" s="8" t="s">
        <v>115</v>
      </c>
      <c r="B355" s="4" t="s">
        <v>718</v>
      </c>
      <c r="C355" s="4">
        <v>23</v>
      </c>
      <c r="M355" s="8" t="s">
        <v>115</v>
      </c>
    </row>
    <row r="356" spans="1:13" x14ac:dyDescent="0.25">
      <c r="A356" s="8" t="s">
        <v>225</v>
      </c>
      <c r="B356" s="4" t="s">
        <v>718</v>
      </c>
      <c r="C356" s="4">
        <v>41</v>
      </c>
      <c r="M356" s="8" t="s">
        <v>225</v>
      </c>
    </row>
    <row r="357" spans="1:13" x14ac:dyDescent="0.25">
      <c r="A357" s="8" t="s">
        <v>192</v>
      </c>
      <c r="B357" s="4" t="s">
        <v>710</v>
      </c>
      <c r="C357" s="4">
        <v>15</v>
      </c>
      <c r="M357" s="8" t="s">
        <v>192</v>
      </c>
    </row>
    <row r="358" spans="1:13" x14ac:dyDescent="0.25">
      <c r="A358" s="8" t="s">
        <v>240</v>
      </c>
      <c r="B358" s="4" t="s">
        <v>725</v>
      </c>
      <c r="C358" s="4">
        <v>42</v>
      </c>
      <c r="M358" s="8" t="s">
        <v>240</v>
      </c>
    </row>
    <row r="359" spans="1:13" x14ac:dyDescent="0.25">
      <c r="A359" s="8" t="s">
        <v>165</v>
      </c>
      <c r="B359" s="4" t="s">
        <v>714</v>
      </c>
      <c r="C359" s="4">
        <v>53</v>
      </c>
      <c r="M359" s="8" t="s">
        <v>165</v>
      </c>
    </row>
    <row r="360" spans="1:13" x14ac:dyDescent="0.25">
      <c r="A360" s="8" t="s">
        <v>198</v>
      </c>
      <c r="B360" s="4" t="s">
        <v>103</v>
      </c>
      <c r="C360" s="4">
        <v>56</v>
      </c>
      <c r="M360" s="8" t="s">
        <v>198</v>
      </c>
    </row>
    <row r="361" spans="1:13" x14ac:dyDescent="0.25">
      <c r="A361" s="8" t="s">
        <v>179</v>
      </c>
      <c r="B361" s="4" t="s">
        <v>721</v>
      </c>
      <c r="C361" s="4">
        <v>50</v>
      </c>
      <c r="M361" s="8" t="s">
        <v>179</v>
      </c>
    </row>
    <row r="362" spans="1:13" x14ac:dyDescent="0.25">
      <c r="A362" s="8" t="s">
        <v>239</v>
      </c>
      <c r="B362" s="4" t="s">
        <v>717</v>
      </c>
      <c r="C362" s="4">
        <v>26</v>
      </c>
      <c r="M362" s="8" t="s">
        <v>239</v>
      </c>
    </row>
    <row r="363" spans="1:13" x14ac:dyDescent="0.25">
      <c r="A363" s="8" t="s">
        <v>175</v>
      </c>
      <c r="B363" s="4" t="s">
        <v>99</v>
      </c>
      <c r="C363" s="4">
        <v>23</v>
      </c>
      <c r="M363" s="8" t="s">
        <v>175</v>
      </c>
    </row>
    <row r="364" spans="1:13" x14ac:dyDescent="0.25">
      <c r="A364" s="8" t="s">
        <v>114</v>
      </c>
      <c r="B364" s="4" t="s">
        <v>102</v>
      </c>
      <c r="C364" s="4">
        <v>23</v>
      </c>
      <c r="M364" s="8" t="s">
        <v>114</v>
      </c>
    </row>
    <row r="365" spans="1:13" x14ac:dyDescent="0.25">
      <c r="A365" s="8" t="s">
        <v>111</v>
      </c>
      <c r="B365" s="4" t="s">
        <v>102</v>
      </c>
      <c r="C365" s="4">
        <v>12</v>
      </c>
      <c r="M365" s="8" t="s">
        <v>111</v>
      </c>
    </row>
    <row r="366" spans="1:13" x14ac:dyDescent="0.25">
      <c r="A366" s="8" t="s">
        <v>168</v>
      </c>
      <c r="B366" s="4" t="s">
        <v>101</v>
      </c>
      <c r="C366" s="4">
        <v>17</v>
      </c>
      <c r="M366" s="8" t="s">
        <v>168</v>
      </c>
    </row>
    <row r="367" spans="1:13" x14ac:dyDescent="0.25">
      <c r="A367" s="8" t="s">
        <v>178</v>
      </c>
      <c r="B367" s="4" t="s">
        <v>714</v>
      </c>
      <c r="C367" s="4">
        <v>14</v>
      </c>
      <c r="M367" s="8" t="s">
        <v>178</v>
      </c>
    </row>
    <row r="368" spans="1:13" x14ac:dyDescent="0.25">
      <c r="A368" s="8" t="s">
        <v>228</v>
      </c>
      <c r="B368" s="4" t="s">
        <v>103</v>
      </c>
      <c r="C368" s="4">
        <v>57</v>
      </c>
      <c r="M368" s="8" t="s">
        <v>228</v>
      </c>
    </row>
    <row r="369" spans="1:13" x14ac:dyDescent="0.25">
      <c r="A369" s="8" t="s">
        <v>204</v>
      </c>
      <c r="B369" s="4" t="s">
        <v>727</v>
      </c>
      <c r="C369" s="4">
        <v>37</v>
      </c>
      <c r="M369" s="8" t="s">
        <v>204</v>
      </c>
    </row>
    <row r="370" spans="1:13" x14ac:dyDescent="0.25">
      <c r="A370" s="8" t="s">
        <v>133</v>
      </c>
      <c r="B370" s="4" t="s">
        <v>723</v>
      </c>
      <c r="C370" s="4">
        <v>25</v>
      </c>
      <c r="M370" s="8" t="s">
        <v>133</v>
      </c>
    </row>
    <row r="371" spans="1:13" x14ac:dyDescent="0.25">
      <c r="A371" s="8" t="s">
        <v>169</v>
      </c>
      <c r="B371" s="4" t="s">
        <v>99</v>
      </c>
      <c r="C371" s="4">
        <v>32</v>
      </c>
      <c r="M371" s="8" t="s">
        <v>169</v>
      </c>
    </row>
    <row r="372" spans="1:13" x14ac:dyDescent="0.25">
      <c r="A372" s="8" t="s">
        <v>166</v>
      </c>
      <c r="B372" s="4" t="s">
        <v>724</v>
      </c>
      <c r="C372" s="4">
        <v>28</v>
      </c>
      <c r="M372" s="8" t="s">
        <v>166</v>
      </c>
    </row>
    <row r="373" spans="1:13" x14ac:dyDescent="0.25">
      <c r="A373" s="8" t="s">
        <v>202</v>
      </c>
      <c r="B373" s="4" t="s">
        <v>727</v>
      </c>
      <c r="C373" s="4">
        <v>30</v>
      </c>
      <c r="M373" s="8" t="s">
        <v>202</v>
      </c>
    </row>
    <row r="374" spans="1:13" x14ac:dyDescent="0.25">
      <c r="A374" s="8" t="s">
        <v>204</v>
      </c>
      <c r="B374" s="4" t="s">
        <v>721</v>
      </c>
      <c r="C374" s="4">
        <v>34</v>
      </c>
      <c r="M374" s="8" t="s">
        <v>204</v>
      </c>
    </row>
    <row r="375" spans="1:13" x14ac:dyDescent="0.25">
      <c r="A375" s="8" t="s">
        <v>151</v>
      </c>
      <c r="B375" s="4" t="s">
        <v>718</v>
      </c>
      <c r="C375" s="4">
        <v>13</v>
      </c>
      <c r="M375" s="8" t="s">
        <v>151</v>
      </c>
    </row>
    <row r="376" spans="1:13" x14ac:dyDescent="0.25">
      <c r="A376" s="8" t="s">
        <v>245</v>
      </c>
      <c r="B376" s="4" t="s">
        <v>99</v>
      </c>
      <c r="C376" s="4">
        <v>45</v>
      </c>
      <c r="M376" s="8" t="s">
        <v>245</v>
      </c>
    </row>
    <row r="377" spans="1:13" x14ac:dyDescent="0.25">
      <c r="A377" s="8" t="s">
        <v>123</v>
      </c>
      <c r="B377" s="4" t="s">
        <v>723</v>
      </c>
      <c r="C377" s="4">
        <v>34</v>
      </c>
      <c r="M377" s="8" t="s">
        <v>123</v>
      </c>
    </row>
    <row r="378" spans="1:13" x14ac:dyDescent="0.25">
      <c r="A378" s="8" t="s">
        <v>159</v>
      </c>
      <c r="B378" s="4" t="s">
        <v>710</v>
      </c>
      <c r="C378" s="4">
        <v>41</v>
      </c>
      <c r="M378" s="8" t="s">
        <v>159</v>
      </c>
    </row>
    <row r="379" spans="1:13" x14ac:dyDescent="0.25">
      <c r="A379" s="8" t="s">
        <v>148</v>
      </c>
      <c r="B379" s="4" t="s">
        <v>726</v>
      </c>
      <c r="C379" s="4">
        <v>11</v>
      </c>
      <c r="M379" s="8" t="s">
        <v>148</v>
      </c>
    </row>
    <row r="380" spans="1:13" x14ac:dyDescent="0.25">
      <c r="A380" s="8" t="s">
        <v>119</v>
      </c>
      <c r="B380" s="4" t="s">
        <v>714</v>
      </c>
      <c r="C380" s="4">
        <v>31</v>
      </c>
      <c r="M380" s="8" t="s">
        <v>119</v>
      </c>
    </row>
    <row r="381" spans="1:13" x14ac:dyDescent="0.25">
      <c r="A381" s="8" t="s">
        <v>166</v>
      </c>
      <c r="B381" s="4" t="s">
        <v>714</v>
      </c>
      <c r="C381" s="4">
        <v>45</v>
      </c>
      <c r="M381" s="8" t="s">
        <v>166</v>
      </c>
    </row>
    <row r="382" spans="1:13" x14ac:dyDescent="0.25">
      <c r="A382" s="8" t="s">
        <v>136</v>
      </c>
      <c r="B382" s="4" t="s">
        <v>717</v>
      </c>
      <c r="C382" s="4">
        <v>20</v>
      </c>
      <c r="M382" s="8" t="s">
        <v>136</v>
      </c>
    </row>
    <row r="383" spans="1:13" x14ac:dyDescent="0.25">
      <c r="A383" s="8" t="s">
        <v>179</v>
      </c>
      <c r="B383" s="4" t="s">
        <v>717</v>
      </c>
      <c r="C383" s="4">
        <v>27</v>
      </c>
      <c r="M383" s="8" t="s">
        <v>179</v>
      </c>
    </row>
    <row r="384" spans="1:13" x14ac:dyDescent="0.25">
      <c r="A384" s="8" t="s">
        <v>246</v>
      </c>
      <c r="B384" s="4" t="s">
        <v>727</v>
      </c>
      <c r="C384" s="4">
        <v>10</v>
      </c>
      <c r="M384" s="8" t="s">
        <v>246</v>
      </c>
    </row>
    <row r="385" spans="1:13" x14ac:dyDescent="0.25">
      <c r="A385" s="8" t="s">
        <v>217</v>
      </c>
      <c r="B385" s="4" t="s">
        <v>725</v>
      </c>
      <c r="C385" s="4">
        <v>39</v>
      </c>
      <c r="M385" s="8" t="s">
        <v>217</v>
      </c>
    </row>
    <row r="386" spans="1:13" x14ac:dyDescent="0.25">
      <c r="A386" s="8" t="s">
        <v>230</v>
      </c>
      <c r="B386" s="4" t="s">
        <v>715</v>
      </c>
      <c r="C386" s="4">
        <v>21</v>
      </c>
      <c r="M386" s="8" t="s">
        <v>230</v>
      </c>
    </row>
    <row r="387" spans="1:13" x14ac:dyDescent="0.25">
      <c r="A387" s="8" t="s">
        <v>231</v>
      </c>
      <c r="B387" s="4" t="s">
        <v>711</v>
      </c>
      <c r="C387" s="4">
        <v>11</v>
      </c>
      <c r="M387" s="8" t="s">
        <v>231</v>
      </c>
    </row>
    <row r="388" spans="1:13" x14ac:dyDescent="0.25">
      <c r="A388" s="8" t="s">
        <v>159</v>
      </c>
      <c r="B388" s="4" t="s">
        <v>723</v>
      </c>
      <c r="C388" s="4">
        <v>32</v>
      </c>
      <c r="M388" s="8" t="s">
        <v>159</v>
      </c>
    </row>
    <row r="389" spans="1:13" x14ac:dyDescent="0.25">
      <c r="A389" s="8" t="s">
        <v>241</v>
      </c>
      <c r="B389" s="4" t="s">
        <v>729</v>
      </c>
      <c r="C389" s="4">
        <v>28</v>
      </c>
      <c r="M389" s="8" t="s">
        <v>241</v>
      </c>
    </row>
    <row r="390" spans="1:13" x14ac:dyDescent="0.25">
      <c r="A390" s="8" t="s">
        <v>130</v>
      </c>
      <c r="B390" s="4" t="s">
        <v>728</v>
      </c>
      <c r="C390" s="4">
        <v>17</v>
      </c>
      <c r="M390" s="8" t="s">
        <v>130</v>
      </c>
    </row>
    <row r="391" spans="1:13" x14ac:dyDescent="0.25">
      <c r="A391" s="8" t="s">
        <v>137</v>
      </c>
      <c r="B391" s="4" t="s">
        <v>728</v>
      </c>
      <c r="C391" s="4">
        <v>14</v>
      </c>
      <c r="M391" s="8" t="s">
        <v>137</v>
      </c>
    </row>
    <row r="392" spans="1:13" x14ac:dyDescent="0.25">
      <c r="A392" s="8" t="s">
        <v>131</v>
      </c>
      <c r="B392" s="4" t="s">
        <v>719</v>
      </c>
      <c r="C392" s="4">
        <v>26</v>
      </c>
      <c r="M392" s="8" t="s">
        <v>131</v>
      </c>
    </row>
    <row r="393" spans="1:13" x14ac:dyDescent="0.25">
      <c r="A393" s="8" t="s">
        <v>247</v>
      </c>
      <c r="B393" s="4" t="s">
        <v>726</v>
      </c>
      <c r="C393" s="4">
        <v>27</v>
      </c>
      <c r="M393" s="8" t="s">
        <v>247</v>
      </c>
    </row>
    <row r="394" spans="1:13" x14ac:dyDescent="0.25">
      <c r="A394" s="8" t="s">
        <v>178</v>
      </c>
      <c r="B394" s="4" t="s">
        <v>725</v>
      </c>
      <c r="C394" s="4">
        <v>53</v>
      </c>
      <c r="M394" s="8" t="s">
        <v>178</v>
      </c>
    </row>
    <row r="395" spans="1:13" x14ac:dyDescent="0.25">
      <c r="A395" s="8" t="s">
        <v>136</v>
      </c>
      <c r="B395" s="4" t="s">
        <v>99</v>
      </c>
      <c r="C395" s="4">
        <v>59</v>
      </c>
      <c r="M395" s="8" t="s">
        <v>136</v>
      </c>
    </row>
    <row r="396" spans="1:13" x14ac:dyDescent="0.25">
      <c r="A396" s="8" t="s">
        <v>212</v>
      </c>
      <c r="B396" s="4" t="s">
        <v>101</v>
      </c>
      <c r="C396" s="4">
        <v>24</v>
      </c>
      <c r="M396" s="8" t="s">
        <v>212</v>
      </c>
    </row>
    <row r="397" spans="1:13" x14ac:dyDescent="0.25">
      <c r="A397" s="8" t="s">
        <v>231</v>
      </c>
      <c r="B397" s="4" t="s">
        <v>724</v>
      </c>
      <c r="C397" s="4">
        <v>10</v>
      </c>
      <c r="M397" s="8" t="s">
        <v>231</v>
      </c>
    </row>
    <row r="398" spans="1:13" x14ac:dyDescent="0.25">
      <c r="A398" s="8" t="s">
        <v>248</v>
      </c>
      <c r="B398" s="4" t="s">
        <v>729</v>
      </c>
      <c r="C398" s="4">
        <v>36</v>
      </c>
      <c r="M398" s="8" t="s">
        <v>248</v>
      </c>
    </row>
    <row r="399" spans="1:13" x14ac:dyDescent="0.25">
      <c r="A399" s="8" t="s">
        <v>244</v>
      </c>
      <c r="B399" s="4" t="s">
        <v>713</v>
      </c>
      <c r="C399" s="4">
        <v>43</v>
      </c>
      <c r="M399" s="8" t="s">
        <v>244</v>
      </c>
    </row>
    <row r="400" spans="1:13" x14ac:dyDescent="0.25">
      <c r="A400" s="8" t="s">
        <v>132</v>
      </c>
      <c r="B400" s="4" t="s">
        <v>729</v>
      </c>
      <c r="C400" s="4">
        <v>17</v>
      </c>
      <c r="M400" s="8" t="s">
        <v>132</v>
      </c>
    </row>
    <row r="401" spans="1:13" x14ac:dyDescent="0.25">
      <c r="A401" s="8" t="s">
        <v>208</v>
      </c>
      <c r="B401" s="4" t="s">
        <v>100</v>
      </c>
      <c r="C401" s="4">
        <v>32</v>
      </c>
      <c r="M401" s="8" t="s">
        <v>208</v>
      </c>
    </row>
    <row r="402" spans="1:13" x14ac:dyDescent="0.25">
      <c r="A402" s="8" t="s">
        <v>121</v>
      </c>
      <c r="B402" s="4" t="s">
        <v>729</v>
      </c>
      <c r="C402" s="4">
        <v>16</v>
      </c>
      <c r="M402" s="8" t="s">
        <v>121</v>
      </c>
    </row>
    <row r="403" spans="1:13" x14ac:dyDescent="0.25">
      <c r="A403" s="8" t="s">
        <v>195</v>
      </c>
      <c r="B403" s="4" t="s">
        <v>101</v>
      </c>
      <c r="C403" s="4">
        <v>50</v>
      </c>
      <c r="M403" s="8" t="s">
        <v>195</v>
      </c>
    </row>
    <row r="404" spans="1:13" x14ac:dyDescent="0.25">
      <c r="A404" s="8" t="s">
        <v>139</v>
      </c>
      <c r="B404" s="4" t="s">
        <v>728</v>
      </c>
      <c r="C404" s="4">
        <v>54</v>
      </c>
      <c r="M404" s="8" t="s">
        <v>139</v>
      </c>
    </row>
    <row r="405" spans="1:13" x14ac:dyDescent="0.25">
      <c r="A405" s="8" t="s">
        <v>233</v>
      </c>
      <c r="B405" s="4" t="s">
        <v>102</v>
      </c>
      <c r="C405" s="4">
        <v>52</v>
      </c>
      <c r="M405" s="8" t="s">
        <v>233</v>
      </c>
    </row>
    <row r="406" spans="1:13" x14ac:dyDescent="0.25">
      <c r="A406" s="8" t="s">
        <v>218</v>
      </c>
      <c r="B406" s="4" t="s">
        <v>729</v>
      </c>
      <c r="C406" s="4">
        <v>24</v>
      </c>
      <c r="M406" s="8" t="s">
        <v>218</v>
      </c>
    </row>
    <row r="407" spans="1:13" x14ac:dyDescent="0.25">
      <c r="A407" s="8" t="s">
        <v>249</v>
      </c>
      <c r="B407" s="4" t="s">
        <v>716</v>
      </c>
      <c r="C407" s="4">
        <v>27</v>
      </c>
      <c r="M407" s="8" t="s">
        <v>249</v>
      </c>
    </row>
    <row r="408" spans="1:13" x14ac:dyDescent="0.25">
      <c r="A408" s="8" t="s">
        <v>142</v>
      </c>
      <c r="B408" s="4" t="s">
        <v>103</v>
      </c>
      <c r="C408" s="4">
        <v>48</v>
      </c>
      <c r="M408" s="8" t="s">
        <v>142</v>
      </c>
    </row>
    <row r="409" spans="1:13" x14ac:dyDescent="0.25">
      <c r="A409" s="8" t="s">
        <v>174</v>
      </c>
      <c r="B409" s="4" t="s">
        <v>711</v>
      </c>
      <c r="C409" s="4">
        <v>37</v>
      </c>
      <c r="M409" s="8" t="s">
        <v>174</v>
      </c>
    </row>
    <row r="410" spans="1:13" x14ac:dyDescent="0.25">
      <c r="A410" s="8" t="s">
        <v>175</v>
      </c>
      <c r="B410" s="4" t="s">
        <v>717</v>
      </c>
      <c r="C410" s="4">
        <v>23</v>
      </c>
      <c r="M410" s="8" t="s">
        <v>175</v>
      </c>
    </row>
    <row r="411" spans="1:13" x14ac:dyDescent="0.25">
      <c r="A411" s="8" t="s">
        <v>205</v>
      </c>
      <c r="B411" s="4" t="s">
        <v>722</v>
      </c>
      <c r="C411" s="4">
        <v>46</v>
      </c>
      <c r="M411" s="8" t="s">
        <v>205</v>
      </c>
    </row>
    <row r="412" spans="1:13" x14ac:dyDescent="0.25">
      <c r="A412" s="8" t="s">
        <v>250</v>
      </c>
      <c r="B412" s="4" t="s">
        <v>716</v>
      </c>
      <c r="C412" s="4">
        <v>57</v>
      </c>
      <c r="M412" s="8" t="s">
        <v>250</v>
      </c>
    </row>
    <row r="413" spans="1:13" x14ac:dyDescent="0.25">
      <c r="A413" s="8" t="s">
        <v>205</v>
      </c>
      <c r="B413" s="4" t="s">
        <v>103</v>
      </c>
      <c r="C413" s="4">
        <v>39</v>
      </c>
      <c r="M413" s="8" t="s">
        <v>205</v>
      </c>
    </row>
    <row r="414" spans="1:13" x14ac:dyDescent="0.25">
      <c r="A414" s="8" t="s">
        <v>216</v>
      </c>
      <c r="B414" s="4" t="s">
        <v>727</v>
      </c>
      <c r="C414" s="4">
        <v>13</v>
      </c>
      <c r="M414" s="8" t="s">
        <v>216</v>
      </c>
    </row>
    <row r="415" spans="1:13" x14ac:dyDescent="0.25">
      <c r="A415" s="8" t="s">
        <v>203</v>
      </c>
      <c r="B415" s="4" t="s">
        <v>102</v>
      </c>
      <c r="C415" s="4">
        <v>22</v>
      </c>
      <c r="M415" s="8" t="s">
        <v>203</v>
      </c>
    </row>
    <row r="416" spans="1:13" x14ac:dyDescent="0.25">
      <c r="A416" s="8" t="s">
        <v>186</v>
      </c>
      <c r="B416" s="4" t="s">
        <v>710</v>
      </c>
      <c r="C416" s="4">
        <v>42</v>
      </c>
      <c r="M416" s="8" t="s">
        <v>186</v>
      </c>
    </row>
    <row r="417" spans="1:13" x14ac:dyDescent="0.25">
      <c r="A417" s="8" t="s">
        <v>115</v>
      </c>
      <c r="B417" s="4" t="s">
        <v>723</v>
      </c>
      <c r="C417" s="4">
        <v>19</v>
      </c>
      <c r="M417" s="8" t="s">
        <v>115</v>
      </c>
    </row>
    <row r="418" spans="1:13" x14ac:dyDescent="0.25">
      <c r="A418" s="8" t="s">
        <v>113</v>
      </c>
      <c r="B418" s="4" t="s">
        <v>725</v>
      </c>
      <c r="C418" s="4">
        <v>35</v>
      </c>
      <c r="M418" s="8" t="s">
        <v>113</v>
      </c>
    </row>
    <row r="419" spans="1:13" x14ac:dyDescent="0.25">
      <c r="A419" s="8" t="s">
        <v>247</v>
      </c>
      <c r="B419" s="4" t="s">
        <v>716</v>
      </c>
      <c r="C419" s="4">
        <v>34</v>
      </c>
      <c r="M419" s="8" t="s">
        <v>247</v>
      </c>
    </row>
    <row r="420" spans="1:13" x14ac:dyDescent="0.25">
      <c r="A420" s="8" t="s">
        <v>173</v>
      </c>
      <c r="B420" s="4" t="s">
        <v>102</v>
      </c>
      <c r="C420" s="4">
        <v>56</v>
      </c>
      <c r="M420" s="8" t="s">
        <v>173</v>
      </c>
    </row>
    <row r="421" spans="1:13" x14ac:dyDescent="0.25">
      <c r="A421" s="8" t="s">
        <v>200</v>
      </c>
      <c r="B421" s="4" t="s">
        <v>724</v>
      </c>
      <c r="C421" s="4">
        <v>26</v>
      </c>
      <c r="M421" s="8" t="s">
        <v>200</v>
      </c>
    </row>
    <row r="422" spans="1:13" x14ac:dyDescent="0.25">
      <c r="A422" s="8" t="s">
        <v>217</v>
      </c>
      <c r="B422" s="4" t="s">
        <v>718</v>
      </c>
      <c r="C422" s="4">
        <v>27</v>
      </c>
      <c r="M422" s="8" t="s">
        <v>217</v>
      </c>
    </row>
    <row r="423" spans="1:13" x14ac:dyDescent="0.25">
      <c r="A423" s="8" t="s">
        <v>156</v>
      </c>
      <c r="B423" s="4" t="s">
        <v>716</v>
      </c>
      <c r="C423" s="4">
        <v>54</v>
      </c>
      <c r="M423" s="8" t="s">
        <v>156</v>
      </c>
    </row>
    <row r="424" spans="1:13" x14ac:dyDescent="0.25">
      <c r="A424" s="8" t="s">
        <v>212</v>
      </c>
      <c r="B424" s="4" t="s">
        <v>101</v>
      </c>
      <c r="C424" s="4">
        <v>27</v>
      </c>
      <c r="M424" s="8" t="s">
        <v>212</v>
      </c>
    </row>
    <row r="425" spans="1:13" x14ac:dyDescent="0.25">
      <c r="A425" s="8" t="s">
        <v>208</v>
      </c>
      <c r="B425" s="4" t="s">
        <v>714</v>
      </c>
      <c r="C425" s="4">
        <v>13</v>
      </c>
      <c r="M425" s="8" t="s">
        <v>208</v>
      </c>
    </row>
    <row r="426" spans="1:13" x14ac:dyDescent="0.25">
      <c r="A426" s="8" t="s">
        <v>179</v>
      </c>
      <c r="B426" s="4" t="s">
        <v>714</v>
      </c>
      <c r="C426" s="4">
        <v>52</v>
      </c>
      <c r="M426" s="8" t="s">
        <v>179</v>
      </c>
    </row>
    <row r="427" spans="1:13" x14ac:dyDescent="0.25">
      <c r="A427" s="8" t="s">
        <v>193</v>
      </c>
      <c r="B427" s="4" t="s">
        <v>715</v>
      </c>
      <c r="C427" s="4">
        <v>34</v>
      </c>
      <c r="M427" s="8" t="s">
        <v>193</v>
      </c>
    </row>
    <row r="428" spans="1:13" x14ac:dyDescent="0.25">
      <c r="A428" s="8" t="s">
        <v>210</v>
      </c>
      <c r="B428" s="4" t="s">
        <v>714</v>
      </c>
      <c r="C428" s="4">
        <v>26</v>
      </c>
      <c r="M428" s="8" t="s">
        <v>210</v>
      </c>
    </row>
    <row r="429" spans="1:13" x14ac:dyDescent="0.25">
      <c r="A429" s="8" t="s">
        <v>192</v>
      </c>
      <c r="B429" s="4" t="s">
        <v>718</v>
      </c>
      <c r="C429" s="4">
        <v>15</v>
      </c>
      <c r="M429" s="8" t="s">
        <v>192</v>
      </c>
    </row>
    <row r="430" spans="1:13" x14ac:dyDescent="0.25">
      <c r="A430" s="8" t="s">
        <v>247</v>
      </c>
      <c r="B430" s="4" t="s">
        <v>725</v>
      </c>
      <c r="C430" s="4">
        <v>29</v>
      </c>
      <c r="M430" s="8" t="s">
        <v>247</v>
      </c>
    </row>
    <row r="431" spans="1:13" x14ac:dyDescent="0.25">
      <c r="A431" s="8" t="s">
        <v>136</v>
      </c>
      <c r="B431" s="4" t="s">
        <v>710</v>
      </c>
      <c r="C431" s="4">
        <v>58</v>
      </c>
      <c r="M431" s="8" t="s">
        <v>136</v>
      </c>
    </row>
    <row r="432" spans="1:13" x14ac:dyDescent="0.25">
      <c r="A432" s="8" t="s">
        <v>151</v>
      </c>
      <c r="B432" s="4" t="s">
        <v>723</v>
      </c>
      <c r="C432" s="4">
        <v>12</v>
      </c>
      <c r="M432" s="8" t="s">
        <v>151</v>
      </c>
    </row>
    <row r="433" spans="1:13" x14ac:dyDescent="0.25">
      <c r="A433" s="8" t="s">
        <v>184</v>
      </c>
      <c r="B433" s="4" t="s">
        <v>716</v>
      </c>
      <c r="C433" s="4">
        <v>46</v>
      </c>
      <c r="M433" s="8" t="s">
        <v>184</v>
      </c>
    </row>
    <row r="434" spans="1:13" x14ac:dyDescent="0.25">
      <c r="A434" s="8" t="s">
        <v>159</v>
      </c>
      <c r="B434" s="4" t="s">
        <v>717</v>
      </c>
      <c r="C434" s="4">
        <v>50</v>
      </c>
      <c r="M434" s="8" t="s">
        <v>159</v>
      </c>
    </row>
    <row r="435" spans="1:13" x14ac:dyDescent="0.25">
      <c r="A435" s="8" t="s">
        <v>139</v>
      </c>
      <c r="B435" s="4" t="s">
        <v>725</v>
      </c>
      <c r="C435" s="4">
        <v>31</v>
      </c>
      <c r="M435" s="8" t="s">
        <v>139</v>
      </c>
    </row>
    <row r="436" spans="1:13" x14ac:dyDescent="0.25">
      <c r="A436" s="8" t="s">
        <v>170</v>
      </c>
      <c r="B436" s="4" t="s">
        <v>726</v>
      </c>
      <c r="C436" s="4">
        <v>17</v>
      </c>
      <c r="M436" s="8" t="s">
        <v>170</v>
      </c>
    </row>
    <row r="437" spans="1:13" x14ac:dyDescent="0.25">
      <c r="A437" s="8" t="s">
        <v>227</v>
      </c>
      <c r="B437" s="4" t="s">
        <v>715</v>
      </c>
      <c r="C437" s="4">
        <v>27</v>
      </c>
      <c r="M437" s="8" t="s">
        <v>227</v>
      </c>
    </row>
    <row r="438" spans="1:13" x14ac:dyDescent="0.25">
      <c r="A438" s="8" t="s">
        <v>137</v>
      </c>
      <c r="B438" s="4" t="s">
        <v>711</v>
      </c>
      <c r="C438" s="4">
        <v>26</v>
      </c>
      <c r="M438" s="8" t="s">
        <v>137</v>
      </c>
    </row>
    <row r="439" spans="1:13" x14ac:dyDescent="0.25">
      <c r="A439" s="8" t="s">
        <v>123</v>
      </c>
      <c r="B439" s="4" t="s">
        <v>729</v>
      </c>
      <c r="C439" s="4">
        <v>27</v>
      </c>
      <c r="M439" s="8" t="s">
        <v>123</v>
      </c>
    </row>
    <row r="440" spans="1:13" x14ac:dyDescent="0.25">
      <c r="A440" s="8" t="s">
        <v>191</v>
      </c>
      <c r="B440" s="4" t="s">
        <v>722</v>
      </c>
      <c r="C440" s="4">
        <v>18</v>
      </c>
      <c r="M440" s="8" t="s">
        <v>191</v>
      </c>
    </row>
    <row r="441" spans="1:13" x14ac:dyDescent="0.25">
      <c r="A441" s="8" t="s">
        <v>174</v>
      </c>
      <c r="B441" s="4" t="s">
        <v>99</v>
      </c>
      <c r="C441" s="4">
        <v>36</v>
      </c>
      <c r="M441" s="8" t="s">
        <v>174</v>
      </c>
    </row>
    <row r="442" spans="1:13" x14ac:dyDescent="0.25">
      <c r="A442" s="8" t="s">
        <v>113</v>
      </c>
      <c r="B442" s="4" t="s">
        <v>718</v>
      </c>
      <c r="C442" s="4">
        <v>16</v>
      </c>
      <c r="M442" s="8" t="s">
        <v>113</v>
      </c>
    </row>
    <row r="443" spans="1:13" x14ac:dyDescent="0.25">
      <c r="A443" s="8" t="s">
        <v>245</v>
      </c>
      <c r="B443" s="4" t="s">
        <v>724</v>
      </c>
      <c r="C443" s="4">
        <v>51</v>
      </c>
      <c r="M443" s="8" t="s">
        <v>245</v>
      </c>
    </row>
    <row r="444" spans="1:13" x14ac:dyDescent="0.25">
      <c r="A444" s="8" t="s">
        <v>109</v>
      </c>
      <c r="B444" s="4" t="s">
        <v>102</v>
      </c>
      <c r="C444" s="4">
        <v>39</v>
      </c>
      <c r="M444" s="8" t="s">
        <v>109</v>
      </c>
    </row>
    <row r="445" spans="1:13" x14ac:dyDescent="0.25">
      <c r="A445" s="8" t="s">
        <v>158</v>
      </c>
      <c r="B445" s="4" t="s">
        <v>715</v>
      </c>
      <c r="C445" s="4">
        <v>27</v>
      </c>
      <c r="M445" s="8" t="s">
        <v>158</v>
      </c>
    </row>
    <row r="446" spans="1:13" x14ac:dyDescent="0.25">
      <c r="A446" s="8" t="s">
        <v>234</v>
      </c>
      <c r="B446" s="4" t="s">
        <v>725</v>
      </c>
      <c r="C446" s="4">
        <v>13</v>
      </c>
      <c r="M446" s="8" t="s">
        <v>234</v>
      </c>
    </row>
    <row r="447" spans="1:13" x14ac:dyDescent="0.25">
      <c r="A447" s="8" t="s">
        <v>227</v>
      </c>
      <c r="B447" s="4" t="s">
        <v>99</v>
      </c>
      <c r="C447" s="4">
        <v>50</v>
      </c>
      <c r="M447" s="8" t="s">
        <v>227</v>
      </c>
    </row>
    <row r="448" spans="1:13" x14ac:dyDescent="0.25">
      <c r="A448" s="8" t="s">
        <v>204</v>
      </c>
      <c r="B448" s="4" t="s">
        <v>724</v>
      </c>
      <c r="C448" s="4">
        <v>17</v>
      </c>
      <c r="M448" s="8" t="s">
        <v>204</v>
      </c>
    </row>
    <row r="449" spans="1:13" x14ac:dyDescent="0.25">
      <c r="A449" s="8" t="s">
        <v>251</v>
      </c>
      <c r="B449" s="4" t="s">
        <v>103</v>
      </c>
      <c r="C449" s="4">
        <v>50</v>
      </c>
      <c r="M449" s="8" t="s">
        <v>251</v>
      </c>
    </row>
    <row r="450" spans="1:13" x14ac:dyDescent="0.25">
      <c r="A450" s="8" t="s">
        <v>110</v>
      </c>
      <c r="B450" s="4" t="s">
        <v>102</v>
      </c>
      <c r="C450" s="4">
        <v>23</v>
      </c>
      <c r="M450" s="8" t="s">
        <v>110</v>
      </c>
    </row>
    <row r="451" spans="1:13" x14ac:dyDescent="0.25">
      <c r="A451" s="8" t="s">
        <v>224</v>
      </c>
      <c r="B451" s="4" t="s">
        <v>726</v>
      </c>
      <c r="C451" s="4">
        <v>14</v>
      </c>
      <c r="M451" s="8" t="s">
        <v>224</v>
      </c>
    </row>
    <row r="452" spans="1:13" x14ac:dyDescent="0.25">
      <c r="A452" s="8" t="s">
        <v>185</v>
      </c>
      <c r="B452" s="4" t="s">
        <v>102</v>
      </c>
      <c r="C452" s="4">
        <v>35</v>
      </c>
      <c r="M452" s="8" t="s">
        <v>185</v>
      </c>
    </row>
    <row r="453" spans="1:13" x14ac:dyDescent="0.25">
      <c r="A453" s="8" t="s">
        <v>246</v>
      </c>
      <c r="B453" s="4" t="s">
        <v>722</v>
      </c>
      <c r="C453" s="4">
        <v>51</v>
      </c>
      <c r="M453" s="8" t="s">
        <v>246</v>
      </c>
    </row>
    <row r="454" spans="1:13" x14ac:dyDescent="0.25">
      <c r="A454" s="8" t="s">
        <v>226</v>
      </c>
      <c r="B454" s="4" t="s">
        <v>721</v>
      </c>
      <c r="C454" s="4">
        <v>24</v>
      </c>
      <c r="M454" s="8" t="s">
        <v>226</v>
      </c>
    </row>
    <row r="455" spans="1:13" x14ac:dyDescent="0.25">
      <c r="A455" s="8" t="s">
        <v>159</v>
      </c>
      <c r="B455" s="4" t="s">
        <v>724</v>
      </c>
      <c r="C455" s="4">
        <v>12</v>
      </c>
      <c r="M455" s="8" t="s">
        <v>159</v>
      </c>
    </row>
    <row r="456" spans="1:13" x14ac:dyDescent="0.25">
      <c r="A456" s="8" t="s">
        <v>214</v>
      </c>
      <c r="B456" s="4" t="s">
        <v>100</v>
      </c>
      <c r="C456" s="4">
        <v>11</v>
      </c>
      <c r="M456" s="8" t="s">
        <v>214</v>
      </c>
    </row>
    <row r="457" spans="1:13" x14ac:dyDescent="0.25">
      <c r="A457" s="8" t="s">
        <v>122</v>
      </c>
      <c r="B457" s="4" t="s">
        <v>725</v>
      </c>
      <c r="C457" s="4">
        <v>50</v>
      </c>
      <c r="M457" s="8" t="s">
        <v>122</v>
      </c>
    </row>
    <row r="458" spans="1:13" x14ac:dyDescent="0.25">
      <c r="A458" s="8" t="s">
        <v>139</v>
      </c>
      <c r="B458" s="4" t="s">
        <v>711</v>
      </c>
      <c r="C458" s="4">
        <v>55</v>
      </c>
      <c r="M458" s="8" t="s">
        <v>139</v>
      </c>
    </row>
    <row r="459" spans="1:13" x14ac:dyDescent="0.25">
      <c r="A459" s="8" t="s">
        <v>172</v>
      </c>
      <c r="B459" s="4" t="s">
        <v>103</v>
      </c>
      <c r="C459" s="4">
        <v>18</v>
      </c>
      <c r="M459" s="8" t="s">
        <v>172</v>
      </c>
    </row>
    <row r="460" spans="1:13" x14ac:dyDescent="0.25">
      <c r="A460" s="8" t="s">
        <v>252</v>
      </c>
      <c r="B460" s="4" t="s">
        <v>102</v>
      </c>
      <c r="C460" s="4">
        <v>22</v>
      </c>
      <c r="M460" s="8" t="s">
        <v>252</v>
      </c>
    </row>
    <row r="461" spans="1:13" x14ac:dyDescent="0.25">
      <c r="A461" s="8" t="s">
        <v>136</v>
      </c>
      <c r="B461" s="4" t="s">
        <v>721</v>
      </c>
      <c r="C461" s="4">
        <v>16</v>
      </c>
      <c r="M461" s="8" t="s">
        <v>136</v>
      </c>
    </row>
    <row r="462" spans="1:13" x14ac:dyDescent="0.25">
      <c r="A462" s="8" t="s">
        <v>194</v>
      </c>
      <c r="B462" s="4" t="s">
        <v>101</v>
      </c>
      <c r="C462" s="4">
        <v>15</v>
      </c>
      <c r="M462" s="8" t="s">
        <v>194</v>
      </c>
    </row>
    <row r="463" spans="1:13" x14ac:dyDescent="0.25">
      <c r="A463" s="8" t="s">
        <v>181</v>
      </c>
      <c r="B463" s="4" t="s">
        <v>714</v>
      </c>
      <c r="C463" s="4">
        <v>45</v>
      </c>
      <c r="M463" s="8" t="s">
        <v>181</v>
      </c>
    </row>
    <row r="464" spans="1:13" x14ac:dyDescent="0.25">
      <c r="A464" s="8" t="s">
        <v>120</v>
      </c>
      <c r="B464" s="4" t="s">
        <v>721</v>
      </c>
      <c r="C464" s="4">
        <v>17</v>
      </c>
      <c r="M464" s="8" t="s">
        <v>120</v>
      </c>
    </row>
    <row r="465" spans="1:13" x14ac:dyDescent="0.25">
      <c r="A465" s="8" t="s">
        <v>251</v>
      </c>
      <c r="B465" s="4" t="s">
        <v>728</v>
      </c>
      <c r="C465" s="4">
        <v>18</v>
      </c>
      <c r="M465" s="8" t="s">
        <v>251</v>
      </c>
    </row>
    <row r="466" spans="1:13" x14ac:dyDescent="0.25">
      <c r="A466" s="8" t="s">
        <v>245</v>
      </c>
      <c r="B466" s="4" t="s">
        <v>724</v>
      </c>
      <c r="C466" s="4">
        <v>37</v>
      </c>
      <c r="M466" s="8" t="s">
        <v>245</v>
      </c>
    </row>
    <row r="467" spans="1:13" x14ac:dyDescent="0.25">
      <c r="A467" s="8" t="s">
        <v>136</v>
      </c>
      <c r="B467" s="4" t="s">
        <v>728</v>
      </c>
      <c r="C467" s="4">
        <v>34</v>
      </c>
      <c r="M467" s="8" t="s">
        <v>136</v>
      </c>
    </row>
    <row r="468" spans="1:13" x14ac:dyDescent="0.25">
      <c r="A468" s="8" t="s">
        <v>253</v>
      </c>
      <c r="B468" s="4" t="s">
        <v>102</v>
      </c>
      <c r="C468" s="4">
        <v>19</v>
      </c>
      <c r="M468" s="8" t="s">
        <v>253</v>
      </c>
    </row>
    <row r="469" spans="1:13" x14ac:dyDescent="0.25">
      <c r="A469" s="8" t="s">
        <v>191</v>
      </c>
      <c r="B469" s="4" t="s">
        <v>727</v>
      </c>
      <c r="C469" s="4">
        <v>53</v>
      </c>
      <c r="M469" s="8" t="s">
        <v>191</v>
      </c>
    </row>
    <row r="470" spans="1:13" x14ac:dyDescent="0.25">
      <c r="A470" s="8" t="s">
        <v>228</v>
      </c>
      <c r="B470" s="4" t="s">
        <v>102</v>
      </c>
      <c r="C470" s="4">
        <v>28</v>
      </c>
      <c r="M470" s="8" t="s">
        <v>228</v>
      </c>
    </row>
    <row r="471" spans="1:13" x14ac:dyDescent="0.25">
      <c r="A471" s="8" t="s">
        <v>164</v>
      </c>
      <c r="B471" s="4" t="s">
        <v>715</v>
      </c>
      <c r="C471" s="4">
        <v>38</v>
      </c>
      <c r="M471" s="8" t="s">
        <v>164</v>
      </c>
    </row>
    <row r="472" spans="1:13" x14ac:dyDescent="0.25">
      <c r="A472" s="8" t="s">
        <v>254</v>
      </c>
      <c r="B472" s="4" t="s">
        <v>711</v>
      </c>
      <c r="C472" s="4">
        <v>52</v>
      </c>
      <c r="M472" s="8" t="s">
        <v>254</v>
      </c>
    </row>
    <row r="473" spans="1:13" x14ac:dyDescent="0.25">
      <c r="A473" s="8" t="s">
        <v>177</v>
      </c>
      <c r="B473" s="4" t="s">
        <v>100</v>
      </c>
      <c r="C473" s="4">
        <v>52</v>
      </c>
      <c r="M473" s="8" t="s">
        <v>177</v>
      </c>
    </row>
    <row r="474" spans="1:13" x14ac:dyDescent="0.25">
      <c r="A474" s="8" t="s">
        <v>136</v>
      </c>
      <c r="B474" s="4" t="s">
        <v>712</v>
      </c>
      <c r="C474" s="4">
        <v>13</v>
      </c>
      <c r="M474" s="8" t="s">
        <v>136</v>
      </c>
    </row>
    <row r="475" spans="1:13" x14ac:dyDescent="0.25">
      <c r="A475" s="8" t="s">
        <v>227</v>
      </c>
      <c r="B475" s="4" t="s">
        <v>713</v>
      </c>
      <c r="C475" s="4">
        <v>31</v>
      </c>
      <c r="M475" s="8" t="s">
        <v>227</v>
      </c>
    </row>
    <row r="476" spans="1:13" x14ac:dyDescent="0.25">
      <c r="A476" s="8" t="s">
        <v>211</v>
      </c>
      <c r="B476" s="4" t="s">
        <v>713</v>
      </c>
      <c r="C476" s="4">
        <v>47</v>
      </c>
      <c r="M476" s="8" t="s">
        <v>211</v>
      </c>
    </row>
    <row r="477" spans="1:13" x14ac:dyDescent="0.25">
      <c r="A477" s="8" t="s">
        <v>154</v>
      </c>
      <c r="B477" s="4" t="s">
        <v>99</v>
      </c>
      <c r="C477" s="4">
        <v>39</v>
      </c>
      <c r="M477" s="8" t="s">
        <v>154</v>
      </c>
    </row>
    <row r="478" spans="1:13" x14ac:dyDescent="0.25">
      <c r="A478" s="8" t="s">
        <v>192</v>
      </c>
      <c r="B478" s="4" t="s">
        <v>711</v>
      </c>
      <c r="C478" s="4">
        <v>20</v>
      </c>
      <c r="M478" s="8" t="s">
        <v>192</v>
      </c>
    </row>
    <row r="479" spans="1:13" x14ac:dyDescent="0.25">
      <c r="A479" s="8" t="s">
        <v>135</v>
      </c>
      <c r="B479" s="4" t="s">
        <v>715</v>
      </c>
      <c r="C479" s="4">
        <v>23</v>
      </c>
      <c r="M479" s="8" t="s">
        <v>135</v>
      </c>
    </row>
    <row r="480" spans="1:13" x14ac:dyDescent="0.25">
      <c r="A480" s="8" t="s">
        <v>135</v>
      </c>
      <c r="B480" s="4" t="s">
        <v>724</v>
      </c>
      <c r="C480" s="4">
        <v>14</v>
      </c>
      <c r="M480" s="8" t="s">
        <v>135</v>
      </c>
    </row>
    <row r="481" spans="1:13" x14ac:dyDescent="0.25">
      <c r="A481" s="8" t="s">
        <v>187</v>
      </c>
      <c r="B481" s="4" t="s">
        <v>715</v>
      </c>
      <c r="C481" s="4">
        <v>20</v>
      </c>
      <c r="M481" s="8" t="s">
        <v>187</v>
      </c>
    </row>
    <row r="482" spans="1:13" x14ac:dyDescent="0.25">
      <c r="A482" s="8" t="s">
        <v>195</v>
      </c>
      <c r="B482" s="4" t="s">
        <v>721</v>
      </c>
      <c r="C482" s="4">
        <v>16</v>
      </c>
      <c r="M482" s="8" t="s">
        <v>195</v>
      </c>
    </row>
    <row r="483" spans="1:13" x14ac:dyDescent="0.25">
      <c r="A483" s="8" t="s">
        <v>221</v>
      </c>
      <c r="B483" s="4" t="s">
        <v>719</v>
      </c>
      <c r="C483" s="4">
        <v>22</v>
      </c>
      <c r="M483" s="8" t="s">
        <v>221</v>
      </c>
    </row>
    <row r="484" spans="1:13" x14ac:dyDescent="0.25">
      <c r="A484" s="8" t="s">
        <v>164</v>
      </c>
      <c r="B484" s="4" t="s">
        <v>728</v>
      </c>
      <c r="C484" s="4">
        <v>46</v>
      </c>
      <c r="M484" s="8" t="s">
        <v>164</v>
      </c>
    </row>
    <row r="485" spans="1:13" x14ac:dyDescent="0.25">
      <c r="A485" s="8" t="s">
        <v>187</v>
      </c>
      <c r="B485" s="4" t="s">
        <v>726</v>
      </c>
      <c r="C485" s="4">
        <v>34</v>
      </c>
      <c r="M485" s="8" t="s">
        <v>187</v>
      </c>
    </row>
    <row r="486" spans="1:13" x14ac:dyDescent="0.25">
      <c r="A486" s="8" t="s">
        <v>121</v>
      </c>
      <c r="B486" s="4" t="s">
        <v>99</v>
      </c>
      <c r="C486" s="4">
        <v>50</v>
      </c>
      <c r="M486" s="8" t="s">
        <v>121</v>
      </c>
    </row>
    <row r="487" spans="1:13" x14ac:dyDescent="0.25">
      <c r="A487" s="8" t="s">
        <v>139</v>
      </c>
      <c r="B487" s="4" t="s">
        <v>726</v>
      </c>
      <c r="C487" s="4">
        <v>53</v>
      </c>
      <c r="M487" s="8" t="s">
        <v>139</v>
      </c>
    </row>
    <row r="488" spans="1:13" x14ac:dyDescent="0.25">
      <c r="A488" s="8" t="s">
        <v>189</v>
      </c>
      <c r="B488" s="4" t="s">
        <v>713</v>
      </c>
      <c r="C488" s="4">
        <v>32</v>
      </c>
      <c r="M488" s="8" t="s">
        <v>189</v>
      </c>
    </row>
    <row r="489" spans="1:13" x14ac:dyDescent="0.25">
      <c r="A489" s="8" t="s">
        <v>118</v>
      </c>
      <c r="B489" s="4" t="s">
        <v>723</v>
      </c>
      <c r="C489" s="4">
        <v>16</v>
      </c>
      <c r="M489" s="8" t="s">
        <v>118</v>
      </c>
    </row>
    <row r="490" spans="1:13" x14ac:dyDescent="0.25">
      <c r="A490" s="8" t="s">
        <v>227</v>
      </c>
      <c r="B490" s="4" t="s">
        <v>718</v>
      </c>
      <c r="C490" s="4">
        <v>46</v>
      </c>
      <c r="M490" s="8" t="s">
        <v>227</v>
      </c>
    </row>
    <row r="491" spans="1:13" x14ac:dyDescent="0.25">
      <c r="A491" s="8" t="s">
        <v>223</v>
      </c>
      <c r="B491" s="4" t="s">
        <v>102</v>
      </c>
      <c r="C491" s="4">
        <v>28</v>
      </c>
      <c r="M491" s="8" t="s">
        <v>223</v>
      </c>
    </row>
    <row r="492" spans="1:13" x14ac:dyDescent="0.25">
      <c r="A492" s="8" t="s">
        <v>171</v>
      </c>
      <c r="B492" s="4" t="s">
        <v>721</v>
      </c>
      <c r="C492" s="4">
        <v>19</v>
      </c>
      <c r="M492" s="8" t="s">
        <v>171</v>
      </c>
    </row>
    <row r="493" spans="1:13" x14ac:dyDescent="0.25">
      <c r="A493" s="8" t="s">
        <v>177</v>
      </c>
      <c r="B493" s="4" t="s">
        <v>722</v>
      </c>
      <c r="C493" s="4">
        <v>55</v>
      </c>
      <c r="M493" s="8" t="s">
        <v>177</v>
      </c>
    </row>
    <row r="494" spans="1:13" x14ac:dyDescent="0.25">
      <c r="A494" s="8" t="s">
        <v>215</v>
      </c>
      <c r="B494" s="4" t="s">
        <v>722</v>
      </c>
      <c r="C494" s="4">
        <v>22</v>
      </c>
      <c r="M494" s="8" t="s">
        <v>215</v>
      </c>
    </row>
    <row r="495" spans="1:13" x14ac:dyDescent="0.25">
      <c r="A495" s="8" t="s">
        <v>200</v>
      </c>
      <c r="B495" s="4" t="s">
        <v>719</v>
      </c>
      <c r="C495" s="4">
        <v>31</v>
      </c>
      <c r="M495" s="8" t="s">
        <v>200</v>
      </c>
    </row>
    <row r="496" spans="1:13" x14ac:dyDescent="0.25">
      <c r="A496" s="8" t="s">
        <v>162</v>
      </c>
      <c r="B496" s="4" t="s">
        <v>723</v>
      </c>
      <c r="C496" s="4">
        <v>21</v>
      </c>
      <c r="M496" s="8" t="s">
        <v>162</v>
      </c>
    </row>
    <row r="497" spans="1:13" x14ac:dyDescent="0.25">
      <c r="A497" s="8" t="s">
        <v>115</v>
      </c>
      <c r="B497" s="4" t="s">
        <v>721</v>
      </c>
      <c r="C497" s="4">
        <v>37</v>
      </c>
      <c r="M497" s="8" t="s">
        <v>115</v>
      </c>
    </row>
    <row r="498" spans="1:13" x14ac:dyDescent="0.25">
      <c r="A498" s="8" t="s">
        <v>215</v>
      </c>
      <c r="B498" s="4" t="s">
        <v>724</v>
      </c>
      <c r="C498" s="4">
        <v>44</v>
      </c>
      <c r="M498" s="8" t="s">
        <v>215</v>
      </c>
    </row>
    <row r="499" spans="1:13" x14ac:dyDescent="0.25">
      <c r="A499" s="8" t="s">
        <v>172</v>
      </c>
      <c r="B499" s="4" t="s">
        <v>720</v>
      </c>
      <c r="C499" s="4">
        <v>49</v>
      </c>
      <c r="M499" s="8" t="s">
        <v>172</v>
      </c>
    </row>
    <row r="500" spans="1:13" x14ac:dyDescent="0.25">
      <c r="A500" s="8" t="s">
        <v>134</v>
      </c>
      <c r="B500" s="4" t="s">
        <v>710</v>
      </c>
      <c r="C500" s="4">
        <v>39</v>
      </c>
      <c r="M500" s="8" t="s">
        <v>134</v>
      </c>
    </row>
    <row r="501" spans="1:13" x14ac:dyDescent="0.25">
      <c r="A501" s="8" t="s">
        <v>193</v>
      </c>
      <c r="B501" s="4" t="s">
        <v>728</v>
      </c>
      <c r="C501" s="4">
        <v>23</v>
      </c>
      <c r="M501" s="8" t="s">
        <v>193</v>
      </c>
    </row>
    <row r="502" spans="1:13" x14ac:dyDescent="0.25">
      <c r="A502" s="8" t="s">
        <v>239</v>
      </c>
      <c r="B502" s="4" t="s">
        <v>719</v>
      </c>
      <c r="C502" s="4">
        <v>32</v>
      </c>
      <c r="M502" s="8" t="s">
        <v>239</v>
      </c>
    </row>
    <row r="503" spans="1:13" x14ac:dyDescent="0.25">
      <c r="A503" s="8" t="s">
        <v>125</v>
      </c>
      <c r="B503" s="4" t="s">
        <v>715</v>
      </c>
      <c r="C503" s="4">
        <v>27</v>
      </c>
      <c r="M503" s="8" t="s">
        <v>125</v>
      </c>
    </row>
    <row r="504" spans="1:13" x14ac:dyDescent="0.25">
      <c r="A504" s="8" t="s">
        <v>148</v>
      </c>
      <c r="B504" s="4" t="s">
        <v>718</v>
      </c>
      <c r="C504" s="4">
        <v>35</v>
      </c>
      <c r="M504" s="8" t="s">
        <v>148</v>
      </c>
    </row>
    <row r="505" spans="1:13" x14ac:dyDescent="0.25">
      <c r="A505" s="8" t="s">
        <v>249</v>
      </c>
      <c r="B505" s="4" t="s">
        <v>718</v>
      </c>
      <c r="C505" s="4">
        <v>36</v>
      </c>
      <c r="M505" s="8" t="s">
        <v>249</v>
      </c>
    </row>
    <row r="506" spans="1:13" x14ac:dyDescent="0.25">
      <c r="A506" s="8" t="s">
        <v>145</v>
      </c>
      <c r="B506" s="4" t="s">
        <v>722</v>
      </c>
      <c r="C506" s="4">
        <v>15</v>
      </c>
      <c r="M506" s="8" t="s">
        <v>145</v>
      </c>
    </row>
    <row r="507" spans="1:13" x14ac:dyDescent="0.25">
      <c r="A507" s="8" t="s">
        <v>242</v>
      </c>
      <c r="B507" s="4" t="s">
        <v>725</v>
      </c>
      <c r="C507" s="4">
        <v>24</v>
      </c>
      <c r="M507" s="8" t="s">
        <v>242</v>
      </c>
    </row>
    <row r="508" spans="1:13" x14ac:dyDescent="0.25">
      <c r="A508" s="8" t="s">
        <v>115</v>
      </c>
      <c r="B508" s="4" t="s">
        <v>723</v>
      </c>
      <c r="C508" s="4">
        <v>29</v>
      </c>
      <c r="M508" s="8" t="s">
        <v>115</v>
      </c>
    </row>
    <row r="509" spans="1:13" x14ac:dyDescent="0.25">
      <c r="A509" s="8" t="s">
        <v>168</v>
      </c>
      <c r="B509" s="4" t="s">
        <v>711</v>
      </c>
      <c r="C509" s="4">
        <v>42</v>
      </c>
      <c r="M509" s="8" t="s">
        <v>168</v>
      </c>
    </row>
    <row r="510" spans="1:13" x14ac:dyDescent="0.25">
      <c r="A510" s="8" t="s">
        <v>231</v>
      </c>
      <c r="B510" s="4" t="s">
        <v>712</v>
      </c>
      <c r="C510" s="4">
        <v>56</v>
      </c>
      <c r="M510" s="8" t="s">
        <v>231</v>
      </c>
    </row>
    <row r="511" spans="1:13" x14ac:dyDescent="0.25">
      <c r="A511" s="8" t="s">
        <v>194</v>
      </c>
      <c r="B511" s="4" t="s">
        <v>722</v>
      </c>
      <c r="C511" s="4">
        <v>39</v>
      </c>
      <c r="M511" s="8" t="s">
        <v>194</v>
      </c>
    </row>
    <row r="512" spans="1:13" x14ac:dyDescent="0.25">
      <c r="A512" s="8" t="s">
        <v>177</v>
      </c>
      <c r="B512" s="4" t="s">
        <v>103</v>
      </c>
      <c r="C512" s="4">
        <v>28</v>
      </c>
      <c r="M512" s="8" t="s">
        <v>177</v>
      </c>
    </row>
    <row r="513" spans="1:13" x14ac:dyDescent="0.25">
      <c r="A513" s="8" t="s">
        <v>195</v>
      </c>
      <c r="B513" s="4" t="s">
        <v>723</v>
      </c>
      <c r="C513" s="4">
        <v>23</v>
      </c>
      <c r="M513" s="8" t="s">
        <v>195</v>
      </c>
    </row>
    <row r="514" spans="1:13" x14ac:dyDescent="0.25">
      <c r="A514" s="8" t="s">
        <v>232</v>
      </c>
      <c r="B514" s="4" t="s">
        <v>720</v>
      </c>
      <c r="C514" s="4">
        <v>47</v>
      </c>
      <c r="M514" s="8" t="s">
        <v>232</v>
      </c>
    </row>
    <row r="515" spans="1:13" x14ac:dyDescent="0.25">
      <c r="A515" s="8" t="s">
        <v>128</v>
      </c>
      <c r="B515" s="4" t="s">
        <v>710</v>
      </c>
      <c r="C515" s="4">
        <v>16</v>
      </c>
      <c r="M515" s="8" t="s">
        <v>128</v>
      </c>
    </row>
    <row r="516" spans="1:13" x14ac:dyDescent="0.25">
      <c r="A516" s="8" t="s">
        <v>134</v>
      </c>
      <c r="B516" s="4" t="s">
        <v>720</v>
      </c>
      <c r="C516" s="4">
        <v>57</v>
      </c>
      <c r="M516" s="8" t="s">
        <v>134</v>
      </c>
    </row>
    <row r="517" spans="1:13" x14ac:dyDescent="0.25">
      <c r="A517" s="8" t="s">
        <v>109</v>
      </c>
      <c r="B517" s="4" t="s">
        <v>715</v>
      </c>
      <c r="C517" s="4">
        <v>25</v>
      </c>
      <c r="M517" s="8" t="s">
        <v>109</v>
      </c>
    </row>
    <row r="518" spans="1:13" x14ac:dyDescent="0.25">
      <c r="A518" s="8" t="s">
        <v>173</v>
      </c>
      <c r="B518" s="4" t="s">
        <v>710</v>
      </c>
      <c r="C518" s="4">
        <v>49</v>
      </c>
      <c r="M518" s="8" t="s">
        <v>173</v>
      </c>
    </row>
    <row r="519" spans="1:13" x14ac:dyDescent="0.25">
      <c r="A519" s="8" t="s">
        <v>114</v>
      </c>
      <c r="B519" s="4" t="s">
        <v>721</v>
      </c>
      <c r="C519" s="4">
        <v>18</v>
      </c>
      <c r="M519" s="8" t="s">
        <v>114</v>
      </c>
    </row>
    <row r="520" spans="1:13" x14ac:dyDescent="0.25">
      <c r="A520" s="8" t="s">
        <v>135</v>
      </c>
      <c r="B520" s="4" t="s">
        <v>715</v>
      </c>
      <c r="C520" s="4">
        <v>22</v>
      </c>
      <c r="M520" s="8" t="s">
        <v>135</v>
      </c>
    </row>
    <row r="521" spans="1:13" x14ac:dyDescent="0.25">
      <c r="A521" s="8" t="s">
        <v>252</v>
      </c>
      <c r="B521" s="4" t="s">
        <v>716</v>
      </c>
      <c r="C521" s="4">
        <v>52</v>
      </c>
      <c r="M521" s="8" t="s">
        <v>252</v>
      </c>
    </row>
    <row r="522" spans="1:13" x14ac:dyDescent="0.25">
      <c r="A522" s="8" t="s">
        <v>135</v>
      </c>
      <c r="B522" s="4" t="s">
        <v>716</v>
      </c>
      <c r="C522" s="4">
        <v>13</v>
      </c>
      <c r="M522" s="8" t="s">
        <v>135</v>
      </c>
    </row>
    <row r="523" spans="1:13" x14ac:dyDescent="0.25">
      <c r="A523" s="8" t="s">
        <v>126</v>
      </c>
      <c r="B523" s="4" t="s">
        <v>711</v>
      </c>
      <c r="C523" s="4">
        <v>49</v>
      </c>
      <c r="M523" s="8" t="s">
        <v>126</v>
      </c>
    </row>
    <row r="524" spans="1:13" x14ac:dyDescent="0.25">
      <c r="A524" s="8" t="s">
        <v>234</v>
      </c>
      <c r="B524" s="4" t="s">
        <v>103</v>
      </c>
      <c r="C524" s="4">
        <v>15</v>
      </c>
      <c r="M524" s="8" t="s">
        <v>234</v>
      </c>
    </row>
    <row r="525" spans="1:13" x14ac:dyDescent="0.25">
      <c r="A525" s="8" t="s">
        <v>193</v>
      </c>
      <c r="B525" s="4" t="s">
        <v>710</v>
      </c>
      <c r="C525" s="4">
        <v>39</v>
      </c>
      <c r="M525" s="8" t="s">
        <v>193</v>
      </c>
    </row>
    <row r="526" spans="1:13" x14ac:dyDescent="0.25">
      <c r="A526" s="8" t="s">
        <v>120</v>
      </c>
      <c r="B526" s="4" t="s">
        <v>728</v>
      </c>
      <c r="C526" s="4">
        <v>36</v>
      </c>
      <c r="M526" s="8" t="s">
        <v>120</v>
      </c>
    </row>
    <row r="527" spans="1:13" x14ac:dyDescent="0.25">
      <c r="A527" s="8" t="s">
        <v>224</v>
      </c>
      <c r="B527" s="4" t="s">
        <v>725</v>
      </c>
      <c r="C527" s="4">
        <v>17</v>
      </c>
      <c r="M527" s="8" t="s">
        <v>224</v>
      </c>
    </row>
    <row r="528" spans="1:13" x14ac:dyDescent="0.25">
      <c r="A528" s="8" t="s">
        <v>216</v>
      </c>
      <c r="B528" s="4" t="s">
        <v>102</v>
      </c>
      <c r="C528" s="4">
        <v>41</v>
      </c>
      <c r="M528" s="8" t="s">
        <v>216</v>
      </c>
    </row>
    <row r="529" spans="1:13" x14ac:dyDescent="0.25">
      <c r="A529" s="8" t="s">
        <v>228</v>
      </c>
      <c r="B529" s="4" t="s">
        <v>720</v>
      </c>
      <c r="C529" s="4">
        <v>54</v>
      </c>
      <c r="M529" s="8" t="s">
        <v>228</v>
      </c>
    </row>
    <row r="530" spans="1:13" x14ac:dyDescent="0.25">
      <c r="A530" s="8" t="s">
        <v>173</v>
      </c>
      <c r="B530" s="4" t="s">
        <v>728</v>
      </c>
      <c r="C530" s="4">
        <v>45</v>
      </c>
      <c r="M530" s="8" t="s">
        <v>173</v>
      </c>
    </row>
    <row r="531" spans="1:13" x14ac:dyDescent="0.25">
      <c r="A531" s="8" t="s">
        <v>239</v>
      </c>
      <c r="B531" s="4" t="s">
        <v>718</v>
      </c>
      <c r="C531" s="4">
        <v>55</v>
      </c>
      <c r="M531" s="8" t="s">
        <v>239</v>
      </c>
    </row>
    <row r="532" spans="1:13" x14ac:dyDescent="0.25">
      <c r="A532" s="8" t="s">
        <v>221</v>
      </c>
      <c r="B532" s="4" t="s">
        <v>722</v>
      </c>
      <c r="C532" s="4">
        <v>26</v>
      </c>
      <c r="M532" s="8" t="s">
        <v>221</v>
      </c>
    </row>
    <row r="533" spans="1:13" x14ac:dyDescent="0.25">
      <c r="A533" s="8" t="s">
        <v>174</v>
      </c>
      <c r="B533" s="4" t="s">
        <v>101</v>
      </c>
      <c r="C533" s="4">
        <v>28</v>
      </c>
      <c r="M533" s="8" t="s">
        <v>174</v>
      </c>
    </row>
    <row r="534" spans="1:13" x14ac:dyDescent="0.25">
      <c r="A534" s="8" t="s">
        <v>129</v>
      </c>
      <c r="B534" s="4" t="s">
        <v>722</v>
      </c>
      <c r="C534" s="4">
        <v>43</v>
      </c>
      <c r="M534" s="8" t="s">
        <v>129</v>
      </c>
    </row>
    <row r="535" spans="1:13" x14ac:dyDescent="0.25">
      <c r="A535" s="8" t="s">
        <v>197</v>
      </c>
      <c r="B535" s="4" t="s">
        <v>725</v>
      </c>
      <c r="C535" s="4">
        <v>30</v>
      </c>
      <c r="M535" s="8" t="s">
        <v>197</v>
      </c>
    </row>
    <row r="536" spans="1:13" x14ac:dyDescent="0.25">
      <c r="A536" s="8" t="s">
        <v>192</v>
      </c>
      <c r="B536" s="4" t="s">
        <v>711</v>
      </c>
      <c r="C536" s="4">
        <v>36</v>
      </c>
      <c r="M536" s="8" t="s">
        <v>192</v>
      </c>
    </row>
    <row r="537" spans="1:13" x14ac:dyDescent="0.25">
      <c r="A537" s="8" t="s">
        <v>151</v>
      </c>
      <c r="B537" s="4" t="s">
        <v>721</v>
      </c>
      <c r="C537" s="4">
        <v>46</v>
      </c>
      <c r="M537" s="8" t="s">
        <v>151</v>
      </c>
    </row>
    <row r="538" spans="1:13" x14ac:dyDescent="0.25">
      <c r="A538" s="8" t="s">
        <v>153</v>
      </c>
      <c r="B538" s="4" t="s">
        <v>728</v>
      </c>
      <c r="C538" s="4">
        <v>39</v>
      </c>
      <c r="M538" s="8" t="s">
        <v>153</v>
      </c>
    </row>
    <row r="539" spans="1:13" x14ac:dyDescent="0.25">
      <c r="A539" s="8" t="s">
        <v>174</v>
      </c>
      <c r="B539" s="4" t="s">
        <v>102</v>
      </c>
      <c r="C539" s="4">
        <v>16</v>
      </c>
      <c r="M539" s="8" t="s">
        <v>174</v>
      </c>
    </row>
    <row r="540" spans="1:13" x14ac:dyDescent="0.25">
      <c r="A540" s="8" t="s">
        <v>246</v>
      </c>
      <c r="B540" s="4" t="s">
        <v>717</v>
      </c>
      <c r="C540" s="4">
        <v>55</v>
      </c>
      <c r="M540" s="8" t="s">
        <v>246</v>
      </c>
    </row>
    <row r="541" spans="1:13" x14ac:dyDescent="0.25">
      <c r="A541" s="8" t="s">
        <v>223</v>
      </c>
      <c r="B541" s="4" t="s">
        <v>715</v>
      </c>
      <c r="C541" s="4">
        <v>19</v>
      </c>
      <c r="M541" s="8" t="s">
        <v>223</v>
      </c>
    </row>
    <row r="542" spans="1:13" x14ac:dyDescent="0.25">
      <c r="A542" s="8" t="s">
        <v>125</v>
      </c>
      <c r="B542" s="4" t="s">
        <v>101</v>
      </c>
      <c r="C542" s="4">
        <v>25</v>
      </c>
      <c r="M542" s="8" t="s">
        <v>125</v>
      </c>
    </row>
    <row r="543" spans="1:13" x14ac:dyDescent="0.25">
      <c r="A543" s="8" t="s">
        <v>255</v>
      </c>
      <c r="B543" s="4" t="s">
        <v>724</v>
      </c>
      <c r="C543" s="4">
        <v>27</v>
      </c>
      <c r="M543" s="8" t="s">
        <v>255</v>
      </c>
    </row>
    <row r="544" spans="1:13" x14ac:dyDescent="0.25">
      <c r="A544" s="8" t="s">
        <v>256</v>
      </c>
      <c r="B544" s="4" t="s">
        <v>723</v>
      </c>
      <c r="C544" s="4">
        <v>29</v>
      </c>
      <c r="M544" s="8" t="s">
        <v>256</v>
      </c>
    </row>
    <row r="545" spans="1:13" x14ac:dyDescent="0.25">
      <c r="A545" s="8" t="s">
        <v>149</v>
      </c>
      <c r="B545" s="4" t="s">
        <v>715</v>
      </c>
      <c r="C545" s="4">
        <v>56</v>
      </c>
      <c r="M545" s="8" t="s">
        <v>149</v>
      </c>
    </row>
    <row r="546" spans="1:13" x14ac:dyDescent="0.25">
      <c r="A546" s="8" t="s">
        <v>191</v>
      </c>
      <c r="B546" s="4" t="s">
        <v>103</v>
      </c>
      <c r="C546" s="4">
        <v>15</v>
      </c>
      <c r="M546" s="8" t="s">
        <v>191</v>
      </c>
    </row>
    <row r="547" spans="1:13" x14ac:dyDescent="0.25">
      <c r="A547" s="8" t="s">
        <v>191</v>
      </c>
      <c r="B547" s="4" t="s">
        <v>721</v>
      </c>
      <c r="C547" s="4">
        <v>16</v>
      </c>
      <c r="M547" s="8" t="s">
        <v>191</v>
      </c>
    </row>
    <row r="548" spans="1:13" x14ac:dyDescent="0.25">
      <c r="A548" s="8" t="s">
        <v>152</v>
      </c>
      <c r="B548" s="4" t="s">
        <v>722</v>
      </c>
      <c r="C548" s="4">
        <v>51</v>
      </c>
      <c r="M548" s="8" t="s">
        <v>152</v>
      </c>
    </row>
    <row r="549" spans="1:13" x14ac:dyDescent="0.25">
      <c r="A549" s="8" t="s">
        <v>159</v>
      </c>
      <c r="B549" s="4" t="s">
        <v>727</v>
      </c>
      <c r="C549" s="4">
        <v>59</v>
      </c>
      <c r="M549" s="8" t="s">
        <v>159</v>
      </c>
    </row>
    <row r="550" spans="1:13" x14ac:dyDescent="0.25">
      <c r="A550" s="8" t="s">
        <v>175</v>
      </c>
      <c r="B550" s="4" t="s">
        <v>728</v>
      </c>
      <c r="C550" s="4">
        <v>40</v>
      </c>
      <c r="M550" s="8" t="s">
        <v>175</v>
      </c>
    </row>
    <row r="551" spans="1:13" x14ac:dyDescent="0.25">
      <c r="A551" s="8" t="s">
        <v>244</v>
      </c>
      <c r="B551" s="4" t="s">
        <v>722</v>
      </c>
      <c r="C551" s="4">
        <v>39</v>
      </c>
      <c r="M551" s="8" t="s">
        <v>244</v>
      </c>
    </row>
    <row r="552" spans="1:13" x14ac:dyDescent="0.25">
      <c r="A552" s="8" t="s">
        <v>230</v>
      </c>
      <c r="B552" s="4" t="s">
        <v>720</v>
      </c>
      <c r="C552" s="4">
        <v>38</v>
      </c>
      <c r="M552" s="8" t="s">
        <v>230</v>
      </c>
    </row>
    <row r="553" spans="1:13" x14ac:dyDescent="0.25">
      <c r="A553" s="8" t="s">
        <v>242</v>
      </c>
      <c r="B553" s="4" t="s">
        <v>99</v>
      </c>
      <c r="C553" s="4">
        <v>23</v>
      </c>
      <c r="M553" s="8" t="s">
        <v>242</v>
      </c>
    </row>
    <row r="554" spans="1:13" x14ac:dyDescent="0.25">
      <c r="A554" s="8" t="s">
        <v>238</v>
      </c>
      <c r="B554" s="4" t="s">
        <v>717</v>
      </c>
      <c r="C554" s="4">
        <v>48</v>
      </c>
      <c r="M554" s="8" t="s">
        <v>238</v>
      </c>
    </row>
    <row r="555" spans="1:13" x14ac:dyDescent="0.25">
      <c r="A555" s="8" t="s">
        <v>245</v>
      </c>
      <c r="B555" s="4" t="s">
        <v>721</v>
      </c>
      <c r="C555" s="4">
        <v>39</v>
      </c>
      <c r="M555" s="8" t="s">
        <v>245</v>
      </c>
    </row>
    <row r="556" spans="1:13" x14ac:dyDescent="0.25">
      <c r="A556" s="8" t="s">
        <v>160</v>
      </c>
      <c r="B556" s="4" t="s">
        <v>711</v>
      </c>
      <c r="C556" s="4">
        <v>47</v>
      </c>
      <c r="M556" s="8" t="s">
        <v>160</v>
      </c>
    </row>
    <row r="557" spans="1:13" x14ac:dyDescent="0.25">
      <c r="A557" s="8" t="s">
        <v>205</v>
      </c>
      <c r="B557" s="4" t="s">
        <v>100</v>
      </c>
      <c r="C557" s="4">
        <v>43</v>
      </c>
      <c r="M557" s="8" t="s">
        <v>205</v>
      </c>
    </row>
    <row r="558" spans="1:13" x14ac:dyDescent="0.25">
      <c r="A558" s="8" t="s">
        <v>140</v>
      </c>
      <c r="B558" s="4" t="s">
        <v>726</v>
      </c>
      <c r="C558" s="4">
        <v>14</v>
      </c>
      <c r="M558" s="8" t="s">
        <v>140</v>
      </c>
    </row>
    <row r="559" spans="1:13" x14ac:dyDescent="0.25">
      <c r="A559" s="8" t="s">
        <v>163</v>
      </c>
      <c r="B559" s="4" t="s">
        <v>710</v>
      </c>
      <c r="C559" s="4">
        <v>40</v>
      </c>
      <c r="M559" s="8" t="s">
        <v>163</v>
      </c>
    </row>
    <row r="560" spans="1:13" x14ac:dyDescent="0.25">
      <c r="A560" s="8" t="s">
        <v>192</v>
      </c>
      <c r="B560" s="4" t="s">
        <v>718</v>
      </c>
      <c r="C560" s="4">
        <v>17</v>
      </c>
      <c r="M560" s="8" t="s">
        <v>192</v>
      </c>
    </row>
    <row r="561" spans="1:13" x14ac:dyDescent="0.25">
      <c r="A561" s="8" t="s">
        <v>122</v>
      </c>
      <c r="B561" s="4" t="s">
        <v>727</v>
      </c>
      <c r="C561" s="4">
        <v>12</v>
      </c>
      <c r="M561" s="8" t="s">
        <v>122</v>
      </c>
    </row>
    <row r="562" spans="1:13" x14ac:dyDescent="0.25">
      <c r="A562" s="8" t="s">
        <v>115</v>
      </c>
      <c r="B562" s="4" t="s">
        <v>101</v>
      </c>
      <c r="C562" s="4">
        <v>56</v>
      </c>
      <c r="M562" s="8" t="s">
        <v>115</v>
      </c>
    </row>
    <row r="563" spans="1:13" x14ac:dyDescent="0.25">
      <c r="A563" s="8" t="s">
        <v>213</v>
      </c>
      <c r="B563" s="4" t="s">
        <v>726</v>
      </c>
      <c r="C563" s="4">
        <v>12</v>
      </c>
      <c r="M563" s="8" t="s">
        <v>213</v>
      </c>
    </row>
    <row r="564" spans="1:13" x14ac:dyDescent="0.25">
      <c r="A564" s="8" t="s">
        <v>207</v>
      </c>
      <c r="B564" s="4" t="s">
        <v>715</v>
      </c>
      <c r="C564" s="4">
        <v>21</v>
      </c>
      <c r="M564" s="8" t="s">
        <v>207</v>
      </c>
    </row>
    <row r="565" spans="1:13" x14ac:dyDescent="0.25">
      <c r="A565" s="8" t="s">
        <v>145</v>
      </c>
      <c r="B565" s="4" t="s">
        <v>715</v>
      </c>
      <c r="C565" s="4">
        <v>39</v>
      </c>
      <c r="M565" s="8" t="s">
        <v>145</v>
      </c>
    </row>
    <row r="566" spans="1:13" x14ac:dyDescent="0.25">
      <c r="A566" s="8" t="s">
        <v>231</v>
      </c>
      <c r="B566" s="4" t="s">
        <v>724</v>
      </c>
      <c r="C566" s="4">
        <v>29</v>
      </c>
      <c r="M566" s="8" t="s">
        <v>231</v>
      </c>
    </row>
    <row r="567" spans="1:13" x14ac:dyDescent="0.25">
      <c r="A567" s="8" t="s">
        <v>233</v>
      </c>
      <c r="B567" s="4" t="s">
        <v>723</v>
      </c>
      <c r="C567" s="4">
        <v>32</v>
      </c>
      <c r="M567" s="8" t="s">
        <v>233</v>
      </c>
    </row>
    <row r="568" spans="1:13" x14ac:dyDescent="0.25">
      <c r="A568" s="8" t="s">
        <v>148</v>
      </c>
      <c r="B568" s="4" t="s">
        <v>101</v>
      </c>
      <c r="C568" s="4">
        <v>52</v>
      </c>
      <c r="M568" s="8" t="s">
        <v>148</v>
      </c>
    </row>
    <row r="569" spans="1:13" x14ac:dyDescent="0.25">
      <c r="A569" s="8" t="s">
        <v>196</v>
      </c>
      <c r="B569" s="4" t="s">
        <v>101</v>
      </c>
      <c r="C569" s="4">
        <v>15</v>
      </c>
      <c r="M569" s="8" t="s">
        <v>196</v>
      </c>
    </row>
    <row r="570" spans="1:13" x14ac:dyDescent="0.25">
      <c r="A570" s="8" t="s">
        <v>189</v>
      </c>
      <c r="B570" s="4" t="s">
        <v>103</v>
      </c>
      <c r="C570" s="4">
        <v>22</v>
      </c>
      <c r="M570" s="8" t="s">
        <v>189</v>
      </c>
    </row>
    <row r="571" spans="1:13" x14ac:dyDescent="0.25">
      <c r="A571" s="8" t="s">
        <v>200</v>
      </c>
      <c r="B571" s="4" t="s">
        <v>720</v>
      </c>
      <c r="C571" s="4">
        <v>53</v>
      </c>
      <c r="M571" s="8" t="s">
        <v>200</v>
      </c>
    </row>
    <row r="572" spans="1:13" x14ac:dyDescent="0.25">
      <c r="A572" s="8" t="s">
        <v>251</v>
      </c>
      <c r="B572" s="4" t="s">
        <v>713</v>
      </c>
      <c r="C572" s="4">
        <v>37</v>
      </c>
      <c r="M572" s="8" t="s">
        <v>251</v>
      </c>
    </row>
    <row r="573" spans="1:13" x14ac:dyDescent="0.25">
      <c r="A573" s="8" t="s">
        <v>240</v>
      </c>
      <c r="B573" s="4" t="s">
        <v>102</v>
      </c>
      <c r="C573" s="4">
        <v>43</v>
      </c>
      <c r="M573" s="8" t="s">
        <v>240</v>
      </c>
    </row>
    <row r="574" spans="1:13" x14ac:dyDescent="0.25">
      <c r="A574" s="8" t="s">
        <v>162</v>
      </c>
      <c r="B574" s="4" t="s">
        <v>101</v>
      </c>
      <c r="C574" s="4">
        <v>10</v>
      </c>
      <c r="M574" s="8" t="s">
        <v>162</v>
      </c>
    </row>
    <row r="575" spans="1:13" x14ac:dyDescent="0.25">
      <c r="A575" s="8" t="s">
        <v>212</v>
      </c>
      <c r="B575" s="4" t="s">
        <v>724</v>
      </c>
      <c r="C575" s="4">
        <v>27</v>
      </c>
      <c r="M575" s="8" t="s">
        <v>212</v>
      </c>
    </row>
    <row r="576" spans="1:13" x14ac:dyDescent="0.25">
      <c r="A576" s="8" t="s">
        <v>205</v>
      </c>
      <c r="B576" s="4" t="s">
        <v>100</v>
      </c>
      <c r="C576" s="4">
        <v>22</v>
      </c>
      <c r="M576" s="8" t="s">
        <v>205</v>
      </c>
    </row>
    <row r="577" spans="1:13" x14ac:dyDescent="0.25">
      <c r="A577" s="8" t="s">
        <v>236</v>
      </c>
      <c r="B577" s="4" t="s">
        <v>716</v>
      </c>
      <c r="C577" s="4">
        <v>17</v>
      </c>
      <c r="M577" s="8" t="s">
        <v>236</v>
      </c>
    </row>
    <row r="578" spans="1:13" x14ac:dyDescent="0.25">
      <c r="A578" s="8" t="s">
        <v>121</v>
      </c>
      <c r="B578" s="4" t="s">
        <v>101</v>
      </c>
      <c r="C578" s="4">
        <v>31</v>
      </c>
      <c r="M578" s="8" t="s">
        <v>121</v>
      </c>
    </row>
    <row r="579" spans="1:13" x14ac:dyDescent="0.25">
      <c r="A579" s="8" t="s">
        <v>117</v>
      </c>
      <c r="B579" s="4" t="s">
        <v>714</v>
      </c>
      <c r="C579" s="4">
        <v>49</v>
      </c>
      <c r="M579" s="8" t="s">
        <v>117</v>
      </c>
    </row>
    <row r="580" spans="1:13" x14ac:dyDescent="0.25">
      <c r="A580" s="8" t="s">
        <v>257</v>
      </c>
      <c r="B580" s="4" t="s">
        <v>727</v>
      </c>
      <c r="C580" s="4">
        <v>48</v>
      </c>
      <c r="M580" s="8" t="s">
        <v>257</v>
      </c>
    </row>
    <row r="581" spans="1:13" x14ac:dyDescent="0.25">
      <c r="A581" s="8" t="s">
        <v>253</v>
      </c>
      <c r="B581" s="4" t="s">
        <v>711</v>
      </c>
      <c r="C581" s="4">
        <v>55</v>
      </c>
      <c r="M581" s="8" t="s">
        <v>253</v>
      </c>
    </row>
    <row r="582" spans="1:13" x14ac:dyDescent="0.25">
      <c r="A582" s="8" t="s">
        <v>169</v>
      </c>
      <c r="B582" s="4" t="s">
        <v>721</v>
      </c>
      <c r="C582" s="4">
        <v>26</v>
      </c>
      <c r="M582" s="8" t="s">
        <v>169</v>
      </c>
    </row>
    <row r="583" spans="1:13" x14ac:dyDescent="0.25">
      <c r="A583" s="8" t="s">
        <v>200</v>
      </c>
      <c r="B583" s="4" t="s">
        <v>722</v>
      </c>
      <c r="C583" s="4">
        <v>47</v>
      </c>
      <c r="M583" s="8" t="s">
        <v>200</v>
      </c>
    </row>
    <row r="584" spans="1:13" x14ac:dyDescent="0.25">
      <c r="A584" s="8" t="s">
        <v>146</v>
      </c>
      <c r="B584" s="4" t="s">
        <v>716</v>
      </c>
      <c r="C584" s="4">
        <v>14</v>
      </c>
      <c r="M584" s="8" t="s">
        <v>146</v>
      </c>
    </row>
    <row r="585" spans="1:13" x14ac:dyDescent="0.25">
      <c r="A585" s="8" t="s">
        <v>178</v>
      </c>
      <c r="B585" s="4" t="s">
        <v>101</v>
      </c>
      <c r="C585" s="4">
        <v>40</v>
      </c>
      <c r="M585" s="8" t="s">
        <v>178</v>
      </c>
    </row>
    <row r="586" spans="1:13" x14ac:dyDescent="0.25">
      <c r="A586" s="8" t="s">
        <v>160</v>
      </c>
      <c r="B586" s="4" t="s">
        <v>103</v>
      </c>
      <c r="C586" s="4">
        <v>23</v>
      </c>
      <c r="M586" s="8" t="s">
        <v>160</v>
      </c>
    </row>
    <row r="587" spans="1:13" x14ac:dyDescent="0.25">
      <c r="A587" s="8" t="s">
        <v>123</v>
      </c>
      <c r="B587" s="4" t="s">
        <v>721</v>
      </c>
      <c r="C587" s="4">
        <v>51</v>
      </c>
      <c r="M587" s="8" t="s">
        <v>123</v>
      </c>
    </row>
    <row r="588" spans="1:13" x14ac:dyDescent="0.25">
      <c r="A588" s="8" t="s">
        <v>207</v>
      </c>
      <c r="B588" s="4" t="s">
        <v>719</v>
      </c>
      <c r="C588" s="4">
        <v>24</v>
      </c>
      <c r="M588" s="8" t="s">
        <v>207</v>
      </c>
    </row>
    <row r="589" spans="1:13" x14ac:dyDescent="0.25">
      <c r="A589" s="8" t="s">
        <v>233</v>
      </c>
      <c r="B589" s="4" t="s">
        <v>101</v>
      </c>
      <c r="C589" s="4">
        <v>56</v>
      </c>
      <c r="M589" s="8" t="s">
        <v>233</v>
      </c>
    </row>
    <row r="590" spans="1:13" x14ac:dyDescent="0.25">
      <c r="A590" s="8" t="s">
        <v>151</v>
      </c>
      <c r="B590" s="4" t="s">
        <v>724</v>
      </c>
      <c r="C590" s="4">
        <v>21</v>
      </c>
      <c r="M590" s="8" t="s">
        <v>151</v>
      </c>
    </row>
    <row r="591" spans="1:13" x14ac:dyDescent="0.25">
      <c r="A591" s="8" t="s">
        <v>192</v>
      </c>
      <c r="B591" s="4" t="s">
        <v>716</v>
      </c>
      <c r="C591" s="4">
        <v>19</v>
      </c>
      <c r="M591" s="8" t="s">
        <v>192</v>
      </c>
    </row>
    <row r="592" spans="1:13" x14ac:dyDescent="0.25">
      <c r="A592" s="8" t="s">
        <v>246</v>
      </c>
      <c r="B592" s="4" t="s">
        <v>725</v>
      </c>
      <c r="C592" s="4">
        <v>39</v>
      </c>
      <c r="M592" s="8" t="s">
        <v>246</v>
      </c>
    </row>
    <row r="593" spans="1:13" x14ac:dyDescent="0.25">
      <c r="A593" s="8" t="s">
        <v>238</v>
      </c>
      <c r="B593" s="4" t="s">
        <v>720</v>
      </c>
      <c r="C593" s="4">
        <v>34</v>
      </c>
      <c r="M593" s="8" t="s">
        <v>238</v>
      </c>
    </row>
    <row r="594" spans="1:13" x14ac:dyDescent="0.25">
      <c r="A594" s="8" t="s">
        <v>158</v>
      </c>
      <c r="B594" s="4" t="s">
        <v>103</v>
      </c>
      <c r="C594" s="4">
        <v>42</v>
      </c>
      <c r="M594" s="8" t="s">
        <v>158</v>
      </c>
    </row>
    <row r="595" spans="1:13" x14ac:dyDescent="0.25">
      <c r="A595" s="8" t="s">
        <v>194</v>
      </c>
      <c r="B595" s="4" t="s">
        <v>712</v>
      </c>
      <c r="C595" s="4">
        <v>21</v>
      </c>
      <c r="M595" s="8" t="s">
        <v>194</v>
      </c>
    </row>
    <row r="596" spans="1:13" x14ac:dyDescent="0.25">
      <c r="A596" s="8" t="s">
        <v>184</v>
      </c>
      <c r="B596" s="4" t="s">
        <v>723</v>
      </c>
      <c r="C596" s="4">
        <v>10</v>
      </c>
      <c r="M596" s="8" t="s">
        <v>184</v>
      </c>
    </row>
    <row r="597" spans="1:13" x14ac:dyDescent="0.25">
      <c r="A597" s="8" t="s">
        <v>251</v>
      </c>
      <c r="B597" s="4" t="s">
        <v>711</v>
      </c>
      <c r="C597" s="4">
        <v>57</v>
      </c>
      <c r="M597" s="8" t="s">
        <v>251</v>
      </c>
    </row>
    <row r="598" spans="1:13" x14ac:dyDescent="0.25">
      <c r="A598" s="8" t="s">
        <v>221</v>
      </c>
      <c r="B598" s="4" t="s">
        <v>727</v>
      </c>
      <c r="C598" s="4">
        <v>38</v>
      </c>
      <c r="M598" s="8" t="s">
        <v>221</v>
      </c>
    </row>
    <row r="599" spans="1:13" x14ac:dyDescent="0.25">
      <c r="A599" s="8" t="s">
        <v>132</v>
      </c>
      <c r="B599" s="4" t="s">
        <v>101</v>
      </c>
      <c r="C599" s="4">
        <v>39</v>
      </c>
      <c r="M599" s="8" t="s">
        <v>132</v>
      </c>
    </row>
    <row r="600" spans="1:13" x14ac:dyDescent="0.25">
      <c r="A600" s="8" t="s">
        <v>248</v>
      </c>
      <c r="B600" s="4" t="s">
        <v>726</v>
      </c>
      <c r="C600" s="4">
        <v>57</v>
      </c>
      <c r="M600" s="8" t="s">
        <v>248</v>
      </c>
    </row>
    <row r="601" spans="1:13" x14ac:dyDescent="0.25">
      <c r="A601" s="8" t="s">
        <v>202</v>
      </c>
      <c r="B601" s="4" t="s">
        <v>100</v>
      </c>
      <c r="C601" s="4">
        <v>15</v>
      </c>
      <c r="M601" s="8" t="s">
        <v>202</v>
      </c>
    </row>
    <row r="602" spans="1:13" x14ac:dyDescent="0.25">
      <c r="A602" s="8" t="s">
        <v>242</v>
      </c>
      <c r="B602" s="4" t="s">
        <v>99</v>
      </c>
      <c r="C602" s="4">
        <v>36</v>
      </c>
      <c r="M602" s="8" t="s">
        <v>242</v>
      </c>
    </row>
    <row r="603" spans="1:13" x14ac:dyDescent="0.25">
      <c r="A603" s="8" t="s">
        <v>135</v>
      </c>
      <c r="B603" s="4" t="s">
        <v>716</v>
      </c>
      <c r="C603" s="4">
        <v>50</v>
      </c>
      <c r="M603" s="8" t="s">
        <v>135</v>
      </c>
    </row>
    <row r="604" spans="1:13" x14ac:dyDescent="0.25">
      <c r="A604" s="8" t="s">
        <v>111</v>
      </c>
      <c r="B604" s="4" t="s">
        <v>726</v>
      </c>
      <c r="C604" s="4">
        <v>36</v>
      </c>
      <c r="M604" s="8" t="s">
        <v>111</v>
      </c>
    </row>
    <row r="605" spans="1:13" x14ac:dyDescent="0.25">
      <c r="A605" s="8" t="s">
        <v>139</v>
      </c>
      <c r="B605" s="4" t="s">
        <v>726</v>
      </c>
      <c r="C605" s="4">
        <v>36</v>
      </c>
      <c r="M605" s="8" t="s">
        <v>139</v>
      </c>
    </row>
    <row r="606" spans="1:13" x14ac:dyDescent="0.25">
      <c r="A606" s="8" t="s">
        <v>154</v>
      </c>
      <c r="B606" s="4" t="s">
        <v>718</v>
      </c>
      <c r="C606" s="4">
        <v>51</v>
      </c>
      <c r="M606" s="8" t="s">
        <v>154</v>
      </c>
    </row>
    <row r="607" spans="1:13" x14ac:dyDescent="0.25">
      <c r="A607" s="8" t="s">
        <v>172</v>
      </c>
      <c r="B607" s="4" t="s">
        <v>102</v>
      </c>
      <c r="C607" s="4">
        <v>37</v>
      </c>
      <c r="M607" s="8" t="s">
        <v>172</v>
      </c>
    </row>
    <row r="608" spans="1:13" x14ac:dyDescent="0.25">
      <c r="A608" s="8" t="s">
        <v>164</v>
      </c>
      <c r="B608" s="4" t="s">
        <v>102</v>
      </c>
      <c r="C608" s="4">
        <v>46</v>
      </c>
      <c r="M608" s="8" t="s">
        <v>164</v>
      </c>
    </row>
    <row r="609" spans="1:13" x14ac:dyDescent="0.25">
      <c r="A609" s="8" t="s">
        <v>179</v>
      </c>
      <c r="B609" s="4" t="s">
        <v>102</v>
      </c>
      <c r="C609" s="4">
        <v>29</v>
      </c>
      <c r="M609" s="8" t="s">
        <v>179</v>
      </c>
    </row>
    <row r="610" spans="1:13" x14ac:dyDescent="0.25">
      <c r="A610" s="8" t="s">
        <v>154</v>
      </c>
      <c r="B610" s="4" t="s">
        <v>723</v>
      </c>
      <c r="C610" s="4">
        <v>31</v>
      </c>
      <c r="M610" s="8" t="s">
        <v>154</v>
      </c>
    </row>
    <row r="611" spans="1:13" x14ac:dyDescent="0.25">
      <c r="A611" s="8" t="s">
        <v>148</v>
      </c>
      <c r="B611" s="4" t="s">
        <v>102</v>
      </c>
      <c r="C611" s="4">
        <v>10</v>
      </c>
      <c r="M611" s="8" t="s">
        <v>148</v>
      </c>
    </row>
    <row r="612" spans="1:13" x14ac:dyDescent="0.25">
      <c r="A612" s="8" t="s">
        <v>250</v>
      </c>
      <c r="B612" s="4" t="s">
        <v>719</v>
      </c>
      <c r="C612" s="4">
        <v>54</v>
      </c>
      <c r="M612" s="8" t="s">
        <v>250</v>
      </c>
    </row>
    <row r="613" spans="1:13" x14ac:dyDescent="0.25">
      <c r="A613" s="8" t="s">
        <v>249</v>
      </c>
      <c r="B613" s="4" t="s">
        <v>716</v>
      </c>
      <c r="C613" s="4">
        <v>23</v>
      </c>
      <c r="M613" s="8" t="s">
        <v>249</v>
      </c>
    </row>
    <row r="614" spans="1:13" x14ac:dyDescent="0.25">
      <c r="A614" s="8" t="s">
        <v>240</v>
      </c>
      <c r="B614" s="4" t="s">
        <v>712</v>
      </c>
      <c r="C614" s="4">
        <v>28</v>
      </c>
      <c r="M614" s="8" t="s">
        <v>240</v>
      </c>
    </row>
    <row r="615" spans="1:13" x14ac:dyDescent="0.25">
      <c r="A615" s="8" t="s">
        <v>128</v>
      </c>
      <c r="B615" s="4" t="s">
        <v>725</v>
      </c>
      <c r="C615" s="4">
        <v>32</v>
      </c>
      <c r="M615" s="8" t="s">
        <v>128</v>
      </c>
    </row>
    <row r="616" spans="1:13" x14ac:dyDescent="0.25">
      <c r="A616" s="8" t="s">
        <v>232</v>
      </c>
      <c r="B616" s="4" t="s">
        <v>716</v>
      </c>
      <c r="C616" s="4">
        <v>17</v>
      </c>
      <c r="M616" s="8" t="s">
        <v>232</v>
      </c>
    </row>
    <row r="617" spans="1:13" x14ac:dyDescent="0.25">
      <c r="A617" s="8" t="s">
        <v>236</v>
      </c>
      <c r="B617" s="4" t="s">
        <v>722</v>
      </c>
      <c r="C617" s="4">
        <v>46</v>
      </c>
      <c r="M617" s="8" t="s">
        <v>236</v>
      </c>
    </row>
    <row r="618" spans="1:13" x14ac:dyDescent="0.25">
      <c r="A618" s="8" t="s">
        <v>130</v>
      </c>
      <c r="B618" s="4" t="s">
        <v>729</v>
      </c>
      <c r="C618" s="4">
        <v>22</v>
      </c>
      <c r="M618" s="8" t="s">
        <v>130</v>
      </c>
    </row>
    <row r="619" spans="1:13" x14ac:dyDescent="0.25">
      <c r="A619" s="8" t="s">
        <v>197</v>
      </c>
      <c r="B619" s="4" t="s">
        <v>718</v>
      </c>
      <c r="C619" s="4">
        <v>57</v>
      </c>
      <c r="M619" s="8" t="s">
        <v>197</v>
      </c>
    </row>
    <row r="620" spans="1:13" x14ac:dyDescent="0.25">
      <c r="A620" s="8" t="s">
        <v>146</v>
      </c>
      <c r="B620" s="4" t="s">
        <v>101</v>
      </c>
      <c r="C620" s="4">
        <v>25</v>
      </c>
      <c r="M620" s="8" t="s">
        <v>146</v>
      </c>
    </row>
    <row r="621" spans="1:13" x14ac:dyDescent="0.25">
      <c r="A621" s="8" t="s">
        <v>111</v>
      </c>
      <c r="B621" s="4" t="s">
        <v>718</v>
      </c>
      <c r="C621" s="4">
        <v>41</v>
      </c>
      <c r="M621" s="8" t="s">
        <v>111</v>
      </c>
    </row>
    <row r="622" spans="1:13" x14ac:dyDescent="0.25">
      <c r="A622" s="8" t="s">
        <v>227</v>
      </c>
      <c r="B622" s="4" t="s">
        <v>720</v>
      </c>
      <c r="C622" s="4">
        <v>20</v>
      </c>
      <c r="M622" s="8" t="s">
        <v>227</v>
      </c>
    </row>
    <row r="623" spans="1:13" x14ac:dyDescent="0.25">
      <c r="A623" s="8" t="s">
        <v>130</v>
      </c>
      <c r="B623" s="4" t="s">
        <v>724</v>
      </c>
      <c r="C623" s="4">
        <v>35</v>
      </c>
      <c r="M623" s="8" t="s">
        <v>130</v>
      </c>
    </row>
    <row r="624" spans="1:13" x14ac:dyDescent="0.25">
      <c r="A624" s="8" t="s">
        <v>142</v>
      </c>
      <c r="B624" s="4" t="s">
        <v>710</v>
      </c>
      <c r="C624" s="4">
        <v>28</v>
      </c>
      <c r="M624" s="8" t="s">
        <v>142</v>
      </c>
    </row>
    <row r="625" spans="1:13" x14ac:dyDescent="0.25">
      <c r="A625" s="8" t="s">
        <v>234</v>
      </c>
      <c r="B625" s="4" t="s">
        <v>99</v>
      </c>
      <c r="C625" s="4">
        <v>52</v>
      </c>
      <c r="M625" s="8" t="s">
        <v>234</v>
      </c>
    </row>
    <row r="626" spans="1:13" x14ac:dyDescent="0.25">
      <c r="A626" s="8" t="s">
        <v>153</v>
      </c>
      <c r="B626" s="4" t="s">
        <v>725</v>
      </c>
      <c r="C626" s="4">
        <v>31</v>
      </c>
      <c r="M626" s="8" t="s">
        <v>153</v>
      </c>
    </row>
    <row r="627" spans="1:13" x14ac:dyDescent="0.25">
      <c r="A627" s="8" t="s">
        <v>237</v>
      </c>
      <c r="B627" s="4" t="s">
        <v>723</v>
      </c>
      <c r="C627" s="4">
        <v>27</v>
      </c>
      <c r="M627" s="8" t="s">
        <v>237</v>
      </c>
    </row>
    <row r="628" spans="1:13" x14ac:dyDescent="0.25">
      <c r="A628" s="8" t="s">
        <v>144</v>
      </c>
      <c r="B628" s="4" t="s">
        <v>100</v>
      </c>
      <c r="C628" s="4">
        <v>22</v>
      </c>
      <c r="M628" s="8" t="s">
        <v>144</v>
      </c>
    </row>
    <row r="629" spans="1:13" x14ac:dyDescent="0.25">
      <c r="A629" s="8" t="s">
        <v>251</v>
      </c>
      <c r="B629" s="4" t="s">
        <v>102</v>
      </c>
      <c r="C629" s="4">
        <v>21</v>
      </c>
      <c r="M629" s="8" t="s">
        <v>251</v>
      </c>
    </row>
    <row r="630" spans="1:13" x14ac:dyDescent="0.25">
      <c r="A630" s="8" t="s">
        <v>136</v>
      </c>
      <c r="B630" s="4" t="s">
        <v>714</v>
      </c>
      <c r="C630" s="4">
        <v>26</v>
      </c>
      <c r="M630" s="8" t="s">
        <v>136</v>
      </c>
    </row>
    <row r="631" spans="1:13" x14ac:dyDescent="0.25">
      <c r="A631" s="8" t="s">
        <v>151</v>
      </c>
      <c r="B631" s="4" t="s">
        <v>725</v>
      </c>
      <c r="C631" s="4">
        <v>58</v>
      </c>
      <c r="M631" s="8" t="s">
        <v>151</v>
      </c>
    </row>
    <row r="632" spans="1:13" x14ac:dyDescent="0.25">
      <c r="A632" s="8" t="s">
        <v>222</v>
      </c>
      <c r="B632" s="4" t="s">
        <v>718</v>
      </c>
      <c r="C632" s="4">
        <v>10</v>
      </c>
      <c r="M632" s="8" t="s">
        <v>222</v>
      </c>
    </row>
    <row r="633" spans="1:13" x14ac:dyDescent="0.25">
      <c r="A633" s="8" t="s">
        <v>173</v>
      </c>
      <c r="B633" s="4" t="s">
        <v>710</v>
      </c>
      <c r="C633" s="4">
        <v>19</v>
      </c>
      <c r="M633" s="8" t="s">
        <v>173</v>
      </c>
    </row>
    <row r="634" spans="1:13" x14ac:dyDescent="0.25">
      <c r="A634" s="8" t="s">
        <v>135</v>
      </c>
      <c r="B634" s="4" t="s">
        <v>720</v>
      </c>
      <c r="C634" s="4">
        <v>43</v>
      </c>
      <c r="M634" s="8" t="s">
        <v>135</v>
      </c>
    </row>
    <row r="635" spans="1:13" x14ac:dyDescent="0.25">
      <c r="A635" s="8" t="s">
        <v>117</v>
      </c>
      <c r="B635" s="4" t="s">
        <v>722</v>
      </c>
      <c r="C635" s="4">
        <v>51</v>
      </c>
      <c r="M635" s="8" t="s">
        <v>117</v>
      </c>
    </row>
    <row r="636" spans="1:13" x14ac:dyDescent="0.25">
      <c r="A636" s="8" t="s">
        <v>117</v>
      </c>
      <c r="B636" s="4" t="s">
        <v>717</v>
      </c>
      <c r="C636" s="4">
        <v>35</v>
      </c>
      <c r="M636" s="8" t="s">
        <v>117</v>
      </c>
    </row>
    <row r="637" spans="1:13" x14ac:dyDescent="0.25">
      <c r="A637" s="8" t="s">
        <v>169</v>
      </c>
      <c r="B637" s="4" t="s">
        <v>721</v>
      </c>
      <c r="C637" s="4">
        <v>25</v>
      </c>
      <c r="M637" s="8" t="s">
        <v>169</v>
      </c>
    </row>
    <row r="638" spans="1:13" x14ac:dyDescent="0.25">
      <c r="A638" s="8" t="s">
        <v>201</v>
      </c>
      <c r="B638" s="4" t="s">
        <v>713</v>
      </c>
      <c r="C638" s="4">
        <v>27</v>
      </c>
      <c r="M638" s="8" t="s">
        <v>201</v>
      </c>
    </row>
    <row r="639" spans="1:13" x14ac:dyDescent="0.25">
      <c r="A639" s="8" t="s">
        <v>252</v>
      </c>
      <c r="B639" s="4" t="s">
        <v>716</v>
      </c>
      <c r="C639" s="4">
        <v>44</v>
      </c>
      <c r="M639" s="8" t="s">
        <v>252</v>
      </c>
    </row>
    <row r="640" spans="1:13" x14ac:dyDescent="0.25">
      <c r="A640" s="8" t="s">
        <v>177</v>
      </c>
      <c r="B640" s="4" t="s">
        <v>723</v>
      </c>
      <c r="C640" s="4">
        <v>43</v>
      </c>
      <c r="M640" s="8" t="s">
        <v>177</v>
      </c>
    </row>
    <row r="641" spans="1:13" x14ac:dyDescent="0.25">
      <c r="A641" s="8" t="s">
        <v>181</v>
      </c>
      <c r="B641" s="4" t="s">
        <v>723</v>
      </c>
      <c r="C641" s="4">
        <v>53</v>
      </c>
      <c r="M641" s="8" t="s">
        <v>181</v>
      </c>
    </row>
    <row r="642" spans="1:13" x14ac:dyDescent="0.25">
      <c r="A642" s="8" t="s">
        <v>196</v>
      </c>
      <c r="B642" s="4" t="s">
        <v>728</v>
      </c>
      <c r="C642" s="4">
        <v>18</v>
      </c>
      <c r="M642" s="8" t="s">
        <v>196</v>
      </c>
    </row>
    <row r="643" spans="1:13" x14ac:dyDescent="0.25">
      <c r="A643" s="8" t="s">
        <v>254</v>
      </c>
      <c r="B643" s="4" t="s">
        <v>712</v>
      </c>
      <c r="C643" s="4">
        <v>47</v>
      </c>
      <c r="M643" s="8" t="s">
        <v>254</v>
      </c>
    </row>
    <row r="644" spans="1:13" x14ac:dyDescent="0.25">
      <c r="A644" s="8" t="s">
        <v>175</v>
      </c>
      <c r="B644" s="4" t="s">
        <v>723</v>
      </c>
      <c r="C644" s="4">
        <v>42</v>
      </c>
      <c r="M644" s="8" t="s">
        <v>175</v>
      </c>
    </row>
    <row r="645" spans="1:13" x14ac:dyDescent="0.25">
      <c r="A645" s="8" t="s">
        <v>256</v>
      </c>
      <c r="B645" s="4" t="s">
        <v>725</v>
      </c>
      <c r="C645" s="4">
        <v>49</v>
      </c>
      <c r="M645" s="8" t="s">
        <v>256</v>
      </c>
    </row>
    <row r="646" spans="1:13" x14ac:dyDescent="0.25">
      <c r="A646" s="8" t="s">
        <v>210</v>
      </c>
      <c r="B646" s="4" t="s">
        <v>99</v>
      </c>
      <c r="C646" s="4">
        <v>37</v>
      </c>
      <c r="M646" s="8" t="s">
        <v>210</v>
      </c>
    </row>
    <row r="647" spans="1:13" x14ac:dyDescent="0.25">
      <c r="A647" s="8" t="s">
        <v>171</v>
      </c>
      <c r="B647" s="4" t="s">
        <v>724</v>
      </c>
      <c r="C647" s="4">
        <v>13</v>
      </c>
      <c r="M647" s="8" t="s">
        <v>171</v>
      </c>
    </row>
    <row r="648" spans="1:13" x14ac:dyDescent="0.25">
      <c r="A648" s="8" t="s">
        <v>221</v>
      </c>
      <c r="B648" s="4" t="s">
        <v>720</v>
      </c>
      <c r="C648" s="4">
        <v>11</v>
      </c>
      <c r="M648" s="8" t="s">
        <v>221</v>
      </c>
    </row>
    <row r="649" spans="1:13" x14ac:dyDescent="0.25">
      <c r="A649" s="8" t="s">
        <v>163</v>
      </c>
      <c r="B649" s="4" t="s">
        <v>720</v>
      </c>
      <c r="C649" s="4">
        <v>49</v>
      </c>
      <c r="M649" s="8" t="s">
        <v>163</v>
      </c>
    </row>
    <row r="650" spans="1:13" x14ac:dyDescent="0.25">
      <c r="A650" s="8" t="s">
        <v>187</v>
      </c>
      <c r="B650" s="4" t="s">
        <v>716</v>
      </c>
      <c r="C650" s="4">
        <v>11</v>
      </c>
      <c r="M650" s="8" t="s">
        <v>187</v>
      </c>
    </row>
    <row r="651" spans="1:13" x14ac:dyDescent="0.25">
      <c r="A651" s="8" t="s">
        <v>190</v>
      </c>
      <c r="B651" s="4" t="s">
        <v>100</v>
      </c>
      <c r="C651" s="4">
        <v>24</v>
      </c>
      <c r="M651" s="8" t="s">
        <v>190</v>
      </c>
    </row>
    <row r="652" spans="1:13" x14ac:dyDescent="0.25">
      <c r="A652" s="8" t="s">
        <v>231</v>
      </c>
      <c r="B652" s="4" t="s">
        <v>720</v>
      </c>
      <c r="C652" s="4">
        <v>57</v>
      </c>
      <c r="M652" s="8" t="s">
        <v>231</v>
      </c>
    </row>
    <row r="653" spans="1:13" x14ac:dyDescent="0.25">
      <c r="A653" s="8" t="s">
        <v>241</v>
      </c>
      <c r="B653" s="4" t="s">
        <v>100</v>
      </c>
      <c r="C653" s="4">
        <v>30</v>
      </c>
      <c r="M653" s="8" t="s">
        <v>241</v>
      </c>
    </row>
    <row r="654" spans="1:13" x14ac:dyDescent="0.25">
      <c r="A654" s="8" t="s">
        <v>171</v>
      </c>
      <c r="B654" s="4" t="s">
        <v>718</v>
      </c>
      <c r="C654" s="4">
        <v>19</v>
      </c>
      <c r="M654" s="8" t="s">
        <v>171</v>
      </c>
    </row>
    <row r="655" spans="1:13" x14ac:dyDescent="0.25">
      <c r="A655" s="8" t="s">
        <v>237</v>
      </c>
      <c r="B655" s="4" t="s">
        <v>710</v>
      </c>
      <c r="C655" s="4">
        <v>47</v>
      </c>
      <c r="M655" s="8" t="s">
        <v>237</v>
      </c>
    </row>
    <row r="656" spans="1:13" x14ac:dyDescent="0.25">
      <c r="A656" s="8" t="s">
        <v>250</v>
      </c>
      <c r="B656" s="4" t="s">
        <v>723</v>
      </c>
      <c r="C656" s="4">
        <v>41</v>
      </c>
      <c r="M656" s="8" t="s">
        <v>250</v>
      </c>
    </row>
    <row r="657" spans="1:13" x14ac:dyDescent="0.25">
      <c r="A657" s="8" t="s">
        <v>232</v>
      </c>
      <c r="B657" s="4" t="s">
        <v>724</v>
      </c>
      <c r="C657" s="4">
        <v>43</v>
      </c>
      <c r="M657" s="8" t="s">
        <v>232</v>
      </c>
    </row>
    <row r="658" spans="1:13" x14ac:dyDescent="0.25">
      <c r="A658" s="8" t="s">
        <v>139</v>
      </c>
      <c r="B658" s="4" t="s">
        <v>712</v>
      </c>
      <c r="C658" s="4">
        <v>11</v>
      </c>
      <c r="M658" s="8" t="s">
        <v>139</v>
      </c>
    </row>
    <row r="659" spans="1:13" x14ac:dyDescent="0.25">
      <c r="A659" s="8" t="s">
        <v>111</v>
      </c>
      <c r="B659" s="4" t="s">
        <v>719</v>
      </c>
      <c r="C659" s="4">
        <v>46</v>
      </c>
      <c r="M659" s="8" t="s">
        <v>111</v>
      </c>
    </row>
    <row r="660" spans="1:13" x14ac:dyDescent="0.25">
      <c r="A660" s="8" t="s">
        <v>243</v>
      </c>
      <c r="B660" s="4" t="s">
        <v>100</v>
      </c>
      <c r="C660" s="4">
        <v>32</v>
      </c>
      <c r="M660" s="8" t="s">
        <v>243</v>
      </c>
    </row>
    <row r="661" spans="1:13" x14ac:dyDescent="0.25">
      <c r="A661" s="8" t="s">
        <v>179</v>
      </c>
      <c r="B661" s="4" t="s">
        <v>725</v>
      </c>
      <c r="C661" s="4">
        <v>12</v>
      </c>
      <c r="M661" s="8" t="s">
        <v>179</v>
      </c>
    </row>
    <row r="662" spans="1:13" x14ac:dyDescent="0.25">
      <c r="A662" s="8" t="s">
        <v>140</v>
      </c>
      <c r="B662" s="4" t="s">
        <v>710</v>
      </c>
      <c r="C662" s="4">
        <v>49</v>
      </c>
      <c r="M662" s="8" t="s">
        <v>140</v>
      </c>
    </row>
    <row r="663" spans="1:13" x14ac:dyDescent="0.25">
      <c r="A663" s="8" t="s">
        <v>133</v>
      </c>
      <c r="B663" s="4" t="s">
        <v>713</v>
      </c>
      <c r="C663" s="4">
        <v>54</v>
      </c>
      <c r="M663" s="8" t="s">
        <v>133</v>
      </c>
    </row>
    <row r="664" spans="1:13" x14ac:dyDescent="0.25">
      <c r="A664" s="8" t="s">
        <v>182</v>
      </c>
      <c r="B664" s="4" t="s">
        <v>100</v>
      </c>
      <c r="C664" s="4">
        <v>19</v>
      </c>
      <c r="M664" s="8" t="s">
        <v>182</v>
      </c>
    </row>
    <row r="665" spans="1:13" x14ac:dyDescent="0.25">
      <c r="A665" s="8" t="s">
        <v>195</v>
      </c>
      <c r="B665" s="4" t="s">
        <v>726</v>
      </c>
      <c r="C665" s="4">
        <v>39</v>
      </c>
      <c r="M665" s="8" t="s">
        <v>195</v>
      </c>
    </row>
    <row r="666" spans="1:13" x14ac:dyDescent="0.25">
      <c r="A666" s="8" t="s">
        <v>183</v>
      </c>
      <c r="B666" s="4" t="s">
        <v>727</v>
      </c>
      <c r="C666" s="4">
        <v>28</v>
      </c>
      <c r="M666" s="8" t="s">
        <v>183</v>
      </c>
    </row>
    <row r="667" spans="1:13" x14ac:dyDescent="0.25">
      <c r="A667" s="8" t="s">
        <v>142</v>
      </c>
      <c r="B667" s="4" t="s">
        <v>721</v>
      </c>
      <c r="C667" s="4">
        <v>28</v>
      </c>
      <c r="M667" s="8" t="s">
        <v>142</v>
      </c>
    </row>
    <row r="668" spans="1:13" x14ac:dyDescent="0.25">
      <c r="A668" s="8" t="s">
        <v>214</v>
      </c>
      <c r="B668" s="4" t="s">
        <v>724</v>
      </c>
      <c r="C668" s="4">
        <v>54</v>
      </c>
      <c r="M668" s="8" t="s">
        <v>214</v>
      </c>
    </row>
    <row r="669" spans="1:13" x14ac:dyDescent="0.25">
      <c r="A669" s="8" t="s">
        <v>234</v>
      </c>
      <c r="B669" s="4" t="s">
        <v>717</v>
      </c>
      <c r="C669" s="4">
        <v>55</v>
      </c>
      <c r="M669" s="8" t="s">
        <v>234</v>
      </c>
    </row>
    <row r="670" spans="1:13" x14ac:dyDescent="0.25">
      <c r="A670" s="8" t="s">
        <v>168</v>
      </c>
      <c r="B670" s="4" t="s">
        <v>716</v>
      </c>
      <c r="C670" s="4">
        <v>44</v>
      </c>
      <c r="M670" s="8" t="s">
        <v>168</v>
      </c>
    </row>
    <row r="671" spans="1:13" x14ac:dyDescent="0.25">
      <c r="A671" s="8" t="s">
        <v>125</v>
      </c>
      <c r="B671" s="4" t="s">
        <v>727</v>
      </c>
      <c r="C671" s="4">
        <v>15</v>
      </c>
      <c r="M671" s="8" t="s">
        <v>125</v>
      </c>
    </row>
    <row r="672" spans="1:13" x14ac:dyDescent="0.25">
      <c r="A672" s="8" t="s">
        <v>144</v>
      </c>
      <c r="B672" s="4" t="s">
        <v>719</v>
      </c>
      <c r="C672" s="4">
        <v>14</v>
      </c>
      <c r="M672" s="8" t="s">
        <v>144</v>
      </c>
    </row>
    <row r="673" spans="1:13" x14ac:dyDescent="0.25">
      <c r="A673" s="8" t="s">
        <v>229</v>
      </c>
      <c r="B673" s="4" t="s">
        <v>727</v>
      </c>
      <c r="C673" s="4">
        <v>32</v>
      </c>
      <c r="M673" s="8" t="s">
        <v>229</v>
      </c>
    </row>
    <row r="674" spans="1:13" x14ac:dyDescent="0.25">
      <c r="A674" s="8" t="s">
        <v>220</v>
      </c>
      <c r="B674" s="4" t="s">
        <v>728</v>
      </c>
      <c r="C674" s="4">
        <v>42</v>
      </c>
      <c r="M674" s="8" t="s">
        <v>220</v>
      </c>
    </row>
    <row r="675" spans="1:13" x14ac:dyDescent="0.25">
      <c r="A675" s="8" t="s">
        <v>191</v>
      </c>
      <c r="B675" s="4" t="s">
        <v>722</v>
      </c>
      <c r="C675" s="4">
        <v>34</v>
      </c>
      <c r="M675" s="8" t="s">
        <v>191</v>
      </c>
    </row>
    <row r="676" spans="1:13" x14ac:dyDescent="0.25">
      <c r="A676" s="8" t="s">
        <v>246</v>
      </c>
      <c r="B676" s="4" t="s">
        <v>725</v>
      </c>
      <c r="C676" s="4">
        <v>22</v>
      </c>
      <c r="M676" s="8" t="s">
        <v>246</v>
      </c>
    </row>
    <row r="677" spans="1:13" x14ac:dyDescent="0.25">
      <c r="A677" s="8" t="s">
        <v>197</v>
      </c>
      <c r="B677" s="4" t="s">
        <v>729</v>
      </c>
      <c r="C677" s="4">
        <v>15</v>
      </c>
      <c r="M677" s="8" t="s">
        <v>197</v>
      </c>
    </row>
    <row r="678" spans="1:13" x14ac:dyDescent="0.25">
      <c r="A678" s="8" t="s">
        <v>125</v>
      </c>
      <c r="B678" s="4" t="s">
        <v>721</v>
      </c>
      <c r="C678" s="4">
        <v>57</v>
      </c>
      <c r="M678" s="8" t="s">
        <v>125</v>
      </c>
    </row>
    <row r="679" spans="1:13" x14ac:dyDescent="0.25">
      <c r="A679" s="8" t="s">
        <v>210</v>
      </c>
      <c r="B679" s="4" t="s">
        <v>725</v>
      </c>
      <c r="C679" s="4">
        <v>32</v>
      </c>
      <c r="M679" s="8" t="s">
        <v>210</v>
      </c>
    </row>
    <row r="680" spans="1:13" x14ac:dyDescent="0.25">
      <c r="A680" s="8" t="s">
        <v>235</v>
      </c>
      <c r="B680" s="4" t="s">
        <v>710</v>
      </c>
      <c r="C680" s="4">
        <v>31</v>
      </c>
      <c r="M680" s="8" t="s">
        <v>235</v>
      </c>
    </row>
    <row r="681" spans="1:13" x14ac:dyDescent="0.25">
      <c r="A681" s="8" t="s">
        <v>232</v>
      </c>
      <c r="B681" s="4" t="s">
        <v>716</v>
      </c>
      <c r="C681" s="4">
        <v>33</v>
      </c>
      <c r="M681" s="8" t="s">
        <v>232</v>
      </c>
    </row>
    <row r="682" spans="1:13" x14ac:dyDescent="0.25">
      <c r="A682" s="8" t="s">
        <v>138</v>
      </c>
      <c r="B682" s="4" t="s">
        <v>712</v>
      </c>
      <c r="C682" s="4">
        <v>11</v>
      </c>
      <c r="M682" s="8" t="s">
        <v>138</v>
      </c>
    </row>
    <row r="683" spans="1:13" x14ac:dyDescent="0.25">
      <c r="A683" s="8" t="s">
        <v>168</v>
      </c>
      <c r="B683" s="4" t="s">
        <v>715</v>
      </c>
      <c r="C683" s="4">
        <v>30</v>
      </c>
      <c r="M683" s="8" t="s">
        <v>168</v>
      </c>
    </row>
    <row r="684" spans="1:13" x14ac:dyDescent="0.25">
      <c r="A684" s="8" t="s">
        <v>185</v>
      </c>
      <c r="B684" s="4" t="s">
        <v>726</v>
      </c>
      <c r="C684" s="4">
        <v>25</v>
      </c>
      <c r="M684" s="8" t="s">
        <v>185</v>
      </c>
    </row>
    <row r="685" spans="1:13" x14ac:dyDescent="0.25">
      <c r="A685" s="8" t="s">
        <v>214</v>
      </c>
      <c r="B685" s="4" t="s">
        <v>100</v>
      </c>
      <c r="C685" s="4">
        <v>21</v>
      </c>
      <c r="M685" s="8" t="s">
        <v>214</v>
      </c>
    </row>
    <row r="686" spans="1:13" x14ac:dyDescent="0.25">
      <c r="A686" s="8" t="s">
        <v>251</v>
      </c>
      <c r="B686" s="4" t="s">
        <v>101</v>
      </c>
      <c r="C686" s="4">
        <v>50</v>
      </c>
      <c r="M686" s="8" t="s">
        <v>251</v>
      </c>
    </row>
    <row r="687" spans="1:13" x14ac:dyDescent="0.25">
      <c r="A687" s="8" t="s">
        <v>248</v>
      </c>
      <c r="B687" s="4" t="s">
        <v>719</v>
      </c>
      <c r="C687" s="4">
        <v>40</v>
      </c>
      <c r="M687" s="8" t="s">
        <v>248</v>
      </c>
    </row>
    <row r="688" spans="1:13" x14ac:dyDescent="0.25">
      <c r="A688" s="8" t="s">
        <v>158</v>
      </c>
      <c r="B688" s="4" t="s">
        <v>721</v>
      </c>
      <c r="C688" s="4">
        <v>27</v>
      </c>
      <c r="M688" s="8" t="s">
        <v>158</v>
      </c>
    </row>
    <row r="689" spans="1:13" x14ac:dyDescent="0.25">
      <c r="A689" s="8" t="s">
        <v>177</v>
      </c>
      <c r="B689" s="4" t="s">
        <v>103</v>
      </c>
      <c r="C689" s="4">
        <v>48</v>
      </c>
      <c r="M689" s="8" t="s">
        <v>177</v>
      </c>
    </row>
    <row r="690" spans="1:13" x14ac:dyDescent="0.25">
      <c r="A690" s="8" t="s">
        <v>202</v>
      </c>
      <c r="B690" s="4" t="s">
        <v>722</v>
      </c>
      <c r="C690" s="4">
        <v>44</v>
      </c>
      <c r="M690" s="8" t="s">
        <v>202</v>
      </c>
    </row>
    <row r="691" spans="1:13" x14ac:dyDescent="0.25">
      <c r="A691" s="8" t="s">
        <v>242</v>
      </c>
      <c r="B691" s="4" t="s">
        <v>715</v>
      </c>
      <c r="C691" s="4">
        <v>11</v>
      </c>
      <c r="M691" s="8" t="s">
        <v>242</v>
      </c>
    </row>
    <row r="692" spans="1:13" x14ac:dyDescent="0.25">
      <c r="A692" s="8" t="s">
        <v>109</v>
      </c>
      <c r="B692" s="4" t="s">
        <v>720</v>
      </c>
      <c r="C692" s="4">
        <v>44</v>
      </c>
      <c r="M692" s="8" t="s">
        <v>109</v>
      </c>
    </row>
    <row r="693" spans="1:13" x14ac:dyDescent="0.25">
      <c r="A693" s="8" t="s">
        <v>234</v>
      </c>
      <c r="B693" s="4" t="s">
        <v>714</v>
      </c>
      <c r="C693" s="4">
        <v>53</v>
      </c>
      <c r="M693" s="8" t="s">
        <v>234</v>
      </c>
    </row>
    <row r="694" spans="1:13" x14ac:dyDescent="0.25">
      <c r="A694" s="8" t="s">
        <v>140</v>
      </c>
      <c r="B694" s="4" t="s">
        <v>722</v>
      </c>
      <c r="C694" s="4">
        <v>26</v>
      </c>
      <c r="M694" s="8" t="s">
        <v>140</v>
      </c>
    </row>
    <row r="695" spans="1:13" x14ac:dyDescent="0.25">
      <c r="A695" s="8" t="s">
        <v>138</v>
      </c>
      <c r="B695" s="4" t="s">
        <v>725</v>
      </c>
      <c r="C695" s="4">
        <v>55</v>
      </c>
      <c r="M695" s="8" t="s">
        <v>138</v>
      </c>
    </row>
    <row r="696" spans="1:13" x14ac:dyDescent="0.25">
      <c r="A696" s="8" t="s">
        <v>256</v>
      </c>
      <c r="B696" s="4" t="s">
        <v>101</v>
      </c>
      <c r="C696" s="4">
        <v>58</v>
      </c>
      <c r="M696" s="8" t="s">
        <v>256</v>
      </c>
    </row>
    <row r="697" spans="1:13" x14ac:dyDescent="0.25">
      <c r="A697" s="8" t="s">
        <v>189</v>
      </c>
      <c r="B697" s="4" t="s">
        <v>725</v>
      </c>
      <c r="C697" s="4">
        <v>50</v>
      </c>
      <c r="M697" s="8" t="s">
        <v>189</v>
      </c>
    </row>
    <row r="698" spans="1:13" x14ac:dyDescent="0.25">
      <c r="A698" s="8" t="s">
        <v>174</v>
      </c>
      <c r="B698" s="4" t="s">
        <v>723</v>
      </c>
      <c r="C698" s="4">
        <v>44</v>
      </c>
      <c r="M698" s="8" t="s">
        <v>174</v>
      </c>
    </row>
    <row r="699" spans="1:13" x14ac:dyDescent="0.25">
      <c r="A699" s="8" t="s">
        <v>215</v>
      </c>
      <c r="B699" s="4" t="s">
        <v>727</v>
      </c>
      <c r="C699" s="4">
        <v>33</v>
      </c>
      <c r="M699" s="8" t="s">
        <v>215</v>
      </c>
    </row>
    <row r="700" spans="1:13" x14ac:dyDescent="0.25">
      <c r="A700" s="8" t="s">
        <v>210</v>
      </c>
      <c r="B700" s="4" t="s">
        <v>713</v>
      </c>
      <c r="C700" s="4">
        <v>19</v>
      </c>
      <c r="M700" s="8" t="s">
        <v>210</v>
      </c>
    </row>
    <row r="701" spans="1:13" x14ac:dyDescent="0.25">
      <c r="A701" s="8" t="s">
        <v>143</v>
      </c>
      <c r="B701" s="4" t="s">
        <v>100</v>
      </c>
      <c r="C701" s="4">
        <v>13</v>
      </c>
      <c r="M701" s="8" t="s">
        <v>143</v>
      </c>
    </row>
    <row r="702" spans="1:13" x14ac:dyDescent="0.25">
      <c r="A702" s="8" t="s">
        <v>143</v>
      </c>
      <c r="B702" s="4" t="s">
        <v>723</v>
      </c>
      <c r="C702" s="4">
        <v>44</v>
      </c>
      <c r="M702" s="8" t="s">
        <v>143</v>
      </c>
    </row>
    <row r="703" spans="1:13" x14ac:dyDescent="0.25">
      <c r="A703" s="8" t="s">
        <v>224</v>
      </c>
      <c r="B703" s="4" t="s">
        <v>101</v>
      </c>
      <c r="C703" s="4">
        <v>26</v>
      </c>
      <c r="M703" s="8" t="s">
        <v>224</v>
      </c>
    </row>
    <row r="704" spans="1:13" x14ac:dyDescent="0.25">
      <c r="A704" s="8" t="s">
        <v>136</v>
      </c>
      <c r="B704" s="4" t="s">
        <v>723</v>
      </c>
      <c r="C704" s="4">
        <v>44</v>
      </c>
      <c r="M704" s="8" t="s">
        <v>136</v>
      </c>
    </row>
    <row r="705" spans="1:13" x14ac:dyDescent="0.25">
      <c r="A705" s="8" t="s">
        <v>128</v>
      </c>
      <c r="B705" s="4" t="s">
        <v>711</v>
      </c>
      <c r="C705" s="4">
        <v>59</v>
      </c>
      <c r="M705" s="8" t="s">
        <v>128</v>
      </c>
    </row>
    <row r="706" spans="1:13" x14ac:dyDescent="0.25">
      <c r="A706" s="8" t="s">
        <v>126</v>
      </c>
      <c r="B706" s="4" t="s">
        <v>712</v>
      </c>
      <c r="C706" s="4">
        <v>14</v>
      </c>
      <c r="M706" s="8" t="s">
        <v>126</v>
      </c>
    </row>
    <row r="707" spans="1:13" x14ac:dyDescent="0.25">
      <c r="A707" s="8" t="s">
        <v>151</v>
      </c>
      <c r="B707" s="4" t="s">
        <v>103</v>
      </c>
      <c r="C707" s="4">
        <v>30</v>
      </c>
      <c r="M707" s="8" t="s">
        <v>151</v>
      </c>
    </row>
    <row r="708" spans="1:13" x14ac:dyDescent="0.25">
      <c r="A708" s="8" t="s">
        <v>183</v>
      </c>
      <c r="B708" s="4" t="s">
        <v>728</v>
      </c>
      <c r="C708" s="4">
        <v>42</v>
      </c>
      <c r="M708" s="8" t="s">
        <v>183</v>
      </c>
    </row>
    <row r="709" spans="1:13" x14ac:dyDescent="0.25">
      <c r="A709" s="8" t="s">
        <v>144</v>
      </c>
      <c r="B709" s="4" t="s">
        <v>728</v>
      </c>
      <c r="C709" s="4">
        <v>46</v>
      </c>
      <c r="M709" s="8" t="s">
        <v>144</v>
      </c>
    </row>
    <row r="710" spans="1:13" x14ac:dyDescent="0.25">
      <c r="A710" s="8" t="s">
        <v>200</v>
      </c>
      <c r="B710" s="4" t="s">
        <v>724</v>
      </c>
      <c r="C710" s="4">
        <v>58</v>
      </c>
      <c r="M710" s="8" t="s">
        <v>200</v>
      </c>
    </row>
    <row r="711" spans="1:13" x14ac:dyDescent="0.25">
      <c r="A711" s="8" t="s">
        <v>148</v>
      </c>
      <c r="B711" s="4" t="s">
        <v>712</v>
      </c>
      <c r="C711" s="4">
        <v>36</v>
      </c>
      <c r="M711" s="8" t="s">
        <v>148</v>
      </c>
    </row>
    <row r="712" spans="1:13" x14ac:dyDescent="0.25">
      <c r="A712" s="8" t="s">
        <v>122</v>
      </c>
      <c r="B712" s="4" t="s">
        <v>711</v>
      </c>
      <c r="C712" s="4">
        <v>30</v>
      </c>
      <c r="M712" s="8" t="s">
        <v>122</v>
      </c>
    </row>
    <row r="713" spans="1:13" x14ac:dyDescent="0.25">
      <c r="A713" s="8" t="s">
        <v>237</v>
      </c>
      <c r="B713" s="4" t="s">
        <v>719</v>
      </c>
      <c r="C713" s="4">
        <v>13</v>
      </c>
      <c r="M713" s="8" t="s">
        <v>237</v>
      </c>
    </row>
    <row r="714" spans="1:13" x14ac:dyDescent="0.25">
      <c r="A714" s="8" t="s">
        <v>147</v>
      </c>
      <c r="B714" s="4" t="s">
        <v>99</v>
      </c>
      <c r="C714" s="4">
        <v>30</v>
      </c>
      <c r="M714" s="8" t="s">
        <v>147</v>
      </c>
    </row>
    <row r="715" spans="1:13" x14ac:dyDescent="0.25">
      <c r="A715" s="8" t="s">
        <v>144</v>
      </c>
      <c r="B715" s="4" t="s">
        <v>711</v>
      </c>
      <c r="C715" s="4">
        <v>30</v>
      </c>
      <c r="M715" s="8" t="s">
        <v>144</v>
      </c>
    </row>
    <row r="716" spans="1:13" x14ac:dyDescent="0.25">
      <c r="A716" s="8" t="s">
        <v>124</v>
      </c>
      <c r="B716" s="4" t="s">
        <v>718</v>
      </c>
      <c r="C716" s="4">
        <v>55</v>
      </c>
      <c r="M716" s="8" t="s">
        <v>124</v>
      </c>
    </row>
    <row r="717" spans="1:13" x14ac:dyDescent="0.25">
      <c r="A717" s="8" t="s">
        <v>229</v>
      </c>
      <c r="B717" s="4" t="s">
        <v>724</v>
      </c>
      <c r="C717" s="4">
        <v>51</v>
      </c>
      <c r="M717" s="8" t="s">
        <v>229</v>
      </c>
    </row>
    <row r="718" spans="1:13" x14ac:dyDescent="0.25">
      <c r="A718" s="8" t="s">
        <v>169</v>
      </c>
      <c r="B718" s="4" t="s">
        <v>102</v>
      </c>
      <c r="C718" s="4">
        <v>18</v>
      </c>
      <c r="M718" s="8" t="s">
        <v>169</v>
      </c>
    </row>
    <row r="719" spans="1:13" x14ac:dyDescent="0.25">
      <c r="A719" s="8" t="s">
        <v>257</v>
      </c>
      <c r="B719" s="4" t="s">
        <v>722</v>
      </c>
      <c r="C719" s="4">
        <v>51</v>
      </c>
      <c r="M719" s="8" t="s">
        <v>257</v>
      </c>
    </row>
    <row r="720" spans="1:13" x14ac:dyDescent="0.25">
      <c r="A720" s="8" t="s">
        <v>193</v>
      </c>
      <c r="B720" s="4" t="s">
        <v>100</v>
      </c>
      <c r="C720" s="4">
        <v>57</v>
      </c>
      <c r="M720" s="8" t="s">
        <v>193</v>
      </c>
    </row>
    <row r="721" spans="1:13" x14ac:dyDescent="0.25">
      <c r="A721" s="8" t="s">
        <v>158</v>
      </c>
      <c r="B721" s="4" t="s">
        <v>725</v>
      </c>
      <c r="C721" s="4">
        <v>51</v>
      </c>
      <c r="M721" s="8" t="s">
        <v>158</v>
      </c>
    </row>
    <row r="722" spans="1:13" x14ac:dyDescent="0.25">
      <c r="A722" s="8" t="s">
        <v>181</v>
      </c>
      <c r="B722" s="4" t="s">
        <v>715</v>
      </c>
      <c r="C722" s="4">
        <v>42</v>
      </c>
      <c r="M722" s="8" t="s">
        <v>181</v>
      </c>
    </row>
    <row r="723" spans="1:13" x14ac:dyDescent="0.25">
      <c r="A723" s="8" t="s">
        <v>110</v>
      </c>
      <c r="B723" s="4" t="s">
        <v>718</v>
      </c>
      <c r="C723" s="4">
        <v>32</v>
      </c>
      <c r="M723" s="8" t="s">
        <v>110</v>
      </c>
    </row>
    <row r="724" spans="1:13" x14ac:dyDescent="0.25">
      <c r="A724" s="8" t="s">
        <v>249</v>
      </c>
      <c r="B724" s="4" t="s">
        <v>724</v>
      </c>
      <c r="C724" s="4">
        <v>18</v>
      </c>
      <c r="M724" s="8" t="s">
        <v>249</v>
      </c>
    </row>
    <row r="725" spans="1:13" x14ac:dyDescent="0.25">
      <c r="A725" s="8" t="s">
        <v>203</v>
      </c>
      <c r="B725" s="4" t="s">
        <v>722</v>
      </c>
      <c r="C725" s="4">
        <v>27</v>
      </c>
      <c r="M725" s="8" t="s">
        <v>203</v>
      </c>
    </row>
    <row r="726" spans="1:13" x14ac:dyDescent="0.25">
      <c r="A726" s="8" t="s">
        <v>113</v>
      </c>
      <c r="B726" s="4" t="s">
        <v>722</v>
      </c>
      <c r="C726" s="4">
        <v>41</v>
      </c>
      <c r="M726" s="8" t="s">
        <v>113</v>
      </c>
    </row>
    <row r="727" spans="1:13" x14ac:dyDescent="0.25">
      <c r="A727" s="8" t="s">
        <v>157</v>
      </c>
      <c r="B727" s="4" t="s">
        <v>100</v>
      </c>
      <c r="C727" s="4">
        <v>57</v>
      </c>
      <c r="M727" s="8" t="s">
        <v>157</v>
      </c>
    </row>
    <row r="728" spans="1:13" x14ac:dyDescent="0.25">
      <c r="A728" s="8" t="s">
        <v>241</v>
      </c>
      <c r="B728" s="4" t="s">
        <v>726</v>
      </c>
      <c r="C728" s="4">
        <v>43</v>
      </c>
      <c r="M728" s="8" t="s">
        <v>241</v>
      </c>
    </row>
    <row r="729" spans="1:13" x14ac:dyDescent="0.25">
      <c r="A729" s="8" t="s">
        <v>158</v>
      </c>
      <c r="B729" s="4" t="s">
        <v>721</v>
      </c>
      <c r="C729" s="4">
        <v>29</v>
      </c>
      <c r="M729" s="8" t="s">
        <v>158</v>
      </c>
    </row>
    <row r="730" spans="1:13" x14ac:dyDescent="0.25">
      <c r="A730" s="8" t="s">
        <v>112</v>
      </c>
      <c r="B730" s="4" t="s">
        <v>710</v>
      </c>
      <c r="C730" s="4">
        <v>11</v>
      </c>
      <c r="M730" s="8" t="s">
        <v>112</v>
      </c>
    </row>
    <row r="731" spans="1:13" x14ac:dyDescent="0.25">
      <c r="A731" s="8" t="s">
        <v>190</v>
      </c>
      <c r="B731" s="4" t="s">
        <v>717</v>
      </c>
      <c r="C731" s="4">
        <v>36</v>
      </c>
      <c r="M731" s="8" t="s">
        <v>190</v>
      </c>
    </row>
    <row r="732" spans="1:13" x14ac:dyDescent="0.25">
      <c r="A732" s="8" t="s">
        <v>131</v>
      </c>
      <c r="B732" s="4" t="s">
        <v>726</v>
      </c>
      <c r="C732" s="4">
        <v>56</v>
      </c>
      <c r="M732" s="8" t="s">
        <v>131</v>
      </c>
    </row>
    <row r="733" spans="1:13" x14ac:dyDescent="0.25">
      <c r="A733" s="8" t="s">
        <v>154</v>
      </c>
      <c r="B733" s="4" t="s">
        <v>710</v>
      </c>
      <c r="C733" s="4">
        <v>52</v>
      </c>
      <c r="M733" s="8" t="s">
        <v>154</v>
      </c>
    </row>
    <row r="734" spans="1:13" x14ac:dyDescent="0.25">
      <c r="A734" s="8" t="s">
        <v>149</v>
      </c>
      <c r="B734" s="4" t="s">
        <v>720</v>
      </c>
      <c r="C734" s="4">
        <v>45</v>
      </c>
      <c r="M734" s="8" t="s">
        <v>149</v>
      </c>
    </row>
    <row r="735" spans="1:13" x14ac:dyDescent="0.25">
      <c r="A735" s="8" t="s">
        <v>257</v>
      </c>
      <c r="B735" s="4" t="s">
        <v>720</v>
      </c>
      <c r="C735" s="4">
        <v>12</v>
      </c>
      <c r="M735" s="8" t="s">
        <v>257</v>
      </c>
    </row>
    <row r="736" spans="1:13" x14ac:dyDescent="0.25">
      <c r="A736" s="8" t="s">
        <v>254</v>
      </c>
      <c r="B736" s="4" t="s">
        <v>103</v>
      </c>
      <c r="C736" s="4">
        <v>38</v>
      </c>
      <c r="M736" s="8" t="s">
        <v>254</v>
      </c>
    </row>
    <row r="737" spans="1:13" x14ac:dyDescent="0.25">
      <c r="A737" s="8" t="s">
        <v>132</v>
      </c>
      <c r="B737" s="4" t="s">
        <v>716</v>
      </c>
      <c r="C737" s="4">
        <v>27</v>
      </c>
      <c r="M737" s="8" t="s">
        <v>132</v>
      </c>
    </row>
    <row r="738" spans="1:13" x14ac:dyDescent="0.25">
      <c r="A738" s="8" t="s">
        <v>225</v>
      </c>
      <c r="B738" s="4" t="s">
        <v>727</v>
      </c>
      <c r="C738" s="4">
        <v>52</v>
      </c>
      <c r="M738" s="8" t="s">
        <v>225</v>
      </c>
    </row>
    <row r="739" spans="1:13" x14ac:dyDescent="0.25">
      <c r="A739" s="8" t="s">
        <v>211</v>
      </c>
      <c r="B739" s="4" t="s">
        <v>722</v>
      </c>
      <c r="C739" s="4">
        <v>31</v>
      </c>
      <c r="M739" s="8" t="s">
        <v>211</v>
      </c>
    </row>
    <row r="740" spans="1:13" x14ac:dyDescent="0.25">
      <c r="A740" s="8" t="s">
        <v>226</v>
      </c>
      <c r="B740" s="4" t="s">
        <v>102</v>
      </c>
      <c r="C740" s="4">
        <v>59</v>
      </c>
      <c r="M740" s="8" t="s">
        <v>226</v>
      </c>
    </row>
    <row r="741" spans="1:13" x14ac:dyDescent="0.25">
      <c r="A741" s="8" t="s">
        <v>147</v>
      </c>
      <c r="B741" s="4" t="s">
        <v>710</v>
      </c>
      <c r="C741" s="4">
        <v>32</v>
      </c>
      <c r="M741" s="8" t="s">
        <v>147</v>
      </c>
    </row>
    <row r="742" spans="1:13" x14ac:dyDescent="0.25">
      <c r="A742" s="8" t="s">
        <v>190</v>
      </c>
      <c r="B742" s="4" t="s">
        <v>720</v>
      </c>
      <c r="C742" s="4">
        <v>41</v>
      </c>
      <c r="M742" s="8" t="s">
        <v>190</v>
      </c>
    </row>
    <row r="743" spans="1:13" x14ac:dyDescent="0.25">
      <c r="A743" s="8" t="s">
        <v>117</v>
      </c>
      <c r="B743" s="4" t="s">
        <v>725</v>
      </c>
      <c r="C743" s="4">
        <v>26</v>
      </c>
      <c r="M743" s="8" t="s">
        <v>117</v>
      </c>
    </row>
    <row r="744" spans="1:13" x14ac:dyDescent="0.25">
      <c r="A744" s="8" t="s">
        <v>230</v>
      </c>
      <c r="B744" s="4" t="s">
        <v>726</v>
      </c>
      <c r="C744" s="4">
        <v>14</v>
      </c>
      <c r="M744" s="8" t="s">
        <v>230</v>
      </c>
    </row>
    <row r="745" spans="1:13" x14ac:dyDescent="0.25">
      <c r="A745" s="8" t="s">
        <v>140</v>
      </c>
      <c r="B745" s="4" t="s">
        <v>727</v>
      </c>
      <c r="C745" s="4">
        <v>32</v>
      </c>
      <c r="M745" s="8" t="s">
        <v>140</v>
      </c>
    </row>
    <row r="746" spans="1:13" x14ac:dyDescent="0.25">
      <c r="A746" s="8" t="s">
        <v>152</v>
      </c>
      <c r="B746" s="4" t="s">
        <v>714</v>
      </c>
      <c r="C746" s="4">
        <v>53</v>
      </c>
      <c r="M746" s="8" t="s">
        <v>152</v>
      </c>
    </row>
    <row r="747" spans="1:13" x14ac:dyDescent="0.25">
      <c r="A747" s="8" t="s">
        <v>237</v>
      </c>
      <c r="B747" s="4" t="s">
        <v>716</v>
      </c>
      <c r="C747" s="4">
        <v>22</v>
      </c>
      <c r="M747" s="8" t="s">
        <v>237</v>
      </c>
    </row>
    <row r="748" spans="1:13" x14ac:dyDescent="0.25">
      <c r="A748" s="8" t="s">
        <v>165</v>
      </c>
      <c r="B748" s="4" t="s">
        <v>718</v>
      </c>
      <c r="C748" s="4">
        <v>18</v>
      </c>
      <c r="M748" s="8" t="s">
        <v>165</v>
      </c>
    </row>
    <row r="749" spans="1:13" x14ac:dyDescent="0.25">
      <c r="A749" s="8" t="s">
        <v>239</v>
      </c>
      <c r="B749" s="4" t="s">
        <v>714</v>
      </c>
      <c r="C749" s="4">
        <v>30</v>
      </c>
      <c r="M749" s="8" t="s">
        <v>239</v>
      </c>
    </row>
    <row r="750" spans="1:13" x14ac:dyDescent="0.25">
      <c r="A750" s="8" t="s">
        <v>207</v>
      </c>
      <c r="B750" s="4" t="s">
        <v>727</v>
      </c>
      <c r="C750" s="4">
        <v>51</v>
      </c>
      <c r="M750" s="8" t="s">
        <v>207</v>
      </c>
    </row>
    <row r="751" spans="1:13" x14ac:dyDescent="0.25">
      <c r="A751" s="8" t="s">
        <v>221</v>
      </c>
      <c r="B751" s="4" t="s">
        <v>726</v>
      </c>
      <c r="C751" s="4">
        <v>54</v>
      </c>
      <c r="M751" s="8" t="s">
        <v>221</v>
      </c>
    </row>
    <row r="752" spans="1:13" x14ac:dyDescent="0.25">
      <c r="A752" s="8" t="s">
        <v>225</v>
      </c>
      <c r="B752" s="4" t="s">
        <v>99</v>
      </c>
      <c r="C752" s="4">
        <v>54</v>
      </c>
      <c r="M752" s="8" t="s">
        <v>225</v>
      </c>
    </row>
    <row r="753" spans="1:13" x14ac:dyDescent="0.25">
      <c r="A753" s="8" t="s">
        <v>221</v>
      </c>
      <c r="B753" s="4" t="s">
        <v>729</v>
      </c>
      <c r="C753" s="4">
        <v>39</v>
      </c>
      <c r="M753" s="8" t="s">
        <v>221</v>
      </c>
    </row>
    <row r="754" spans="1:13" x14ac:dyDescent="0.25">
      <c r="A754" s="8" t="s">
        <v>200</v>
      </c>
      <c r="B754" s="4" t="s">
        <v>725</v>
      </c>
      <c r="C754" s="4">
        <v>16</v>
      </c>
      <c r="M754" s="8" t="s">
        <v>200</v>
      </c>
    </row>
    <row r="755" spans="1:13" x14ac:dyDescent="0.25">
      <c r="A755" s="8" t="s">
        <v>258</v>
      </c>
      <c r="B755" s="4" t="s">
        <v>100</v>
      </c>
      <c r="C755" s="4">
        <v>54</v>
      </c>
      <c r="M755" s="8" t="s">
        <v>258</v>
      </c>
    </row>
    <row r="756" spans="1:13" x14ac:dyDescent="0.25">
      <c r="A756" s="8" t="s">
        <v>251</v>
      </c>
      <c r="B756" s="4" t="s">
        <v>102</v>
      </c>
      <c r="C756" s="4">
        <v>36</v>
      </c>
      <c r="M756" s="8" t="s">
        <v>251</v>
      </c>
    </row>
    <row r="757" spans="1:13" x14ac:dyDescent="0.25">
      <c r="A757" s="8" t="s">
        <v>193</v>
      </c>
      <c r="B757" s="4" t="s">
        <v>99</v>
      </c>
      <c r="C757" s="4">
        <v>50</v>
      </c>
      <c r="M757" s="8" t="s">
        <v>193</v>
      </c>
    </row>
    <row r="758" spans="1:13" x14ac:dyDescent="0.25">
      <c r="A758" s="8" t="s">
        <v>218</v>
      </c>
      <c r="B758" s="4" t="s">
        <v>717</v>
      </c>
      <c r="C758" s="4">
        <v>31</v>
      </c>
      <c r="M758" s="8" t="s">
        <v>218</v>
      </c>
    </row>
    <row r="759" spans="1:13" x14ac:dyDescent="0.25">
      <c r="A759" s="8" t="s">
        <v>140</v>
      </c>
      <c r="B759" s="4" t="s">
        <v>717</v>
      </c>
      <c r="C759" s="4">
        <v>19</v>
      </c>
      <c r="M759" s="8" t="s">
        <v>140</v>
      </c>
    </row>
    <row r="760" spans="1:13" x14ac:dyDescent="0.25">
      <c r="A760" s="8" t="s">
        <v>165</v>
      </c>
      <c r="B760" s="4" t="s">
        <v>102</v>
      </c>
      <c r="C760" s="4">
        <v>47</v>
      </c>
      <c r="M760" s="8" t="s">
        <v>165</v>
      </c>
    </row>
    <row r="761" spans="1:13" x14ac:dyDescent="0.25">
      <c r="A761" s="8" t="s">
        <v>138</v>
      </c>
      <c r="B761" s="4" t="s">
        <v>723</v>
      </c>
      <c r="C761" s="4">
        <v>59</v>
      </c>
      <c r="M761" s="8" t="s">
        <v>138</v>
      </c>
    </row>
    <row r="762" spans="1:13" x14ac:dyDescent="0.25">
      <c r="A762" s="8" t="s">
        <v>152</v>
      </c>
      <c r="B762" s="4" t="s">
        <v>721</v>
      </c>
      <c r="C762" s="4">
        <v>54</v>
      </c>
      <c r="M762" s="8" t="s">
        <v>152</v>
      </c>
    </row>
    <row r="763" spans="1:13" x14ac:dyDescent="0.25">
      <c r="A763" s="8" t="s">
        <v>129</v>
      </c>
      <c r="B763" s="4" t="s">
        <v>100</v>
      </c>
      <c r="C763" s="4">
        <v>21</v>
      </c>
      <c r="M763" s="8" t="s">
        <v>129</v>
      </c>
    </row>
    <row r="764" spans="1:13" x14ac:dyDescent="0.25">
      <c r="A764" s="8" t="s">
        <v>146</v>
      </c>
      <c r="B764" s="4" t="s">
        <v>103</v>
      </c>
      <c r="C764" s="4">
        <v>26</v>
      </c>
      <c r="M764" s="8" t="s">
        <v>146</v>
      </c>
    </row>
    <row r="765" spans="1:13" x14ac:dyDescent="0.25">
      <c r="A765" s="8" t="s">
        <v>192</v>
      </c>
      <c r="B765" s="4" t="s">
        <v>103</v>
      </c>
      <c r="C765" s="4">
        <v>49</v>
      </c>
      <c r="M765" s="8" t="s">
        <v>192</v>
      </c>
    </row>
    <row r="766" spans="1:13" x14ac:dyDescent="0.25">
      <c r="A766" s="8" t="s">
        <v>145</v>
      </c>
      <c r="B766" s="4" t="s">
        <v>714</v>
      </c>
      <c r="C766" s="4">
        <v>55</v>
      </c>
      <c r="M766" s="8" t="s">
        <v>145</v>
      </c>
    </row>
    <row r="767" spans="1:13" x14ac:dyDescent="0.25">
      <c r="A767" s="8" t="s">
        <v>174</v>
      </c>
      <c r="B767" s="4" t="s">
        <v>718</v>
      </c>
      <c r="C767" s="4">
        <v>10</v>
      </c>
      <c r="M767" s="8" t="s">
        <v>174</v>
      </c>
    </row>
    <row r="768" spans="1:13" x14ac:dyDescent="0.25">
      <c r="A768" s="8" t="s">
        <v>182</v>
      </c>
      <c r="B768" s="4" t="s">
        <v>714</v>
      </c>
      <c r="C768" s="4">
        <v>36</v>
      </c>
      <c r="M768" s="8" t="s">
        <v>182</v>
      </c>
    </row>
    <row r="769" spans="1:13" x14ac:dyDescent="0.25">
      <c r="A769" s="8" t="s">
        <v>128</v>
      </c>
      <c r="B769" s="4" t="s">
        <v>712</v>
      </c>
      <c r="C769" s="4">
        <v>32</v>
      </c>
      <c r="M769" s="8" t="s">
        <v>128</v>
      </c>
    </row>
    <row r="770" spans="1:13" x14ac:dyDescent="0.25">
      <c r="A770" s="8" t="s">
        <v>109</v>
      </c>
      <c r="B770" s="4" t="s">
        <v>717</v>
      </c>
      <c r="C770" s="4">
        <v>18</v>
      </c>
      <c r="M770" s="8" t="s">
        <v>109</v>
      </c>
    </row>
    <row r="771" spans="1:13" x14ac:dyDescent="0.25">
      <c r="A771" s="8" t="s">
        <v>240</v>
      </c>
      <c r="B771" s="4" t="s">
        <v>713</v>
      </c>
      <c r="C771" s="4">
        <v>21</v>
      </c>
      <c r="M771" s="8" t="s">
        <v>240</v>
      </c>
    </row>
    <row r="772" spans="1:13" x14ac:dyDescent="0.25">
      <c r="A772" s="8" t="s">
        <v>176</v>
      </c>
      <c r="B772" s="4" t="s">
        <v>716</v>
      </c>
      <c r="C772" s="4">
        <v>53</v>
      </c>
      <c r="M772" s="8" t="s">
        <v>176</v>
      </c>
    </row>
    <row r="773" spans="1:13" x14ac:dyDescent="0.25">
      <c r="A773" s="8" t="s">
        <v>159</v>
      </c>
      <c r="B773" s="4" t="s">
        <v>726</v>
      </c>
      <c r="C773" s="4">
        <v>56</v>
      </c>
      <c r="M773" s="8" t="s">
        <v>159</v>
      </c>
    </row>
    <row r="774" spans="1:13" x14ac:dyDescent="0.25">
      <c r="A774" s="8" t="s">
        <v>121</v>
      </c>
      <c r="B774" s="4" t="s">
        <v>102</v>
      </c>
      <c r="C774" s="4">
        <v>38</v>
      </c>
      <c r="M774" s="8" t="s">
        <v>121</v>
      </c>
    </row>
    <row r="775" spans="1:13" x14ac:dyDescent="0.25">
      <c r="A775" s="8" t="s">
        <v>234</v>
      </c>
      <c r="B775" s="4" t="s">
        <v>99</v>
      </c>
      <c r="C775" s="4">
        <v>25</v>
      </c>
      <c r="M775" s="8" t="s">
        <v>234</v>
      </c>
    </row>
    <row r="776" spans="1:13" x14ac:dyDescent="0.25">
      <c r="A776" s="8" t="s">
        <v>204</v>
      </c>
      <c r="B776" s="4" t="s">
        <v>729</v>
      </c>
      <c r="C776" s="4">
        <v>13</v>
      </c>
      <c r="M776" s="8" t="s">
        <v>204</v>
      </c>
    </row>
    <row r="777" spans="1:13" x14ac:dyDescent="0.25">
      <c r="A777" s="8" t="s">
        <v>258</v>
      </c>
      <c r="B777" s="4" t="s">
        <v>99</v>
      </c>
      <c r="C777" s="4">
        <v>38</v>
      </c>
      <c r="M777" s="8" t="s">
        <v>258</v>
      </c>
    </row>
    <row r="778" spans="1:13" x14ac:dyDescent="0.25">
      <c r="A778" s="8" t="s">
        <v>165</v>
      </c>
      <c r="B778" s="4" t="s">
        <v>103</v>
      </c>
      <c r="C778" s="4">
        <v>34</v>
      </c>
      <c r="M778" s="8" t="s">
        <v>165</v>
      </c>
    </row>
    <row r="779" spans="1:13" x14ac:dyDescent="0.25">
      <c r="A779" s="8" t="s">
        <v>222</v>
      </c>
      <c r="B779" s="4" t="s">
        <v>101</v>
      </c>
      <c r="C779" s="4">
        <v>12</v>
      </c>
      <c r="M779" s="8" t="s">
        <v>222</v>
      </c>
    </row>
    <row r="780" spans="1:13" x14ac:dyDescent="0.25">
      <c r="A780" s="8" t="s">
        <v>249</v>
      </c>
      <c r="B780" s="4" t="s">
        <v>717</v>
      </c>
      <c r="C780" s="4">
        <v>35</v>
      </c>
      <c r="M780" s="8" t="s">
        <v>249</v>
      </c>
    </row>
    <row r="781" spans="1:13" x14ac:dyDescent="0.25">
      <c r="A781" s="8" t="s">
        <v>224</v>
      </c>
      <c r="B781" s="4" t="s">
        <v>728</v>
      </c>
      <c r="C781" s="4">
        <v>30</v>
      </c>
      <c r="M781" s="8" t="s">
        <v>224</v>
      </c>
    </row>
    <row r="782" spans="1:13" x14ac:dyDescent="0.25">
      <c r="A782" s="8" t="s">
        <v>232</v>
      </c>
      <c r="B782" s="4" t="s">
        <v>723</v>
      </c>
      <c r="C782" s="4">
        <v>43</v>
      </c>
      <c r="M782" s="8" t="s">
        <v>232</v>
      </c>
    </row>
    <row r="783" spans="1:13" x14ac:dyDescent="0.25">
      <c r="A783" s="8" t="s">
        <v>210</v>
      </c>
      <c r="B783" s="4" t="s">
        <v>713</v>
      </c>
      <c r="C783" s="4">
        <v>36</v>
      </c>
      <c r="M783" s="8" t="s">
        <v>210</v>
      </c>
    </row>
    <row r="784" spans="1:13" x14ac:dyDescent="0.25">
      <c r="A784" s="8" t="s">
        <v>121</v>
      </c>
      <c r="B784" s="4" t="s">
        <v>720</v>
      </c>
      <c r="C784" s="4">
        <v>15</v>
      </c>
      <c r="M784" s="8" t="s">
        <v>121</v>
      </c>
    </row>
    <row r="785" spans="1:13" x14ac:dyDescent="0.25">
      <c r="A785" s="8" t="s">
        <v>188</v>
      </c>
      <c r="B785" s="4" t="s">
        <v>724</v>
      </c>
      <c r="C785" s="4">
        <v>16</v>
      </c>
      <c r="M785" s="8" t="s">
        <v>188</v>
      </c>
    </row>
    <row r="786" spans="1:13" x14ac:dyDescent="0.25">
      <c r="A786" s="8" t="s">
        <v>198</v>
      </c>
      <c r="B786" s="4" t="s">
        <v>715</v>
      </c>
      <c r="C786" s="4">
        <v>39</v>
      </c>
      <c r="M786" s="8" t="s">
        <v>198</v>
      </c>
    </row>
    <row r="787" spans="1:13" x14ac:dyDescent="0.25">
      <c r="A787" s="8" t="s">
        <v>138</v>
      </c>
      <c r="B787" s="4" t="s">
        <v>724</v>
      </c>
      <c r="C787" s="4">
        <v>28</v>
      </c>
      <c r="M787" s="8" t="s">
        <v>138</v>
      </c>
    </row>
    <row r="788" spans="1:13" x14ac:dyDescent="0.25">
      <c r="A788" s="8" t="s">
        <v>162</v>
      </c>
      <c r="B788" s="4" t="s">
        <v>728</v>
      </c>
      <c r="C788" s="4">
        <v>45</v>
      </c>
      <c r="M788" s="8" t="s">
        <v>162</v>
      </c>
    </row>
    <row r="789" spans="1:13" x14ac:dyDescent="0.25">
      <c r="A789" s="8" t="s">
        <v>110</v>
      </c>
      <c r="B789" s="4" t="s">
        <v>712</v>
      </c>
      <c r="C789" s="4">
        <v>51</v>
      </c>
      <c r="M789" s="8" t="s">
        <v>110</v>
      </c>
    </row>
    <row r="790" spans="1:13" x14ac:dyDescent="0.25">
      <c r="A790" s="8" t="s">
        <v>179</v>
      </c>
      <c r="B790" s="4" t="s">
        <v>103</v>
      </c>
      <c r="C790" s="4">
        <v>50</v>
      </c>
      <c r="M790" s="8" t="s">
        <v>179</v>
      </c>
    </row>
    <row r="791" spans="1:13" x14ac:dyDescent="0.25">
      <c r="A791" s="8" t="s">
        <v>217</v>
      </c>
      <c r="B791" s="4" t="s">
        <v>713</v>
      </c>
      <c r="C791" s="4">
        <v>50</v>
      </c>
      <c r="M791" s="8" t="s">
        <v>217</v>
      </c>
    </row>
    <row r="792" spans="1:13" x14ac:dyDescent="0.25">
      <c r="A792" s="8" t="s">
        <v>221</v>
      </c>
      <c r="B792" s="4" t="s">
        <v>102</v>
      </c>
      <c r="C792" s="4">
        <v>14</v>
      </c>
      <c r="M792" s="8" t="s">
        <v>221</v>
      </c>
    </row>
    <row r="793" spans="1:13" x14ac:dyDescent="0.25">
      <c r="A793" s="8" t="s">
        <v>207</v>
      </c>
      <c r="B793" s="4" t="s">
        <v>719</v>
      </c>
      <c r="C793" s="4">
        <v>49</v>
      </c>
      <c r="M793" s="8" t="s">
        <v>207</v>
      </c>
    </row>
    <row r="794" spans="1:13" x14ac:dyDescent="0.25">
      <c r="A794" s="8" t="s">
        <v>192</v>
      </c>
      <c r="B794" s="4" t="s">
        <v>725</v>
      </c>
      <c r="C794" s="4">
        <v>23</v>
      </c>
      <c r="M794" s="8" t="s">
        <v>192</v>
      </c>
    </row>
    <row r="795" spans="1:13" x14ac:dyDescent="0.25">
      <c r="A795" s="8" t="s">
        <v>237</v>
      </c>
      <c r="B795" s="4" t="s">
        <v>102</v>
      </c>
      <c r="C795" s="4">
        <v>35</v>
      </c>
      <c r="M795" s="8" t="s">
        <v>237</v>
      </c>
    </row>
    <row r="796" spans="1:13" x14ac:dyDescent="0.25">
      <c r="A796" s="8" t="s">
        <v>145</v>
      </c>
      <c r="B796" s="4" t="s">
        <v>723</v>
      </c>
      <c r="C796" s="4">
        <v>42</v>
      </c>
      <c r="M796" s="8" t="s">
        <v>145</v>
      </c>
    </row>
    <row r="797" spans="1:13" x14ac:dyDescent="0.25">
      <c r="A797" s="8" t="s">
        <v>144</v>
      </c>
      <c r="B797" s="4" t="s">
        <v>727</v>
      </c>
      <c r="C797" s="4">
        <v>58</v>
      </c>
      <c r="M797" s="8" t="s">
        <v>144</v>
      </c>
    </row>
    <row r="798" spans="1:13" x14ac:dyDescent="0.25">
      <c r="A798" s="8" t="s">
        <v>237</v>
      </c>
      <c r="B798" s="4" t="s">
        <v>716</v>
      </c>
      <c r="C798" s="4">
        <v>18</v>
      </c>
      <c r="M798" s="8" t="s">
        <v>237</v>
      </c>
    </row>
    <row r="799" spans="1:13" x14ac:dyDescent="0.25">
      <c r="A799" s="8" t="s">
        <v>153</v>
      </c>
      <c r="B799" s="4" t="s">
        <v>102</v>
      </c>
      <c r="C799" s="4">
        <v>46</v>
      </c>
      <c r="M799" s="8" t="s">
        <v>153</v>
      </c>
    </row>
    <row r="800" spans="1:13" x14ac:dyDescent="0.25">
      <c r="A800" s="8" t="s">
        <v>228</v>
      </c>
      <c r="B800" s="4" t="s">
        <v>722</v>
      </c>
      <c r="C800" s="4">
        <v>25</v>
      </c>
      <c r="M800" s="8" t="s">
        <v>228</v>
      </c>
    </row>
    <row r="801" spans="1:13" x14ac:dyDescent="0.25">
      <c r="A801" s="8" t="s">
        <v>176</v>
      </c>
      <c r="B801" s="4" t="s">
        <v>100</v>
      </c>
      <c r="C801" s="4">
        <v>15</v>
      </c>
      <c r="M801" s="8" t="s">
        <v>176</v>
      </c>
    </row>
    <row r="802" spans="1:13" x14ac:dyDescent="0.25">
      <c r="A802" s="8" t="s">
        <v>223</v>
      </c>
      <c r="B802" s="4" t="s">
        <v>724</v>
      </c>
      <c r="C802" s="4">
        <v>52</v>
      </c>
      <c r="M802" s="8" t="s">
        <v>223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802"/>
  <sheetViews>
    <sheetView zoomScale="115" zoomScaleNormal="115" workbookViewId="0">
      <selection activeCell="G6" sqref="G6"/>
    </sheetView>
  </sheetViews>
  <sheetFormatPr defaultRowHeight="15" x14ac:dyDescent="0.25"/>
  <cols>
    <col min="1" max="1" width="19.28515625" customWidth="1"/>
    <col min="2" max="2" width="18.140625" bestFit="1" customWidth="1"/>
    <col min="3" max="3" width="11" customWidth="1"/>
    <col min="4" max="4" width="2" customWidth="1"/>
    <col min="5" max="5" width="13.140625" customWidth="1"/>
    <col min="6" max="6" width="13" customWidth="1"/>
    <col min="7" max="7" width="13.85546875" customWidth="1"/>
    <col min="11" max="11" width="13.140625" customWidth="1"/>
    <col min="13" max="13" width="10.85546875" customWidth="1"/>
    <col min="17" max="17" width="17.28515625" customWidth="1"/>
  </cols>
  <sheetData>
    <row r="1" spans="1:7" x14ac:dyDescent="0.25">
      <c r="A1" s="11" t="s">
        <v>91</v>
      </c>
      <c r="B1" s="11" t="s">
        <v>92</v>
      </c>
      <c r="C1" s="11" t="s">
        <v>93</v>
      </c>
      <c r="E1" s="28" t="s">
        <v>704</v>
      </c>
      <c r="F1" s="8">
        <v>41500</v>
      </c>
    </row>
    <row r="2" spans="1:7" x14ac:dyDescent="0.25">
      <c r="A2" s="8">
        <v>41596</v>
      </c>
      <c r="B2" s="4" t="s">
        <v>710</v>
      </c>
      <c r="C2" s="4">
        <v>51</v>
      </c>
      <c r="E2" s="28" t="s">
        <v>705</v>
      </c>
      <c r="F2" s="8">
        <v>41650</v>
      </c>
    </row>
    <row r="3" spans="1:7" x14ac:dyDescent="0.25">
      <c r="A3" s="8">
        <v>41526</v>
      </c>
      <c r="B3" s="4" t="s">
        <v>711</v>
      </c>
      <c r="C3" s="4">
        <v>12</v>
      </c>
    </row>
    <row r="4" spans="1:7" x14ac:dyDescent="0.25">
      <c r="A4" s="8">
        <v>41528</v>
      </c>
      <c r="B4" s="4" t="s">
        <v>712</v>
      </c>
      <c r="C4" s="4">
        <v>38</v>
      </c>
    </row>
    <row r="5" spans="1:7" x14ac:dyDescent="0.25">
      <c r="A5" s="8">
        <v>41635</v>
      </c>
      <c r="B5" s="4" t="s">
        <v>103</v>
      </c>
      <c r="C5" s="4">
        <v>36</v>
      </c>
      <c r="E5" s="11" t="s">
        <v>706</v>
      </c>
      <c r="F5" s="11" t="s">
        <v>707</v>
      </c>
      <c r="G5" s="11" t="s">
        <v>82</v>
      </c>
    </row>
    <row r="6" spans="1:7" x14ac:dyDescent="0.25">
      <c r="A6" s="8">
        <v>41633</v>
      </c>
      <c r="B6" s="4" t="s">
        <v>103</v>
      </c>
      <c r="C6" s="4">
        <v>12</v>
      </c>
      <c r="E6" s="8">
        <f>F1</f>
        <v>41500</v>
      </c>
      <c r="F6" s="8">
        <f>EOMONTH(E6,0)</f>
        <v>41517</v>
      </c>
      <c r="G6" s="22">
        <f>SUMIFS($C$2:$C$802,$A$2:$A$802,"&gt;="&amp;E6,$A$2:$A$802,"&lt;="&amp;F6)</f>
        <v>3174</v>
      </c>
    </row>
    <row r="7" spans="1:7" x14ac:dyDescent="0.25">
      <c r="A7" s="8">
        <v>41553</v>
      </c>
      <c r="B7" s="4" t="s">
        <v>101</v>
      </c>
      <c r="C7" s="4">
        <v>26</v>
      </c>
      <c r="E7" s="8">
        <f>F6+1</f>
        <v>41518</v>
      </c>
      <c r="F7" s="8">
        <f>EOMONTH(E7,0)</f>
        <v>41547</v>
      </c>
      <c r="G7" s="22">
        <f t="shared" ref="G7:G11" si="0">SUMIFS($C$2:$C$802,$A$2:$A$802,"&gt;="&amp;E7,$A$2:$A$802,"&lt;="&amp;F7)</f>
        <v>5255</v>
      </c>
    </row>
    <row r="8" spans="1:7" x14ac:dyDescent="0.25">
      <c r="A8" s="8">
        <v>41648</v>
      </c>
      <c r="B8" s="4" t="s">
        <v>711</v>
      </c>
      <c r="C8" s="4">
        <v>13</v>
      </c>
      <c r="E8" s="8">
        <f t="shared" ref="E8:E11" si="1">F7+1</f>
        <v>41548</v>
      </c>
      <c r="F8" s="8">
        <f t="shared" ref="F8:F11" si="2">EOMONTH(E8,0)</f>
        <v>41578</v>
      </c>
      <c r="G8" s="22">
        <f t="shared" si="0"/>
        <v>6145</v>
      </c>
    </row>
    <row r="9" spans="1:7" x14ac:dyDescent="0.25">
      <c r="A9" s="8">
        <v>41611</v>
      </c>
      <c r="B9" s="4" t="s">
        <v>713</v>
      </c>
      <c r="C9" s="4">
        <v>29</v>
      </c>
      <c r="E9" s="8">
        <f t="shared" si="1"/>
        <v>41579</v>
      </c>
      <c r="F9" s="8">
        <f t="shared" si="2"/>
        <v>41608</v>
      </c>
      <c r="G9" s="22">
        <f t="shared" si="0"/>
        <v>5607</v>
      </c>
    </row>
    <row r="10" spans="1:7" x14ac:dyDescent="0.25">
      <c r="A10" s="8">
        <v>41604</v>
      </c>
      <c r="B10" s="4" t="s">
        <v>714</v>
      </c>
      <c r="C10" s="4">
        <v>33</v>
      </c>
      <c r="E10" s="8">
        <f t="shared" si="1"/>
        <v>41609</v>
      </c>
      <c r="F10" s="8">
        <f t="shared" si="2"/>
        <v>41639</v>
      </c>
      <c r="G10" s="22">
        <f t="shared" si="0"/>
        <v>5309</v>
      </c>
    </row>
    <row r="11" spans="1:7" x14ac:dyDescent="0.25">
      <c r="A11" s="8">
        <v>41514</v>
      </c>
      <c r="B11" s="4" t="s">
        <v>715</v>
      </c>
      <c r="C11" s="4">
        <v>48</v>
      </c>
      <c r="E11" s="8">
        <f t="shared" si="1"/>
        <v>41640</v>
      </c>
      <c r="F11" s="8">
        <f t="shared" si="2"/>
        <v>41670</v>
      </c>
      <c r="G11" s="22">
        <f t="shared" si="0"/>
        <v>2248</v>
      </c>
    </row>
    <row r="12" spans="1:7" x14ac:dyDescent="0.25">
      <c r="A12" s="8">
        <v>41620</v>
      </c>
      <c r="B12" s="4" t="s">
        <v>716</v>
      </c>
      <c r="C12" s="4">
        <v>45</v>
      </c>
      <c r="E12" s="25"/>
      <c r="F12" s="25"/>
    </row>
    <row r="13" spans="1:7" x14ac:dyDescent="0.25">
      <c r="A13" s="8">
        <v>41508</v>
      </c>
      <c r="B13" s="4" t="s">
        <v>101</v>
      </c>
      <c r="C13" s="4">
        <v>36</v>
      </c>
      <c r="E13" s="25"/>
      <c r="F13" s="25"/>
    </row>
    <row r="14" spans="1:7" x14ac:dyDescent="0.25">
      <c r="A14" s="8">
        <v>41602</v>
      </c>
      <c r="B14" s="4" t="s">
        <v>717</v>
      </c>
      <c r="C14" s="4">
        <v>54</v>
      </c>
    </row>
    <row r="15" spans="1:7" x14ac:dyDescent="0.25">
      <c r="A15" s="8">
        <v>41516</v>
      </c>
      <c r="B15" s="4" t="s">
        <v>101</v>
      </c>
      <c r="C15" s="4">
        <v>45</v>
      </c>
    </row>
    <row r="16" spans="1:7" x14ac:dyDescent="0.25">
      <c r="A16" s="8">
        <v>41554</v>
      </c>
      <c r="B16" s="4" t="s">
        <v>718</v>
      </c>
      <c r="C16" s="4">
        <v>37</v>
      </c>
    </row>
    <row r="17" spans="1:3" x14ac:dyDescent="0.25">
      <c r="A17" s="8">
        <v>41573</v>
      </c>
      <c r="B17" s="4" t="s">
        <v>719</v>
      </c>
      <c r="C17" s="4">
        <v>41</v>
      </c>
    </row>
    <row r="18" spans="1:3" x14ac:dyDescent="0.25">
      <c r="A18" s="8">
        <v>41589</v>
      </c>
      <c r="B18" s="4" t="s">
        <v>717</v>
      </c>
      <c r="C18" s="4">
        <v>46</v>
      </c>
    </row>
    <row r="19" spans="1:3" x14ac:dyDescent="0.25">
      <c r="A19" s="8">
        <v>41531</v>
      </c>
      <c r="B19" s="4" t="s">
        <v>720</v>
      </c>
      <c r="C19" s="4">
        <v>23</v>
      </c>
    </row>
    <row r="20" spans="1:3" x14ac:dyDescent="0.25">
      <c r="A20" s="8">
        <v>41623</v>
      </c>
      <c r="B20" s="4" t="s">
        <v>715</v>
      </c>
      <c r="C20" s="4">
        <v>27</v>
      </c>
    </row>
    <row r="21" spans="1:3" x14ac:dyDescent="0.25">
      <c r="A21" s="8">
        <v>41617</v>
      </c>
      <c r="B21" s="4" t="s">
        <v>712</v>
      </c>
      <c r="C21" s="4">
        <v>55</v>
      </c>
    </row>
    <row r="22" spans="1:3" x14ac:dyDescent="0.25">
      <c r="A22" s="8">
        <v>41569</v>
      </c>
      <c r="B22" s="4" t="s">
        <v>101</v>
      </c>
      <c r="C22" s="4">
        <v>36</v>
      </c>
    </row>
    <row r="23" spans="1:3" x14ac:dyDescent="0.25">
      <c r="A23" s="8">
        <v>41637</v>
      </c>
      <c r="B23" s="4" t="s">
        <v>713</v>
      </c>
      <c r="C23" s="4">
        <v>15</v>
      </c>
    </row>
    <row r="24" spans="1:3" x14ac:dyDescent="0.25">
      <c r="A24" s="8">
        <v>41603</v>
      </c>
      <c r="B24" s="4" t="s">
        <v>721</v>
      </c>
      <c r="C24" s="4">
        <v>19</v>
      </c>
    </row>
    <row r="25" spans="1:3" x14ac:dyDescent="0.25">
      <c r="A25" s="8">
        <v>41581</v>
      </c>
      <c r="B25" s="4" t="s">
        <v>721</v>
      </c>
      <c r="C25" s="4">
        <v>32</v>
      </c>
    </row>
    <row r="26" spans="1:3" x14ac:dyDescent="0.25">
      <c r="A26" s="8">
        <v>41598</v>
      </c>
      <c r="B26" s="4" t="s">
        <v>720</v>
      </c>
      <c r="C26" s="4">
        <v>30</v>
      </c>
    </row>
    <row r="27" spans="1:3" x14ac:dyDescent="0.25">
      <c r="A27" s="8">
        <v>41606</v>
      </c>
      <c r="B27" s="4" t="s">
        <v>721</v>
      </c>
      <c r="C27" s="4">
        <v>36</v>
      </c>
    </row>
    <row r="28" spans="1:3" x14ac:dyDescent="0.25">
      <c r="A28" s="8">
        <v>41602</v>
      </c>
      <c r="B28" s="4" t="s">
        <v>722</v>
      </c>
      <c r="C28" s="4">
        <v>43</v>
      </c>
    </row>
    <row r="29" spans="1:3" x14ac:dyDescent="0.25">
      <c r="A29" s="8">
        <v>41595</v>
      </c>
      <c r="B29" s="4" t="s">
        <v>715</v>
      </c>
      <c r="C29" s="4">
        <v>55</v>
      </c>
    </row>
    <row r="30" spans="1:3" x14ac:dyDescent="0.25">
      <c r="A30" s="8">
        <v>41528</v>
      </c>
      <c r="B30" s="4" t="s">
        <v>100</v>
      </c>
      <c r="C30" s="4">
        <v>31</v>
      </c>
    </row>
    <row r="31" spans="1:3" x14ac:dyDescent="0.25">
      <c r="A31" s="8">
        <v>41598</v>
      </c>
      <c r="B31" s="4" t="s">
        <v>101</v>
      </c>
      <c r="C31" s="4">
        <v>14</v>
      </c>
    </row>
    <row r="32" spans="1:3" x14ac:dyDescent="0.25">
      <c r="A32" s="8">
        <v>41600</v>
      </c>
      <c r="B32" s="4" t="s">
        <v>711</v>
      </c>
      <c r="C32" s="4">
        <v>29</v>
      </c>
    </row>
    <row r="33" spans="1:3" x14ac:dyDescent="0.25">
      <c r="A33" s="8">
        <v>41580</v>
      </c>
      <c r="B33" s="4" t="s">
        <v>723</v>
      </c>
      <c r="C33" s="4">
        <v>58</v>
      </c>
    </row>
    <row r="34" spans="1:3" x14ac:dyDescent="0.25">
      <c r="A34" s="8">
        <v>41569</v>
      </c>
      <c r="B34" s="4" t="s">
        <v>710</v>
      </c>
      <c r="C34" s="4">
        <v>37</v>
      </c>
    </row>
    <row r="35" spans="1:3" x14ac:dyDescent="0.25">
      <c r="A35" s="8">
        <v>41622</v>
      </c>
      <c r="B35" s="4" t="s">
        <v>723</v>
      </c>
      <c r="C35" s="4">
        <v>57</v>
      </c>
    </row>
    <row r="36" spans="1:3" x14ac:dyDescent="0.25">
      <c r="A36" s="8">
        <v>41628</v>
      </c>
      <c r="B36" s="4" t="s">
        <v>718</v>
      </c>
      <c r="C36" s="4">
        <v>43</v>
      </c>
    </row>
    <row r="37" spans="1:3" x14ac:dyDescent="0.25">
      <c r="A37" s="8">
        <v>41507</v>
      </c>
      <c r="B37" s="4" t="s">
        <v>102</v>
      </c>
      <c r="C37" s="4">
        <v>43</v>
      </c>
    </row>
    <row r="38" spans="1:3" x14ac:dyDescent="0.25">
      <c r="A38" s="8">
        <v>41568</v>
      </c>
      <c r="B38" s="4" t="s">
        <v>720</v>
      </c>
      <c r="C38" s="4">
        <v>49</v>
      </c>
    </row>
    <row r="39" spans="1:3" x14ac:dyDescent="0.25">
      <c r="A39" s="8">
        <v>41552</v>
      </c>
      <c r="B39" s="4" t="s">
        <v>714</v>
      </c>
      <c r="C39" s="4">
        <v>56</v>
      </c>
    </row>
    <row r="40" spans="1:3" x14ac:dyDescent="0.25">
      <c r="A40" s="8">
        <v>41611</v>
      </c>
      <c r="B40" s="4" t="s">
        <v>720</v>
      </c>
      <c r="C40" s="4">
        <v>58</v>
      </c>
    </row>
    <row r="41" spans="1:3" x14ac:dyDescent="0.25">
      <c r="A41" s="8">
        <v>41525</v>
      </c>
      <c r="B41" s="4" t="s">
        <v>102</v>
      </c>
      <c r="C41" s="4">
        <v>17</v>
      </c>
    </row>
    <row r="42" spans="1:3" x14ac:dyDescent="0.25">
      <c r="A42" s="8">
        <v>41628</v>
      </c>
      <c r="B42" s="4" t="s">
        <v>710</v>
      </c>
      <c r="C42" s="4">
        <v>27</v>
      </c>
    </row>
    <row r="43" spans="1:3" x14ac:dyDescent="0.25">
      <c r="A43" s="8">
        <v>41638</v>
      </c>
      <c r="B43" s="4" t="s">
        <v>102</v>
      </c>
      <c r="C43" s="4">
        <v>26</v>
      </c>
    </row>
    <row r="44" spans="1:3" x14ac:dyDescent="0.25">
      <c r="A44" s="8">
        <v>41510</v>
      </c>
      <c r="B44" s="4" t="s">
        <v>723</v>
      </c>
      <c r="C44" s="4">
        <v>25</v>
      </c>
    </row>
    <row r="45" spans="1:3" x14ac:dyDescent="0.25">
      <c r="A45" s="8">
        <v>41648</v>
      </c>
      <c r="B45" s="4" t="s">
        <v>711</v>
      </c>
      <c r="C45" s="4">
        <v>55</v>
      </c>
    </row>
    <row r="46" spans="1:3" x14ac:dyDescent="0.25">
      <c r="A46" s="8">
        <v>41531</v>
      </c>
      <c r="B46" s="4" t="s">
        <v>722</v>
      </c>
      <c r="C46" s="4">
        <v>31</v>
      </c>
    </row>
    <row r="47" spans="1:3" x14ac:dyDescent="0.25">
      <c r="A47" s="8">
        <v>41621</v>
      </c>
      <c r="B47" s="4" t="s">
        <v>99</v>
      </c>
      <c r="C47" s="4">
        <v>50</v>
      </c>
    </row>
    <row r="48" spans="1:3" x14ac:dyDescent="0.25">
      <c r="A48" s="8">
        <v>41633</v>
      </c>
      <c r="B48" s="4" t="s">
        <v>712</v>
      </c>
      <c r="C48" s="4">
        <v>42</v>
      </c>
    </row>
    <row r="49" spans="1:3" x14ac:dyDescent="0.25">
      <c r="A49" s="8">
        <v>41641</v>
      </c>
      <c r="B49" s="4" t="s">
        <v>102</v>
      </c>
      <c r="C49" s="4">
        <v>40</v>
      </c>
    </row>
    <row r="50" spans="1:3" x14ac:dyDescent="0.25">
      <c r="A50" s="8">
        <v>41582</v>
      </c>
      <c r="B50" s="4" t="s">
        <v>99</v>
      </c>
      <c r="C50" s="4">
        <v>35</v>
      </c>
    </row>
    <row r="51" spans="1:3" x14ac:dyDescent="0.25">
      <c r="A51" s="8">
        <v>41551</v>
      </c>
      <c r="B51" s="4" t="s">
        <v>714</v>
      </c>
      <c r="C51" s="4">
        <v>17</v>
      </c>
    </row>
    <row r="52" spans="1:3" x14ac:dyDescent="0.25">
      <c r="A52" s="8">
        <v>41609</v>
      </c>
      <c r="B52" s="4" t="s">
        <v>724</v>
      </c>
      <c r="C52" s="4">
        <v>17</v>
      </c>
    </row>
    <row r="53" spans="1:3" x14ac:dyDescent="0.25">
      <c r="A53" s="8">
        <v>41634</v>
      </c>
      <c r="B53" s="4" t="s">
        <v>102</v>
      </c>
      <c r="C53" s="4">
        <v>10</v>
      </c>
    </row>
    <row r="54" spans="1:3" x14ac:dyDescent="0.25">
      <c r="A54" s="8">
        <v>41572</v>
      </c>
      <c r="B54" s="4" t="s">
        <v>719</v>
      </c>
      <c r="C54" s="4">
        <v>17</v>
      </c>
    </row>
    <row r="55" spans="1:3" x14ac:dyDescent="0.25">
      <c r="A55" s="8">
        <v>41582</v>
      </c>
      <c r="B55" s="4" t="s">
        <v>99</v>
      </c>
      <c r="C55" s="4">
        <v>27</v>
      </c>
    </row>
    <row r="56" spans="1:3" x14ac:dyDescent="0.25">
      <c r="A56" s="8">
        <v>41501</v>
      </c>
      <c r="B56" s="4" t="s">
        <v>725</v>
      </c>
      <c r="C56" s="4">
        <v>53</v>
      </c>
    </row>
    <row r="57" spans="1:3" x14ac:dyDescent="0.25">
      <c r="A57" s="8">
        <v>41541</v>
      </c>
      <c r="B57" s="4" t="s">
        <v>719</v>
      </c>
      <c r="C57" s="4">
        <v>59</v>
      </c>
    </row>
    <row r="58" spans="1:3" x14ac:dyDescent="0.25">
      <c r="A58" s="8">
        <v>41503</v>
      </c>
      <c r="B58" s="4" t="s">
        <v>721</v>
      </c>
      <c r="C58" s="4">
        <v>29</v>
      </c>
    </row>
    <row r="59" spans="1:3" x14ac:dyDescent="0.25">
      <c r="A59" s="8">
        <v>41593</v>
      </c>
      <c r="B59" s="4" t="s">
        <v>711</v>
      </c>
      <c r="C59" s="4">
        <v>49</v>
      </c>
    </row>
    <row r="60" spans="1:3" x14ac:dyDescent="0.25">
      <c r="A60" s="8">
        <v>41554</v>
      </c>
      <c r="B60" s="4" t="s">
        <v>100</v>
      </c>
      <c r="C60" s="4">
        <v>33</v>
      </c>
    </row>
    <row r="61" spans="1:3" x14ac:dyDescent="0.25">
      <c r="A61" s="8">
        <v>41592</v>
      </c>
      <c r="B61" s="4" t="s">
        <v>715</v>
      </c>
      <c r="C61" s="4">
        <v>38</v>
      </c>
    </row>
    <row r="62" spans="1:3" x14ac:dyDescent="0.25">
      <c r="A62" s="8">
        <v>41549</v>
      </c>
      <c r="B62" s="4" t="s">
        <v>719</v>
      </c>
      <c r="C62" s="4">
        <v>53</v>
      </c>
    </row>
    <row r="63" spans="1:3" x14ac:dyDescent="0.25">
      <c r="A63" s="8">
        <v>41532</v>
      </c>
      <c r="B63" s="4" t="s">
        <v>724</v>
      </c>
      <c r="C63" s="4">
        <v>41</v>
      </c>
    </row>
    <row r="64" spans="1:3" x14ac:dyDescent="0.25">
      <c r="A64" s="8">
        <v>41647</v>
      </c>
      <c r="B64" s="4" t="s">
        <v>722</v>
      </c>
      <c r="C64" s="4">
        <v>56</v>
      </c>
    </row>
    <row r="65" spans="1:3" x14ac:dyDescent="0.25">
      <c r="A65" s="8">
        <v>41630</v>
      </c>
      <c r="B65" s="4" t="s">
        <v>713</v>
      </c>
      <c r="C65" s="4">
        <v>29</v>
      </c>
    </row>
    <row r="66" spans="1:3" x14ac:dyDescent="0.25">
      <c r="A66" s="8">
        <v>41571</v>
      </c>
      <c r="B66" s="4" t="s">
        <v>715</v>
      </c>
      <c r="C66" s="4">
        <v>55</v>
      </c>
    </row>
    <row r="67" spans="1:3" x14ac:dyDescent="0.25">
      <c r="A67" s="8">
        <v>41571</v>
      </c>
      <c r="B67" s="4" t="s">
        <v>715</v>
      </c>
      <c r="C67" s="4">
        <v>16</v>
      </c>
    </row>
    <row r="68" spans="1:3" x14ac:dyDescent="0.25">
      <c r="A68" s="8">
        <v>41513</v>
      </c>
      <c r="B68" s="4" t="s">
        <v>726</v>
      </c>
      <c r="C68" s="4">
        <v>46</v>
      </c>
    </row>
    <row r="69" spans="1:3" x14ac:dyDescent="0.25">
      <c r="A69" s="8">
        <v>41530</v>
      </c>
      <c r="B69" s="4" t="s">
        <v>724</v>
      </c>
      <c r="C69" s="4">
        <v>56</v>
      </c>
    </row>
    <row r="70" spans="1:3" x14ac:dyDescent="0.25">
      <c r="A70" s="8">
        <v>41549</v>
      </c>
      <c r="B70" s="4" t="s">
        <v>727</v>
      </c>
      <c r="C70" s="4">
        <v>21</v>
      </c>
    </row>
    <row r="71" spans="1:3" x14ac:dyDescent="0.25">
      <c r="A71" s="8">
        <v>41570</v>
      </c>
      <c r="B71" s="4" t="s">
        <v>727</v>
      </c>
      <c r="C71" s="4">
        <v>41</v>
      </c>
    </row>
    <row r="72" spans="1:3" x14ac:dyDescent="0.25">
      <c r="A72" s="8">
        <v>41548</v>
      </c>
      <c r="B72" s="4" t="s">
        <v>102</v>
      </c>
      <c r="C72" s="4">
        <v>25</v>
      </c>
    </row>
    <row r="73" spans="1:3" x14ac:dyDescent="0.25">
      <c r="A73" s="8">
        <v>41586</v>
      </c>
      <c r="B73" s="4" t="s">
        <v>725</v>
      </c>
      <c r="C73" s="4">
        <v>17</v>
      </c>
    </row>
    <row r="74" spans="1:3" x14ac:dyDescent="0.25">
      <c r="A74" s="8">
        <v>41540</v>
      </c>
      <c r="B74" s="4" t="s">
        <v>713</v>
      </c>
      <c r="C74" s="4">
        <v>17</v>
      </c>
    </row>
    <row r="75" spans="1:3" x14ac:dyDescent="0.25">
      <c r="A75" s="8">
        <v>41503</v>
      </c>
      <c r="B75" s="4" t="s">
        <v>710</v>
      </c>
      <c r="C75" s="4">
        <v>45</v>
      </c>
    </row>
    <row r="76" spans="1:3" x14ac:dyDescent="0.25">
      <c r="A76" s="8">
        <v>41645</v>
      </c>
      <c r="B76" s="4" t="s">
        <v>727</v>
      </c>
      <c r="C76" s="4">
        <v>46</v>
      </c>
    </row>
    <row r="77" spans="1:3" x14ac:dyDescent="0.25">
      <c r="A77" s="8">
        <v>41547</v>
      </c>
      <c r="B77" s="4" t="s">
        <v>722</v>
      </c>
      <c r="C77" s="4">
        <v>17</v>
      </c>
    </row>
    <row r="78" spans="1:3" x14ac:dyDescent="0.25">
      <c r="A78" s="8">
        <v>41538</v>
      </c>
      <c r="B78" s="4" t="s">
        <v>719</v>
      </c>
      <c r="C78" s="4">
        <v>26</v>
      </c>
    </row>
    <row r="79" spans="1:3" x14ac:dyDescent="0.25">
      <c r="A79" s="8">
        <v>41536</v>
      </c>
      <c r="B79" s="4" t="s">
        <v>714</v>
      </c>
      <c r="C79" s="4">
        <v>37</v>
      </c>
    </row>
    <row r="80" spans="1:3" x14ac:dyDescent="0.25">
      <c r="A80" s="8">
        <v>41597</v>
      </c>
      <c r="B80" s="4" t="s">
        <v>714</v>
      </c>
      <c r="C80" s="4">
        <v>54</v>
      </c>
    </row>
    <row r="81" spans="1:3" x14ac:dyDescent="0.25">
      <c r="A81" s="8">
        <v>41534</v>
      </c>
      <c r="B81" s="4" t="s">
        <v>712</v>
      </c>
      <c r="C81" s="4">
        <v>55</v>
      </c>
    </row>
    <row r="82" spans="1:3" x14ac:dyDescent="0.25">
      <c r="A82" s="8">
        <v>41628</v>
      </c>
      <c r="B82" s="4" t="s">
        <v>728</v>
      </c>
      <c r="C82" s="4">
        <v>53</v>
      </c>
    </row>
    <row r="83" spans="1:3" x14ac:dyDescent="0.25">
      <c r="A83" s="8">
        <v>41542</v>
      </c>
      <c r="B83" s="4" t="s">
        <v>723</v>
      </c>
      <c r="C83" s="4">
        <v>35</v>
      </c>
    </row>
    <row r="84" spans="1:3" x14ac:dyDescent="0.25">
      <c r="A84" s="8">
        <v>41514</v>
      </c>
      <c r="B84" s="4" t="s">
        <v>715</v>
      </c>
      <c r="C84" s="4">
        <v>36</v>
      </c>
    </row>
    <row r="85" spans="1:3" x14ac:dyDescent="0.25">
      <c r="A85" s="8">
        <v>41624</v>
      </c>
      <c r="B85" s="4" t="s">
        <v>722</v>
      </c>
      <c r="C85" s="4">
        <v>33</v>
      </c>
    </row>
    <row r="86" spans="1:3" x14ac:dyDescent="0.25">
      <c r="A86" s="8">
        <v>41597</v>
      </c>
      <c r="B86" s="4" t="s">
        <v>712</v>
      </c>
      <c r="C86" s="4">
        <v>33</v>
      </c>
    </row>
    <row r="87" spans="1:3" x14ac:dyDescent="0.25">
      <c r="A87" s="8">
        <v>41531</v>
      </c>
      <c r="B87" s="4" t="s">
        <v>715</v>
      </c>
      <c r="C87" s="4">
        <v>18</v>
      </c>
    </row>
    <row r="88" spans="1:3" x14ac:dyDescent="0.25">
      <c r="A88" s="8">
        <v>41569</v>
      </c>
      <c r="B88" s="4" t="s">
        <v>714</v>
      </c>
      <c r="C88" s="4">
        <v>36</v>
      </c>
    </row>
    <row r="89" spans="1:3" x14ac:dyDescent="0.25">
      <c r="A89" s="8">
        <v>41646</v>
      </c>
      <c r="B89" s="4" t="s">
        <v>719</v>
      </c>
      <c r="C89" s="4">
        <v>22</v>
      </c>
    </row>
    <row r="90" spans="1:3" x14ac:dyDescent="0.25">
      <c r="A90" s="8">
        <v>41615</v>
      </c>
      <c r="B90" s="4" t="s">
        <v>726</v>
      </c>
      <c r="C90" s="4">
        <v>17</v>
      </c>
    </row>
    <row r="91" spans="1:3" x14ac:dyDescent="0.25">
      <c r="A91" s="8">
        <v>41583</v>
      </c>
      <c r="B91" s="4" t="s">
        <v>100</v>
      </c>
      <c r="C91" s="4">
        <v>45</v>
      </c>
    </row>
    <row r="92" spans="1:3" x14ac:dyDescent="0.25">
      <c r="A92" s="8">
        <v>41573</v>
      </c>
      <c r="B92" s="4" t="s">
        <v>716</v>
      </c>
      <c r="C92" s="4">
        <v>35</v>
      </c>
    </row>
    <row r="93" spans="1:3" x14ac:dyDescent="0.25">
      <c r="A93" s="8">
        <v>41568</v>
      </c>
      <c r="B93" s="4" t="s">
        <v>715</v>
      </c>
      <c r="C93" s="4">
        <v>29</v>
      </c>
    </row>
    <row r="94" spans="1:3" x14ac:dyDescent="0.25">
      <c r="A94" s="8">
        <v>41547</v>
      </c>
      <c r="B94" s="4" t="s">
        <v>727</v>
      </c>
      <c r="C94" s="4">
        <v>21</v>
      </c>
    </row>
    <row r="95" spans="1:3" x14ac:dyDescent="0.25">
      <c r="A95" s="8">
        <v>41580</v>
      </c>
      <c r="B95" s="4" t="s">
        <v>99</v>
      </c>
      <c r="C95" s="4">
        <v>32</v>
      </c>
    </row>
    <row r="96" spans="1:3" x14ac:dyDescent="0.25">
      <c r="A96" s="8">
        <v>41645</v>
      </c>
      <c r="B96" s="4" t="s">
        <v>725</v>
      </c>
      <c r="C96" s="4">
        <v>12</v>
      </c>
    </row>
    <row r="97" spans="1:3" x14ac:dyDescent="0.25">
      <c r="A97" s="8">
        <v>41602</v>
      </c>
      <c r="B97" s="4" t="s">
        <v>721</v>
      </c>
      <c r="C97" s="4">
        <v>43</v>
      </c>
    </row>
    <row r="98" spans="1:3" x14ac:dyDescent="0.25">
      <c r="A98" s="8">
        <v>41625</v>
      </c>
      <c r="B98" s="4" t="s">
        <v>103</v>
      </c>
      <c r="C98" s="4">
        <v>54</v>
      </c>
    </row>
    <row r="99" spans="1:3" x14ac:dyDescent="0.25">
      <c r="A99" s="8">
        <v>41580</v>
      </c>
      <c r="B99" s="4" t="s">
        <v>711</v>
      </c>
      <c r="C99" s="4">
        <v>23</v>
      </c>
    </row>
    <row r="100" spans="1:3" x14ac:dyDescent="0.25">
      <c r="A100" s="8">
        <v>41560</v>
      </c>
      <c r="B100" s="4" t="s">
        <v>99</v>
      </c>
      <c r="C100" s="4">
        <v>37</v>
      </c>
    </row>
    <row r="101" spans="1:3" x14ac:dyDescent="0.25">
      <c r="A101" s="8">
        <v>41640</v>
      </c>
      <c r="B101" s="4" t="s">
        <v>99</v>
      </c>
      <c r="C101" s="4">
        <v>31</v>
      </c>
    </row>
    <row r="102" spans="1:3" x14ac:dyDescent="0.25">
      <c r="A102" s="8">
        <v>41595</v>
      </c>
      <c r="B102" s="4" t="s">
        <v>715</v>
      </c>
      <c r="C102" s="4">
        <v>12</v>
      </c>
    </row>
    <row r="103" spans="1:3" x14ac:dyDescent="0.25">
      <c r="A103" s="8">
        <v>41648</v>
      </c>
      <c r="B103" s="4" t="s">
        <v>714</v>
      </c>
      <c r="C103" s="4">
        <v>14</v>
      </c>
    </row>
    <row r="104" spans="1:3" x14ac:dyDescent="0.25">
      <c r="A104" s="8">
        <v>41589</v>
      </c>
      <c r="B104" s="4" t="s">
        <v>723</v>
      </c>
      <c r="C104" s="4">
        <v>35</v>
      </c>
    </row>
    <row r="105" spans="1:3" x14ac:dyDescent="0.25">
      <c r="A105" s="8">
        <v>41589</v>
      </c>
      <c r="B105" s="4" t="s">
        <v>726</v>
      </c>
      <c r="C105" s="4">
        <v>41</v>
      </c>
    </row>
    <row r="106" spans="1:3" x14ac:dyDescent="0.25">
      <c r="A106" s="8">
        <v>41642</v>
      </c>
      <c r="B106" s="4" t="s">
        <v>729</v>
      </c>
      <c r="C106" s="4">
        <v>45</v>
      </c>
    </row>
    <row r="107" spans="1:3" x14ac:dyDescent="0.25">
      <c r="A107" s="8">
        <v>41647</v>
      </c>
      <c r="B107" s="4" t="s">
        <v>101</v>
      </c>
      <c r="C107" s="4">
        <v>31</v>
      </c>
    </row>
    <row r="108" spans="1:3" x14ac:dyDescent="0.25">
      <c r="A108" s="8">
        <v>41638</v>
      </c>
      <c r="B108" s="4" t="s">
        <v>724</v>
      </c>
      <c r="C108" s="4">
        <v>29</v>
      </c>
    </row>
    <row r="109" spans="1:3" x14ac:dyDescent="0.25">
      <c r="A109" s="8">
        <v>41522</v>
      </c>
      <c r="B109" s="4" t="s">
        <v>716</v>
      </c>
      <c r="C109" s="4">
        <v>55</v>
      </c>
    </row>
    <row r="110" spans="1:3" x14ac:dyDescent="0.25">
      <c r="A110" s="8">
        <v>41620</v>
      </c>
      <c r="B110" s="4" t="s">
        <v>723</v>
      </c>
      <c r="C110" s="4">
        <v>16</v>
      </c>
    </row>
    <row r="111" spans="1:3" x14ac:dyDescent="0.25">
      <c r="A111" s="8">
        <v>41555</v>
      </c>
      <c r="B111" s="4" t="s">
        <v>101</v>
      </c>
      <c r="C111" s="4">
        <v>58</v>
      </c>
    </row>
    <row r="112" spans="1:3" x14ac:dyDescent="0.25">
      <c r="A112" s="8">
        <v>41538</v>
      </c>
      <c r="B112" s="4" t="s">
        <v>716</v>
      </c>
      <c r="C112" s="4">
        <v>42</v>
      </c>
    </row>
    <row r="113" spans="1:3" x14ac:dyDescent="0.25">
      <c r="A113" s="8">
        <v>41538</v>
      </c>
      <c r="B113" s="4" t="s">
        <v>710</v>
      </c>
      <c r="C113" s="4">
        <v>16</v>
      </c>
    </row>
    <row r="114" spans="1:3" x14ac:dyDescent="0.25">
      <c r="A114" s="8">
        <v>41597</v>
      </c>
      <c r="B114" s="4" t="s">
        <v>710</v>
      </c>
      <c r="C114" s="4">
        <v>29</v>
      </c>
    </row>
    <row r="115" spans="1:3" x14ac:dyDescent="0.25">
      <c r="A115" s="8">
        <v>41630</v>
      </c>
      <c r="B115" s="4" t="s">
        <v>715</v>
      </c>
      <c r="C115" s="4">
        <v>39</v>
      </c>
    </row>
    <row r="116" spans="1:3" x14ac:dyDescent="0.25">
      <c r="A116" s="8">
        <v>41554</v>
      </c>
      <c r="B116" s="4" t="s">
        <v>99</v>
      </c>
      <c r="C116" s="4">
        <v>46</v>
      </c>
    </row>
    <row r="117" spans="1:3" x14ac:dyDescent="0.25">
      <c r="A117" s="8">
        <v>41644</v>
      </c>
      <c r="B117" s="4" t="s">
        <v>720</v>
      </c>
      <c r="C117" s="4">
        <v>18</v>
      </c>
    </row>
    <row r="118" spans="1:3" x14ac:dyDescent="0.25">
      <c r="A118" s="8">
        <v>41567</v>
      </c>
      <c r="B118" s="4" t="s">
        <v>726</v>
      </c>
      <c r="C118" s="4">
        <v>54</v>
      </c>
    </row>
    <row r="119" spans="1:3" x14ac:dyDescent="0.25">
      <c r="A119" s="8">
        <v>41614</v>
      </c>
      <c r="B119" s="4" t="s">
        <v>721</v>
      </c>
      <c r="C119" s="4">
        <v>40</v>
      </c>
    </row>
    <row r="120" spans="1:3" x14ac:dyDescent="0.25">
      <c r="A120" s="8">
        <v>41553</v>
      </c>
      <c r="B120" s="4" t="s">
        <v>721</v>
      </c>
      <c r="C120" s="4">
        <v>47</v>
      </c>
    </row>
    <row r="121" spans="1:3" x14ac:dyDescent="0.25">
      <c r="A121" s="8">
        <v>41541</v>
      </c>
      <c r="B121" s="4" t="s">
        <v>723</v>
      </c>
      <c r="C121" s="4">
        <v>54</v>
      </c>
    </row>
    <row r="122" spans="1:3" x14ac:dyDescent="0.25">
      <c r="A122" s="8">
        <v>41620</v>
      </c>
      <c r="B122" s="4" t="s">
        <v>713</v>
      </c>
      <c r="C122" s="4">
        <v>38</v>
      </c>
    </row>
    <row r="123" spans="1:3" x14ac:dyDescent="0.25">
      <c r="A123" s="8">
        <v>41520</v>
      </c>
      <c r="B123" s="4" t="s">
        <v>726</v>
      </c>
      <c r="C123" s="4">
        <v>21</v>
      </c>
    </row>
    <row r="124" spans="1:3" x14ac:dyDescent="0.25">
      <c r="A124" s="8">
        <v>41501</v>
      </c>
      <c r="B124" s="4" t="s">
        <v>721</v>
      </c>
      <c r="C124" s="4">
        <v>48</v>
      </c>
    </row>
    <row r="125" spans="1:3" x14ac:dyDescent="0.25">
      <c r="A125" s="8">
        <v>41597</v>
      </c>
      <c r="B125" s="4" t="s">
        <v>729</v>
      </c>
      <c r="C125" s="4">
        <v>36</v>
      </c>
    </row>
    <row r="126" spans="1:3" x14ac:dyDescent="0.25">
      <c r="A126" s="8">
        <v>41576</v>
      </c>
      <c r="B126" s="4" t="s">
        <v>725</v>
      </c>
      <c r="C126" s="4">
        <v>13</v>
      </c>
    </row>
    <row r="127" spans="1:3" x14ac:dyDescent="0.25">
      <c r="A127" s="8">
        <v>41552</v>
      </c>
      <c r="B127" s="4" t="s">
        <v>100</v>
      </c>
      <c r="C127" s="4">
        <v>45</v>
      </c>
    </row>
    <row r="128" spans="1:3" x14ac:dyDescent="0.25">
      <c r="A128" s="8">
        <v>41614</v>
      </c>
      <c r="B128" s="4" t="s">
        <v>719</v>
      </c>
      <c r="C128" s="4">
        <v>15</v>
      </c>
    </row>
    <row r="129" spans="1:3" x14ac:dyDescent="0.25">
      <c r="A129" s="8">
        <v>41568</v>
      </c>
      <c r="B129" s="4" t="s">
        <v>712</v>
      </c>
      <c r="C129" s="4">
        <v>21</v>
      </c>
    </row>
    <row r="130" spans="1:3" x14ac:dyDescent="0.25">
      <c r="A130" s="8">
        <v>41616</v>
      </c>
      <c r="B130" s="4" t="s">
        <v>724</v>
      </c>
      <c r="C130" s="4">
        <v>14</v>
      </c>
    </row>
    <row r="131" spans="1:3" x14ac:dyDescent="0.25">
      <c r="A131" s="8">
        <v>41634</v>
      </c>
      <c r="B131" s="4" t="s">
        <v>727</v>
      </c>
      <c r="C131" s="4">
        <v>35</v>
      </c>
    </row>
    <row r="132" spans="1:3" x14ac:dyDescent="0.25">
      <c r="A132" s="8">
        <v>41524</v>
      </c>
      <c r="B132" s="4" t="s">
        <v>727</v>
      </c>
      <c r="C132" s="4">
        <v>54</v>
      </c>
    </row>
    <row r="133" spans="1:3" x14ac:dyDescent="0.25">
      <c r="A133" s="8">
        <v>41602</v>
      </c>
      <c r="B133" s="4" t="s">
        <v>716</v>
      </c>
      <c r="C133" s="4">
        <v>10</v>
      </c>
    </row>
    <row r="134" spans="1:3" x14ac:dyDescent="0.25">
      <c r="A134" s="8">
        <v>41633</v>
      </c>
      <c r="B134" s="4" t="s">
        <v>102</v>
      </c>
      <c r="C134" s="4">
        <v>28</v>
      </c>
    </row>
    <row r="135" spans="1:3" x14ac:dyDescent="0.25">
      <c r="A135" s="8">
        <v>41561</v>
      </c>
      <c r="B135" s="4" t="s">
        <v>99</v>
      </c>
      <c r="C135" s="4">
        <v>34</v>
      </c>
    </row>
    <row r="136" spans="1:3" x14ac:dyDescent="0.25">
      <c r="A136" s="8">
        <v>41502</v>
      </c>
      <c r="B136" s="4" t="s">
        <v>102</v>
      </c>
      <c r="C136" s="4">
        <v>45</v>
      </c>
    </row>
    <row r="137" spans="1:3" x14ac:dyDescent="0.25">
      <c r="A137" s="8">
        <v>41622</v>
      </c>
      <c r="B137" s="4" t="s">
        <v>717</v>
      </c>
      <c r="C137" s="4">
        <v>16</v>
      </c>
    </row>
    <row r="138" spans="1:3" x14ac:dyDescent="0.25">
      <c r="A138" s="8">
        <v>41579</v>
      </c>
      <c r="B138" s="4" t="s">
        <v>720</v>
      </c>
      <c r="C138" s="4">
        <v>28</v>
      </c>
    </row>
    <row r="139" spans="1:3" x14ac:dyDescent="0.25">
      <c r="A139" s="8">
        <v>41500</v>
      </c>
      <c r="B139" s="4" t="s">
        <v>718</v>
      </c>
      <c r="C139" s="4">
        <v>56</v>
      </c>
    </row>
    <row r="140" spans="1:3" x14ac:dyDescent="0.25">
      <c r="A140" s="8">
        <v>41500</v>
      </c>
      <c r="B140" s="4" t="s">
        <v>101</v>
      </c>
      <c r="C140" s="4">
        <v>16</v>
      </c>
    </row>
    <row r="141" spans="1:3" x14ac:dyDescent="0.25">
      <c r="A141" s="8">
        <v>41603</v>
      </c>
      <c r="B141" s="4" t="s">
        <v>714</v>
      </c>
      <c r="C141" s="4">
        <v>29</v>
      </c>
    </row>
    <row r="142" spans="1:3" x14ac:dyDescent="0.25">
      <c r="A142" s="8">
        <v>41541</v>
      </c>
      <c r="B142" s="4" t="s">
        <v>721</v>
      </c>
      <c r="C142" s="4">
        <v>59</v>
      </c>
    </row>
    <row r="143" spans="1:3" x14ac:dyDescent="0.25">
      <c r="A143" s="8">
        <v>41544</v>
      </c>
      <c r="B143" s="4" t="s">
        <v>725</v>
      </c>
      <c r="C143" s="4">
        <v>36</v>
      </c>
    </row>
    <row r="144" spans="1:3" x14ac:dyDescent="0.25">
      <c r="A144" s="8">
        <v>41621</v>
      </c>
      <c r="B144" s="4" t="s">
        <v>722</v>
      </c>
      <c r="C144" s="4">
        <v>40</v>
      </c>
    </row>
    <row r="145" spans="1:3" x14ac:dyDescent="0.25">
      <c r="A145" s="8">
        <v>41561</v>
      </c>
      <c r="B145" s="4" t="s">
        <v>728</v>
      </c>
      <c r="C145" s="4">
        <v>19</v>
      </c>
    </row>
    <row r="146" spans="1:3" x14ac:dyDescent="0.25">
      <c r="A146" s="8">
        <v>41573</v>
      </c>
      <c r="B146" s="4" t="s">
        <v>722</v>
      </c>
      <c r="C146" s="4">
        <v>14</v>
      </c>
    </row>
    <row r="147" spans="1:3" x14ac:dyDescent="0.25">
      <c r="A147" s="8">
        <v>41617</v>
      </c>
      <c r="B147" s="4" t="s">
        <v>720</v>
      </c>
      <c r="C147" s="4">
        <v>41</v>
      </c>
    </row>
    <row r="148" spans="1:3" x14ac:dyDescent="0.25">
      <c r="A148" s="8">
        <v>41594</v>
      </c>
      <c r="B148" s="4" t="s">
        <v>100</v>
      </c>
      <c r="C148" s="4">
        <v>26</v>
      </c>
    </row>
    <row r="149" spans="1:3" x14ac:dyDescent="0.25">
      <c r="A149" s="8">
        <v>41531</v>
      </c>
      <c r="B149" s="4" t="s">
        <v>722</v>
      </c>
      <c r="C149" s="4">
        <v>22</v>
      </c>
    </row>
    <row r="150" spans="1:3" x14ac:dyDescent="0.25">
      <c r="A150" s="8">
        <v>41517</v>
      </c>
      <c r="B150" s="4" t="s">
        <v>710</v>
      </c>
      <c r="C150" s="4">
        <v>36</v>
      </c>
    </row>
    <row r="151" spans="1:3" x14ac:dyDescent="0.25">
      <c r="A151" s="8">
        <v>41559</v>
      </c>
      <c r="B151" s="4" t="s">
        <v>101</v>
      </c>
      <c r="C151" s="4">
        <v>38</v>
      </c>
    </row>
    <row r="152" spans="1:3" x14ac:dyDescent="0.25">
      <c r="A152" s="8">
        <v>41611</v>
      </c>
      <c r="B152" s="4" t="s">
        <v>715</v>
      </c>
      <c r="C152" s="4">
        <v>20</v>
      </c>
    </row>
    <row r="153" spans="1:3" x14ac:dyDescent="0.25">
      <c r="A153" s="8">
        <v>41541</v>
      </c>
      <c r="B153" s="4" t="s">
        <v>719</v>
      </c>
      <c r="C153" s="4">
        <v>25</v>
      </c>
    </row>
    <row r="154" spans="1:3" x14ac:dyDescent="0.25">
      <c r="A154" s="8">
        <v>41549</v>
      </c>
      <c r="B154" s="4" t="s">
        <v>714</v>
      </c>
      <c r="C154" s="4">
        <v>22</v>
      </c>
    </row>
    <row r="155" spans="1:3" x14ac:dyDescent="0.25">
      <c r="A155" s="8">
        <v>41579</v>
      </c>
      <c r="B155" s="4" t="s">
        <v>716</v>
      </c>
      <c r="C155" s="4">
        <v>15</v>
      </c>
    </row>
    <row r="156" spans="1:3" x14ac:dyDescent="0.25">
      <c r="A156" s="8">
        <v>41618</v>
      </c>
      <c r="B156" s="4" t="s">
        <v>710</v>
      </c>
      <c r="C156" s="4">
        <v>47</v>
      </c>
    </row>
    <row r="157" spans="1:3" x14ac:dyDescent="0.25">
      <c r="A157" s="8">
        <v>41575</v>
      </c>
      <c r="B157" s="4" t="s">
        <v>715</v>
      </c>
      <c r="C157" s="4">
        <v>20</v>
      </c>
    </row>
    <row r="158" spans="1:3" x14ac:dyDescent="0.25">
      <c r="A158" s="8">
        <v>41565</v>
      </c>
      <c r="B158" s="4" t="s">
        <v>727</v>
      </c>
      <c r="C158" s="4">
        <v>46</v>
      </c>
    </row>
    <row r="159" spans="1:3" x14ac:dyDescent="0.25">
      <c r="A159" s="8">
        <v>41549</v>
      </c>
      <c r="B159" s="4" t="s">
        <v>724</v>
      </c>
      <c r="C159" s="4">
        <v>47</v>
      </c>
    </row>
    <row r="160" spans="1:3" x14ac:dyDescent="0.25">
      <c r="A160" s="8">
        <v>41570</v>
      </c>
      <c r="B160" s="4" t="s">
        <v>716</v>
      </c>
      <c r="C160" s="4">
        <v>27</v>
      </c>
    </row>
    <row r="161" spans="1:3" x14ac:dyDescent="0.25">
      <c r="A161" s="8">
        <v>41618</v>
      </c>
      <c r="B161" s="4" t="s">
        <v>726</v>
      </c>
      <c r="C161" s="4">
        <v>24</v>
      </c>
    </row>
    <row r="162" spans="1:3" x14ac:dyDescent="0.25">
      <c r="A162" s="8">
        <v>41621</v>
      </c>
      <c r="B162" s="4" t="s">
        <v>713</v>
      </c>
      <c r="C162" s="4">
        <v>59</v>
      </c>
    </row>
    <row r="163" spans="1:3" x14ac:dyDescent="0.25">
      <c r="A163" s="8">
        <v>41541</v>
      </c>
      <c r="B163" s="4" t="s">
        <v>723</v>
      </c>
      <c r="C163" s="4">
        <v>16</v>
      </c>
    </row>
    <row r="164" spans="1:3" x14ac:dyDescent="0.25">
      <c r="A164" s="8">
        <v>41548</v>
      </c>
      <c r="B164" s="4" t="s">
        <v>718</v>
      </c>
      <c r="C164" s="4">
        <v>12</v>
      </c>
    </row>
    <row r="165" spans="1:3" x14ac:dyDescent="0.25">
      <c r="A165" s="8">
        <v>41587</v>
      </c>
      <c r="B165" s="4" t="s">
        <v>716</v>
      </c>
      <c r="C165" s="4">
        <v>23</v>
      </c>
    </row>
    <row r="166" spans="1:3" x14ac:dyDescent="0.25">
      <c r="A166" s="8">
        <v>41619</v>
      </c>
      <c r="B166" s="4" t="s">
        <v>729</v>
      </c>
      <c r="C166" s="4">
        <v>49</v>
      </c>
    </row>
    <row r="167" spans="1:3" x14ac:dyDescent="0.25">
      <c r="A167" s="8">
        <v>41588</v>
      </c>
      <c r="B167" s="4" t="s">
        <v>722</v>
      </c>
      <c r="C167" s="4">
        <v>17</v>
      </c>
    </row>
    <row r="168" spans="1:3" x14ac:dyDescent="0.25">
      <c r="A168" s="8">
        <v>41597</v>
      </c>
      <c r="B168" s="4" t="s">
        <v>729</v>
      </c>
      <c r="C168" s="4">
        <v>19</v>
      </c>
    </row>
    <row r="169" spans="1:3" x14ac:dyDescent="0.25">
      <c r="A169" s="8">
        <v>41564</v>
      </c>
      <c r="B169" s="4" t="s">
        <v>713</v>
      </c>
      <c r="C169" s="4">
        <v>57</v>
      </c>
    </row>
    <row r="170" spans="1:3" x14ac:dyDescent="0.25">
      <c r="A170" s="8">
        <v>41591</v>
      </c>
      <c r="B170" s="4" t="s">
        <v>710</v>
      </c>
      <c r="C170" s="4">
        <v>42</v>
      </c>
    </row>
    <row r="171" spans="1:3" x14ac:dyDescent="0.25">
      <c r="A171" s="8">
        <v>41604</v>
      </c>
      <c r="B171" s="4" t="s">
        <v>727</v>
      </c>
      <c r="C171" s="4">
        <v>31</v>
      </c>
    </row>
    <row r="172" spans="1:3" x14ac:dyDescent="0.25">
      <c r="A172" s="8">
        <v>41545</v>
      </c>
      <c r="B172" s="4" t="s">
        <v>714</v>
      </c>
      <c r="C172" s="4">
        <v>54</v>
      </c>
    </row>
    <row r="173" spans="1:3" x14ac:dyDescent="0.25">
      <c r="A173" s="8">
        <v>41648</v>
      </c>
      <c r="B173" s="4" t="s">
        <v>101</v>
      </c>
      <c r="C173" s="4">
        <v>52</v>
      </c>
    </row>
    <row r="174" spans="1:3" x14ac:dyDescent="0.25">
      <c r="A174" s="8">
        <v>41642</v>
      </c>
      <c r="B174" s="4" t="s">
        <v>727</v>
      </c>
      <c r="C174" s="4">
        <v>52</v>
      </c>
    </row>
    <row r="175" spans="1:3" x14ac:dyDescent="0.25">
      <c r="A175" s="8">
        <v>41621</v>
      </c>
      <c r="B175" s="4" t="s">
        <v>102</v>
      </c>
      <c r="C175" s="4">
        <v>10</v>
      </c>
    </row>
    <row r="176" spans="1:3" x14ac:dyDescent="0.25">
      <c r="A176" s="8">
        <v>41556</v>
      </c>
      <c r="B176" s="4" t="s">
        <v>103</v>
      </c>
      <c r="C176" s="4">
        <v>35</v>
      </c>
    </row>
    <row r="177" spans="1:3" x14ac:dyDescent="0.25">
      <c r="A177" s="8">
        <v>41541</v>
      </c>
      <c r="B177" s="4" t="s">
        <v>101</v>
      </c>
      <c r="C177" s="4">
        <v>10</v>
      </c>
    </row>
    <row r="178" spans="1:3" x14ac:dyDescent="0.25">
      <c r="A178" s="8">
        <v>41505</v>
      </c>
      <c r="B178" s="4" t="s">
        <v>717</v>
      </c>
      <c r="C178" s="4">
        <v>53</v>
      </c>
    </row>
    <row r="179" spans="1:3" x14ac:dyDescent="0.25">
      <c r="A179" s="8">
        <v>41571</v>
      </c>
      <c r="B179" s="4" t="s">
        <v>719</v>
      </c>
      <c r="C179" s="4">
        <v>51</v>
      </c>
    </row>
    <row r="180" spans="1:3" x14ac:dyDescent="0.25">
      <c r="A180" s="8">
        <v>41560</v>
      </c>
      <c r="B180" s="4" t="s">
        <v>728</v>
      </c>
      <c r="C180" s="4">
        <v>17</v>
      </c>
    </row>
    <row r="181" spans="1:3" x14ac:dyDescent="0.25">
      <c r="A181" s="8">
        <v>41564</v>
      </c>
      <c r="B181" s="4" t="s">
        <v>711</v>
      </c>
      <c r="C181" s="4">
        <v>26</v>
      </c>
    </row>
    <row r="182" spans="1:3" x14ac:dyDescent="0.25">
      <c r="A182" s="8">
        <v>41604</v>
      </c>
      <c r="B182" s="4" t="s">
        <v>718</v>
      </c>
      <c r="C182" s="4">
        <v>37</v>
      </c>
    </row>
    <row r="183" spans="1:3" x14ac:dyDescent="0.25">
      <c r="A183" s="8">
        <v>41577</v>
      </c>
      <c r="B183" s="4" t="s">
        <v>100</v>
      </c>
      <c r="C183" s="4">
        <v>57</v>
      </c>
    </row>
    <row r="184" spans="1:3" x14ac:dyDescent="0.25">
      <c r="A184" s="8">
        <v>41645</v>
      </c>
      <c r="B184" s="4" t="s">
        <v>103</v>
      </c>
      <c r="C184" s="4">
        <v>45</v>
      </c>
    </row>
    <row r="185" spans="1:3" x14ac:dyDescent="0.25">
      <c r="A185" s="8">
        <v>41521</v>
      </c>
      <c r="B185" s="4" t="s">
        <v>722</v>
      </c>
      <c r="C185" s="4">
        <v>15</v>
      </c>
    </row>
    <row r="186" spans="1:3" x14ac:dyDescent="0.25">
      <c r="A186" s="8">
        <v>41551</v>
      </c>
      <c r="B186" s="4" t="s">
        <v>721</v>
      </c>
      <c r="C186" s="4">
        <v>46</v>
      </c>
    </row>
    <row r="187" spans="1:3" x14ac:dyDescent="0.25">
      <c r="A187" s="8">
        <v>41582</v>
      </c>
      <c r="B187" s="4" t="s">
        <v>718</v>
      </c>
      <c r="C187" s="4">
        <v>57</v>
      </c>
    </row>
    <row r="188" spans="1:3" x14ac:dyDescent="0.25">
      <c r="A188" s="8">
        <v>41500</v>
      </c>
      <c r="B188" s="4" t="s">
        <v>729</v>
      </c>
      <c r="C188" s="4">
        <v>54</v>
      </c>
    </row>
    <row r="189" spans="1:3" x14ac:dyDescent="0.25">
      <c r="A189" s="8">
        <v>41519</v>
      </c>
      <c r="B189" s="4" t="s">
        <v>726</v>
      </c>
      <c r="C189" s="4">
        <v>17</v>
      </c>
    </row>
    <row r="190" spans="1:3" x14ac:dyDescent="0.25">
      <c r="A190" s="8">
        <v>41537</v>
      </c>
      <c r="B190" s="4" t="s">
        <v>716</v>
      </c>
      <c r="C190" s="4">
        <v>30</v>
      </c>
    </row>
    <row r="191" spans="1:3" x14ac:dyDescent="0.25">
      <c r="A191" s="8">
        <v>41627</v>
      </c>
      <c r="B191" s="4" t="s">
        <v>723</v>
      </c>
      <c r="C191" s="4">
        <v>38</v>
      </c>
    </row>
    <row r="192" spans="1:3" x14ac:dyDescent="0.25">
      <c r="A192" s="8">
        <v>41649</v>
      </c>
      <c r="B192" s="4" t="s">
        <v>710</v>
      </c>
      <c r="C192" s="4">
        <v>39</v>
      </c>
    </row>
    <row r="193" spans="1:3" x14ac:dyDescent="0.25">
      <c r="A193" s="8">
        <v>41624</v>
      </c>
      <c r="B193" s="4" t="s">
        <v>728</v>
      </c>
      <c r="C193" s="4">
        <v>22</v>
      </c>
    </row>
    <row r="194" spans="1:3" x14ac:dyDescent="0.25">
      <c r="A194" s="8">
        <v>41552</v>
      </c>
      <c r="B194" s="4" t="s">
        <v>729</v>
      </c>
      <c r="C194" s="4">
        <v>56</v>
      </c>
    </row>
    <row r="195" spans="1:3" x14ac:dyDescent="0.25">
      <c r="A195" s="8">
        <v>41548</v>
      </c>
      <c r="B195" s="4" t="s">
        <v>726</v>
      </c>
      <c r="C195" s="4">
        <v>34</v>
      </c>
    </row>
    <row r="196" spans="1:3" x14ac:dyDescent="0.25">
      <c r="A196" s="8">
        <v>41530</v>
      </c>
      <c r="B196" s="4" t="s">
        <v>719</v>
      </c>
      <c r="C196" s="4">
        <v>15</v>
      </c>
    </row>
    <row r="197" spans="1:3" x14ac:dyDescent="0.25">
      <c r="A197" s="8">
        <v>41646</v>
      </c>
      <c r="B197" s="4" t="s">
        <v>727</v>
      </c>
      <c r="C197" s="4">
        <v>45</v>
      </c>
    </row>
    <row r="198" spans="1:3" x14ac:dyDescent="0.25">
      <c r="A198" s="8">
        <v>41549</v>
      </c>
      <c r="B198" s="4" t="s">
        <v>725</v>
      </c>
      <c r="C198" s="4">
        <v>48</v>
      </c>
    </row>
    <row r="199" spans="1:3" x14ac:dyDescent="0.25">
      <c r="A199" s="8">
        <v>41612</v>
      </c>
      <c r="B199" s="4" t="s">
        <v>721</v>
      </c>
      <c r="C199" s="4">
        <v>19</v>
      </c>
    </row>
    <row r="200" spans="1:3" x14ac:dyDescent="0.25">
      <c r="A200" s="8">
        <v>41637</v>
      </c>
      <c r="B200" s="4" t="s">
        <v>712</v>
      </c>
      <c r="C200" s="4">
        <v>14</v>
      </c>
    </row>
    <row r="201" spans="1:3" x14ac:dyDescent="0.25">
      <c r="A201" s="8">
        <v>41642</v>
      </c>
      <c r="B201" s="4" t="s">
        <v>103</v>
      </c>
      <c r="C201" s="4">
        <v>29</v>
      </c>
    </row>
    <row r="202" spans="1:3" x14ac:dyDescent="0.25">
      <c r="A202" s="8">
        <v>41628</v>
      </c>
      <c r="B202" s="4" t="s">
        <v>715</v>
      </c>
      <c r="C202" s="4">
        <v>52</v>
      </c>
    </row>
    <row r="203" spans="1:3" x14ac:dyDescent="0.25">
      <c r="A203" s="8">
        <v>41545</v>
      </c>
      <c r="B203" s="4" t="s">
        <v>100</v>
      </c>
      <c r="C203" s="4">
        <v>31</v>
      </c>
    </row>
    <row r="204" spans="1:3" x14ac:dyDescent="0.25">
      <c r="A204" s="8">
        <v>41590</v>
      </c>
      <c r="B204" s="4" t="s">
        <v>712</v>
      </c>
      <c r="C204" s="4">
        <v>30</v>
      </c>
    </row>
    <row r="205" spans="1:3" x14ac:dyDescent="0.25">
      <c r="A205" s="8">
        <v>41617</v>
      </c>
      <c r="B205" s="4" t="s">
        <v>726</v>
      </c>
      <c r="C205" s="4">
        <v>16</v>
      </c>
    </row>
    <row r="206" spans="1:3" x14ac:dyDescent="0.25">
      <c r="A206" s="8">
        <v>41618</v>
      </c>
      <c r="B206" s="4" t="s">
        <v>727</v>
      </c>
      <c r="C206" s="4">
        <v>40</v>
      </c>
    </row>
    <row r="207" spans="1:3" x14ac:dyDescent="0.25">
      <c r="A207" s="8">
        <v>41587</v>
      </c>
      <c r="B207" s="4" t="s">
        <v>99</v>
      </c>
      <c r="C207" s="4">
        <v>43</v>
      </c>
    </row>
    <row r="208" spans="1:3" x14ac:dyDescent="0.25">
      <c r="A208" s="8">
        <v>41629</v>
      </c>
      <c r="B208" s="4" t="s">
        <v>722</v>
      </c>
      <c r="C208" s="4">
        <v>33</v>
      </c>
    </row>
    <row r="209" spans="1:3" x14ac:dyDescent="0.25">
      <c r="A209" s="8">
        <v>41584</v>
      </c>
      <c r="B209" s="4" t="s">
        <v>727</v>
      </c>
      <c r="C209" s="4">
        <v>26</v>
      </c>
    </row>
    <row r="210" spans="1:3" x14ac:dyDescent="0.25">
      <c r="A210" s="8">
        <v>41565</v>
      </c>
      <c r="B210" s="4" t="s">
        <v>727</v>
      </c>
      <c r="C210" s="4">
        <v>34</v>
      </c>
    </row>
    <row r="211" spans="1:3" x14ac:dyDescent="0.25">
      <c r="A211" s="8">
        <v>41635</v>
      </c>
      <c r="B211" s="4" t="s">
        <v>728</v>
      </c>
      <c r="C211" s="4">
        <v>15</v>
      </c>
    </row>
    <row r="212" spans="1:3" x14ac:dyDescent="0.25">
      <c r="A212" s="8">
        <v>41500</v>
      </c>
      <c r="B212" s="4" t="s">
        <v>723</v>
      </c>
      <c r="C212" s="4">
        <v>55</v>
      </c>
    </row>
    <row r="213" spans="1:3" x14ac:dyDescent="0.25">
      <c r="A213" s="8">
        <v>41622</v>
      </c>
      <c r="B213" s="4" t="s">
        <v>101</v>
      </c>
      <c r="C213" s="4">
        <v>28</v>
      </c>
    </row>
    <row r="214" spans="1:3" x14ac:dyDescent="0.25">
      <c r="A214" s="8">
        <v>41648</v>
      </c>
      <c r="B214" s="4" t="s">
        <v>720</v>
      </c>
      <c r="C214" s="4">
        <v>19</v>
      </c>
    </row>
    <row r="215" spans="1:3" x14ac:dyDescent="0.25">
      <c r="A215" s="8">
        <v>41582</v>
      </c>
      <c r="B215" s="4" t="s">
        <v>100</v>
      </c>
      <c r="C215" s="4">
        <v>34</v>
      </c>
    </row>
    <row r="216" spans="1:3" x14ac:dyDescent="0.25">
      <c r="A216" s="8">
        <v>41609</v>
      </c>
      <c r="B216" s="4" t="s">
        <v>721</v>
      </c>
      <c r="C216" s="4">
        <v>43</v>
      </c>
    </row>
    <row r="217" spans="1:3" x14ac:dyDescent="0.25">
      <c r="A217" s="8">
        <v>41550</v>
      </c>
      <c r="B217" s="4" t="s">
        <v>711</v>
      </c>
      <c r="C217" s="4">
        <v>25</v>
      </c>
    </row>
    <row r="218" spans="1:3" x14ac:dyDescent="0.25">
      <c r="A218" s="8">
        <v>41563</v>
      </c>
      <c r="B218" s="4" t="s">
        <v>722</v>
      </c>
      <c r="C218" s="4">
        <v>19</v>
      </c>
    </row>
    <row r="219" spans="1:3" x14ac:dyDescent="0.25">
      <c r="A219" s="8">
        <v>41547</v>
      </c>
      <c r="B219" s="4" t="s">
        <v>102</v>
      </c>
      <c r="C219" s="4">
        <v>28</v>
      </c>
    </row>
    <row r="220" spans="1:3" x14ac:dyDescent="0.25">
      <c r="A220" s="8">
        <v>41596</v>
      </c>
      <c r="B220" s="4" t="s">
        <v>102</v>
      </c>
      <c r="C220" s="4">
        <v>54</v>
      </c>
    </row>
    <row r="221" spans="1:3" x14ac:dyDescent="0.25">
      <c r="A221" s="8">
        <v>41543</v>
      </c>
      <c r="B221" s="4" t="s">
        <v>710</v>
      </c>
      <c r="C221" s="4">
        <v>42</v>
      </c>
    </row>
    <row r="222" spans="1:3" x14ac:dyDescent="0.25">
      <c r="A222" s="8">
        <v>41563</v>
      </c>
      <c r="B222" s="4" t="s">
        <v>721</v>
      </c>
      <c r="C222" s="4">
        <v>47</v>
      </c>
    </row>
    <row r="223" spans="1:3" x14ac:dyDescent="0.25">
      <c r="A223" s="8">
        <v>41558</v>
      </c>
      <c r="B223" s="4" t="s">
        <v>720</v>
      </c>
      <c r="C223" s="4">
        <v>35</v>
      </c>
    </row>
    <row r="224" spans="1:3" x14ac:dyDescent="0.25">
      <c r="A224" s="8">
        <v>41518</v>
      </c>
      <c r="B224" s="4" t="s">
        <v>724</v>
      </c>
      <c r="C224" s="4">
        <v>25</v>
      </c>
    </row>
    <row r="225" spans="1:3" x14ac:dyDescent="0.25">
      <c r="A225" s="8">
        <v>41601</v>
      </c>
      <c r="B225" s="4" t="s">
        <v>713</v>
      </c>
      <c r="C225" s="4">
        <v>27</v>
      </c>
    </row>
    <row r="226" spans="1:3" x14ac:dyDescent="0.25">
      <c r="A226" s="8">
        <v>41539</v>
      </c>
      <c r="B226" s="4" t="s">
        <v>726</v>
      </c>
      <c r="C226" s="4">
        <v>54</v>
      </c>
    </row>
    <row r="227" spans="1:3" x14ac:dyDescent="0.25">
      <c r="A227" s="8">
        <v>41640</v>
      </c>
      <c r="B227" s="4" t="s">
        <v>722</v>
      </c>
      <c r="C227" s="4">
        <v>54</v>
      </c>
    </row>
    <row r="228" spans="1:3" x14ac:dyDescent="0.25">
      <c r="A228" s="8">
        <v>41574</v>
      </c>
      <c r="B228" s="4" t="s">
        <v>99</v>
      </c>
      <c r="C228" s="4">
        <v>26</v>
      </c>
    </row>
    <row r="229" spans="1:3" x14ac:dyDescent="0.25">
      <c r="A229" s="8">
        <v>41604</v>
      </c>
      <c r="B229" s="4" t="s">
        <v>727</v>
      </c>
      <c r="C229" s="4">
        <v>45</v>
      </c>
    </row>
    <row r="230" spans="1:3" x14ac:dyDescent="0.25">
      <c r="A230" s="8">
        <v>41549</v>
      </c>
      <c r="B230" s="4" t="s">
        <v>102</v>
      </c>
      <c r="C230" s="4">
        <v>54</v>
      </c>
    </row>
    <row r="231" spans="1:3" x14ac:dyDescent="0.25">
      <c r="A231" s="8">
        <v>41623</v>
      </c>
      <c r="B231" s="4" t="s">
        <v>710</v>
      </c>
      <c r="C231" s="4">
        <v>35</v>
      </c>
    </row>
    <row r="232" spans="1:3" x14ac:dyDescent="0.25">
      <c r="A232" s="8">
        <v>41508</v>
      </c>
      <c r="B232" s="4" t="s">
        <v>711</v>
      </c>
      <c r="C232" s="4">
        <v>32</v>
      </c>
    </row>
    <row r="233" spans="1:3" x14ac:dyDescent="0.25">
      <c r="A233" s="8">
        <v>41633</v>
      </c>
      <c r="B233" s="4" t="s">
        <v>718</v>
      </c>
      <c r="C233" s="4">
        <v>32</v>
      </c>
    </row>
    <row r="234" spans="1:3" x14ac:dyDescent="0.25">
      <c r="A234" s="8">
        <v>41574</v>
      </c>
      <c r="B234" s="4" t="s">
        <v>99</v>
      </c>
      <c r="C234" s="4">
        <v>38</v>
      </c>
    </row>
    <row r="235" spans="1:3" x14ac:dyDescent="0.25">
      <c r="A235" s="8">
        <v>41615</v>
      </c>
      <c r="B235" s="4" t="s">
        <v>726</v>
      </c>
      <c r="C235" s="4">
        <v>42</v>
      </c>
    </row>
    <row r="236" spans="1:3" x14ac:dyDescent="0.25">
      <c r="A236" s="8">
        <v>41618</v>
      </c>
      <c r="B236" s="4" t="s">
        <v>102</v>
      </c>
      <c r="C236" s="4">
        <v>47</v>
      </c>
    </row>
    <row r="237" spans="1:3" x14ac:dyDescent="0.25">
      <c r="A237" s="8">
        <v>41554</v>
      </c>
      <c r="B237" s="4" t="s">
        <v>102</v>
      </c>
      <c r="C237" s="4">
        <v>40</v>
      </c>
    </row>
    <row r="238" spans="1:3" x14ac:dyDescent="0.25">
      <c r="A238" s="8">
        <v>41545</v>
      </c>
      <c r="B238" s="4" t="s">
        <v>724</v>
      </c>
      <c r="C238" s="4">
        <v>48</v>
      </c>
    </row>
    <row r="239" spans="1:3" x14ac:dyDescent="0.25">
      <c r="A239" s="8">
        <v>41580</v>
      </c>
      <c r="B239" s="4" t="s">
        <v>710</v>
      </c>
      <c r="C239" s="4">
        <v>12</v>
      </c>
    </row>
    <row r="240" spans="1:3" x14ac:dyDescent="0.25">
      <c r="A240" s="8">
        <v>41614</v>
      </c>
      <c r="B240" s="4" t="s">
        <v>715</v>
      </c>
      <c r="C240" s="4">
        <v>42</v>
      </c>
    </row>
    <row r="241" spans="1:3" x14ac:dyDescent="0.25">
      <c r="A241" s="8">
        <v>41523</v>
      </c>
      <c r="B241" s="4" t="s">
        <v>716</v>
      </c>
      <c r="C241" s="4">
        <v>32</v>
      </c>
    </row>
    <row r="242" spans="1:3" x14ac:dyDescent="0.25">
      <c r="A242" s="8">
        <v>41513</v>
      </c>
      <c r="B242" s="4" t="s">
        <v>101</v>
      </c>
      <c r="C242" s="4">
        <v>47</v>
      </c>
    </row>
    <row r="243" spans="1:3" x14ac:dyDescent="0.25">
      <c r="A243" s="8">
        <v>41567</v>
      </c>
      <c r="B243" s="4" t="s">
        <v>728</v>
      </c>
      <c r="C243" s="4">
        <v>55</v>
      </c>
    </row>
    <row r="244" spans="1:3" x14ac:dyDescent="0.25">
      <c r="A244" s="8">
        <v>41512</v>
      </c>
      <c r="B244" s="4" t="s">
        <v>727</v>
      </c>
      <c r="C244" s="4">
        <v>17</v>
      </c>
    </row>
    <row r="245" spans="1:3" x14ac:dyDescent="0.25">
      <c r="A245" s="8">
        <v>41506</v>
      </c>
      <c r="B245" s="4" t="s">
        <v>717</v>
      </c>
      <c r="C245" s="4">
        <v>32</v>
      </c>
    </row>
    <row r="246" spans="1:3" x14ac:dyDescent="0.25">
      <c r="A246" s="8">
        <v>41644</v>
      </c>
      <c r="B246" s="4" t="s">
        <v>721</v>
      </c>
      <c r="C246" s="4">
        <v>24</v>
      </c>
    </row>
    <row r="247" spans="1:3" x14ac:dyDescent="0.25">
      <c r="A247" s="8">
        <v>41636</v>
      </c>
      <c r="B247" s="4" t="s">
        <v>729</v>
      </c>
      <c r="C247" s="4">
        <v>12</v>
      </c>
    </row>
    <row r="248" spans="1:3" x14ac:dyDescent="0.25">
      <c r="A248" s="8">
        <v>41550</v>
      </c>
      <c r="B248" s="4" t="s">
        <v>724</v>
      </c>
      <c r="C248" s="4">
        <v>38</v>
      </c>
    </row>
    <row r="249" spans="1:3" x14ac:dyDescent="0.25">
      <c r="A249" s="8">
        <v>41519</v>
      </c>
      <c r="B249" s="4" t="s">
        <v>716</v>
      </c>
      <c r="C249" s="4">
        <v>40</v>
      </c>
    </row>
    <row r="250" spans="1:3" x14ac:dyDescent="0.25">
      <c r="A250" s="8">
        <v>41619</v>
      </c>
      <c r="B250" s="4" t="s">
        <v>103</v>
      </c>
      <c r="C250" s="4">
        <v>23</v>
      </c>
    </row>
    <row r="251" spans="1:3" x14ac:dyDescent="0.25">
      <c r="A251" s="8">
        <v>41563</v>
      </c>
      <c r="B251" s="4" t="s">
        <v>103</v>
      </c>
      <c r="C251" s="4">
        <v>48</v>
      </c>
    </row>
    <row r="252" spans="1:3" x14ac:dyDescent="0.25">
      <c r="A252" s="8">
        <v>41571</v>
      </c>
      <c r="B252" s="4" t="s">
        <v>719</v>
      </c>
      <c r="C252" s="4">
        <v>30</v>
      </c>
    </row>
    <row r="253" spans="1:3" x14ac:dyDescent="0.25">
      <c r="A253" s="8">
        <v>41579</v>
      </c>
      <c r="B253" s="4" t="s">
        <v>712</v>
      </c>
      <c r="C253" s="4">
        <v>56</v>
      </c>
    </row>
    <row r="254" spans="1:3" x14ac:dyDescent="0.25">
      <c r="A254" s="8">
        <v>41548</v>
      </c>
      <c r="B254" s="4" t="s">
        <v>99</v>
      </c>
      <c r="C254" s="4">
        <v>37</v>
      </c>
    </row>
    <row r="255" spans="1:3" x14ac:dyDescent="0.25">
      <c r="A255" s="8">
        <v>41558</v>
      </c>
      <c r="B255" s="4" t="s">
        <v>712</v>
      </c>
      <c r="C255" s="4">
        <v>49</v>
      </c>
    </row>
    <row r="256" spans="1:3" x14ac:dyDescent="0.25">
      <c r="A256" s="8">
        <v>41641</v>
      </c>
      <c r="B256" s="4" t="s">
        <v>721</v>
      </c>
      <c r="C256" s="4">
        <v>15</v>
      </c>
    </row>
    <row r="257" spans="1:3" x14ac:dyDescent="0.25">
      <c r="A257" s="8">
        <v>41515</v>
      </c>
      <c r="B257" s="4" t="s">
        <v>726</v>
      </c>
      <c r="C257" s="4">
        <v>30</v>
      </c>
    </row>
    <row r="258" spans="1:3" x14ac:dyDescent="0.25">
      <c r="A258" s="8">
        <v>41509</v>
      </c>
      <c r="B258" s="4" t="s">
        <v>719</v>
      </c>
      <c r="C258" s="4">
        <v>32</v>
      </c>
    </row>
    <row r="259" spans="1:3" x14ac:dyDescent="0.25">
      <c r="A259" s="8">
        <v>41622</v>
      </c>
      <c r="B259" s="4" t="s">
        <v>728</v>
      </c>
      <c r="C259" s="4">
        <v>41</v>
      </c>
    </row>
    <row r="260" spans="1:3" x14ac:dyDescent="0.25">
      <c r="A260" s="8">
        <v>41637</v>
      </c>
      <c r="B260" s="4" t="s">
        <v>103</v>
      </c>
      <c r="C260" s="4">
        <v>24</v>
      </c>
    </row>
    <row r="261" spans="1:3" x14ac:dyDescent="0.25">
      <c r="A261" s="8">
        <v>41613</v>
      </c>
      <c r="B261" s="4" t="s">
        <v>727</v>
      </c>
      <c r="C261" s="4">
        <v>35</v>
      </c>
    </row>
    <row r="262" spans="1:3" x14ac:dyDescent="0.25">
      <c r="A262" s="8">
        <v>41644</v>
      </c>
      <c r="B262" s="4" t="s">
        <v>713</v>
      </c>
      <c r="C262" s="4">
        <v>51</v>
      </c>
    </row>
    <row r="263" spans="1:3" x14ac:dyDescent="0.25">
      <c r="A263" s="8">
        <v>41629</v>
      </c>
      <c r="B263" s="4" t="s">
        <v>716</v>
      </c>
      <c r="C263" s="4">
        <v>58</v>
      </c>
    </row>
    <row r="264" spans="1:3" x14ac:dyDescent="0.25">
      <c r="A264" s="8">
        <v>41571</v>
      </c>
      <c r="B264" s="4" t="s">
        <v>710</v>
      </c>
      <c r="C264" s="4">
        <v>42</v>
      </c>
    </row>
    <row r="265" spans="1:3" x14ac:dyDescent="0.25">
      <c r="A265" s="8">
        <v>41619</v>
      </c>
      <c r="B265" s="4" t="s">
        <v>721</v>
      </c>
      <c r="C265" s="4">
        <v>59</v>
      </c>
    </row>
    <row r="266" spans="1:3" x14ac:dyDescent="0.25">
      <c r="A266" s="8">
        <v>41603</v>
      </c>
      <c r="B266" s="4" t="s">
        <v>103</v>
      </c>
      <c r="C266" s="4">
        <v>30</v>
      </c>
    </row>
    <row r="267" spans="1:3" x14ac:dyDescent="0.25">
      <c r="A267" s="8">
        <v>41502</v>
      </c>
      <c r="B267" s="4" t="s">
        <v>712</v>
      </c>
      <c r="C267" s="4">
        <v>59</v>
      </c>
    </row>
    <row r="268" spans="1:3" x14ac:dyDescent="0.25">
      <c r="A268" s="8">
        <v>41567</v>
      </c>
      <c r="B268" s="4" t="s">
        <v>101</v>
      </c>
      <c r="C268" s="4">
        <v>17</v>
      </c>
    </row>
    <row r="269" spans="1:3" x14ac:dyDescent="0.25">
      <c r="A269" s="8">
        <v>41598</v>
      </c>
      <c r="B269" s="4" t="s">
        <v>719</v>
      </c>
      <c r="C269" s="4">
        <v>47</v>
      </c>
    </row>
    <row r="270" spans="1:3" x14ac:dyDescent="0.25">
      <c r="A270" s="8">
        <v>41540</v>
      </c>
      <c r="B270" s="4" t="s">
        <v>719</v>
      </c>
      <c r="C270" s="4">
        <v>53</v>
      </c>
    </row>
    <row r="271" spans="1:3" x14ac:dyDescent="0.25">
      <c r="A271" s="8">
        <v>41618</v>
      </c>
      <c r="B271" s="4" t="s">
        <v>722</v>
      </c>
      <c r="C271" s="4">
        <v>17</v>
      </c>
    </row>
    <row r="272" spans="1:3" x14ac:dyDescent="0.25">
      <c r="A272" s="8">
        <v>41643</v>
      </c>
      <c r="B272" s="4" t="s">
        <v>714</v>
      </c>
      <c r="C272" s="4">
        <v>11</v>
      </c>
    </row>
    <row r="273" spans="1:3" x14ac:dyDescent="0.25">
      <c r="A273" s="8">
        <v>41633</v>
      </c>
      <c r="B273" s="4" t="s">
        <v>718</v>
      </c>
      <c r="C273" s="4">
        <v>58</v>
      </c>
    </row>
    <row r="274" spans="1:3" x14ac:dyDescent="0.25">
      <c r="A274" s="8">
        <v>41519</v>
      </c>
      <c r="B274" s="4" t="s">
        <v>728</v>
      </c>
      <c r="C274" s="4">
        <v>46</v>
      </c>
    </row>
    <row r="275" spans="1:3" x14ac:dyDescent="0.25">
      <c r="A275" s="8">
        <v>41594</v>
      </c>
      <c r="B275" s="4" t="s">
        <v>713</v>
      </c>
      <c r="C275" s="4">
        <v>49</v>
      </c>
    </row>
    <row r="276" spans="1:3" x14ac:dyDescent="0.25">
      <c r="A276" s="8">
        <v>41501</v>
      </c>
      <c r="B276" s="4" t="s">
        <v>718</v>
      </c>
      <c r="C276" s="4">
        <v>16</v>
      </c>
    </row>
    <row r="277" spans="1:3" x14ac:dyDescent="0.25">
      <c r="A277" s="8">
        <v>41549</v>
      </c>
      <c r="B277" s="4" t="s">
        <v>723</v>
      </c>
      <c r="C277" s="4">
        <v>32</v>
      </c>
    </row>
    <row r="278" spans="1:3" x14ac:dyDescent="0.25">
      <c r="A278" s="8">
        <v>41545</v>
      </c>
      <c r="B278" s="4" t="s">
        <v>717</v>
      </c>
      <c r="C278" s="4">
        <v>32</v>
      </c>
    </row>
    <row r="279" spans="1:3" x14ac:dyDescent="0.25">
      <c r="A279" s="8">
        <v>41595</v>
      </c>
      <c r="B279" s="4" t="s">
        <v>100</v>
      </c>
      <c r="C279" s="4">
        <v>19</v>
      </c>
    </row>
    <row r="280" spans="1:3" x14ac:dyDescent="0.25">
      <c r="A280" s="8">
        <v>41510</v>
      </c>
      <c r="B280" s="4" t="s">
        <v>725</v>
      </c>
      <c r="C280" s="4">
        <v>32</v>
      </c>
    </row>
    <row r="281" spans="1:3" x14ac:dyDescent="0.25">
      <c r="A281" s="8">
        <v>41629</v>
      </c>
      <c r="B281" s="4" t="s">
        <v>718</v>
      </c>
      <c r="C281" s="4">
        <v>13</v>
      </c>
    </row>
    <row r="282" spans="1:3" x14ac:dyDescent="0.25">
      <c r="A282" s="8">
        <v>41543</v>
      </c>
      <c r="B282" s="4" t="s">
        <v>720</v>
      </c>
      <c r="C282" s="4">
        <v>52</v>
      </c>
    </row>
    <row r="283" spans="1:3" x14ac:dyDescent="0.25">
      <c r="A283" s="8">
        <v>41576</v>
      </c>
      <c r="B283" s="4" t="s">
        <v>102</v>
      </c>
      <c r="C283" s="4">
        <v>59</v>
      </c>
    </row>
    <row r="284" spans="1:3" x14ac:dyDescent="0.25">
      <c r="A284" s="8">
        <v>41628</v>
      </c>
      <c r="B284" s="4" t="s">
        <v>715</v>
      </c>
      <c r="C284" s="4">
        <v>48</v>
      </c>
    </row>
    <row r="285" spans="1:3" x14ac:dyDescent="0.25">
      <c r="A285" s="8">
        <v>41569</v>
      </c>
      <c r="B285" s="4" t="s">
        <v>726</v>
      </c>
      <c r="C285" s="4">
        <v>46</v>
      </c>
    </row>
    <row r="286" spans="1:3" x14ac:dyDescent="0.25">
      <c r="A286" s="8">
        <v>41628</v>
      </c>
      <c r="B286" s="4" t="s">
        <v>727</v>
      </c>
      <c r="C286" s="4">
        <v>43</v>
      </c>
    </row>
    <row r="287" spans="1:3" x14ac:dyDescent="0.25">
      <c r="A287" s="8">
        <v>41569</v>
      </c>
      <c r="B287" s="4" t="s">
        <v>715</v>
      </c>
      <c r="C287" s="4">
        <v>45</v>
      </c>
    </row>
    <row r="288" spans="1:3" x14ac:dyDescent="0.25">
      <c r="A288" s="8">
        <v>41508</v>
      </c>
      <c r="B288" s="4" t="s">
        <v>721</v>
      </c>
      <c r="C288" s="4">
        <v>56</v>
      </c>
    </row>
    <row r="289" spans="1:3" x14ac:dyDescent="0.25">
      <c r="A289" s="8">
        <v>41562</v>
      </c>
      <c r="B289" s="4" t="s">
        <v>712</v>
      </c>
      <c r="C289" s="4">
        <v>10</v>
      </c>
    </row>
    <row r="290" spans="1:3" x14ac:dyDescent="0.25">
      <c r="A290" s="8">
        <v>41509</v>
      </c>
      <c r="B290" s="4" t="s">
        <v>715</v>
      </c>
      <c r="C290" s="4">
        <v>57</v>
      </c>
    </row>
    <row r="291" spans="1:3" x14ac:dyDescent="0.25">
      <c r="A291" s="8">
        <v>41595</v>
      </c>
      <c r="B291" s="4" t="s">
        <v>723</v>
      </c>
      <c r="C291" s="4">
        <v>50</v>
      </c>
    </row>
    <row r="292" spans="1:3" x14ac:dyDescent="0.25">
      <c r="A292" s="8">
        <v>41649</v>
      </c>
      <c r="B292" s="4" t="s">
        <v>712</v>
      </c>
      <c r="C292" s="4">
        <v>40</v>
      </c>
    </row>
    <row r="293" spans="1:3" x14ac:dyDescent="0.25">
      <c r="A293" s="8">
        <v>41600</v>
      </c>
      <c r="B293" s="4" t="s">
        <v>714</v>
      </c>
      <c r="C293" s="4">
        <v>33</v>
      </c>
    </row>
    <row r="294" spans="1:3" x14ac:dyDescent="0.25">
      <c r="A294" s="8">
        <v>41562</v>
      </c>
      <c r="B294" s="4" t="s">
        <v>100</v>
      </c>
      <c r="C294" s="4">
        <v>24</v>
      </c>
    </row>
    <row r="295" spans="1:3" x14ac:dyDescent="0.25">
      <c r="A295" s="8">
        <v>41570</v>
      </c>
      <c r="B295" s="4" t="s">
        <v>101</v>
      </c>
      <c r="C295" s="4">
        <v>38</v>
      </c>
    </row>
    <row r="296" spans="1:3" x14ac:dyDescent="0.25">
      <c r="A296" s="8">
        <v>41615</v>
      </c>
      <c r="B296" s="4" t="s">
        <v>100</v>
      </c>
      <c r="C296" s="4">
        <v>49</v>
      </c>
    </row>
    <row r="297" spans="1:3" x14ac:dyDescent="0.25">
      <c r="A297" s="8">
        <v>41541</v>
      </c>
      <c r="B297" s="4" t="s">
        <v>716</v>
      </c>
      <c r="C297" s="4">
        <v>11</v>
      </c>
    </row>
    <row r="298" spans="1:3" x14ac:dyDescent="0.25">
      <c r="A298" s="8">
        <v>41508</v>
      </c>
      <c r="B298" s="4" t="s">
        <v>720</v>
      </c>
      <c r="C298" s="4">
        <v>57</v>
      </c>
    </row>
    <row r="299" spans="1:3" x14ac:dyDescent="0.25">
      <c r="A299" s="8">
        <v>41623</v>
      </c>
      <c r="B299" s="4" t="s">
        <v>103</v>
      </c>
      <c r="C299" s="4">
        <v>19</v>
      </c>
    </row>
    <row r="300" spans="1:3" x14ac:dyDescent="0.25">
      <c r="A300" s="8">
        <v>41565</v>
      </c>
      <c r="B300" s="4" t="s">
        <v>715</v>
      </c>
      <c r="C300" s="4">
        <v>45</v>
      </c>
    </row>
    <row r="301" spans="1:3" x14ac:dyDescent="0.25">
      <c r="A301" s="8">
        <v>41550</v>
      </c>
      <c r="B301" s="4" t="s">
        <v>719</v>
      </c>
      <c r="C301" s="4">
        <v>38</v>
      </c>
    </row>
    <row r="302" spans="1:3" x14ac:dyDescent="0.25">
      <c r="A302" s="8">
        <v>41643</v>
      </c>
      <c r="B302" s="4" t="s">
        <v>716</v>
      </c>
      <c r="C302" s="4">
        <v>32</v>
      </c>
    </row>
    <row r="303" spans="1:3" x14ac:dyDescent="0.25">
      <c r="A303" s="8">
        <v>41542</v>
      </c>
      <c r="B303" s="4" t="s">
        <v>718</v>
      </c>
      <c r="C303" s="4">
        <v>54</v>
      </c>
    </row>
    <row r="304" spans="1:3" x14ac:dyDescent="0.25">
      <c r="A304" s="8">
        <v>41508</v>
      </c>
      <c r="B304" s="4" t="s">
        <v>715</v>
      </c>
      <c r="C304" s="4">
        <v>18</v>
      </c>
    </row>
    <row r="305" spans="1:3" x14ac:dyDescent="0.25">
      <c r="A305" s="8">
        <v>41515</v>
      </c>
      <c r="B305" s="4" t="s">
        <v>102</v>
      </c>
      <c r="C305" s="4">
        <v>56</v>
      </c>
    </row>
    <row r="306" spans="1:3" x14ac:dyDescent="0.25">
      <c r="A306" s="8">
        <v>41589</v>
      </c>
      <c r="B306" s="4" t="s">
        <v>715</v>
      </c>
      <c r="C306" s="4">
        <v>50</v>
      </c>
    </row>
    <row r="307" spans="1:3" x14ac:dyDescent="0.25">
      <c r="A307" s="8">
        <v>41542</v>
      </c>
      <c r="B307" s="4" t="s">
        <v>721</v>
      </c>
      <c r="C307" s="4">
        <v>10</v>
      </c>
    </row>
    <row r="308" spans="1:3" x14ac:dyDescent="0.25">
      <c r="A308" s="8">
        <v>41605</v>
      </c>
      <c r="B308" s="4" t="s">
        <v>728</v>
      </c>
      <c r="C308" s="4">
        <v>42</v>
      </c>
    </row>
    <row r="309" spans="1:3" x14ac:dyDescent="0.25">
      <c r="A309" s="8">
        <v>41555</v>
      </c>
      <c r="B309" s="4" t="s">
        <v>728</v>
      </c>
      <c r="C309" s="4">
        <v>14</v>
      </c>
    </row>
    <row r="310" spans="1:3" x14ac:dyDescent="0.25">
      <c r="A310" s="8">
        <v>41614</v>
      </c>
      <c r="B310" s="4" t="s">
        <v>102</v>
      </c>
      <c r="C310" s="4">
        <v>57</v>
      </c>
    </row>
    <row r="311" spans="1:3" x14ac:dyDescent="0.25">
      <c r="A311" s="8">
        <v>41519</v>
      </c>
      <c r="B311" s="4" t="s">
        <v>729</v>
      </c>
      <c r="C311" s="4">
        <v>53</v>
      </c>
    </row>
    <row r="312" spans="1:3" x14ac:dyDescent="0.25">
      <c r="A312" s="8">
        <v>41647</v>
      </c>
      <c r="B312" s="4" t="s">
        <v>714</v>
      </c>
      <c r="C312" s="4">
        <v>43</v>
      </c>
    </row>
    <row r="313" spans="1:3" x14ac:dyDescent="0.25">
      <c r="A313" s="8">
        <v>41523</v>
      </c>
      <c r="B313" s="4" t="s">
        <v>724</v>
      </c>
      <c r="C313" s="4">
        <v>37</v>
      </c>
    </row>
    <row r="314" spans="1:3" x14ac:dyDescent="0.25">
      <c r="A314" s="8">
        <v>41542</v>
      </c>
      <c r="B314" s="4" t="s">
        <v>719</v>
      </c>
      <c r="C314" s="4">
        <v>54</v>
      </c>
    </row>
    <row r="315" spans="1:3" x14ac:dyDescent="0.25">
      <c r="A315" s="8">
        <v>41536</v>
      </c>
      <c r="B315" s="4" t="s">
        <v>728</v>
      </c>
      <c r="C315" s="4">
        <v>55</v>
      </c>
    </row>
    <row r="316" spans="1:3" x14ac:dyDescent="0.25">
      <c r="A316" s="8">
        <v>41599</v>
      </c>
      <c r="B316" s="4" t="s">
        <v>101</v>
      </c>
      <c r="C316" s="4">
        <v>48</v>
      </c>
    </row>
    <row r="317" spans="1:3" x14ac:dyDescent="0.25">
      <c r="A317" s="8">
        <v>41529</v>
      </c>
      <c r="B317" s="4" t="s">
        <v>714</v>
      </c>
      <c r="C317" s="4">
        <v>28</v>
      </c>
    </row>
    <row r="318" spans="1:3" x14ac:dyDescent="0.25">
      <c r="A318" s="8">
        <v>41650</v>
      </c>
      <c r="B318" s="4" t="s">
        <v>728</v>
      </c>
      <c r="C318" s="4">
        <v>16</v>
      </c>
    </row>
    <row r="319" spans="1:3" x14ac:dyDescent="0.25">
      <c r="A319" s="8">
        <v>41501</v>
      </c>
      <c r="B319" s="4" t="s">
        <v>725</v>
      </c>
      <c r="C319" s="4">
        <v>47</v>
      </c>
    </row>
    <row r="320" spans="1:3" x14ac:dyDescent="0.25">
      <c r="A320" s="8">
        <v>41609</v>
      </c>
      <c r="B320" s="4" t="s">
        <v>99</v>
      </c>
      <c r="C320" s="4">
        <v>17</v>
      </c>
    </row>
    <row r="321" spans="1:3" x14ac:dyDescent="0.25">
      <c r="A321" s="8">
        <v>41604</v>
      </c>
      <c r="B321" s="4" t="s">
        <v>715</v>
      </c>
      <c r="C321" s="4">
        <v>53</v>
      </c>
    </row>
    <row r="322" spans="1:3" x14ac:dyDescent="0.25">
      <c r="A322" s="8">
        <v>41600</v>
      </c>
      <c r="B322" s="4" t="s">
        <v>717</v>
      </c>
      <c r="C322" s="4">
        <v>45</v>
      </c>
    </row>
    <row r="323" spans="1:3" x14ac:dyDescent="0.25">
      <c r="A323" s="8">
        <v>41531</v>
      </c>
      <c r="B323" s="4" t="s">
        <v>722</v>
      </c>
      <c r="C323" s="4">
        <v>57</v>
      </c>
    </row>
    <row r="324" spans="1:3" x14ac:dyDescent="0.25">
      <c r="A324" s="8">
        <v>41517</v>
      </c>
      <c r="B324" s="4" t="s">
        <v>102</v>
      </c>
      <c r="C324" s="4">
        <v>52</v>
      </c>
    </row>
    <row r="325" spans="1:3" x14ac:dyDescent="0.25">
      <c r="A325" s="8">
        <v>41646</v>
      </c>
      <c r="B325" s="4" t="s">
        <v>727</v>
      </c>
      <c r="C325" s="4">
        <v>39</v>
      </c>
    </row>
    <row r="326" spans="1:3" x14ac:dyDescent="0.25">
      <c r="A326" s="8">
        <v>41604</v>
      </c>
      <c r="B326" s="4" t="s">
        <v>717</v>
      </c>
      <c r="C326" s="4">
        <v>42</v>
      </c>
    </row>
    <row r="327" spans="1:3" x14ac:dyDescent="0.25">
      <c r="A327" s="8">
        <v>41578</v>
      </c>
      <c r="B327" s="4" t="s">
        <v>724</v>
      </c>
      <c r="C327" s="4">
        <v>50</v>
      </c>
    </row>
    <row r="328" spans="1:3" x14ac:dyDescent="0.25">
      <c r="A328" s="8">
        <v>41623</v>
      </c>
      <c r="B328" s="4" t="s">
        <v>720</v>
      </c>
      <c r="C328" s="4">
        <v>53</v>
      </c>
    </row>
    <row r="329" spans="1:3" x14ac:dyDescent="0.25">
      <c r="A329" s="8">
        <v>41640</v>
      </c>
      <c r="B329" s="4" t="s">
        <v>100</v>
      </c>
      <c r="C329" s="4">
        <v>23</v>
      </c>
    </row>
    <row r="330" spans="1:3" x14ac:dyDescent="0.25">
      <c r="A330" s="8">
        <v>41543</v>
      </c>
      <c r="B330" s="4" t="s">
        <v>712</v>
      </c>
      <c r="C330" s="4">
        <v>38</v>
      </c>
    </row>
    <row r="331" spans="1:3" x14ac:dyDescent="0.25">
      <c r="A331" s="8">
        <v>41636</v>
      </c>
      <c r="B331" s="4" t="s">
        <v>712</v>
      </c>
      <c r="C331" s="4">
        <v>56</v>
      </c>
    </row>
    <row r="332" spans="1:3" x14ac:dyDescent="0.25">
      <c r="A332" s="8">
        <v>41526</v>
      </c>
      <c r="B332" s="4" t="s">
        <v>721</v>
      </c>
      <c r="C332" s="4">
        <v>37</v>
      </c>
    </row>
    <row r="333" spans="1:3" x14ac:dyDescent="0.25">
      <c r="A333" s="8">
        <v>41510</v>
      </c>
      <c r="B333" s="4" t="s">
        <v>725</v>
      </c>
      <c r="C333" s="4">
        <v>56</v>
      </c>
    </row>
    <row r="334" spans="1:3" x14ac:dyDescent="0.25">
      <c r="A334" s="8">
        <v>41599</v>
      </c>
      <c r="B334" s="4" t="s">
        <v>102</v>
      </c>
      <c r="C334" s="4">
        <v>43</v>
      </c>
    </row>
    <row r="335" spans="1:3" x14ac:dyDescent="0.25">
      <c r="A335" s="8">
        <v>41538</v>
      </c>
      <c r="B335" s="4" t="s">
        <v>718</v>
      </c>
      <c r="C335" s="4">
        <v>36</v>
      </c>
    </row>
    <row r="336" spans="1:3" x14ac:dyDescent="0.25">
      <c r="A336" s="8">
        <v>41635</v>
      </c>
      <c r="B336" s="4" t="s">
        <v>99</v>
      </c>
      <c r="C336" s="4">
        <v>51</v>
      </c>
    </row>
    <row r="337" spans="1:3" x14ac:dyDescent="0.25">
      <c r="A337" s="8">
        <v>41642</v>
      </c>
      <c r="B337" s="4" t="s">
        <v>718</v>
      </c>
      <c r="C337" s="4">
        <v>15</v>
      </c>
    </row>
    <row r="338" spans="1:3" x14ac:dyDescent="0.25">
      <c r="A338" s="8">
        <v>41574</v>
      </c>
      <c r="B338" s="4" t="s">
        <v>101</v>
      </c>
      <c r="C338" s="4">
        <v>14</v>
      </c>
    </row>
    <row r="339" spans="1:3" x14ac:dyDescent="0.25">
      <c r="A339" s="8">
        <v>41640</v>
      </c>
      <c r="B339" s="4" t="s">
        <v>729</v>
      </c>
      <c r="C339" s="4">
        <v>59</v>
      </c>
    </row>
    <row r="340" spans="1:3" x14ac:dyDescent="0.25">
      <c r="A340" s="8">
        <v>41522</v>
      </c>
      <c r="B340" s="4" t="s">
        <v>714</v>
      </c>
      <c r="C340" s="4">
        <v>14</v>
      </c>
    </row>
    <row r="341" spans="1:3" x14ac:dyDescent="0.25">
      <c r="A341" s="8">
        <v>41569</v>
      </c>
      <c r="B341" s="4" t="s">
        <v>728</v>
      </c>
      <c r="C341" s="4">
        <v>24</v>
      </c>
    </row>
    <row r="342" spans="1:3" x14ac:dyDescent="0.25">
      <c r="A342" s="8">
        <v>41510</v>
      </c>
      <c r="B342" s="4" t="s">
        <v>719</v>
      </c>
      <c r="C342" s="4">
        <v>20</v>
      </c>
    </row>
    <row r="343" spans="1:3" x14ac:dyDescent="0.25">
      <c r="A343" s="8">
        <v>41500</v>
      </c>
      <c r="B343" s="4" t="s">
        <v>726</v>
      </c>
      <c r="C343" s="4">
        <v>52</v>
      </c>
    </row>
    <row r="344" spans="1:3" x14ac:dyDescent="0.25">
      <c r="A344" s="8">
        <v>41587</v>
      </c>
      <c r="B344" s="4" t="s">
        <v>717</v>
      </c>
      <c r="C344" s="4">
        <v>54</v>
      </c>
    </row>
    <row r="345" spans="1:3" x14ac:dyDescent="0.25">
      <c r="A345" s="8">
        <v>41627</v>
      </c>
      <c r="B345" s="4" t="s">
        <v>101</v>
      </c>
      <c r="C345" s="4">
        <v>12</v>
      </c>
    </row>
    <row r="346" spans="1:3" x14ac:dyDescent="0.25">
      <c r="A346" s="8">
        <v>41570</v>
      </c>
      <c r="B346" s="4" t="s">
        <v>715</v>
      </c>
      <c r="C346" s="4">
        <v>24</v>
      </c>
    </row>
    <row r="347" spans="1:3" x14ac:dyDescent="0.25">
      <c r="A347" s="8">
        <v>41611</v>
      </c>
      <c r="B347" s="4" t="s">
        <v>103</v>
      </c>
      <c r="C347" s="4">
        <v>57</v>
      </c>
    </row>
    <row r="348" spans="1:3" x14ac:dyDescent="0.25">
      <c r="A348" s="8">
        <v>41553</v>
      </c>
      <c r="B348" s="4" t="s">
        <v>99</v>
      </c>
      <c r="C348" s="4">
        <v>53</v>
      </c>
    </row>
    <row r="349" spans="1:3" x14ac:dyDescent="0.25">
      <c r="A349" s="8">
        <v>41519</v>
      </c>
      <c r="B349" s="4" t="s">
        <v>713</v>
      </c>
      <c r="C349" s="4">
        <v>46</v>
      </c>
    </row>
    <row r="350" spans="1:3" x14ac:dyDescent="0.25">
      <c r="A350" s="8">
        <v>41616</v>
      </c>
      <c r="B350" s="4" t="s">
        <v>101</v>
      </c>
      <c r="C350" s="4">
        <v>59</v>
      </c>
    </row>
    <row r="351" spans="1:3" x14ac:dyDescent="0.25">
      <c r="A351" s="8">
        <v>41501</v>
      </c>
      <c r="B351" s="4" t="s">
        <v>714</v>
      </c>
      <c r="C351" s="4">
        <v>16</v>
      </c>
    </row>
    <row r="352" spans="1:3" x14ac:dyDescent="0.25">
      <c r="A352" s="8">
        <v>41504</v>
      </c>
      <c r="B352" s="4" t="s">
        <v>715</v>
      </c>
      <c r="C352" s="4">
        <v>16</v>
      </c>
    </row>
    <row r="353" spans="1:3" x14ac:dyDescent="0.25">
      <c r="A353" s="8">
        <v>41582</v>
      </c>
      <c r="B353" s="4" t="s">
        <v>719</v>
      </c>
      <c r="C353" s="4">
        <v>29</v>
      </c>
    </row>
    <row r="354" spans="1:3" x14ac:dyDescent="0.25">
      <c r="A354" s="8">
        <v>41559</v>
      </c>
      <c r="B354" s="4" t="s">
        <v>717</v>
      </c>
      <c r="C354" s="4">
        <v>12</v>
      </c>
    </row>
    <row r="355" spans="1:3" x14ac:dyDescent="0.25">
      <c r="A355" s="8">
        <v>41648</v>
      </c>
      <c r="B355" s="4" t="s">
        <v>718</v>
      </c>
      <c r="C355" s="4">
        <v>23</v>
      </c>
    </row>
    <row r="356" spans="1:3" x14ac:dyDescent="0.25">
      <c r="A356" s="8">
        <v>41558</v>
      </c>
      <c r="B356" s="4" t="s">
        <v>718</v>
      </c>
      <c r="C356" s="4">
        <v>41</v>
      </c>
    </row>
    <row r="357" spans="1:3" x14ac:dyDescent="0.25">
      <c r="A357" s="8">
        <v>41524</v>
      </c>
      <c r="B357" s="4" t="s">
        <v>710</v>
      </c>
      <c r="C357" s="4">
        <v>15</v>
      </c>
    </row>
    <row r="358" spans="1:3" x14ac:dyDescent="0.25">
      <c r="A358" s="8">
        <v>41599</v>
      </c>
      <c r="B358" s="4" t="s">
        <v>725</v>
      </c>
      <c r="C358" s="4">
        <v>42</v>
      </c>
    </row>
    <row r="359" spans="1:3" x14ac:dyDescent="0.25">
      <c r="A359" s="8">
        <v>41570</v>
      </c>
      <c r="B359" s="4" t="s">
        <v>714</v>
      </c>
      <c r="C359" s="4">
        <v>53</v>
      </c>
    </row>
    <row r="360" spans="1:3" x14ac:dyDescent="0.25">
      <c r="A360" s="8">
        <v>41594</v>
      </c>
      <c r="B360" s="4" t="s">
        <v>103</v>
      </c>
      <c r="C360" s="4">
        <v>56</v>
      </c>
    </row>
    <row r="361" spans="1:3" x14ac:dyDescent="0.25">
      <c r="A361" s="8">
        <v>41583</v>
      </c>
      <c r="B361" s="4" t="s">
        <v>721</v>
      </c>
      <c r="C361" s="4">
        <v>50</v>
      </c>
    </row>
    <row r="362" spans="1:3" x14ac:dyDescent="0.25">
      <c r="A362" s="8">
        <v>41605</v>
      </c>
      <c r="B362" s="4" t="s">
        <v>717</v>
      </c>
      <c r="C362" s="4">
        <v>26</v>
      </c>
    </row>
    <row r="363" spans="1:3" x14ac:dyDescent="0.25">
      <c r="A363" s="8">
        <v>41542</v>
      </c>
      <c r="B363" s="4" t="s">
        <v>99</v>
      </c>
      <c r="C363" s="4">
        <v>23</v>
      </c>
    </row>
    <row r="364" spans="1:3" x14ac:dyDescent="0.25">
      <c r="A364" s="8">
        <v>41553</v>
      </c>
      <c r="B364" s="4" t="s">
        <v>102</v>
      </c>
      <c r="C364" s="4">
        <v>23</v>
      </c>
    </row>
    <row r="365" spans="1:3" x14ac:dyDescent="0.25">
      <c r="A365" s="8">
        <v>41528</v>
      </c>
      <c r="B365" s="4" t="s">
        <v>102</v>
      </c>
      <c r="C365" s="4">
        <v>12</v>
      </c>
    </row>
    <row r="366" spans="1:3" x14ac:dyDescent="0.25">
      <c r="A366" s="8">
        <v>41540</v>
      </c>
      <c r="B366" s="4" t="s">
        <v>101</v>
      </c>
      <c r="C366" s="4">
        <v>17</v>
      </c>
    </row>
    <row r="367" spans="1:3" x14ac:dyDescent="0.25">
      <c r="A367" s="8">
        <v>41615</v>
      </c>
      <c r="B367" s="4" t="s">
        <v>714</v>
      </c>
      <c r="C367" s="4">
        <v>14</v>
      </c>
    </row>
    <row r="368" spans="1:3" x14ac:dyDescent="0.25">
      <c r="A368" s="8">
        <v>41539</v>
      </c>
      <c r="B368" s="4" t="s">
        <v>103</v>
      </c>
      <c r="C368" s="4">
        <v>57</v>
      </c>
    </row>
    <row r="369" spans="1:3" x14ac:dyDescent="0.25">
      <c r="A369" s="8">
        <v>41587</v>
      </c>
      <c r="B369" s="4" t="s">
        <v>727</v>
      </c>
      <c r="C369" s="4">
        <v>37</v>
      </c>
    </row>
    <row r="370" spans="1:3" x14ac:dyDescent="0.25">
      <c r="A370" s="8">
        <v>41598</v>
      </c>
      <c r="B370" s="4" t="s">
        <v>723</v>
      </c>
      <c r="C370" s="4">
        <v>25</v>
      </c>
    </row>
    <row r="371" spans="1:3" x14ac:dyDescent="0.25">
      <c r="A371" s="8">
        <v>41645</v>
      </c>
      <c r="B371" s="4" t="s">
        <v>99</v>
      </c>
      <c r="C371" s="4">
        <v>32</v>
      </c>
    </row>
    <row r="372" spans="1:3" x14ac:dyDescent="0.25">
      <c r="A372" s="8">
        <v>41548</v>
      </c>
      <c r="B372" s="4" t="s">
        <v>724</v>
      </c>
      <c r="C372" s="4">
        <v>28</v>
      </c>
    </row>
    <row r="373" spans="1:3" x14ac:dyDescent="0.25">
      <c r="A373" s="8">
        <v>41575</v>
      </c>
      <c r="B373" s="4" t="s">
        <v>727</v>
      </c>
      <c r="C373" s="4">
        <v>30</v>
      </c>
    </row>
    <row r="374" spans="1:3" x14ac:dyDescent="0.25">
      <c r="A374" s="8">
        <v>41587</v>
      </c>
      <c r="B374" s="4" t="s">
        <v>721</v>
      </c>
      <c r="C374" s="4">
        <v>34</v>
      </c>
    </row>
    <row r="375" spans="1:3" x14ac:dyDescent="0.25">
      <c r="A375" s="8">
        <v>41634</v>
      </c>
      <c r="B375" s="4" t="s">
        <v>718</v>
      </c>
      <c r="C375" s="4">
        <v>13</v>
      </c>
    </row>
    <row r="376" spans="1:3" x14ac:dyDescent="0.25">
      <c r="A376" s="8">
        <v>41632</v>
      </c>
      <c r="B376" s="4" t="s">
        <v>99</v>
      </c>
      <c r="C376" s="4">
        <v>45</v>
      </c>
    </row>
    <row r="377" spans="1:3" x14ac:dyDescent="0.25">
      <c r="A377" s="8">
        <v>41554</v>
      </c>
      <c r="B377" s="4" t="s">
        <v>723</v>
      </c>
      <c r="C377" s="4">
        <v>34</v>
      </c>
    </row>
    <row r="378" spans="1:3" x14ac:dyDescent="0.25">
      <c r="A378" s="8">
        <v>41532</v>
      </c>
      <c r="B378" s="4" t="s">
        <v>710</v>
      </c>
      <c r="C378" s="4">
        <v>41</v>
      </c>
    </row>
    <row r="379" spans="1:3" x14ac:dyDescent="0.25">
      <c r="A379" s="8">
        <v>41582</v>
      </c>
      <c r="B379" s="4" t="s">
        <v>726</v>
      </c>
      <c r="C379" s="4">
        <v>11</v>
      </c>
    </row>
    <row r="380" spans="1:3" x14ac:dyDescent="0.25">
      <c r="A380" s="8">
        <v>41620</v>
      </c>
      <c r="B380" s="4" t="s">
        <v>714</v>
      </c>
      <c r="C380" s="4">
        <v>31</v>
      </c>
    </row>
    <row r="381" spans="1:3" x14ac:dyDescent="0.25">
      <c r="A381" s="8">
        <v>41548</v>
      </c>
      <c r="B381" s="4" t="s">
        <v>714</v>
      </c>
      <c r="C381" s="4">
        <v>45</v>
      </c>
    </row>
    <row r="382" spans="1:3" x14ac:dyDescent="0.25">
      <c r="A382" s="8">
        <v>41600</v>
      </c>
      <c r="B382" s="4" t="s">
        <v>717</v>
      </c>
      <c r="C382" s="4">
        <v>20</v>
      </c>
    </row>
    <row r="383" spans="1:3" x14ac:dyDescent="0.25">
      <c r="A383" s="8">
        <v>41583</v>
      </c>
      <c r="B383" s="4" t="s">
        <v>717</v>
      </c>
      <c r="C383" s="4">
        <v>27</v>
      </c>
    </row>
    <row r="384" spans="1:3" x14ac:dyDescent="0.25">
      <c r="A384" s="8">
        <v>41631</v>
      </c>
      <c r="B384" s="4" t="s">
        <v>727</v>
      </c>
      <c r="C384" s="4">
        <v>10</v>
      </c>
    </row>
    <row r="385" spans="1:3" x14ac:dyDescent="0.25">
      <c r="A385" s="8">
        <v>41649</v>
      </c>
      <c r="B385" s="4" t="s">
        <v>725</v>
      </c>
      <c r="C385" s="4">
        <v>39</v>
      </c>
    </row>
    <row r="386" spans="1:3" x14ac:dyDescent="0.25">
      <c r="A386" s="8">
        <v>41523</v>
      </c>
      <c r="B386" s="4" t="s">
        <v>715</v>
      </c>
      <c r="C386" s="4">
        <v>21</v>
      </c>
    </row>
    <row r="387" spans="1:3" x14ac:dyDescent="0.25">
      <c r="A387" s="8">
        <v>41512</v>
      </c>
      <c r="B387" s="4" t="s">
        <v>711</v>
      </c>
      <c r="C387" s="4">
        <v>11</v>
      </c>
    </row>
    <row r="388" spans="1:3" x14ac:dyDescent="0.25">
      <c r="A388" s="8">
        <v>41532</v>
      </c>
      <c r="B388" s="4" t="s">
        <v>723</v>
      </c>
      <c r="C388" s="4">
        <v>32</v>
      </c>
    </row>
    <row r="389" spans="1:3" x14ac:dyDescent="0.25">
      <c r="A389" s="8">
        <v>41529</v>
      </c>
      <c r="B389" s="4" t="s">
        <v>729</v>
      </c>
      <c r="C389" s="4">
        <v>28</v>
      </c>
    </row>
    <row r="390" spans="1:3" x14ac:dyDescent="0.25">
      <c r="A390" s="8">
        <v>41637</v>
      </c>
      <c r="B390" s="4" t="s">
        <v>728</v>
      </c>
      <c r="C390" s="4">
        <v>17</v>
      </c>
    </row>
    <row r="391" spans="1:3" x14ac:dyDescent="0.25">
      <c r="A391" s="8">
        <v>41580</v>
      </c>
      <c r="B391" s="4" t="s">
        <v>728</v>
      </c>
      <c r="C391" s="4">
        <v>14</v>
      </c>
    </row>
    <row r="392" spans="1:3" x14ac:dyDescent="0.25">
      <c r="A392" s="8">
        <v>41603</v>
      </c>
      <c r="B392" s="4" t="s">
        <v>719</v>
      </c>
      <c r="C392" s="4">
        <v>26</v>
      </c>
    </row>
    <row r="393" spans="1:3" x14ac:dyDescent="0.25">
      <c r="A393" s="8">
        <v>41511</v>
      </c>
      <c r="B393" s="4" t="s">
        <v>726</v>
      </c>
      <c r="C393" s="4">
        <v>27</v>
      </c>
    </row>
    <row r="394" spans="1:3" x14ac:dyDescent="0.25">
      <c r="A394" s="8">
        <v>41615</v>
      </c>
      <c r="B394" s="4" t="s">
        <v>725</v>
      </c>
      <c r="C394" s="4">
        <v>53</v>
      </c>
    </row>
    <row r="395" spans="1:3" x14ac:dyDescent="0.25">
      <c r="A395" s="8">
        <v>41600</v>
      </c>
      <c r="B395" s="4" t="s">
        <v>99</v>
      </c>
      <c r="C395" s="4">
        <v>59</v>
      </c>
    </row>
    <row r="396" spans="1:3" x14ac:dyDescent="0.25">
      <c r="A396" s="8">
        <v>41577</v>
      </c>
      <c r="B396" s="4" t="s">
        <v>101</v>
      </c>
      <c r="C396" s="4">
        <v>24</v>
      </c>
    </row>
    <row r="397" spans="1:3" x14ac:dyDescent="0.25">
      <c r="A397" s="8">
        <v>41512</v>
      </c>
      <c r="B397" s="4" t="s">
        <v>724</v>
      </c>
      <c r="C397" s="4">
        <v>10</v>
      </c>
    </row>
    <row r="398" spans="1:3" x14ac:dyDescent="0.25">
      <c r="A398" s="8">
        <v>41533</v>
      </c>
      <c r="B398" s="4" t="s">
        <v>729</v>
      </c>
      <c r="C398" s="4">
        <v>36</v>
      </c>
    </row>
    <row r="399" spans="1:3" x14ac:dyDescent="0.25">
      <c r="A399" s="8">
        <v>41504</v>
      </c>
      <c r="B399" s="4" t="s">
        <v>713</v>
      </c>
      <c r="C399" s="4">
        <v>43</v>
      </c>
    </row>
    <row r="400" spans="1:3" x14ac:dyDescent="0.25">
      <c r="A400" s="8">
        <v>41581</v>
      </c>
      <c r="B400" s="4" t="s">
        <v>729</v>
      </c>
      <c r="C400" s="4">
        <v>17</v>
      </c>
    </row>
    <row r="401" spans="1:3" x14ac:dyDescent="0.25">
      <c r="A401" s="8">
        <v>41591</v>
      </c>
      <c r="B401" s="4" t="s">
        <v>100</v>
      </c>
      <c r="C401" s="4">
        <v>32</v>
      </c>
    </row>
    <row r="402" spans="1:3" x14ac:dyDescent="0.25">
      <c r="A402" s="8">
        <v>41602</v>
      </c>
      <c r="B402" s="4" t="s">
        <v>729</v>
      </c>
      <c r="C402" s="4">
        <v>16</v>
      </c>
    </row>
    <row r="403" spans="1:3" x14ac:dyDescent="0.25">
      <c r="A403" s="8">
        <v>41579</v>
      </c>
      <c r="B403" s="4" t="s">
        <v>101</v>
      </c>
      <c r="C403" s="4">
        <v>50</v>
      </c>
    </row>
    <row r="404" spans="1:3" x14ac:dyDescent="0.25">
      <c r="A404" s="8">
        <v>41628</v>
      </c>
      <c r="B404" s="4" t="s">
        <v>728</v>
      </c>
      <c r="C404" s="4">
        <v>54</v>
      </c>
    </row>
    <row r="405" spans="1:3" x14ac:dyDescent="0.25">
      <c r="A405" s="8">
        <v>41636</v>
      </c>
      <c r="B405" s="4" t="s">
        <v>102</v>
      </c>
      <c r="C405" s="4">
        <v>52</v>
      </c>
    </row>
    <row r="406" spans="1:3" x14ac:dyDescent="0.25">
      <c r="A406" s="8">
        <v>41612</v>
      </c>
      <c r="B406" s="4" t="s">
        <v>729</v>
      </c>
      <c r="C406" s="4">
        <v>24</v>
      </c>
    </row>
    <row r="407" spans="1:3" x14ac:dyDescent="0.25">
      <c r="A407" s="8">
        <v>41566</v>
      </c>
      <c r="B407" s="4" t="s">
        <v>716</v>
      </c>
      <c r="C407" s="4">
        <v>27</v>
      </c>
    </row>
    <row r="408" spans="1:3" x14ac:dyDescent="0.25">
      <c r="A408" s="8">
        <v>41552</v>
      </c>
      <c r="B408" s="4" t="s">
        <v>103</v>
      </c>
      <c r="C408" s="4">
        <v>48</v>
      </c>
    </row>
    <row r="409" spans="1:3" x14ac:dyDescent="0.25">
      <c r="A409" s="8">
        <v>41534</v>
      </c>
      <c r="B409" s="4" t="s">
        <v>711</v>
      </c>
      <c r="C409" s="4">
        <v>37</v>
      </c>
    </row>
    <row r="410" spans="1:3" x14ac:dyDescent="0.25">
      <c r="A410" s="8">
        <v>41542</v>
      </c>
      <c r="B410" s="4" t="s">
        <v>717</v>
      </c>
      <c r="C410" s="4">
        <v>23</v>
      </c>
    </row>
    <row r="411" spans="1:3" x14ac:dyDescent="0.25">
      <c r="A411" s="8">
        <v>41619</v>
      </c>
      <c r="B411" s="4" t="s">
        <v>722</v>
      </c>
      <c r="C411" s="4">
        <v>46</v>
      </c>
    </row>
    <row r="412" spans="1:3" x14ac:dyDescent="0.25">
      <c r="A412" s="8">
        <v>41546</v>
      </c>
      <c r="B412" s="4" t="s">
        <v>716</v>
      </c>
      <c r="C412" s="4">
        <v>57</v>
      </c>
    </row>
    <row r="413" spans="1:3" x14ac:dyDescent="0.25">
      <c r="A413" s="8">
        <v>41619</v>
      </c>
      <c r="B413" s="4" t="s">
        <v>103</v>
      </c>
      <c r="C413" s="4">
        <v>39</v>
      </c>
    </row>
    <row r="414" spans="1:3" x14ac:dyDescent="0.25">
      <c r="A414" s="8">
        <v>41627</v>
      </c>
      <c r="B414" s="4" t="s">
        <v>727</v>
      </c>
      <c r="C414" s="4">
        <v>13</v>
      </c>
    </row>
    <row r="415" spans="1:3" x14ac:dyDescent="0.25">
      <c r="A415" s="8">
        <v>41565</v>
      </c>
      <c r="B415" s="4" t="s">
        <v>102</v>
      </c>
      <c r="C415" s="4">
        <v>22</v>
      </c>
    </row>
    <row r="416" spans="1:3" x14ac:dyDescent="0.25">
      <c r="A416" s="8">
        <v>41644</v>
      </c>
      <c r="B416" s="4" t="s">
        <v>710</v>
      </c>
      <c r="C416" s="4">
        <v>42</v>
      </c>
    </row>
    <row r="417" spans="1:3" x14ac:dyDescent="0.25">
      <c r="A417" s="8">
        <v>41648</v>
      </c>
      <c r="B417" s="4" t="s">
        <v>723</v>
      </c>
      <c r="C417" s="4">
        <v>19</v>
      </c>
    </row>
    <row r="418" spans="1:3" x14ac:dyDescent="0.25">
      <c r="A418" s="8">
        <v>41633</v>
      </c>
      <c r="B418" s="4" t="s">
        <v>725</v>
      </c>
      <c r="C418" s="4">
        <v>35</v>
      </c>
    </row>
    <row r="419" spans="1:3" x14ac:dyDescent="0.25">
      <c r="A419" s="8">
        <v>41511</v>
      </c>
      <c r="B419" s="4" t="s">
        <v>716</v>
      </c>
      <c r="C419" s="4">
        <v>34</v>
      </c>
    </row>
    <row r="420" spans="1:3" x14ac:dyDescent="0.25">
      <c r="A420" s="8">
        <v>41597</v>
      </c>
      <c r="B420" s="4" t="s">
        <v>102</v>
      </c>
      <c r="C420" s="4">
        <v>56</v>
      </c>
    </row>
    <row r="421" spans="1:3" x14ac:dyDescent="0.25">
      <c r="A421" s="8">
        <v>41559</v>
      </c>
      <c r="B421" s="4" t="s">
        <v>724</v>
      </c>
      <c r="C421" s="4">
        <v>26</v>
      </c>
    </row>
    <row r="422" spans="1:3" x14ac:dyDescent="0.25">
      <c r="A422" s="8">
        <v>41649</v>
      </c>
      <c r="B422" s="4" t="s">
        <v>718</v>
      </c>
      <c r="C422" s="4">
        <v>27</v>
      </c>
    </row>
    <row r="423" spans="1:3" x14ac:dyDescent="0.25">
      <c r="A423" s="8">
        <v>41593</v>
      </c>
      <c r="B423" s="4" t="s">
        <v>716</v>
      </c>
      <c r="C423" s="4">
        <v>54</v>
      </c>
    </row>
    <row r="424" spans="1:3" x14ac:dyDescent="0.25">
      <c r="A424" s="8">
        <v>41577</v>
      </c>
      <c r="B424" s="4" t="s">
        <v>101</v>
      </c>
      <c r="C424" s="4">
        <v>27</v>
      </c>
    </row>
    <row r="425" spans="1:3" x14ac:dyDescent="0.25">
      <c r="A425" s="8">
        <v>41591</v>
      </c>
      <c r="B425" s="4" t="s">
        <v>714</v>
      </c>
      <c r="C425" s="4">
        <v>13</v>
      </c>
    </row>
    <row r="426" spans="1:3" x14ac:dyDescent="0.25">
      <c r="A426" s="8">
        <v>41583</v>
      </c>
      <c r="B426" s="4" t="s">
        <v>714</v>
      </c>
      <c r="C426" s="4">
        <v>52</v>
      </c>
    </row>
    <row r="427" spans="1:3" x14ac:dyDescent="0.25">
      <c r="A427" s="8">
        <v>41561</v>
      </c>
      <c r="B427" s="4" t="s">
        <v>715</v>
      </c>
      <c r="C427" s="4">
        <v>34</v>
      </c>
    </row>
    <row r="428" spans="1:3" x14ac:dyDescent="0.25">
      <c r="A428" s="8">
        <v>41556</v>
      </c>
      <c r="B428" s="4" t="s">
        <v>714</v>
      </c>
      <c r="C428" s="4">
        <v>26</v>
      </c>
    </row>
    <row r="429" spans="1:3" x14ac:dyDescent="0.25">
      <c r="A429" s="8">
        <v>41524</v>
      </c>
      <c r="B429" s="4" t="s">
        <v>718</v>
      </c>
      <c r="C429" s="4">
        <v>15</v>
      </c>
    </row>
    <row r="430" spans="1:3" x14ac:dyDescent="0.25">
      <c r="A430" s="8">
        <v>41511</v>
      </c>
      <c r="B430" s="4" t="s">
        <v>725</v>
      </c>
      <c r="C430" s="4">
        <v>29</v>
      </c>
    </row>
    <row r="431" spans="1:3" x14ac:dyDescent="0.25">
      <c r="A431" s="8">
        <v>41600</v>
      </c>
      <c r="B431" s="4" t="s">
        <v>710</v>
      </c>
      <c r="C431" s="4">
        <v>58</v>
      </c>
    </row>
    <row r="432" spans="1:3" x14ac:dyDescent="0.25">
      <c r="A432" s="8">
        <v>41634</v>
      </c>
      <c r="B432" s="4" t="s">
        <v>723</v>
      </c>
      <c r="C432" s="4">
        <v>12</v>
      </c>
    </row>
    <row r="433" spans="1:3" x14ac:dyDescent="0.25">
      <c r="A433" s="8">
        <v>41522</v>
      </c>
      <c r="B433" s="4" t="s">
        <v>716</v>
      </c>
      <c r="C433" s="4">
        <v>46</v>
      </c>
    </row>
    <row r="434" spans="1:3" x14ac:dyDescent="0.25">
      <c r="A434" s="8">
        <v>41532</v>
      </c>
      <c r="B434" s="4" t="s">
        <v>717</v>
      </c>
      <c r="C434" s="4">
        <v>50</v>
      </c>
    </row>
    <row r="435" spans="1:3" x14ac:dyDescent="0.25">
      <c r="A435" s="8">
        <v>41628</v>
      </c>
      <c r="B435" s="4" t="s">
        <v>725</v>
      </c>
      <c r="C435" s="4">
        <v>31</v>
      </c>
    </row>
    <row r="436" spans="1:3" x14ac:dyDescent="0.25">
      <c r="A436" s="8">
        <v>41547</v>
      </c>
      <c r="B436" s="4" t="s">
        <v>726</v>
      </c>
      <c r="C436" s="4">
        <v>17</v>
      </c>
    </row>
    <row r="437" spans="1:3" x14ac:dyDescent="0.25">
      <c r="A437" s="8">
        <v>41601</v>
      </c>
      <c r="B437" s="4" t="s">
        <v>715</v>
      </c>
      <c r="C437" s="4">
        <v>27</v>
      </c>
    </row>
    <row r="438" spans="1:3" x14ac:dyDescent="0.25">
      <c r="A438" s="8">
        <v>41580</v>
      </c>
      <c r="B438" s="4" t="s">
        <v>711</v>
      </c>
      <c r="C438" s="4">
        <v>26</v>
      </c>
    </row>
    <row r="439" spans="1:3" x14ac:dyDescent="0.25">
      <c r="A439" s="8">
        <v>41554</v>
      </c>
      <c r="B439" s="4" t="s">
        <v>729</v>
      </c>
      <c r="C439" s="4">
        <v>27</v>
      </c>
    </row>
    <row r="440" spans="1:3" x14ac:dyDescent="0.25">
      <c r="A440" s="8">
        <v>41616</v>
      </c>
      <c r="B440" s="4" t="s">
        <v>722</v>
      </c>
      <c r="C440" s="4">
        <v>18</v>
      </c>
    </row>
    <row r="441" spans="1:3" x14ac:dyDescent="0.25">
      <c r="A441" s="8">
        <v>41534</v>
      </c>
      <c r="B441" s="4" t="s">
        <v>99</v>
      </c>
      <c r="C441" s="4">
        <v>36</v>
      </c>
    </row>
    <row r="442" spans="1:3" x14ac:dyDescent="0.25">
      <c r="A442" s="8">
        <v>41633</v>
      </c>
      <c r="B442" s="4" t="s">
        <v>718</v>
      </c>
      <c r="C442" s="4">
        <v>16</v>
      </c>
    </row>
    <row r="443" spans="1:3" x14ac:dyDescent="0.25">
      <c r="A443" s="8">
        <v>41632</v>
      </c>
      <c r="B443" s="4" t="s">
        <v>724</v>
      </c>
      <c r="C443" s="4">
        <v>51</v>
      </c>
    </row>
    <row r="444" spans="1:3" x14ac:dyDescent="0.25">
      <c r="A444" s="8">
        <v>41596</v>
      </c>
      <c r="B444" s="4" t="s">
        <v>102</v>
      </c>
      <c r="C444" s="4">
        <v>39</v>
      </c>
    </row>
    <row r="445" spans="1:3" x14ac:dyDescent="0.25">
      <c r="A445" s="8">
        <v>41549</v>
      </c>
      <c r="B445" s="4" t="s">
        <v>715</v>
      </c>
      <c r="C445" s="4">
        <v>27</v>
      </c>
    </row>
    <row r="446" spans="1:3" x14ac:dyDescent="0.25">
      <c r="A446" s="8">
        <v>41515</v>
      </c>
      <c r="B446" s="4" t="s">
        <v>725</v>
      </c>
      <c r="C446" s="4">
        <v>13</v>
      </c>
    </row>
    <row r="447" spans="1:3" x14ac:dyDescent="0.25">
      <c r="A447" s="8">
        <v>41601</v>
      </c>
      <c r="B447" s="4" t="s">
        <v>99</v>
      </c>
      <c r="C447" s="4">
        <v>50</v>
      </c>
    </row>
    <row r="448" spans="1:3" x14ac:dyDescent="0.25">
      <c r="A448" s="8">
        <v>41587</v>
      </c>
      <c r="B448" s="4" t="s">
        <v>724</v>
      </c>
      <c r="C448" s="4">
        <v>17</v>
      </c>
    </row>
    <row r="449" spans="1:3" x14ac:dyDescent="0.25">
      <c r="A449" s="8">
        <v>41557</v>
      </c>
      <c r="B449" s="4" t="s">
        <v>103</v>
      </c>
      <c r="C449" s="4">
        <v>50</v>
      </c>
    </row>
    <row r="450" spans="1:3" x14ac:dyDescent="0.25">
      <c r="A450" s="8">
        <v>41526</v>
      </c>
      <c r="B450" s="4" t="s">
        <v>102</v>
      </c>
      <c r="C450" s="4">
        <v>23</v>
      </c>
    </row>
    <row r="451" spans="1:3" x14ac:dyDescent="0.25">
      <c r="A451" s="8">
        <v>41543</v>
      </c>
      <c r="B451" s="4" t="s">
        <v>726</v>
      </c>
      <c r="C451" s="4">
        <v>14</v>
      </c>
    </row>
    <row r="452" spans="1:3" x14ac:dyDescent="0.25">
      <c r="A452" s="8">
        <v>41555</v>
      </c>
      <c r="B452" s="4" t="s">
        <v>102</v>
      </c>
      <c r="C452" s="4">
        <v>35</v>
      </c>
    </row>
    <row r="453" spans="1:3" x14ac:dyDescent="0.25">
      <c r="A453" s="8">
        <v>41631</v>
      </c>
      <c r="B453" s="4" t="s">
        <v>722</v>
      </c>
      <c r="C453" s="4">
        <v>51</v>
      </c>
    </row>
    <row r="454" spans="1:3" x14ac:dyDescent="0.25">
      <c r="A454" s="8">
        <v>41518</v>
      </c>
      <c r="B454" s="4" t="s">
        <v>721</v>
      </c>
      <c r="C454" s="4">
        <v>24</v>
      </c>
    </row>
    <row r="455" spans="1:3" x14ac:dyDescent="0.25">
      <c r="A455" s="8">
        <v>41532</v>
      </c>
      <c r="B455" s="4" t="s">
        <v>724</v>
      </c>
      <c r="C455" s="4">
        <v>12</v>
      </c>
    </row>
    <row r="456" spans="1:3" x14ac:dyDescent="0.25">
      <c r="A456" s="8">
        <v>41519</v>
      </c>
      <c r="B456" s="4" t="s">
        <v>100</v>
      </c>
      <c r="C456" s="4">
        <v>11</v>
      </c>
    </row>
    <row r="457" spans="1:3" x14ac:dyDescent="0.25">
      <c r="A457" s="8">
        <v>41516</v>
      </c>
      <c r="B457" s="4" t="s">
        <v>725</v>
      </c>
      <c r="C457" s="4">
        <v>50</v>
      </c>
    </row>
    <row r="458" spans="1:3" x14ac:dyDescent="0.25">
      <c r="A458" s="8">
        <v>41628</v>
      </c>
      <c r="B458" s="4" t="s">
        <v>711</v>
      </c>
      <c r="C458" s="4">
        <v>55</v>
      </c>
    </row>
    <row r="459" spans="1:3" x14ac:dyDescent="0.25">
      <c r="A459" s="8">
        <v>41536</v>
      </c>
      <c r="B459" s="4" t="s">
        <v>103</v>
      </c>
      <c r="C459" s="4">
        <v>18</v>
      </c>
    </row>
    <row r="460" spans="1:3" x14ac:dyDescent="0.25">
      <c r="A460" s="8">
        <v>41585</v>
      </c>
      <c r="B460" s="4" t="s">
        <v>102</v>
      </c>
      <c r="C460" s="4">
        <v>22</v>
      </c>
    </row>
    <row r="461" spans="1:3" x14ac:dyDescent="0.25">
      <c r="A461" s="8">
        <v>41600</v>
      </c>
      <c r="B461" s="4" t="s">
        <v>721</v>
      </c>
      <c r="C461" s="4">
        <v>16</v>
      </c>
    </row>
    <row r="462" spans="1:3" x14ac:dyDescent="0.25">
      <c r="A462" s="8">
        <v>41502</v>
      </c>
      <c r="B462" s="4" t="s">
        <v>101</v>
      </c>
      <c r="C462" s="4">
        <v>15</v>
      </c>
    </row>
    <row r="463" spans="1:3" x14ac:dyDescent="0.25">
      <c r="A463" s="8">
        <v>41560</v>
      </c>
      <c r="B463" s="4" t="s">
        <v>714</v>
      </c>
      <c r="C463" s="4">
        <v>45</v>
      </c>
    </row>
    <row r="464" spans="1:3" x14ac:dyDescent="0.25">
      <c r="A464" s="8">
        <v>41508</v>
      </c>
      <c r="B464" s="4" t="s">
        <v>721</v>
      </c>
      <c r="C464" s="4">
        <v>17</v>
      </c>
    </row>
    <row r="465" spans="1:3" x14ac:dyDescent="0.25">
      <c r="A465" s="8">
        <v>41557</v>
      </c>
      <c r="B465" s="4" t="s">
        <v>728</v>
      </c>
      <c r="C465" s="4">
        <v>18</v>
      </c>
    </row>
    <row r="466" spans="1:3" x14ac:dyDescent="0.25">
      <c r="A466" s="8">
        <v>41632</v>
      </c>
      <c r="B466" s="4" t="s">
        <v>724</v>
      </c>
      <c r="C466" s="4">
        <v>37</v>
      </c>
    </row>
    <row r="467" spans="1:3" x14ac:dyDescent="0.25">
      <c r="A467" s="8">
        <v>41600</v>
      </c>
      <c r="B467" s="4" t="s">
        <v>728</v>
      </c>
      <c r="C467" s="4">
        <v>34</v>
      </c>
    </row>
    <row r="468" spans="1:3" x14ac:dyDescent="0.25">
      <c r="A468" s="8">
        <v>41608</v>
      </c>
      <c r="B468" s="4" t="s">
        <v>102</v>
      </c>
      <c r="C468" s="4">
        <v>19</v>
      </c>
    </row>
    <row r="469" spans="1:3" x14ac:dyDescent="0.25">
      <c r="A469" s="8">
        <v>41616</v>
      </c>
      <c r="B469" s="4" t="s">
        <v>727</v>
      </c>
      <c r="C469" s="4">
        <v>53</v>
      </c>
    </row>
    <row r="470" spans="1:3" x14ac:dyDescent="0.25">
      <c r="A470" s="8">
        <v>41539</v>
      </c>
      <c r="B470" s="4" t="s">
        <v>102</v>
      </c>
      <c r="C470" s="4">
        <v>28</v>
      </c>
    </row>
    <row r="471" spans="1:3" x14ac:dyDescent="0.25">
      <c r="A471" s="8">
        <v>41530</v>
      </c>
      <c r="B471" s="4" t="s">
        <v>715</v>
      </c>
      <c r="C471" s="4">
        <v>38</v>
      </c>
    </row>
    <row r="472" spans="1:3" x14ac:dyDescent="0.25">
      <c r="A472" s="8">
        <v>41639</v>
      </c>
      <c r="B472" s="4" t="s">
        <v>711</v>
      </c>
      <c r="C472" s="4">
        <v>52</v>
      </c>
    </row>
    <row r="473" spans="1:3" x14ac:dyDescent="0.25">
      <c r="A473" s="8">
        <v>41646</v>
      </c>
      <c r="B473" s="4" t="s">
        <v>100</v>
      </c>
      <c r="C473" s="4">
        <v>52</v>
      </c>
    </row>
    <row r="474" spans="1:3" x14ac:dyDescent="0.25">
      <c r="A474" s="8">
        <v>41600</v>
      </c>
      <c r="B474" s="4" t="s">
        <v>712</v>
      </c>
      <c r="C474" s="4">
        <v>13</v>
      </c>
    </row>
    <row r="475" spans="1:3" x14ac:dyDescent="0.25">
      <c r="A475" s="8">
        <v>41601</v>
      </c>
      <c r="B475" s="4" t="s">
        <v>713</v>
      </c>
      <c r="C475" s="4">
        <v>31</v>
      </c>
    </row>
    <row r="476" spans="1:3" x14ac:dyDescent="0.25">
      <c r="A476" s="8">
        <v>41505</v>
      </c>
      <c r="B476" s="4" t="s">
        <v>713</v>
      </c>
      <c r="C476" s="4">
        <v>47</v>
      </c>
    </row>
    <row r="477" spans="1:3" x14ac:dyDescent="0.25">
      <c r="A477" s="8">
        <v>41541</v>
      </c>
      <c r="B477" s="4" t="s">
        <v>99</v>
      </c>
      <c r="C477" s="4">
        <v>39</v>
      </c>
    </row>
    <row r="478" spans="1:3" x14ac:dyDescent="0.25">
      <c r="A478" s="8">
        <v>41524</v>
      </c>
      <c r="B478" s="4" t="s">
        <v>711</v>
      </c>
      <c r="C478" s="4">
        <v>20</v>
      </c>
    </row>
    <row r="479" spans="1:3" x14ac:dyDescent="0.25">
      <c r="A479" s="8">
        <v>41595</v>
      </c>
      <c r="B479" s="4" t="s">
        <v>715</v>
      </c>
      <c r="C479" s="4">
        <v>23</v>
      </c>
    </row>
    <row r="480" spans="1:3" x14ac:dyDescent="0.25">
      <c r="A480" s="8">
        <v>41595</v>
      </c>
      <c r="B480" s="4" t="s">
        <v>724</v>
      </c>
      <c r="C480" s="4">
        <v>14</v>
      </c>
    </row>
    <row r="481" spans="1:3" x14ac:dyDescent="0.25">
      <c r="A481" s="8">
        <v>41567</v>
      </c>
      <c r="B481" s="4" t="s">
        <v>715</v>
      </c>
      <c r="C481" s="4">
        <v>20</v>
      </c>
    </row>
    <row r="482" spans="1:3" x14ac:dyDescent="0.25">
      <c r="A482" s="8">
        <v>41579</v>
      </c>
      <c r="B482" s="4" t="s">
        <v>721</v>
      </c>
      <c r="C482" s="4">
        <v>16</v>
      </c>
    </row>
    <row r="483" spans="1:3" x14ac:dyDescent="0.25">
      <c r="A483" s="8">
        <v>41584</v>
      </c>
      <c r="B483" s="4" t="s">
        <v>719</v>
      </c>
      <c r="C483" s="4">
        <v>22</v>
      </c>
    </row>
    <row r="484" spans="1:3" x14ac:dyDescent="0.25">
      <c r="A484" s="8">
        <v>41530</v>
      </c>
      <c r="B484" s="4" t="s">
        <v>728</v>
      </c>
      <c r="C484" s="4">
        <v>46</v>
      </c>
    </row>
    <row r="485" spans="1:3" x14ac:dyDescent="0.25">
      <c r="A485" s="8">
        <v>41567</v>
      </c>
      <c r="B485" s="4" t="s">
        <v>726</v>
      </c>
      <c r="C485" s="4">
        <v>34</v>
      </c>
    </row>
    <row r="486" spans="1:3" x14ac:dyDescent="0.25">
      <c r="A486" s="8">
        <v>41602</v>
      </c>
      <c r="B486" s="4" t="s">
        <v>99</v>
      </c>
      <c r="C486" s="4">
        <v>50</v>
      </c>
    </row>
    <row r="487" spans="1:3" x14ac:dyDescent="0.25">
      <c r="A487" s="8">
        <v>41628</v>
      </c>
      <c r="B487" s="4" t="s">
        <v>726</v>
      </c>
      <c r="C487" s="4">
        <v>53</v>
      </c>
    </row>
    <row r="488" spans="1:3" x14ac:dyDescent="0.25">
      <c r="A488" s="8">
        <v>41520</v>
      </c>
      <c r="B488" s="4" t="s">
        <v>713</v>
      </c>
      <c r="C488" s="4">
        <v>32</v>
      </c>
    </row>
    <row r="489" spans="1:3" x14ac:dyDescent="0.25">
      <c r="A489" s="8">
        <v>41514</v>
      </c>
      <c r="B489" s="4" t="s">
        <v>723</v>
      </c>
      <c r="C489" s="4">
        <v>16</v>
      </c>
    </row>
    <row r="490" spans="1:3" x14ac:dyDescent="0.25">
      <c r="A490" s="8">
        <v>41601</v>
      </c>
      <c r="B490" s="4" t="s">
        <v>718</v>
      </c>
      <c r="C490" s="4">
        <v>46</v>
      </c>
    </row>
    <row r="491" spans="1:3" x14ac:dyDescent="0.25">
      <c r="A491" s="8">
        <v>41563</v>
      </c>
      <c r="B491" s="4" t="s">
        <v>102</v>
      </c>
      <c r="C491" s="4">
        <v>28</v>
      </c>
    </row>
    <row r="492" spans="1:3" x14ac:dyDescent="0.25">
      <c r="A492" s="8">
        <v>41538</v>
      </c>
      <c r="B492" s="4" t="s">
        <v>721</v>
      </c>
      <c r="C492" s="4">
        <v>19</v>
      </c>
    </row>
    <row r="493" spans="1:3" x14ac:dyDescent="0.25">
      <c r="A493" s="8">
        <v>41646</v>
      </c>
      <c r="B493" s="4" t="s">
        <v>722</v>
      </c>
      <c r="C493" s="4">
        <v>55</v>
      </c>
    </row>
    <row r="494" spans="1:3" x14ac:dyDescent="0.25">
      <c r="A494" s="8">
        <v>41537</v>
      </c>
      <c r="B494" s="4" t="s">
        <v>722</v>
      </c>
      <c r="C494" s="4">
        <v>22</v>
      </c>
    </row>
    <row r="495" spans="1:3" x14ac:dyDescent="0.25">
      <c r="A495" s="8">
        <v>41559</v>
      </c>
      <c r="B495" s="4" t="s">
        <v>719</v>
      </c>
      <c r="C495" s="4">
        <v>31</v>
      </c>
    </row>
    <row r="496" spans="1:3" x14ac:dyDescent="0.25">
      <c r="A496" s="8">
        <v>41571</v>
      </c>
      <c r="B496" s="4" t="s">
        <v>723</v>
      </c>
      <c r="C496" s="4">
        <v>21</v>
      </c>
    </row>
    <row r="497" spans="1:3" x14ac:dyDescent="0.25">
      <c r="A497" s="8">
        <v>41648</v>
      </c>
      <c r="B497" s="4" t="s">
        <v>721</v>
      </c>
      <c r="C497" s="4">
        <v>37</v>
      </c>
    </row>
    <row r="498" spans="1:3" x14ac:dyDescent="0.25">
      <c r="A498" s="8">
        <v>41537</v>
      </c>
      <c r="B498" s="4" t="s">
        <v>724</v>
      </c>
      <c r="C498" s="4">
        <v>44</v>
      </c>
    </row>
    <row r="499" spans="1:3" x14ac:dyDescent="0.25">
      <c r="A499" s="8">
        <v>41536</v>
      </c>
      <c r="B499" s="4" t="s">
        <v>720</v>
      </c>
      <c r="C499" s="4">
        <v>49</v>
      </c>
    </row>
    <row r="500" spans="1:3" x14ac:dyDescent="0.25">
      <c r="A500" s="8">
        <v>41606</v>
      </c>
      <c r="B500" s="4" t="s">
        <v>710</v>
      </c>
      <c r="C500" s="4">
        <v>39</v>
      </c>
    </row>
    <row r="501" spans="1:3" x14ac:dyDescent="0.25">
      <c r="A501" s="8">
        <v>41561</v>
      </c>
      <c r="B501" s="4" t="s">
        <v>728</v>
      </c>
      <c r="C501" s="4">
        <v>23</v>
      </c>
    </row>
    <row r="502" spans="1:3" x14ac:dyDescent="0.25">
      <c r="A502" s="8">
        <v>41605</v>
      </c>
      <c r="B502" s="4" t="s">
        <v>719</v>
      </c>
      <c r="C502" s="4">
        <v>32</v>
      </c>
    </row>
    <row r="503" spans="1:3" x14ac:dyDescent="0.25">
      <c r="A503" s="8">
        <v>41589</v>
      </c>
      <c r="B503" s="4" t="s">
        <v>715</v>
      </c>
      <c r="C503" s="4">
        <v>27</v>
      </c>
    </row>
    <row r="504" spans="1:3" x14ac:dyDescent="0.25">
      <c r="A504" s="8">
        <v>41582</v>
      </c>
      <c r="B504" s="4" t="s">
        <v>718</v>
      </c>
      <c r="C504" s="4">
        <v>35</v>
      </c>
    </row>
    <row r="505" spans="1:3" x14ac:dyDescent="0.25">
      <c r="A505" s="8">
        <v>41566</v>
      </c>
      <c r="B505" s="4" t="s">
        <v>718</v>
      </c>
      <c r="C505" s="4">
        <v>36</v>
      </c>
    </row>
    <row r="506" spans="1:3" x14ac:dyDescent="0.25">
      <c r="A506" s="8">
        <v>41510</v>
      </c>
      <c r="B506" s="4" t="s">
        <v>722</v>
      </c>
      <c r="C506" s="4">
        <v>15</v>
      </c>
    </row>
    <row r="507" spans="1:3" x14ac:dyDescent="0.25">
      <c r="A507" s="8">
        <v>41650</v>
      </c>
      <c r="B507" s="4" t="s">
        <v>725</v>
      </c>
      <c r="C507" s="4">
        <v>24</v>
      </c>
    </row>
    <row r="508" spans="1:3" x14ac:dyDescent="0.25">
      <c r="A508" s="8">
        <v>41648</v>
      </c>
      <c r="B508" s="4" t="s">
        <v>723</v>
      </c>
      <c r="C508" s="4">
        <v>29</v>
      </c>
    </row>
    <row r="509" spans="1:3" x14ac:dyDescent="0.25">
      <c r="A509" s="8">
        <v>41540</v>
      </c>
      <c r="B509" s="4" t="s">
        <v>711</v>
      </c>
      <c r="C509" s="4">
        <v>42</v>
      </c>
    </row>
    <row r="510" spans="1:3" x14ac:dyDescent="0.25">
      <c r="A510" s="8">
        <v>41512</v>
      </c>
      <c r="B510" s="4" t="s">
        <v>712</v>
      </c>
      <c r="C510" s="4">
        <v>56</v>
      </c>
    </row>
    <row r="511" spans="1:3" x14ac:dyDescent="0.25">
      <c r="A511" s="8">
        <v>41502</v>
      </c>
      <c r="B511" s="4" t="s">
        <v>722</v>
      </c>
      <c r="C511" s="4">
        <v>39</v>
      </c>
    </row>
    <row r="512" spans="1:3" x14ac:dyDescent="0.25">
      <c r="A512" s="8">
        <v>41646</v>
      </c>
      <c r="B512" s="4" t="s">
        <v>103</v>
      </c>
      <c r="C512" s="4">
        <v>28</v>
      </c>
    </row>
    <row r="513" spans="1:3" x14ac:dyDescent="0.25">
      <c r="A513" s="8">
        <v>41579</v>
      </c>
      <c r="B513" s="4" t="s">
        <v>723</v>
      </c>
      <c r="C513" s="4">
        <v>23</v>
      </c>
    </row>
    <row r="514" spans="1:3" x14ac:dyDescent="0.25">
      <c r="A514" s="8">
        <v>41506</v>
      </c>
      <c r="B514" s="4" t="s">
        <v>720</v>
      </c>
      <c r="C514" s="4">
        <v>47</v>
      </c>
    </row>
    <row r="515" spans="1:3" x14ac:dyDescent="0.25">
      <c r="A515" s="8">
        <v>41617</v>
      </c>
      <c r="B515" s="4" t="s">
        <v>710</v>
      </c>
      <c r="C515" s="4">
        <v>16</v>
      </c>
    </row>
    <row r="516" spans="1:3" x14ac:dyDescent="0.25">
      <c r="A516" s="8">
        <v>41606</v>
      </c>
      <c r="B516" s="4" t="s">
        <v>720</v>
      </c>
      <c r="C516" s="4">
        <v>57</v>
      </c>
    </row>
    <row r="517" spans="1:3" x14ac:dyDescent="0.25">
      <c r="A517" s="8">
        <v>41596</v>
      </c>
      <c r="B517" s="4" t="s">
        <v>715</v>
      </c>
      <c r="C517" s="4">
        <v>25</v>
      </c>
    </row>
    <row r="518" spans="1:3" x14ac:dyDescent="0.25">
      <c r="A518" s="8">
        <v>41597</v>
      </c>
      <c r="B518" s="4" t="s">
        <v>710</v>
      </c>
      <c r="C518" s="4">
        <v>49</v>
      </c>
    </row>
    <row r="519" spans="1:3" x14ac:dyDescent="0.25">
      <c r="A519" s="8">
        <v>41553</v>
      </c>
      <c r="B519" s="4" t="s">
        <v>721</v>
      </c>
      <c r="C519" s="4">
        <v>18</v>
      </c>
    </row>
    <row r="520" spans="1:3" x14ac:dyDescent="0.25">
      <c r="A520" s="8">
        <v>41595</v>
      </c>
      <c r="B520" s="4" t="s">
        <v>715</v>
      </c>
      <c r="C520" s="4">
        <v>22</v>
      </c>
    </row>
    <row r="521" spans="1:3" x14ac:dyDescent="0.25">
      <c r="A521" s="8">
        <v>41585</v>
      </c>
      <c r="B521" s="4" t="s">
        <v>716</v>
      </c>
      <c r="C521" s="4">
        <v>52</v>
      </c>
    </row>
    <row r="522" spans="1:3" x14ac:dyDescent="0.25">
      <c r="A522" s="8">
        <v>41595</v>
      </c>
      <c r="B522" s="4" t="s">
        <v>716</v>
      </c>
      <c r="C522" s="4">
        <v>13</v>
      </c>
    </row>
    <row r="523" spans="1:3" x14ac:dyDescent="0.25">
      <c r="A523" s="8">
        <v>41531</v>
      </c>
      <c r="B523" s="4" t="s">
        <v>711</v>
      </c>
      <c r="C523" s="4">
        <v>49</v>
      </c>
    </row>
    <row r="524" spans="1:3" x14ac:dyDescent="0.25">
      <c r="A524" s="8">
        <v>41515</v>
      </c>
      <c r="B524" s="4" t="s">
        <v>103</v>
      </c>
      <c r="C524" s="4">
        <v>15</v>
      </c>
    </row>
    <row r="525" spans="1:3" x14ac:dyDescent="0.25">
      <c r="A525" s="8">
        <v>41561</v>
      </c>
      <c r="B525" s="4" t="s">
        <v>710</v>
      </c>
      <c r="C525" s="4">
        <v>39</v>
      </c>
    </row>
    <row r="526" spans="1:3" x14ac:dyDescent="0.25">
      <c r="A526" s="8">
        <v>41508</v>
      </c>
      <c r="B526" s="4" t="s">
        <v>728</v>
      </c>
      <c r="C526" s="4">
        <v>36</v>
      </c>
    </row>
    <row r="527" spans="1:3" x14ac:dyDescent="0.25">
      <c r="A527" s="8">
        <v>41543</v>
      </c>
      <c r="B527" s="4" t="s">
        <v>725</v>
      </c>
      <c r="C527" s="4">
        <v>17</v>
      </c>
    </row>
    <row r="528" spans="1:3" x14ac:dyDescent="0.25">
      <c r="A528" s="8">
        <v>41627</v>
      </c>
      <c r="B528" s="4" t="s">
        <v>102</v>
      </c>
      <c r="C528" s="4">
        <v>41</v>
      </c>
    </row>
    <row r="529" spans="1:3" x14ac:dyDescent="0.25">
      <c r="A529" s="8">
        <v>41539</v>
      </c>
      <c r="B529" s="4" t="s">
        <v>720</v>
      </c>
      <c r="C529" s="4">
        <v>54</v>
      </c>
    </row>
    <row r="530" spans="1:3" x14ac:dyDescent="0.25">
      <c r="A530" s="8">
        <v>41597</v>
      </c>
      <c r="B530" s="4" t="s">
        <v>728</v>
      </c>
      <c r="C530" s="4">
        <v>45</v>
      </c>
    </row>
    <row r="531" spans="1:3" x14ac:dyDescent="0.25">
      <c r="A531" s="8">
        <v>41605</v>
      </c>
      <c r="B531" s="4" t="s">
        <v>718</v>
      </c>
      <c r="C531" s="4">
        <v>55</v>
      </c>
    </row>
    <row r="532" spans="1:3" x14ac:dyDescent="0.25">
      <c r="A532" s="8">
        <v>41584</v>
      </c>
      <c r="B532" s="4" t="s">
        <v>722</v>
      </c>
      <c r="C532" s="4">
        <v>26</v>
      </c>
    </row>
    <row r="533" spans="1:3" x14ac:dyDescent="0.25">
      <c r="A533" s="8">
        <v>41534</v>
      </c>
      <c r="B533" s="4" t="s">
        <v>101</v>
      </c>
      <c r="C533" s="4">
        <v>28</v>
      </c>
    </row>
    <row r="534" spans="1:3" x14ac:dyDescent="0.25">
      <c r="A534" s="8">
        <v>41569</v>
      </c>
      <c r="B534" s="4" t="s">
        <v>722</v>
      </c>
      <c r="C534" s="4">
        <v>43</v>
      </c>
    </row>
    <row r="535" spans="1:3" x14ac:dyDescent="0.25">
      <c r="A535" s="8">
        <v>41544</v>
      </c>
      <c r="B535" s="4" t="s">
        <v>725</v>
      </c>
      <c r="C535" s="4">
        <v>30</v>
      </c>
    </row>
    <row r="536" spans="1:3" x14ac:dyDescent="0.25">
      <c r="A536" s="8">
        <v>41524</v>
      </c>
      <c r="B536" s="4" t="s">
        <v>711</v>
      </c>
      <c r="C536" s="4">
        <v>36</v>
      </c>
    </row>
    <row r="537" spans="1:3" x14ac:dyDescent="0.25">
      <c r="A537" s="8">
        <v>41634</v>
      </c>
      <c r="B537" s="4" t="s">
        <v>721</v>
      </c>
      <c r="C537" s="4">
        <v>46</v>
      </c>
    </row>
    <row r="538" spans="1:3" x14ac:dyDescent="0.25">
      <c r="A538" s="8">
        <v>41501</v>
      </c>
      <c r="B538" s="4" t="s">
        <v>728</v>
      </c>
      <c r="C538" s="4">
        <v>39</v>
      </c>
    </row>
    <row r="539" spans="1:3" x14ac:dyDescent="0.25">
      <c r="A539" s="8">
        <v>41534</v>
      </c>
      <c r="B539" s="4" t="s">
        <v>102</v>
      </c>
      <c r="C539" s="4">
        <v>16</v>
      </c>
    </row>
    <row r="540" spans="1:3" x14ac:dyDescent="0.25">
      <c r="A540" s="8">
        <v>41631</v>
      </c>
      <c r="B540" s="4" t="s">
        <v>717</v>
      </c>
      <c r="C540" s="4">
        <v>55</v>
      </c>
    </row>
    <row r="541" spans="1:3" x14ac:dyDescent="0.25">
      <c r="A541" s="8">
        <v>41563</v>
      </c>
      <c r="B541" s="4" t="s">
        <v>715</v>
      </c>
      <c r="C541" s="4">
        <v>19</v>
      </c>
    </row>
    <row r="542" spans="1:3" x14ac:dyDescent="0.25">
      <c r="A542" s="8">
        <v>41589</v>
      </c>
      <c r="B542" s="4" t="s">
        <v>101</v>
      </c>
      <c r="C542" s="4">
        <v>25</v>
      </c>
    </row>
    <row r="543" spans="1:3" x14ac:dyDescent="0.25">
      <c r="A543" s="8">
        <v>41607</v>
      </c>
      <c r="B543" s="4" t="s">
        <v>724</v>
      </c>
      <c r="C543" s="4">
        <v>27</v>
      </c>
    </row>
    <row r="544" spans="1:3" x14ac:dyDescent="0.25">
      <c r="A544" s="8">
        <v>41626</v>
      </c>
      <c r="B544" s="4" t="s">
        <v>723</v>
      </c>
      <c r="C544" s="4">
        <v>29</v>
      </c>
    </row>
    <row r="545" spans="1:3" x14ac:dyDescent="0.25">
      <c r="A545" s="8">
        <v>41551</v>
      </c>
      <c r="B545" s="4" t="s">
        <v>715</v>
      </c>
      <c r="C545" s="4">
        <v>56</v>
      </c>
    </row>
    <row r="546" spans="1:3" x14ac:dyDescent="0.25">
      <c r="A546" s="8">
        <v>41616</v>
      </c>
      <c r="B546" s="4" t="s">
        <v>103</v>
      </c>
      <c r="C546" s="4">
        <v>15</v>
      </c>
    </row>
    <row r="547" spans="1:3" x14ac:dyDescent="0.25">
      <c r="A547" s="8">
        <v>41616</v>
      </c>
      <c r="B547" s="4" t="s">
        <v>721</v>
      </c>
      <c r="C547" s="4">
        <v>16</v>
      </c>
    </row>
    <row r="548" spans="1:3" x14ac:dyDescent="0.25">
      <c r="A548" s="8">
        <v>41572</v>
      </c>
      <c r="B548" s="4" t="s">
        <v>722</v>
      </c>
      <c r="C548" s="4">
        <v>51</v>
      </c>
    </row>
    <row r="549" spans="1:3" x14ac:dyDescent="0.25">
      <c r="A549" s="8">
        <v>41532</v>
      </c>
      <c r="B549" s="4" t="s">
        <v>727</v>
      </c>
      <c r="C549" s="4">
        <v>59</v>
      </c>
    </row>
    <row r="550" spans="1:3" x14ac:dyDescent="0.25">
      <c r="A550" s="8">
        <v>41542</v>
      </c>
      <c r="B550" s="4" t="s">
        <v>728</v>
      </c>
      <c r="C550" s="4">
        <v>40</v>
      </c>
    </row>
    <row r="551" spans="1:3" x14ac:dyDescent="0.25">
      <c r="A551" s="8">
        <v>41504</v>
      </c>
      <c r="B551" s="4" t="s">
        <v>722</v>
      </c>
      <c r="C551" s="4">
        <v>39</v>
      </c>
    </row>
    <row r="552" spans="1:3" x14ac:dyDescent="0.25">
      <c r="A552" s="8">
        <v>41523</v>
      </c>
      <c r="B552" s="4" t="s">
        <v>720</v>
      </c>
      <c r="C552" s="4">
        <v>38</v>
      </c>
    </row>
    <row r="553" spans="1:3" x14ac:dyDescent="0.25">
      <c r="A553" s="8">
        <v>41650</v>
      </c>
      <c r="B553" s="4" t="s">
        <v>99</v>
      </c>
      <c r="C553" s="4">
        <v>23</v>
      </c>
    </row>
    <row r="554" spans="1:3" x14ac:dyDescent="0.25">
      <c r="A554" s="8">
        <v>41562</v>
      </c>
      <c r="B554" s="4" t="s">
        <v>717</v>
      </c>
      <c r="C554" s="4">
        <v>48</v>
      </c>
    </row>
    <row r="555" spans="1:3" x14ac:dyDescent="0.25">
      <c r="A555" s="8">
        <v>41632</v>
      </c>
      <c r="B555" s="4" t="s">
        <v>721</v>
      </c>
      <c r="C555" s="4">
        <v>39</v>
      </c>
    </row>
    <row r="556" spans="1:3" x14ac:dyDescent="0.25">
      <c r="A556" s="8">
        <v>41647</v>
      </c>
      <c r="B556" s="4" t="s">
        <v>711</v>
      </c>
      <c r="C556" s="4">
        <v>47</v>
      </c>
    </row>
    <row r="557" spans="1:3" x14ac:dyDescent="0.25">
      <c r="A557" s="8">
        <v>41619</v>
      </c>
      <c r="B557" s="4" t="s">
        <v>100</v>
      </c>
      <c r="C557" s="4">
        <v>43</v>
      </c>
    </row>
    <row r="558" spans="1:3" x14ac:dyDescent="0.25">
      <c r="A558" s="8">
        <v>41507</v>
      </c>
      <c r="B558" s="4" t="s">
        <v>726</v>
      </c>
      <c r="C558" s="4">
        <v>14</v>
      </c>
    </row>
    <row r="559" spans="1:3" x14ac:dyDescent="0.25">
      <c r="A559" s="8">
        <v>41513</v>
      </c>
      <c r="B559" s="4" t="s">
        <v>710</v>
      </c>
      <c r="C559" s="4">
        <v>40</v>
      </c>
    </row>
    <row r="560" spans="1:3" x14ac:dyDescent="0.25">
      <c r="A560" s="8">
        <v>41524</v>
      </c>
      <c r="B560" s="4" t="s">
        <v>718</v>
      </c>
      <c r="C560" s="4">
        <v>17</v>
      </c>
    </row>
    <row r="561" spans="1:3" x14ac:dyDescent="0.25">
      <c r="A561" s="8">
        <v>41516</v>
      </c>
      <c r="B561" s="4" t="s">
        <v>727</v>
      </c>
      <c r="C561" s="4">
        <v>12</v>
      </c>
    </row>
    <row r="562" spans="1:3" x14ac:dyDescent="0.25">
      <c r="A562" s="8">
        <v>41648</v>
      </c>
      <c r="B562" s="4" t="s">
        <v>101</v>
      </c>
      <c r="C562" s="4">
        <v>56</v>
      </c>
    </row>
    <row r="563" spans="1:3" x14ac:dyDescent="0.25">
      <c r="A563" s="8">
        <v>41521</v>
      </c>
      <c r="B563" s="4" t="s">
        <v>726</v>
      </c>
      <c r="C563" s="4">
        <v>12</v>
      </c>
    </row>
    <row r="564" spans="1:3" x14ac:dyDescent="0.25">
      <c r="A564" s="8">
        <v>41564</v>
      </c>
      <c r="B564" s="4" t="s">
        <v>715</v>
      </c>
      <c r="C564" s="4">
        <v>21</v>
      </c>
    </row>
    <row r="565" spans="1:3" x14ac:dyDescent="0.25">
      <c r="A565" s="8">
        <v>41510</v>
      </c>
      <c r="B565" s="4" t="s">
        <v>715</v>
      </c>
      <c r="C565" s="4">
        <v>39</v>
      </c>
    </row>
    <row r="566" spans="1:3" x14ac:dyDescent="0.25">
      <c r="A566" s="8">
        <v>41512</v>
      </c>
      <c r="B566" s="4" t="s">
        <v>724</v>
      </c>
      <c r="C566" s="4">
        <v>29</v>
      </c>
    </row>
    <row r="567" spans="1:3" x14ac:dyDescent="0.25">
      <c r="A567" s="8">
        <v>41636</v>
      </c>
      <c r="B567" s="4" t="s">
        <v>723</v>
      </c>
      <c r="C567" s="4">
        <v>32</v>
      </c>
    </row>
    <row r="568" spans="1:3" x14ac:dyDescent="0.25">
      <c r="A568" s="8">
        <v>41582</v>
      </c>
      <c r="B568" s="4" t="s">
        <v>101</v>
      </c>
      <c r="C568" s="4">
        <v>52</v>
      </c>
    </row>
    <row r="569" spans="1:3" x14ac:dyDescent="0.25">
      <c r="A569" s="8">
        <v>41500</v>
      </c>
      <c r="B569" s="4" t="s">
        <v>101</v>
      </c>
      <c r="C569" s="4">
        <v>15</v>
      </c>
    </row>
    <row r="570" spans="1:3" x14ac:dyDescent="0.25">
      <c r="A570" s="8">
        <v>41520</v>
      </c>
      <c r="B570" s="4" t="s">
        <v>103</v>
      </c>
      <c r="C570" s="4">
        <v>22</v>
      </c>
    </row>
    <row r="571" spans="1:3" x14ac:dyDescent="0.25">
      <c r="A571" s="8">
        <v>41559</v>
      </c>
      <c r="B571" s="4" t="s">
        <v>720</v>
      </c>
      <c r="C571" s="4">
        <v>53</v>
      </c>
    </row>
    <row r="572" spans="1:3" x14ac:dyDescent="0.25">
      <c r="A572" s="8">
        <v>41557</v>
      </c>
      <c r="B572" s="4" t="s">
        <v>713</v>
      </c>
      <c r="C572" s="4">
        <v>37</v>
      </c>
    </row>
    <row r="573" spans="1:3" x14ac:dyDescent="0.25">
      <c r="A573" s="8">
        <v>41599</v>
      </c>
      <c r="B573" s="4" t="s">
        <v>102</v>
      </c>
      <c r="C573" s="4">
        <v>43</v>
      </c>
    </row>
    <row r="574" spans="1:3" x14ac:dyDescent="0.25">
      <c r="A574" s="8">
        <v>41571</v>
      </c>
      <c r="B574" s="4" t="s">
        <v>101</v>
      </c>
      <c r="C574" s="4">
        <v>10</v>
      </c>
    </row>
    <row r="575" spans="1:3" x14ac:dyDescent="0.25">
      <c r="A575" s="8">
        <v>41577</v>
      </c>
      <c r="B575" s="4" t="s">
        <v>724</v>
      </c>
      <c r="C575" s="4">
        <v>27</v>
      </c>
    </row>
    <row r="576" spans="1:3" x14ac:dyDescent="0.25">
      <c r="A576" s="8">
        <v>41619</v>
      </c>
      <c r="B576" s="4" t="s">
        <v>100</v>
      </c>
      <c r="C576" s="4">
        <v>22</v>
      </c>
    </row>
    <row r="577" spans="1:3" x14ac:dyDescent="0.25">
      <c r="A577" s="8">
        <v>41613</v>
      </c>
      <c r="B577" s="4" t="s">
        <v>716</v>
      </c>
      <c r="C577" s="4">
        <v>17</v>
      </c>
    </row>
    <row r="578" spans="1:3" x14ac:dyDescent="0.25">
      <c r="A578" s="8">
        <v>41602</v>
      </c>
      <c r="B578" s="4" t="s">
        <v>101</v>
      </c>
      <c r="C578" s="4">
        <v>31</v>
      </c>
    </row>
    <row r="579" spans="1:3" x14ac:dyDescent="0.25">
      <c r="A579" s="8">
        <v>41604</v>
      </c>
      <c r="B579" s="4" t="s">
        <v>714</v>
      </c>
      <c r="C579" s="4">
        <v>49</v>
      </c>
    </row>
    <row r="580" spans="1:3" x14ac:dyDescent="0.25">
      <c r="A580" s="8">
        <v>41527</v>
      </c>
      <c r="B580" s="4" t="s">
        <v>727</v>
      </c>
      <c r="C580" s="4">
        <v>48</v>
      </c>
    </row>
    <row r="581" spans="1:3" x14ac:dyDescent="0.25">
      <c r="A581" s="8">
        <v>41608</v>
      </c>
      <c r="B581" s="4" t="s">
        <v>711</v>
      </c>
      <c r="C581" s="4">
        <v>55</v>
      </c>
    </row>
    <row r="582" spans="1:3" x14ac:dyDescent="0.25">
      <c r="A582" s="8">
        <v>41645</v>
      </c>
      <c r="B582" s="4" t="s">
        <v>721</v>
      </c>
      <c r="C582" s="4">
        <v>26</v>
      </c>
    </row>
    <row r="583" spans="1:3" x14ac:dyDescent="0.25">
      <c r="A583" s="8">
        <v>41559</v>
      </c>
      <c r="B583" s="4" t="s">
        <v>722</v>
      </c>
      <c r="C583" s="4">
        <v>47</v>
      </c>
    </row>
    <row r="584" spans="1:3" x14ac:dyDescent="0.25">
      <c r="A584" s="8">
        <v>41621</v>
      </c>
      <c r="B584" s="4" t="s">
        <v>716</v>
      </c>
      <c r="C584" s="4">
        <v>14</v>
      </c>
    </row>
    <row r="585" spans="1:3" x14ac:dyDescent="0.25">
      <c r="A585" s="8">
        <v>41615</v>
      </c>
      <c r="B585" s="4" t="s">
        <v>101</v>
      </c>
      <c r="C585" s="4">
        <v>40</v>
      </c>
    </row>
    <row r="586" spans="1:3" x14ac:dyDescent="0.25">
      <c r="A586" s="8">
        <v>41647</v>
      </c>
      <c r="B586" s="4" t="s">
        <v>103</v>
      </c>
      <c r="C586" s="4">
        <v>23</v>
      </c>
    </row>
    <row r="587" spans="1:3" x14ac:dyDescent="0.25">
      <c r="A587" s="8">
        <v>41554</v>
      </c>
      <c r="B587" s="4" t="s">
        <v>721</v>
      </c>
      <c r="C587" s="4">
        <v>51</v>
      </c>
    </row>
    <row r="588" spans="1:3" x14ac:dyDescent="0.25">
      <c r="A588" s="8">
        <v>41564</v>
      </c>
      <c r="B588" s="4" t="s">
        <v>719</v>
      </c>
      <c r="C588" s="4">
        <v>24</v>
      </c>
    </row>
    <row r="589" spans="1:3" x14ac:dyDescent="0.25">
      <c r="A589" s="8">
        <v>41636</v>
      </c>
      <c r="B589" s="4" t="s">
        <v>101</v>
      </c>
      <c r="C589" s="4">
        <v>56</v>
      </c>
    </row>
    <row r="590" spans="1:3" x14ac:dyDescent="0.25">
      <c r="A590" s="8">
        <v>41634</v>
      </c>
      <c r="B590" s="4" t="s">
        <v>724</v>
      </c>
      <c r="C590" s="4">
        <v>21</v>
      </c>
    </row>
    <row r="591" spans="1:3" x14ac:dyDescent="0.25">
      <c r="A591" s="8">
        <v>41524</v>
      </c>
      <c r="B591" s="4" t="s">
        <v>716</v>
      </c>
      <c r="C591" s="4">
        <v>19</v>
      </c>
    </row>
    <row r="592" spans="1:3" x14ac:dyDescent="0.25">
      <c r="A592" s="8">
        <v>41631</v>
      </c>
      <c r="B592" s="4" t="s">
        <v>725</v>
      </c>
      <c r="C592" s="4">
        <v>39</v>
      </c>
    </row>
    <row r="593" spans="1:3" x14ac:dyDescent="0.25">
      <c r="A593" s="8">
        <v>41562</v>
      </c>
      <c r="B593" s="4" t="s">
        <v>720</v>
      </c>
      <c r="C593" s="4">
        <v>34</v>
      </c>
    </row>
    <row r="594" spans="1:3" x14ac:dyDescent="0.25">
      <c r="A594" s="8">
        <v>41549</v>
      </c>
      <c r="B594" s="4" t="s">
        <v>103</v>
      </c>
      <c r="C594" s="4">
        <v>42</v>
      </c>
    </row>
    <row r="595" spans="1:3" x14ac:dyDescent="0.25">
      <c r="A595" s="8">
        <v>41502</v>
      </c>
      <c r="B595" s="4" t="s">
        <v>712</v>
      </c>
      <c r="C595" s="4">
        <v>21</v>
      </c>
    </row>
    <row r="596" spans="1:3" x14ac:dyDescent="0.25">
      <c r="A596" s="8">
        <v>41522</v>
      </c>
      <c r="B596" s="4" t="s">
        <v>723</v>
      </c>
      <c r="C596" s="4">
        <v>10</v>
      </c>
    </row>
    <row r="597" spans="1:3" x14ac:dyDescent="0.25">
      <c r="A597" s="8">
        <v>41557</v>
      </c>
      <c r="B597" s="4" t="s">
        <v>711</v>
      </c>
      <c r="C597" s="4">
        <v>57</v>
      </c>
    </row>
    <row r="598" spans="1:3" x14ac:dyDescent="0.25">
      <c r="A598" s="8">
        <v>41584</v>
      </c>
      <c r="B598" s="4" t="s">
        <v>727</v>
      </c>
      <c r="C598" s="4">
        <v>38</v>
      </c>
    </row>
    <row r="599" spans="1:3" x14ac:dyDescent="0.25">
      <c r="A599" s="8">
        <v>41581</v>
      </c>
      <c r="B599" s="4" t="s">
        <v>101</v>
      </c>
      <c r="C599" s="4">
        <v>39</v>
      </c>
    </row>
    <row r="600" spans="1:3" x14ac:dyDescent="0.25">
      <c r="A600" s="8">
        <v>41533</v>
      </c>
      <c r="B600" s="4" t="s">
        <v>726</v>
      </c>
      <c r="C600" s="4">
        <v>57</v>
      </c>
    </row>
    <row r="601" spans="1:3" x14ac:dyDescent="0.25">
      <c r="A601" s="8">
        <v>41575</v>
      </c>
      <c r="B601" s="4" t="s">
        <v>100</v>
      </c>
      <c r="C601" s="4">
        <v>15</v>
      </c>
    </row>
    <row r="602" spans="1:3" x14ac:dyDescent="0.25">
      <c r="A602" s="8">
        <v>41650</v>
      </c>
      <c r="B602" s="4" t="s">
        <v>99</v>
      </c>
      <c r="C602" s="4">
        <v>36</v>
      </c>
    </row>
    <row r="603" spans="1:3" x14ac:dyDescent="0.25">
      <c r="A603" s="8">
        <v>41595</v>
      </c>
      <c r="B603" s="4" t="s">
        <v>716</v>
      </c>
      <c r="C603" s="4">
        <v>50</v>
      </c>
    </row>
    <row r="604" spans="1:3" x14ac:dyDescent="0.25">
      <c r="A604" s="8">
        <v>41528</v>
      </c>
      <c r="B604" s="4" t="s">
        <v>726</v>
      </c>
      <c r="C604" s="4">
        <v>36</v>
      </c>
    </row>
    <row r="605" spans="1:3" x14ac:dyDescent="0.25">
      <c r="A605" s="8">
        <v>41628</v>
      </c>
      <c r="B605" s="4" t="s">
        <v>726</v>
      </c>
      <c r="C605" s="4">
        <v>36</v>
      </c>
    </row>
    <row r="606" spans="1:3" x14ac:dyDescent="0.25">
      <c r="A606" s="8">
        <v>41541</v>
      </c>
      <c r="B606" s="4" t="s">
        <v>718</v>
      </c>
      <c r="C606" s="4">
        <v>51</v>
      </c>
    </row>
    <row r="607" spans="1:3" x14ac:dyDescent="0.25">
      <c r="A607" s="8">
        <v>41536</v>
      </c>
      <c r="B607" s="4" t="s">
        <v>102</v>
      </c>
      <c r="C607" s="4">
        <v>37</v>
      </c>
    </row>
    <row r="608" spans="1:3" x14ac:dyDescent="0.25">
      <c r="A608" s="8">
        <v>41530</v>
      </c>
      <c r="B608" s="4" t="s">
        <v>102</v>
      </c>
      <c r="C608" s="4">
        <v>46</v>
      </c>
    </row>
    <row r="609" spans="1:3" x14ac:dyDescent="0.25">
      <c r="A609" s="8">
        <v>41583</v>
      </c>
      <c r="B609" s="4" t="s">
        <v>102</v>
      </c>
      <c r="C609" s="4">
        <v>29</v>
      </c>
    </row>
    <row r="610" spans="1:3" x14ac:dyDescent="0.25">
      <c r="A610" s="8">
        <v>41541</v>
      </c>
      <c r="B610" s="4" t="s">
        <v>723</v>
      </c>
      <c r="C610" s="4">
        <v>31</v>
      </c>
    </row>
    <row r="611" spans="1:3" x14ac:dyDescent="0.25">
      <c r="A611" s="8">
        <v>41582</v>
      </c>
      <c r="B611" s="4" t="s">
        <v>102</v>
      </c>
      <c r="C611" s="4">
        <v>10</v>
      </c>
    </row>
    <row r="612" spans="1:3" x14ac:dyDescent="0.25">
      <c r="A612" s="8">
        <v>41546</v>
      </c>
      <c r="B612" s="4" t="s">
        <v>719</v>
      </c>
      <c r="C612" s="4">
        <v>54</v>
      </c>
    </row>
    <row r="613" spans="1:3" x14ac:dyDescent="0.25">
      <c r="A613" s="8">
        <v>41566</v>
      </c>
      <c r="B613" s="4" t="s">
        <v>716</v>
      </c>
      <c r="C613" s="4">
        <v>23</v>
      </c>
    </row>
    <row r="614" spans="1:3" x14ac:dyDescent="0.25">
      <c r="A614" s="8">
        <v>41599</v>
      </c>
      <c r="B614" s="4" t="s">
        <v>712</v>
      </c>
      <c r="C614" s="4">
        <v>28</v>
      </c>
    </row>
    <row r="615" spans="1:3" x14ac:dyDescent="0.25">
      <c r="A615" s="8">
        <v>41617</v>
      </c>
      <c r="B615" s="4" t="s">
        <v>725</v>
      </c>
      <c r="C615" s="4">
        <v>32</v>
      </c>
    </row>
    <row r="616" spans="1:3" x14ac:dyDescent="0.25">
      <c r="A616" s="8">
        <v>41506</v>
      </c>
      <c r="B616" s="4" t="s">
        <v>716</v>
      </c>
      <c r="C616" s="4">
        <v>17</v>
      </c>
    </row>
    <row r="617" spans="1:3" x14ac:dyDescent="0.25">
      <c r="A617" s="8">
        <v>41613</v>
      </c>
      <c r="B617" s="4" t="s">
        <v>722</v>
      </c>
      <c r="C617" s="4">
        <v>46</v>
      </c>
    </row>
    <row r="618" spans="1:3" x14ac:dyDescent="0.25">
      <c r="A618" s="8">
        <v>41637</v>
      </c>
      <c r="B618" s="4" t="s">
        <v>729</v>
      </c>
      <c r="C618" s="4">
        <v>22</v>
      </c>
    </row>
    <row r="619" spans="1:3" x14ac:dyDescent="0.25">
      <c r="A619" s="8">
        <v>41544</v>
      </c>
      <c r="B619" s="4" t="s">
        <v>718</v>
      </c>
      <c r="C619" s="4">
        <v>57</v>
      </c>
    </row>
    <row r="620" spans="1:3" x14ac:dyDescent="0.25">
      <c r="A620" s="8">
        <v>41621</v>
      </c>
      <c r="B620" s="4" t="s">
        <v>101</v>
      </c>
      <c r="C620" s="4">
        <v>25</v>
      </c>
    </row>
    <row r="621" spans="1:3" x14ac:dyDescent="0.25">
      <c r="A621" s="8">
        <v>41528</v>
      </c>
      <c r="B621" s="4" t="s">
        <v>718</v>
      </c>
      <c r="C621" s="4">
        <v>41</v>
      </c>
    </row>
    <row r="622" spans="1:3" x14ac:dyDescent="0.25">
      <c r="A622" s="8">
        <v>41601</v>
      </c>
      <c r="B622" s="4" t="s">
        <v>720</v>
      </c>
      <c r="C622" s="4">
        <v>20</v>
      </c>
    </row>
    <row r="623" spans="1:3" x14ac:dyDescent="0.25">
      <c r="A623" s="8">
        <v>41637</v>
      </c>
      <c r="B623" s="4" t="s">
        <v>724</v>
      </c>
      <c r="C623" s="4">
        <v>35</v>
      </c>
    </row>
    <row r="624" spans="1:3" x14ac:dyDescent="0.25">
      <c r="A624" s="8">
        <v>41552</v>
      </c>
      <c r="B624" s="4" t="s">
        <v>710</v>
      </c>
      <c r="C624" s="4">
        <v>28</v>
      </c>
    </row>
    <row r="625" spans="1:3" x14ac:dyDescent="0.25">
      <c r="A625" s="8">
        <v>41515</v>
      </c>
      <c r="B625" s="4" t="s">
        <v>99</v>
      </c>
      <c r="C625" s="4">
        <v>52</v>
      </c>
    </row>
    <row r="626" spans="1:3" x14ac:dyDescent="0.25">
      <c r="A626" s="8">
        <v>41501</v>
      </c>
      <c r="B626" s="4" t="s">
        <v>725</v>
      </c>
      <c r="C626" s="4">
        <v>31</v>
      </c>
    </row>
    <row r="627" spans="1:3" x14ac:dyDescent="0.25">
      <c r="A627" s="8">
        <v>41643</v>
      </c>
      <c r="B627" s="4" t="s">
        <v>723</v>
      </c>
      <c r="C627" s="4">
        <v>27</v>
      </c>
    </row>
    <row r="628" spans="1:3" x14ac:dyDescent="0.25">
      <c r="A628" s="8">
        <v>41638</v>
      </c>
      <c r="B628" s="4" t="s">
        <v>100</v>
      </c>
      <c r="C628" s="4">
        <v>22</v>
      </c>
    </row>
    <row r="629" spans="1:3" x14ac:dyDescent="0.25">
      <c r="A629" s="8">
        <v>41557</v>
      </c>
      <c r="B629" s="4" t="s">
        <v>102</v>
      </c>
      <c r="C629" s="4">
        <v>21</v>
      </c>
    </row>
    <row r="630" spans="1:3" x14ac:dyDescent="0.25">
      <c r="A630" s="8">
        <v>41600</v>
      </c>
      <c r="B630" s="4" t="s">
        <v>714</v>
      </c>
      <c r="C630" s="4">
        <v>26</v>
      </c>
    </row>
    <row r="631" spans="1:3" x14ac:dyDescent="0.25">
      <c r="A631" s="8">
        <v>41634</v>
      </c>
      <c r="B631" s="4" t="s">
        <v>725</v>
      </c>
      <c r="C631" s="4">
        <v>58</v>
      </c>
    </row>
    <row r="632" spans="1:3" x14ac:dyDescent="0.25">
      <c r="A632" s="8">
        <v>41550</v>
      </c>
      <c r="B632" s="4" t="s">
        <v>718</v>
      </c>
      <c r="C632" s="4">
        <v>10</v>
      </c>
    </row>
    <row r="633" spans="1:3" x14ac:dyDescent="0.25">
      <c r="A633" s="8">
        <v>41597</v>
      </c>
      <c r="B633" s="4" t="s">
        <v>710</v>
      </c>
      <c r="C633" s="4">
        <v>19</v>
      </c>
    </row>
    <row r="634" spans="1:3" x14ac:dyDescent="0.25">
      <c r="A634" s="8">
        <v>41595</v>
      </c>
      <c r="B634" s="4" t="s">
        <v>720</v>
      </c>
      <c r="C634" s="4">
        <v>43</v>
      </c>
    </row>
    <row r="635" spans="1:3" x14ac:dyDescent="0.25">
      <c r="A635" s="8">
        <v>41604</v>
      </c>
      <c r="B635" s="4" t="s">
        <v>722</v>
      </c>
      <c r="C635" s="4">
        <v>51</v>
      </c>
    </row>
    <row r="636" spans="1:3" x14ac:dyDescent="0.25">
      <c r="A636" s="8">
        <v>41604</v>
      </c>
      <c r="B636" s="4" t="s">
        <v>717</v>
      </c>
      <c r="C636" s="4">
        <v>35</v>
      </c>
    </row>
    <row r="637" spans="1:3" x14ac:dyDescent="0.25">
      <c r="A637" s="8">
        <v>41645</v>
      </c>
      <c r="B637" s="4" t="s">
        <v>721</v>
      </c>
      <c r="C637" s="4">
        <v>25</v>
      </c>
    </row>
    <row r="638" spans="1:3" x14ac:dyDescent="0.25">
      <c r="A638" s="8">
        <v>41618</v>
      </c>
      <c r="B638" s="4" t="s">
        <v>713</v>
      </c>
      <c r="C638" s="4">
        <v>27</v>
      </c>
    </row>
    <row r="639" spans="1:3" x14ac:dyDescent="0.25">
      <c r="A639" s="8">
        <v>41585</v>
      </c>
      <c r="B639" s="4" t="s">
        <v>716</v>
      </c>
      <c r="C639" s="4">
        <v>44</v>
      </c>
    </row>
    <row r="640" spans="1:3" x14ac:dyDescent="0.25">
      <c r="A640" s="8">
        <v>41646</v>
      </c>
      <c r="B640" s="4" t="s">
        <v>723</v>
      </c>
      <c r="C640" s="4">
        <v>43</v>
      </c>
    </row>
    <row r="641" spans="1:3" x14ac:dyDescent="0.25">
      <c r="A641" s="8">
        <v>41560</v>
      </c>
      <c r="B641" s="4" t="s">
        <v>723</v>
      </c>
      <c r="C641" s="4">
        <v>53</v>
      </c>
    </row>
    <row r="642" spans="1:3" x14ac:dyDescent="0.25">
      <c r="A642" s="8">
        <v>41500</v>
      </c>
      <c r="B642" s="4" t="s">
        <v>728</v>
      </c>
      <c r="C642" s="4">
        <v>18</v>
      </c>
    </row>
    <row r="643" spans="1:3" x14ac:dyDescent="0.25">
      <c r="A643" s="8">
        <v>41639</v>
      </c>
      <c r="B643" s="4" t="s">
        <v>712</v>
      </c>
      <c r="C643" s="4">
        <v>47</v>
      </c>
    </row>
    <row r="644" spans="1:3" x14ac:dyDescent="0.25">
      <c r="A644" s="8">
        <v>41542</v>
      </c>
      <c r="B644" s="4" t="s">
        <v>723</v>
      </c>
      <c r="C644" s="4">
        <v>42</v>
      </c>
    </row>
    <row r="645" spans="1:3" x14ac:dyDescent="0.25">
      <c r="A645" s="8">
        <v>41626</v>
      </c>
      <c r="B645" s="4" t="s">
        <v>725</v>
      </c>
      <c r="C645" s="4">
        <v>49</v>
      </c>
    </row>
    <row r="646" spans="1:3" x14ac:dyDescent="0.25">
      <c r="A646" s="8">
        <v>41556</v>
      </c>
      <c r="B646" s="4" t="s">
        <v>99</v>
      </c>
      <c r="C646" s="4">
        <v>37</v>
      </c>
    </row>
    <row r="647" spans="1:3" x14ac:dyDescent="0.25">
      <c r="A647" s="8">
        <v>41538</v>
      </c>
      <c r="B647" s="4" t="s">
        <v>724</v>
      </c>
      <c r="C647" s="4">
        <v>13</v>
      </c>
    </row>
    <row r="648" spans="1:3" x14ac:dyDescent="0.25">
      <c r="A648" s="8">
        <v>41584</v>
      </c>
      <c r="B648" s="4" t="s">
        <v>720</v>
      </c>
      <c r="C648" s="4">
        <v>11</v>
      </c>
    </row>
    <row r="649" spans="1:3" x14ac:dyDescent="0.25">
      <c r="A649" s="8">
        <v>41513</v>
      </c>
      <c r="B649" s="4" t="s">
        <v>720</v>
      </c>
      <c r="C649" s="4">
        <v>49</v>
      </c>
    </row>
    <row r="650" spans="1:3" x14ac:dyDescent="0.25">
      <c r="A650" s="8">
        <v>41567</v>
      </c>
      <c r="B650" s="4" t="s">
        <v>716</v>
      </c>
      <c r="C650" s="4">
        <v>11</v>
      </c>
    </row>
    <row r="651" spans="1:3" x14ac:dyDescent="0.25">
      <c r="A651" s="8">
        <v>41576</v>
      </c>
      <c r="B651" s="4" t="s">
        <v>100</v>
      </c>
      <c r="C651" s="4">
        <v>24</v>
      </c>
    </row>
    <row r="652" spans="1:3" x14ac:dyDescent="0.25">
      <c r="A652" s="8">
        <v>41512</v>
      </c>
      <c r="B652" s="4" t="s">
        <v>720</v>
      </c>
      <c r="C652" s="4">
        <v>57</v>
      </c>
    </row>
    <row r="653" spans="1:3" x14ac:dyDescent="0.25">
      <c r="A653" s="8">
        <v>41529</v>
      </c>
      <c r="B653" s="4" t="s">
        <v>100</v>
      </c>
      <c r="C653" s="4">
        <v>30</v>
      </c>
    </row>
    <row r="654" spans="1:3" x14ac:dyDescent="0.25">
      <c r="A654" s="8">
        <v>41538</v>
      </c>
      <c r="B654" s="4" t="s">
        <v>718</v>
      </c>
      <c r="C654" s="4">
        <v>19</v>
      </c>
    </row>
    <row r="655" spans="1:3" x14ac:dyDescent="0.25">
      <c r="A655" s="8">
        <v>41643</v>
      </c>
      <c r="B655" s="4" t="s">
        <v>710</v>
      </c>
      <c r="C655" s="4">
        <v>47</v>
      </c>
    </row>
    <row r="656" spans="1:3" x14ac:dyDescent="0.25">
      <c r="A656" s="8">
        <v>41546</v>
      </c>
      <c r="B656" s="4" t="s">
        <v>723</v>
      </c>
      <c r="C656" s="4">
        <v>41</v>
      </c>
    </row>
    <row r="657" spans="1:3" x14ac:dyDescent="0.25">
      <c r="A657" s="8">
        <v>41506</v>
      </c>
      <c r="B657" s="4" t="s">
        <v>724</v>
      </c>
      <c r="C657" s="4">
        <v>43</v>
      </c>
    </row>
    <row r="658" spans="1:3" x14ac:dyDescent="0.25">
      <c r="A658" s="8">
        <v>41628</v>
      </c>
      <c r="B658" s="4" t="s">
        <v>712</v>
      </c>
      <c r="C658" s="4">
        <v>11</v>
      </c>
    </row>
    <row r="659" spans="1:3" x14ac:dyDescent="0.25">
      <c r="A659" s="8">
        <v>41528</v>
      </c>
      <c r="B659" s="4" t="s">
        <v>719</v>
      </c>
      <c r="C659" s="4">
        <v>46</v>
      </c>
    </row>
    <row r="660" spans="1:3" x14ac:dyDescent="0.25">
      <c r="A660" s="8">
        <v>41578</v>
      </c>
      <c r="B660" s="4" t="s">
        <v>100</v>
      </c>
      <c r="C660" s="4">
        <v>32</v>
      </c>
    </row>
    <row r="661" spans="1:3" x14ac:dyDescent="0.25">
      <c r="A661" s="8">
        <v>41583</v>
      </c>
      <c r="B661" s="4" t="s">
        <v>725</v>
      </c>
      <c r="C661" s="4">
        <v>12</v>
      </c>
    </row>
    <row r="662" spans="1:3" x14ac:dyDescent="0.25">
      <c r="A662" s="8">
        <v>41507</v>
      </c>
      <c r="B662" s="4" t="s">
        <v>710</v>
      </c>
      <c r="C662" s="4">
        <v>49</v>
      </c>
    </row>
    <row r="663" spans="1:3" x14ac:dyDescent="0.25">
      <c r="A663" s="8">
        <v>41598</v>
      </c>
      <c r="B663" s="4" t="s">
        <v>713</v>
      </c>
      <c r="C663" s="4">
        <v>54</v>
      </c>
    </row>
    <row r="664" spans="1:3" x14ac:dyDescent="0.25">
      <c r="A664" s="8">
        <v>41640</v>
      </c>
      <c r="B664" s="4" t="s">
        <v>100</v>
      </c>
      <c r="C664" s="4">
        <v>19</v>
      </c>
    </row>
    <row r="665" spans="1:3" x14ac:dyDescent="0.25">
      <c r="A665" s="8">
        <v>41579</v>
      </c>
      <c r="B665" s="4" t="s">
        <v>726</v>
      </c>
      <c r="C665" s="4">
        <v>39</v>
      </c>
    </row>
    <row r="666" spans="1:3" x14ac:dyDescent="0.25">
      <c r="A666" s="8">
        <v>41642</v>
      </c>
      <c r="B666" s="4" t="s">
        <v>727</v>
      </c>
      <c r="C666" s="4">
        <v>28</v>
      </c>
    </row>
    <row r="667" spans="1:3" x14ac:dyDescent="0.25">
      <c r="A667" s="8">
        <v>41552</v>
      </c>
      <c r="B667" s="4" t="s">
        <v>721</v>
      </c>
      <c r="C667" s="4">
        <v>28</v>
      </c>
    </row>
    <row r="668" spans="1:3" x14ac:dyDescent="0.25">
      <c r="A668" s="8">
        <v>41519</v>
      </c>
      <c r="B668" s="4" t="s">
        <v>724</v>
      </c>
      <c r="C668" s="4">
        <v>54</v>
      </c>
    </row>
    <row r="669" spans="1:3" x14ac:dyDescent="0.25">
      <c r="A669" s="8">
        <v>41515</v>
      </c>
      <c r="B669" s="4" t="s">
        <v>717</v>
      </c>
      <c r="C669" s="4">
        <v>55</v>
      </c>
    </row>
    <row r="670" spans="1:3" x14ac:dyDescent="0.25">
      <c r="A670" s="8">
        <v>41540</v>
      </c>
      <c r="B670" s="4" t="s">
        <v>716</v>
      </c>
      <c r="C670" s="4">
        <v>44</v>
      </c>
    </row>
    <row r="671" spans="1:3" x14ac:dyDescent="0.25">
      <c r="A671" s="8">
        <v>41589</v>
      </c>
      <c r="B671" s="4" t="s">
        <v>727</v>
      </c>
      <c r="C671" s="4">
        <v>15</v>
      </c>
    </row>
    <row r="672" spans="1:3" x14ac:dyDescent="0.25">
      <c r="A672" s="8">
        <v>41638</v>
      </c>
      <c r="B672" s="4" t="s">
        <v>719</v>
      </c>
      <c r="C672" s="4">
        <v>14</v>
      </c>
    </row>
    <row r="673" spans="1:3" x14ac:dyDescent="0.25">
      <c r="A673" s="8">
        <v>41574</v>
      </c>
      <c r="B673" s="4" t="s">
        <v>727</v>
      </c>
      <c r="C673" s="4">
        <v>32</v>
      </c>
    </row>
    <row r="674" spans="1:3" x14ac:dyDescent="0.25">
      <c r="A674" s="8">
        <v>41629</v>
      </c>
      <c r="B674" s="4" t="s">
        <v>728</v>
      </c>
      <c r="C674" s="4">
        <v>42</v>
      </c>
    </row>
    <row r="675" spans="1:3" x14ac:dyDescent="0.25">
      <c r="A675" s="8">
        <v>41616</v>
      </c>
      <c r="B675" s="4" t="s">
        <v>722</v>
      </c>
      <c r="C675" s="4">
        <v>34</v>
      </c>
    </row>
    <row r="676" spans="1:3" x14ac:dyDescent="0.25">
      <c r="A676" s="8">
        <v>41631</v>
      </c>
      <c r="B676" s="4" t="s">
        <v>725</v>
      </c>
      <c r="C676" s="4">
        <v>22</v>
      </c>
    </row>
    <row r="677" spans="1:3" x14ac:dyDescent="0.25">
      <c r="A677" s="8">
        <v>41544</v>
      </c>
      <c r="B677" s="4" t="s">
        <v>729</v>
      </c>
      <c r="C677" s="4">
        <v>15</v>
      </c>
    </row>
    <row r="678" spans="1:3" x14ac:dyDescent="0.25">
      <c r="A678" s="8">
        <v>41589</v>
      </c>
      <c r="B678" s="4" t="s">
        <v>721</v>
      </c>
      <c r="C678" s="4">
        <v>57</v>
      </c>
    </row>
    <row r="679" spans="1:3" x14ac:dyDescent="0.25">
      <c r="A679" s="8">
        <v>41556</v>
      </c>
      <c r="B679" s="4" t="s">
        <v>725</v>
      </c>
      <c r="C679" s="4">
        <v>32</v>
      </c>
    </row>
    <row r="680" spans="1:3" x14ac:dyDescent="0.25">
      <c r="A680" s="8">
        <v>41509</v>
      </c>
      <c r="B680" s="4" t="s">
        <v>710</v>
      </c>
      <c r="C680" s="4">
        <v>31</v>
      </c>
    </row>
    <row r="681" spans="1:3" x14ac:dyDescent="0.25">
      <c r="A681" s="8">
        <v>41506</v>
      </c>
      <c r="B681" s="4" t="s">
        <v>716</v>
      </c>
      <c r="C681" s="4">
        <v>33</v>
      </c>
    </row>
    <row r="682" spans="1:3" x14ac:dyDescent="0.25">
      <c r="A682" s="8">
        <v>41622</v>
      </c>
      <c r="B682" s="4" t="s">
        <v>712</v>
      </c>
      <c r="C682" s="4">
        <v>11</v>
      </c>
    </row>
    <row r="683" spans="1:3" x14ac:dyDescent="0.25">
      <c r="A683" s="8">
        <v>41540</v>
      </c>
      <c r="B683" s="4" t="s">
        <v>715</v>
      </c>
      <c r="C683" s="4">
        <v>30</v>
      </c>
    </row>
    <row r="684" spans="1:3" x14ac:dyDescent="0.25">
      <c r="A684" s="8">
        <v>41555</v>
      </c>
      <c r="B684" s="4" t="s">
        <v>726</v>
      </c>
      <c r="C684" s="4">
        <v>25</v>
      </c>
    </row>
    <row r="685" spans="1:3" x14ac:dyDescent="0.25">
      <c r="A685" s="8">
        <v>41519</v>
      </c>
      <c r="B685" s="4" t="s">
        <v>100</v>
      </c>
      <c r="C685" s="4">
        <v>21</v>
      </c>
    </row>
    <row r="686" spans="1:3" x14ac:dyDescent="0.25">
      <c r="A686" s="8">
        <v>41557</v>
      </c>
      <c r="B686" s="4" t="s">
        <v>101</v>
      </c>
      <c r="C686" s="4">
        <v>50</v>
      </c>
    </row>
    <row r="687" spans="1:3" x14ac:dyDescent="0.25">
      <c r="A687" s="8">
        <v>41533</v>
      </c>
      <c r="B687" s="4" t="s">
        <v>719</v>
      </c>
      <c r="C687" s="4">
        <v>40</v>
      </c>
    </row>
    <row r="688" spans="1:3" x14ac:dyDescent="0.25">
      <c r="A688" s="8">
        <v>41549</v>
      </c>
      <c r="B688" s="4" t="s">
        <v>721</v>
      </c>
      <c r="C688" s="4">
        <v>27</v>
      </c>
    </row>
    <row r="689" spans="1:3" x14ac:dyDescent="0.25">
      <c r="A689" s="8">
        <v>41646</v>
      </c>
      <c r="B689" s="4" t="s">
        <v>103</v>
      </c>
      <c r="C689" s="4">
        <v>48</v>
      </c>
    </row>
    <row r="690" spans="1:3" x14ac:dyDescent="0.25">
      <c r="A690" s="8">
        <v>41575</v>
      </c>
      <c r="B690" s="4" t="s">
        <v>722</v>
      </c>
      <c r="C690" s="4">
        <v>44</v>
      </c>
    </row>
    <row r="691" spans="1:3" x14ac:dyDescent="0.25">
      <c r="A691" s="8">
        <v>41650</v>
      </c>
      <c r="B691" s="4" t="s">
        <v>715</v>
      </c>
      <c r="C691" s="4">
        <v>11</v>
      </c>
    </row>
    <row r="692" spans="1:3" x14ac:dyDescent="0.25">
      <c r="A692" s="8">
        <v>41596</v>
      </c>
      <c r="B692" s="4" t="s">
        <v>720</v>
      </c>
      <c r="C692" s="4">
        <v>44</v>
      </c>
    </row>
    <row r="693" spans="1:3" x14ac:dyDescent="0.25">
      <c r="A693" s="8">
        <v>41515</v>
      </c>
      <c r="B693" s="4" t="s">
        <v>714</v>
      </c>
      <c r="C693" s="4">
        <v>53</v>
      </c>
    </row>
    <row r="694" spans="1:3" x14ac:dyDescent="0.25">
      <c r="A694" s="8">
        <v>41507</v>
      </c>
      <c r="B694" s="4" t="s">
        <v>722</v>
      </c>
      <c r="C694" s="4">
        <v>26</v>
      </c>
    </row>
    <row r="695" spans="1:3" x14ac:dyDescent="0.25">
      <c r="A695" s="8">
        <v>41622</v>
      </c>
      <c r="B695" s="4" t="s">
        <v>725</v>
      </c>
      <c r="C695" s="4">
        <v>55</v>
      </c>
    </row>
    <row r="696" spans="1:3" x14ac:dyDescent="0.25">
      <c r="A696" s="8">
        <v>41626</v>
      </c>
      <c r="B696" s="4" t="s">
        <v>101</v>
      </c>
      <c r="C696" s="4">
        <v>58</v>
      </c>
    </row>
    <row r="697" spans="1:3" x14ac:dyDescent="0.25">
      <c r="A697" s="8">
        <v>41520</v>
      </c>
      <c r="B697" s="4" t="s">
        <v>725</v>
      </c>
      <c r="C697" s="4">
        <v>50</v>
      </c>
    </row>
    <row r="698" spans="1:3" x14ac:dyDescent="0.25">
      <c r="A698" s="8">
        <v>41534</v>
      </c>
      <c r="B698" s="4" t="s">
        <v>723</v>
      </c>
      <c r="C698" s="4">
        <v>44</v>
      </c>
    </row>
    <row r="699" spans="1:3" x14ac:dyDescent="0.25">
      <c r="A699" s="8">
        <v>41537</v>
      </c>
      <c r="B699" s="4" t="s">
        <v>727</v>
      </c>
      <c r="C699" s="4">
        <v>33</v>
      </c>
    </row>
    <row r="700" spans="1:3" x14ac:dyDescent="0.25">
      <c r="A700" s="8">
        <v>41556</v>
      </c>
      <c r="B700" s="4" t="s">
        <v>713</v>
      </c>
      <c r="C700" s="4">
        <v>19</v>
      </c>
    </row>
    <row r="701" spans="1:3" x14ac:dyDescent="0.25">
      <c r="A701" s="8">
        <v>41525</v>
      </c>
      <c r="B701" s="4" t="s">
        <v>100</v>
      </c>
      <c r="C701" s="4">
        <v>13</v>
      </c>
    </row>
    <row r="702" spans="1:3" x14ac:dyDescent="0.25">
      <c r="A702" s="8">
        <v>41525</v>
      </c>
      <c r="B702" s="4" t="s">
        <v>723</v>
      </c>
      <c r="C702" s="4">
        <v>44</v>
      </c>
    </row>
    <row r="703" spans="1:3" x14ac:dyDescent="0.25">
      <c r="A703" s="8">
        <v>41543</v>
      </c>
      <c r="B703" s="4" t="s">
        <v>101</v>
      </c>
      <c r="C703" s="4">
        <v>26</v>
      </c>
    </row>
    <row r="704" spans="1:3" x14ac:dyDescent="0.25">
      <c r="A704" s="8">
        <v>41600</v>
      </c>
      <c r="B704" s="4" t="s">
        <v>723</v>
      </c>
      <c r="C704" s="4">
        <v>44</v>
      </c>
    </row>
    <row r="705" spans="1:3" x14ac:dyDescent="0.25">
      <c r="A705" s="8">
        <v>41617</v>
      </c>
      <c r="B705" s="4" t="s">
        <v>711</v>
      </c>
      <c r="C705" s="4">
        <v>59</v>
      </c>
    </row>
    <row r="706" spans="1:3" x14ac:dyDescent="0.25">
      <c r="A706" s="8">
        <v>41531</v>
      </c>
      <c r="B706" s="4" t="s">
        <v>712</v>
      </c>
      <c r="C706" s="4">
        <v>14</v>
      </c>
    </row>
    <row r="707" spans="1:3" x14ac:dyDescent="0.25">
      <c r="A707" s="8">
        <v>41634</v>
      </c>
      <c r="B707" s="4" t="s">
        <v>103</v>
      </c>
      <c r="C707" s="4">
        <v>30</v>
      </c>
    </row>
    <row r="708" spans="1:3" x14ac:dyDescent="0.25">
      <c r="A708" s="8">
        <v>41642</v>
      </c>
      <c r="B708" s="4" t="s">
        <v>728</v>
      </c>
      <c r="C708" s="4">
        <v>42</v>
      </c>
    </row>
    <row r="709" spans="1:3" x14ac:dyDescent="0.25">
      <c r="A709" s="8">
        <v>41638</v>
      </c>
      <c r="B709" s="4" t="s">
        <v>728</v>
      </c>
      <c r="C709" s="4">
        <v>46</v>
      </c>
    </row>
    <row r="710" spans="1:3" x14ac:dyDescent="0.25">
      <c r="A710" s="8">
        <v>41559</v>
      </c>
      <c r="B710" s="4" t="s">
        <v>724</v>
      </c>
      <c r="C710" s="4">
        <v>58</v>
      </c>
    </row>
    <row r="711" spans="1:3" x14ac:dyDescent="0.25">
      <c r="A711" s="8">
        <v>41582</v>
      </c>
      <c r="B711" s="4" t="s">
        <v>712</v>
      </c>
      <c r="C711" s="4">
        <v>36</v>
      </c>
    </row>
    <row r="712" spans="1:3" x14ac:dyDescent="0.25">
      <c r="A712" s="8">
        <v>41516</v>
      </c>
      <c r="B712" s="4" t="s">
        <v>711</v>
      </c>
      <c r="C712" s="4">
        <v>30</v>
      </c>
    </row>
    <row r="713" spans="1:3" x14ac:dyDescent="0.25">
      <c r="A713" s="8">
        <v>41643</v>
      </c>
      <c r="B713" s="4" t="s">
        <v>719</v>
      </c>
      <c r="C713" s="4">
        <v>13</v>
      </c>
    </row>
    <row r="714" spans="1:3" x14ac:dyDescent="0.25">
      <c r="A714" s="8">
        <v>41641</v>
      </c>
      <c r="B714" s="4" t="s">
        <v>99</v>
      </c>
      <c r="C714" s="4">
        <v>30</v>
      </c>
    </row>
    <row r="715" spans="1:3" x14ac:dyDescent="0.25">
      <c r="A715" s="8">
        <v>41638</v>
      </c>
      <c r="B715" s="4" t="s">
        <v>711</v>
      </c>
      <c r="C715" s="4">
        <v>30</v>
      </c>
    </row>
    <row r="716" spans="1:3" x14ac:dyDescent="0.25">
      <c r="A716" s="8">
        <v>41573</v>
      </c>
      <c r="B716" s="4" t="s">
        <v>718</v>
      </c>
      <c r="C716" s="4">
        <v>55</v>
      </c>
    </row>
    <row r="717" spans="1:3" x14ac:dyDescent="0.25">
      <c r="A717" s="8">
        <v>41574</v>
      </c>
      <c r="B717" s="4" t="s">
        <v>724</v>
      </c>
      <c r="C717" s="4">
        <v>51</v>
      </c>
    </row>
    <row r="718" spans="1:3" x14ac:dyDescent="0.25">
      <c r="A718" s="8">
        <v>41645</v>
      </c>
      <c r="B718" s="4" t="s">
        <v>102</v>
      </c>
      <c r="C718" s="4">
        <v>18</v>
      </c>
    </row>
    <row r="719" spans="1:3" x14ac:dyDescent="0.25">
      <c r="A719" s="8">
        <v>41527</v>
      </c>
      <c r="B719" s="4" t="s">
        <v>722</v>
      </c>
      <c r="C719" s="4">
        <v>51</v>
      </c>
    </row>
    <row r="720" spans="1:3" x14ac:dyDescent="0.25">
      <c r="A720" s="8">
        <v>41561</v>
      </c>
      <c r="B720" s="4" t="s">
        <v>100</v>
      </c>
      <c r="C720" s="4">
        <v>57</v>
      </c>
    </row>
    <row r="721" spans="1:3" x14ac:dyDescent="0.25">
      <c r="A721" s="8">
        <v>41549</v>
      </c>
      <c r="B721" s="4" t="s">
        <v>725</v>
      </c>
      <c r="C721" s="4">
        <v>51</v>
      </c>
    </row>
    <row r="722" spans="1:3" x14ac:dyDescent="0.25">
      <c r="A722" s="8">
        <v>41560</v>
      </c>
      <c r="B722" s="4" t="s">
        <v>715</v>
      </c>
      <c r="C722" s="4">
        <v>42</v>
      </c>
    </row>
    <row r="723" spans="1:3" x14ac:dyDescent="0.25">
      <c r="A723" s="8">
        <v>41526</v>
      </c>
      <c r="B723" s="4" t="s">
        <v>718</v>
      </c>
      <c r="C723" s="4">
        <v>32</v>
      </c>
    </row>
    <row r="724" spans="1:3" x14ac:dyDescent="0.25">
      <c r="A724" s="8">
        <v>41566</v>
      </c>
      <c r="B724" s="4" t="s">
        <v>724</v>
      </c>
      <c r="C724" s="4">
        <v>18</v>
      </c>
    </row>
    <row r="725" spans="1:3" x14ac:dyDescent="0.25">
      <c r="A725" s="8">
        <v>41565</v>
      </c>
      <c r="B725" s="4" t="s">
        <v>722</v>
      </c>
      <c r="C725" s="4">
        <v>27</v>
      </c>
    </row>
    <row r="726" spans="1:3" x14ac:dyDescent="0.25">
      <c r="A726" s="8">
        <v>41633</v>
      </c>
      <c r="B726" s="4" t="s">
        <v>722</v>
      </c>
      <c r="C726" s="4">
        <v>41</v>
      </c>
    </row>
    <row r="727" spans="1:3" x14ac:dyDescent="0.25">
      <c r="A727" s="8">
        <v>41592</v>
      </c>
      <c r="B727" s="4" t="s">
        <v>100</v>
      </c>
      <c r="C727" s="4">
        <v>57</v>
      </c>
    </row>
    <row r="728" spans="1:3" x14ac:dyDescent="0.25">
      <c r="A728" s="8">
        <v>41529</v>
      </c>
      <c r="B728" s="4" t="s">
        <v>726</v>
      </c>
      <c r="C728" s="4">
        <v>43</v>
      </c>
    </row>
    <row r="729" spans="1:3" x14ac:dyDescent="0.25">
      <c r="A729" s="8">
        <v>41549</v>
      </c>
      <c r="B729" s="4" t="s">
        <v>721</v>
      </c>
      <c r="C729" s="4">
        <v>29</v>
      </c>
    </row>
    <row r="730" spans="1:3" x14ac:dyDescent="0.25">
      <c r="A730" s="8">
        <v>41635</v>
      </c>
      <c r="B730" s="4" t="s">
        <v>710</v>
      </c>
      <c r="C730" s="4">
        <v>11</v>
      </c>
    </row>
    <row r="731" spans="1:3" x14ac:dyDescent="0.25">
      <c r="A731" s="8">
        <v>41576</v>
      </c>
      <c r="B731" s="4" t="s">
        <v>717</v>
      </c>
      <c r="C731" s="4">
        <v>36</v>
      </c>
    </row>
    <row r="732" spans="1:3" x14ac:dyDescent="0.25">
      <c r="A732" s="8">
        <v>41603</v>
      </c>
      <c r="B732" s="4" t="s">
        <v>726</v>
      </c>
      <c r="C732" s="4">
        <v>56</v>
      </c>
    </row>
    <row r="733" spans="1:3" x14ac:dyDescent="0.25">
      <c r="A733" s="8">
        <v>41541</v>
      </c>
      <c r="B733" s="4" t="s">
        <v>710</v>
      </c>
      <c r="C733" s="4">
        <v>52</v>
      </c>
    </row>
    <row r="734" spans="1:3" x14ac:dyDescent="0.25">
      <c r="A734" s="8">
        <v>41551</v>
      </c>
      <c r="B734" s="4" t="s">
        <v>720</v>
      </c>
      <c r="C734" s="4">
        <v>45</v>
      </c>
    </row>
    <row r="735" spans="1:3" x14ac:dyDescent="0.25">
      <c r="A735" s="8">
        <v>41527</v>
      </c>
      <c r="B735" s="4" t="s">
        <v>720</v>
      </c>
      <c r="C735" s="4">
        <v>12</v>
      </c>
    </row>
    <row r="736" spans="1:3" x14ac:dyDescent="0.25">
      <c r="A736" s="8">
        <v>41639</v>
      </c>
      <c r="B736" s="4" t="s">
        <v>103</v>
      </c>
      <c r="C736" s="4">
        <v>38</v>
      </c>
    </row>
    <row r="737" spans="1:3" x14ac:dyDescent="0.25">
      <c r="A737" s="8">
        <v>41581</v>
      </c>
      <c r="B737" s="4" t="s">
        <v>716</v>
      </c>
      <c r="C737" s="4">
        <v>27</v>
      </c>
    </row>
    <row r="738" spans="1:3" x14ac:dyDescent="0.25">
      <c r="A738" s="8">
        <v>41558</v>
      </c>
      <c r="B738" s="4" t="s">
        <v>727</v>
      </c>
      <c r="C738" s="4">
        <v>52</v>
      </c>
    </row>
    <row r="739" spans="1:3" x14ac:dyDescent="0.25">
      <c r="A739" s="8">
        <v>41505</v>
      </c>
      <c r="B739" s="4" t="s">
        <v>722</v>
      </c>
      <c r="C739" s="4">
        <v>31</v>
      </c>
    </row>
    <row r="740" spans="1:3" x14ac:dyDescent="0.25">
      <c r="A740" s="8">
        <v>41518</v>
      </c>
      <c r="B740" s="4" t="s">
        <v>102</v>
      </c>
      <c r="C740" s="4">
        <v>59</v>
      </c>
    </row>
    <row r="741" spans="1:3" x14ac:dyDescent="0.25">
      <c r="A741" s="8">
        <v>41641</v>
      </c>
      <c r="B741" s="4" t="s">
        <v>710</v>
      </c>
      <c r="C741" s="4">
        <v>32</v>
      </c>
    </row>
    <row r="742" spans="1:3" x14ac:dyDescent="0.25">
      <c r="A742" s="8">
        <v>41576</v>
      </c>
      <c r="B742" s="4" t="s">
        <v>720</v>
      </c>
      <c r="C742" s="4">
        <v>41</v>
      </c>
    </row>
    <row r="743" spans="1:3" x14ac:dyDescent="0.25">
      <c r="A743" s="8">
        <v>41604</v>
      </c>
      <c r="B743" s="4" t="s">
        <v>725</v>
      </c>
      <c r="C743" s="4">
        <v>26</v>
      </c>
    </row>
    <row r="744" spans="1:3" x14ac:dyDescent="0.25">
      <c r="A744" s="8">
        <v>41523</v>
      </c>
      <c r="B744" s="4" t="s">
        <v>726</v>
      </c>
      <c r="C744" s="4">
        <v>14</v>
      </c>
    </row>
    <row r="745" spans="1:3" x14ac:dyDescent="0.25">
      <c r="A745" s="8">
        <v>41507</v>
      </c>
      <c r="B745" s="4" t="s">
        <v>727</v>
      </c>
      <c r="C745" s="4">
        <v>32</v>
      </c>
    </row>
    <row r="746" spans="1:3" x14ac:dyDescent="0.25">
      <c r="A746" s="8">
        <v>41572</v>
      </c>
      <c r="B746" s="4" t="s">
        <v>714</v>
      </c>
      <c r="C746" s="4">
        <v>53</v>
      </c>
    </row>
    <row r="747" spans="1:3" x14ac:dyDescent="0.25">
      <c r="A747" s="8">
        <v>41643</v>
      </c>
      <c r="B747" s="4" t="s">
        <v>716</v>
      </c>
      <c r="C747" s="4">
        <v>22</v>
      </c>
    </row>
    <row r="748" spans="1:3" x14ac:dyDescent="0.25">
      <c r="A748" s="8">
        <v>41570</v>
      </c>
      <c r="B748" s="4" t="s">
        <v>718</v>
      </c>
      <c r="C748" s="4">
        <v>18</v>
      </c>
    </row>
    <row r="749" spans="1:3" x14ac:dyDescent="0.25">
      <c r="A749" s="8">
        <v>41605</v>
      </c>
      <c r="B749" s="4" t="s">
        <v>714</v>
      </c>
      <c r="C749" s="4">
        <v>30</v>
      </c>
    </row>
    <row r="750" spans="1:3" x14ac:dyDescent="0.25">
      <c r="A750" s="8">
        <v>41564</v>
      </c>
      <c r="B750" s="4" t="s">
        <v>727</v>
      </c>
      <c r="C750" s="4">
        <v>51</v>
      </c>
    </row>
    <row r="751" spans="1:3" x14ac:dyDescent="0.25">
      <c r="A751" s="8">
        <v>41584</v>
      </c>
      <c r="B751" s="4" t="s">
        <v>726</v>
      </c>
      <c r="C751" s="4">
        <v>54</v>
      </c>
    </row>
    <row r="752" spans="1:3" x14ac:dyDescent="0.25">
      <c r="A752" s="8">
        <v>41558</v>
      </c>
      <c r="B752" s="4" t="s">
        <v>99</v>
      </c>
      <c r="C752" s="4">
        <v>54</v>
      </c>
    </row>
    <row r="753" spans="1:3" x14ac:dyDescent="0.25">
      <c r="A753" s="8">
        <v>41584</v>
      </c>
      <c r="B753" s="4" t="s">
        <v>729</v>
      </c>
      <c r="C753" s="4">
        <v>39</v>
      </c>
    </row>
    <row r="754" spans="1:3" x14ac:dyDescent="0.25">
      <c r="A754" s="8">
        <v>41559</v>
      </c>
      <c r="B754" s="4" t="s">
        <v>725</v>
      </c>
      <c r="C754" s="4">
        <v>16</v>
      </c>
    </row>
    <row r="755" spans="1:3" x14ac:dyDescent="0.25">
      <c r="A755" s="8">
        <v>41535</v>
      </c>
      <c r="B755" s="4" t="s">
        <v>100</v>
      </c>
      <c r="C755" s="4">
        <v>54</v>
      </c>
    </row>
    <row r="756" spans="1:3" x14ac:dyDescent="0.25">
      <c r="A756" s="8">
        <v>41557</v>
      </c>
      <c r="B756" s="4" t="s">
        <v>102</v>
      </c>
      <c r="C756" s="4">
        <v>36</v>
      </c>
    </row>
    <row r="757" spans="1:3" x14ac:dyDescent="0.25">
      <c r="A757" s="8">
        <v>41561</v>
      </c>
      <c r="B757" s="4" t="s">
        <v>99</v>
      </c>
      <c r="C757" s="4">
        <v>50</v>
      </c>
    </row>
    <row r="758" spans="1:3" x14ac:dyDescent="0.25">
      <c r="A758" s="8">
        <v>41612</v>
      </c>
      <c r="B758" s="4" t="s">
        <v>717</v>
      </c>
      <c r="C758" s="4">
        <v>31</v>
      </c>
    </row>
    <row r="759" spans="1:3" x14ac:dyDescent="0.25">
      <c r="A759" s="8">
        <v>41507</v>
      </c>
      <c r="B759" s="4" t="s">
        <v>717</v>
      </c>
      <c r="C759" s="4">
        <v>19</v>
      </c>
    </row>
    <row r="760" spans="1:3" x14ac:dyDescent="0.25">
      <c r="A760" s="8">
        <v>41570</v>
      </c>
      <c r="B760" s="4" t="s">
        <v>102</v>
      </c>
      <c r="C760" s="4">
        <v>47</v>
      </c>
    </row>
    <row r="761" spans="1:3" x14ac:dyDescent="0.25">
      <c r="A761" s="8">
        <v>41622</v>
      </c>
      <c r="B761" s="4" t="s">
        <v>723</v>
      </c>
      <c r="C761" s="4">
        <v>59</v>
      </c>
    </row>
    <row r="762" spans="1:3" x14ac:dyDescent="0.25">
      <c r="A762" s="8">
        <v>41572</v>
      </c>
      <c r="B762" s="4" t="s">
        <v>721</v>
      </c>
      <c r="C762" s="4">
        <v>54</v>
      </c>
    </row>
    <row r="763" spans="1:3" x14ac:dyDescent="0.25">
      <c r="A763" s="8">
        <v>41569</v>
      </c>
      <c r="B763" s="4" t="s">
        <v>100</v>
      </c>
      <c r="C763" s="4">
        <v>21</v>
      </c>
    </row>
    <row r="764" spans="1:3" x14ac:dyDescent="0.25">
      <c r="A764" s="8">
        <v>41621</v>
      </c>
      <c r="B764" s="4" t="s">
        <v>103</v>
      </c>
      <c r="C764" s="4">
        <v>26</v>
      </c>
    </row>
    <row r="765" spans="1:3" x14ac:dyDescent="0.25">
      <c r="A765" s="8">
        <v>41524</v>
      </c>
      <c r="B765" s="4" t="s">
        <v>103</v>
      </c>
      <c r="C765" s="4">
        <v>49</v>
      </c>
    </row>
    <row r="766" spans="1:3" x14ac:dyDescent="0.25">
      <c r="A766" s="8">
        <v>41510</v>
      </c>
      <c r="B766" s="4" t="s">
        <v>714</v>
      </c>
      <c r="C766" s="4">
        <v>55</v>
      </c>
    </row>
    <row r="767" spans="1:3" x14ac:dyDescent="0.25">
      <c r="A767" s="8">
        <v>41534</v>
      </c>
      <c r="B767" s="4" t="s">
        <v>718</v>
      </c>
      <c r="C767" s="4">
        <v>10</v>
      </c>
    </row>
    <row r="768" spans="1:3" x14ac:dyDescent="0.25">
      <c r="A768" s="8">
        <v>41640</v>
      </c>
      <c r="B768" s="4" t="s">
        <v>714</v>
      </c>
      <c r="C768" s="4">
        <v>36</v>
      </c>
    </row>
    <row r="769" spans="1:3" x14ac:dyDescent="0.25">
      <c r="A769" s="8">
        <v>41617</v>
      </c>
      <c r="B769" s="4" t="s">
        <v>712</v>
      </c>
      <c r="C769" s="4">
        <v>32</v>
      </c>
    </row>
    <row r="770" spans="1:3" x14ac:dyDescent="0.25">
      <c r="A770" s="8">
        <v>41596</v>
      </c>
      <c r="B770" s="4" t="s">
        <v>717</v>
      </c>
      <c r="C770" s="4">
        <v>18</v>
      </c>
    </row>
    <row r="771" spans="1:3" x14ac:dyDescent="0.25">
      <c r="A771" s="8">
        <v>41599</v>
      </c>
      <c r="B771" s="4" t="s">
        <v>713</v>
      </c>
      <c r="C771" s="4">
        <v>21</v>
      </c>
    </row>
    <row r="772" spans="1:3" x14ac:dyDescent="0.25">
      <c r="A772" s="8">
        <v>41624</v>
      </c>
      <c r="B772" s="4" t="s">
        <v>716</v>
      </c>
      <c r="C772" s="4">
        <v>53</v>
      </c>
    </row>
    <row r="773" spans="1:3" x14ac:dyDescent="0.25">
      <c r="A773" s="8">
        <v>41532</v>
      </c>
      <c r="B773" s="4" t="s">
        <v>726</v>
      </c>
      <c r="C773" s="4">
        <v>56</v>
      </c>
    </row>
    <row r="774" spans="1:3" x14ac:dyDescent="0.25">
      <c r="A774" s="8">
        <v>41602</v>
      </c>
      <c r="B774" s="4" t="s">
        <v>102</v>
      </c>
      <c r="C774" s="4">
        <v>38</v>
      </c>
    </row>
    <row r="775" spans="1:3" x14ac:dyDescent="0.25">
      <c r="A775" s="8">
        <v>41515</v>
      </c>
      <c r="B775" s="4" t="s">
        <v>99</v>
      </c>
      <c r="C775" s="4">
        <v>25</v>
      </c>
    </row>
    <row r="776" spans="1:3" x14ac:dyDescent="0.25">
      <c r="A776" s="8">
        <v>41587</v>
      </c>
      <c r="B776" s="4" t="s">
        <v>729</v>
      </c>
      <c r="C776" s="4">
        <v>13</v>
      </c>
    </row>
    <row r="777" spans="1:3" x14ac:dyDescent="0.25">
      <c r="A777" s="8">
        <v>41535</v>
      </c>
      <c r="B777" s="4" t="s">
        <v>99</v>
      </c>
      <c r="C777" s="4">
        <v>38</v>
      </c>
    </row>
    <row r="778" spans="1:3" x14ac:dyDescent="0.25">
      <c r="A778" s="8">
        <v>41570</v>
      </c>
      <c r="B778" s="4" t="s">
        <v>103</v>
      </c>
      <c r="C778" s="4">
        <v>34</v>
      </c>
    </row>
    <row r="779" spans="1:3" x14ac:dyDescent="0.25">
      <c r="A779" s="8">
        <v>41550</v>
      </c>
      <c r="B779" s="4" t="s">
        <v>101</v>
      </c>
      <c r="C779" s="4">
        <v>12</v>
      </c>
    </row>
    <row r="780" spans="1:3" x14ac:dyDescent="0.25">
      <c r="A780" s="8">
        <v>41566</v>
      </c>
      <c r="B780" s="4" t="s">
        <v>717</v>
      </c>
      <c r="C780" s="4">
        <v>35</v>
      </c>
    </row>
    <row r="781" spans="1:3" x14ac:dyDescent="0.25">
      <c r="A781" s="8">
        <v>41543</v>
      </c>
      <c r="B781" s="4" t="s">
        <v>728</v>
      </c>
      <c r="C781" s="4">
        <v>30</v>
      </c>
    </row>
    <row r="782" spans="1:3" x14ac:dyDescent="0.25">
      <c r="A782" s="8">
        <v>41506</v>
      </c>
      <c r="B782" s="4" t="s">
        <v>723</v>
      </c>
      <c r="C782" s="4">
        <v>43</v>
      </c>
    </row>
    <row r="783" spans="1:3" x14ac:dyDescent="0.25">
      <c r="A783" s="8">
        <v>41556</v>
      </c>
      <c r="B783" s="4" t="s">
        <v>713</v>
      </c>
      <c r="C783" s="4">
        <v>36</v>
      </c>
    </row>
    <row r="784" spans="1:3" x14ac:dyDescent="0.25">
      <c r="A784" s="8">
        <v>41602</v>
      </c>
      <c r="B784" s="4" t="s">
        <v>720</v>
      </c>
      <c r="C784" s="4">
        <v>15</v>
      </c>
    </row>
    <row r="785" spans="1:3" x14ac:dyDescent="0.25">
      <c r="A785" s="8">
        <v>41614</v>
      </c>
      <c r="B785" s="4" t="s">
        <v>724</v>
      </c>
      <c r="C785" s="4">
        <v>16</v>
      </c>
    </row>
    <row r="786" spans="1:3" x14ac:dyDescent="0.25">
      <c r="A786" s="8">
        <v>41594</v>
      </c>
      <c r="B786" s="4" t="s">
        <v>715</v>
      </c>
      <c r="C786" s="4">
        <v>39</v>
      </c>
    </row>
    <row r="787" spans="1:3" x14ac:dyDescent="0.25">
      <c r="A787" s="8">
        <v>41622</v>
      </c>
      <c r="B787" s="4" t="s">
        <v>724</v>
      </c>
      <c r="C787" s="4">
        <v>28</v>
      </c>
    </row>
    <row r="788" spans="1:3" x14ac:dyDescent="0.25">
      <c r="A788" s="8">
        <v>41571</v>
      </c>
      <c r="B788" s="4" t="s">
        <v>728</v>
      </c>
      <c r="C788" s="4">
        <v>45</v>
      </c>
    </row>
    <row r="789" spans="1:3" x14ac:dyDescent="0.25">
      <c r="A789" s="8">
        <v>41526</v>
      </c>
      <c r="B789" s="4" t="s">
        <v>712</v>
      </c>
      <c r="C789" s="4">
        <v>51</v>
      </c>
    </row>
    <row r="790" spans="1:3" x14ac:dyDescent="0.25">
      <c r="A790" s="8">
        <v>41583</v>
      </c>
      <c r="B790" s="4" t="s">
        <v>103</v>
      </c>
      <c r="C790" s="4">
        <v>50</v>
      </c>
    </row>
    <row r="791" spans="1:3" x14ac:dyDescent="0.25">
      <c r="A791" s="8">
        <v>41649</v>
      </c>
      <c r="B791" s="4" t="s">
        <v>713</v>
      </c>
      <c r="C791" s="4">
        <v>50</v>
      </c>
    </row>
    <row r="792" spans="1:3" x14ac:dyDescent="0.25">
      <c r="A792" s="8">
        <v>41584</v>
      </c>
      <c r="B792" s="4" t="s">
        <v>102</v>
      </c>
      <c r="C792" s="4">
        <v>14</v>
      </c>
    </row>
    <row r="793" spans="1:3" x14ac:dyDescent="0.25">
      <c r="A793" s="8">
        <v>41564</v>
      </c>
      <c r="B793" s="4" t="s">
        <v>719</v>
      </c>
      <c r="C793" s="4">
        <v>49</v>
      </c>
    </row>
    <row r="794" spans="1:3" x14ac:dyDescent="0.25">
      <c r="A794" s="8">
        <v>41524</v>
      </c>
      <c r="B794" s="4" t="s">
        <v>725</v>
      </c>
      <c r="C794" s="4">
        <v>23</v>
      </c>
    </row>
    <row r="795" spans="1:3" x14ac:dyDescent="0.25">
      <c r="A795" s="8">
        <v>41643</v>
      </c>
      <c r="B795" s="4" t="s">
        <v>102</v>
      </c>
      <c r="C795" s="4">
        <v>35</v>
      </c>
    </row>
    <row r="796" spans="1:3" x14ac:dyDescent="0.25">
      <c r="A796" s="8">
        <v>41510</v>
      </c>
      <c r="B796" s="4" t="s">
        <v>723</v>
      </c>
      <c r="C796" s="4">
        <v>42</v>
      </c>
    </row>
    <row r="797" spans="1:3" x14ac:dyDescent="0.25">
      <c r="A797" s="8">
        <v>41638</v>
      </c>
      <c r="B797" s="4" t="s">
        <v>727</v>
      </c>
      <c r="C797" s="4">
        <v>58</v>
      </c>
    </row>
    <row r="798" spans="1:3" x14ac:dyDescent="0.25">
      <c r="A798" s="8">
        <v>41643</v>
      </c>
      <c r="B798" s="4" t="s">
        <v>716</v>
      </c>
      <c r="C798" s="4">
        <v>18</v>
      </c>
    </row>
    <row r="799" spans="1:3" x14ac:dyDescent="0.25">
      <c r="A799" s="8">
        <v>41501</v>
      </c>
      <c r="B799" s="4" t="s">
        <v>102</v>
      </c>
      <c r="C799" s="4">
        <v>46</v>
      </c>
    </row>
    <row r="800" spans="1:3" x14ac:dyDescent="0.25">
      <c r="A800" s="8">
        <v>41539</v>
      </c>
      <c r="B800" s="4" t="s">
        <v>722</v>
      </c>
      <c r="C800" s="4">
        <v>25</v>
      </c>
    </row>
    <row r="801" spans="1:3" x14ac:dyDescent="0.25">
      <c r="A801" s="8">
        <v>41624</v>
      </c>
      <c r="B801" s="4" t="s">
        <v>100</v>
      </c>
      <c r="C801" s="4">
        <v>15</v>
      </c>
    </row>
    <row r="802" spans="1:3" x14ac:dyDescent="0.25">
      <c r="A802" s="8">
        <v>41563</v>
      </c>
      <c r="B802" s="4" t="s">
        <v>724</v>
      </c>
      <c r="C802" s="4">
        <v>52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G802"/>
  <sheetViews>
    <sheetView zoomScale="130" zoomScaleNormal="130" workbookViewId="0">
      <selection activeCell="G6" sqref="G6:G11"/>
    </sheetView>
  </sheetViews>
  <sheetFormatPr defaultRowHeight="15" x14ac:dyDescent="0.25"/>
  <cols>
    <col min="1" max="1" width="15.140625" customWidth="1"/>
    <col min="2" max="2" width="18.140625" bestFit="1" customWidth="1"/>
    <col min="3" max="4" width="11" customWidth="1"/>
    <col min="5" max="5" width="13.140625" customWidth="1"/>
    <col min="6" max="6" width="13" customWidth="1"/>
    <col min="7" max="7" width="13.85546875" customWidth="1"/>
    <col min="11" max="11" width="13.140625" customWidth="1"/>
    <col min="13" max="13" width="10.85546875" customWidth="1"/>
    <col min="17" max="17" width="17.28515625" customWidth="1"/>
  </cols>
  <sheetData>
    <row r="1" spans="1:7" x14ac:dyDescent="0.25">
      <c r="A1" s="11" t="s">
        <v>91</v>
      </c>
      <c r="B1" s="11" t="s">
        <v>92</v>
      </c>
      <c r="C1" s="11" t="s">
        <v>93</v>
      </c>
      <c r="E1" s="28" t="s">
        <v>704</v>
      </c>
      <c r="F1" s="8">
        <f t="array" ref="F1">MIN($A$2:$A$802+0)</f>
        <v>41500</v>
      </c>
      <c r="G1" s="8">
        <f t="shared" ref="G1" si="0">_xlfn.AGGREGATE(15,4,$A$2:$A$802+0,1)</f>
        <v>41500</v>
      </c>
    </row>
    <row r="2" spans="1:7" x14ac:dyDescent="0.25">
      <c r="A2" s="8" t="s">
        <v>109</v>
      </c>
      <c r="B2" s="4" t="s">
        <v>710</v>
      </c>
      <c r="C2" s="4">
        <v>51</v>
      </c>
      <c r="E2" s="28" t="s">
        <v>705</v>
      </c>
      <c r="F2" s="8">
        <f t="array" ref="F2">MAX($A$2:$A$802+0)</f>
        <v>41650</v>
      </c>
      <c r="G2" s="8">
        <f>_xlfn.AGGREGATE(14,4,$A$2:$A$802+0,1)</f>
        <v>41650</v>
      </c>
    </row>
    <row r="3" spans="1:7" x14ac:dyDescent="0.25">
      <c r="A3" s="8" t="s">
        <v>110</v>
      </c>
      <c r="B3" s="4" t="s">
        <v>711</v>
      </c>
      <c r="C3" s="4">
        <v>12</v>
      </c>
    </row>
    <row r="4" spans="1:7" x14ac:dyDescent="0.25">
      <c r="A4" s="8" t="s">
        <v>111</v>
      </c>
      <c r="B4" s="4" t="s">
        <v>712</v>
      </c>
      <c r="C4" s="4">
        <v>38</v>
      </c>
    </row>
    <row r="5" spans="1:7" x14ac:dyDescent="0.25">
      <c r="A5" s="8" t="s">
        <v>112</v>
      </c>
      <c r="B5" s="4" t="s">
        <v>103</v>
      </c>
      <c r="C5" s="4">
        <v>36</v>
      </c>
      <c r="E5" s="11" t="s">
        <v>706</v>
      </c>
      <c r="F5" s="11" t="s">
        <v>707</v>
      </c>
      <c r="G5" s="11" t="s">
        <v>82</v>
      </c>
    </row>
    <row r="6" spans="1:7" x14ac:dyDescent="0.25">
      <c r="A6" s="8" t="s">
        <v>113</v>
      </c>
      <c r="B6" s="4" t="s">
        <v>103</v>
      </c>
      <c r="C6" s="4">
        <v>12</v>
      </c>
      <c r="E6" s="8">
        <f>F1</f>
        <v>41500</v>
      </c>
      <c r="F6" s="8">
        <f>EOMONTH(E6,0)</f>
        <v>41517</v>
      </c>
      <c r="G6" s="22"/>
    </row>
    <row r="7" spans="1:7" x14ac:dyDescent="0.25">
      <c r="A7" s="8" t="s">
        <v>114</v>
      </c>
      <c r="B7" s="4" t="s">
        <v>101</v>
      </c>
      <c r="C7" s="4">
        <v>26</v>
      </c>
      <c r="E7" s="8">
        <f>F6+1</f>
        <v>41518</v>
      </c>
      <c r="F7" s="8">
        <f>EOMONTH(E7,0)</f>
        <v>41547</v>
      </c>
      <c r="G7" s="22"/>
    </row>
    <row r="8" spans="1:7" x14ac:dyDescent="0.25">
      <c r="A8" s="8" t="s">
        <v>115</v>
      </c>
      <c r="B8" s="4" t="s">
        <v>711</v>
      </c>
      <c r="C8" s="4">
        <v>13</v>
      </c>
      <c r="E8" s="8">
        <f t="shared" ref="E8:E11" si="1">F7+1</f>
        <v>41548</v>
      </c>
      <c r="F8" s="8">
        <f t="shared" ref="F8:F11" si="2">EOMONTH(E8,0)</f>
        <v>41578</v>
      </c>
      <c r="G8" s="22"/>
    </row>
    <row r="9" spans="1:7" x14ac:dyDescent="0.25">
      <c r="A9" s="8" t="s">
        <v>116</v>
      </c>
      <c r="B9" s="4" t="s">
        <v>713</v>
      </c>
      <c r="C9" s="4">
        <v>29</v>
      </c>
      <c r="E9" s="8">
        <f t="shared" si="1"/>
        <v>41579</v>
      </c>
      <c r="F9" s="8">
        <f t="shared" si="2"/>
        <v>41608</v>
      </c>
      <c r="G9" s="22"/>
    </row>
    <row r="10" spans="1:7" x14ac:dyDescent="0.25">
      <c r="A10" s="8" t="s">
        <v>117</v>
      </c>
      <c r="B10" s="4" t="s">
        <v>714</v>
      </c>
      <c r="C10" s="4">
        <v>33</v>
      </c>
      <c r="E10" s="8">
        <f t="shared" si="1"/>
        <v>41609</v>
      </c>
      <c r="F10" s="8">
        <f t="shared" si="2"/>
        <v>41639</v>
      </c>
      <c r="G10" s="22"/>
    </row>
    <row r="11" spans="1:7" x14ac:dyDescent="0.25">
      <c r="A11" s="8" t="s">
        <v>118</v>
      </c>
      <c r="B11" s="4" t="s">
        <v>715</v>
      </c>
      <c r="C11" s="4">
        <v>48</v>
      </c>
      <c r="E11" s="8">
        <f t="shared" si="1"/>
        <v>41640</v>
      </c>
      <c r="F11" s="8">
        <f t="shared" si="2"/>
        <v>41670</v>
      </c>
      <c r="G11" s="22"/>
    </row>
    <row r="12" spans="1:7" x14ac:dyDescent="0.25">
      <c r="A12" s="8" t="s">
        <v>119</v>
      </c>
      <c r="B12" s="4" t="s">
        <v>716</v>
      </c>
      <c r="C12" s="4">
        <v>45</v>
      </c>
      <c r="E12" s="25"/>
      <c r="F12" s="25"/>
    </row>
    <row r="13" spans="1:7" x14ac:dyDescent="0.25">
      <c r="A13" s="8" t="s">
        <v>120</v>
      </c>
      <c r="B13" s="4" t="s">
        <v>101</v>
      </c>
      <c r="C13" s="4">
        <v>36</v>
      </c>
      <c r="E13" s="25"/>
      <c r="F13" s="25"/>
    </row>
    <row r="14" spans="1:7" x14ac:dyDescent="0.25">
      <c r="A14" s="8" t="s">
        <v>121</v>
      </c>
      <c r="B14" s="4" t="s">
        <v>717</v>
      </c>
      <c r="C14" s="4">
        <v>54</v>
      </c>
    </row>
    <row r="15" spans="1:7" x14ac:dyDescent="0.25">
      <c r="A15" s="8" t="s">
        <v>122</v>
      </c>
      <c r="B15" s="4" t="s">
        <v>101</v>
      </c>
      <c r="C15" s="4">
        <v>45</v>
      </c>
    </row>
    <row r="16" spans="1:7" x14ac:dyDescent="0.25">
      <c r="A16" s="8" t="s">
        <v>123</v>
      </c>
      <c r="B16" s="4" t="s">
        <v>718</v>
      </c>
      <c r="C16" s="4">
        <v>37</v>
      </c>
    </row>
    <row r="17" spans="1:3" x14ac:dyDescent="0.25">
      <c r="A17" s="8" t="s">
        <v>124</v>
      </c>
      <c r="B17" s="4" t="s">
        <v>719</v>
      </c>
      <c r="C17" s="4">
        <v>41</v>
      </c>
    </row>
    <row r="18" spans="1:3" x14ac:dyDescent="0.25">
      <c r="A18" s="8" t="s">
        <v>125</v>
      </c>
      <c r="B18" s="4" t="s">
        <v>717</v>
      </c>
      <c r="C18" s="4">
        <v>46</v>
      </c>
    </row>
    <row r="19" spans="1:3" x14ac:dyDescent="0.25">
      <c r="A19" s="8" t="s">
        <v>126</v>
      </c>
      <c r="B19" s="4" t="s">
        <v>720</v>
      </c>
      <c r="C19" s="4">
        <v>23</v>
      </c>
    </row>
    <row r="20" spans="1:3" x14ac:dyDescent="0.25">
      <c r="A20" s="8" t="s">
        <v>127</v>
      </c>
      <c r="B20" s="4" t="s">
        <v>715</v>
      </c>
      <c r="C20" s="4">
        <v>27</v>
      </c>
    </row>
    <row r="21" spans="1:3" x14ac:dyDescent="0.25">
      <c r="A21" s="8" t="s">
        <v>128</v>
      </c>
      <c r="B21" s="4" t="s">
        <v>712</v>
      </c>
      <c r="C21" s="4">
        <v>55</v>
      </c>
    </row>
    <row r="22" spans="1:3" x14ac:dyDescent="0.25">
      <c r="A22" s="8" t="s">
        <v>129</v>
      </c>
      <c r="B22" s="4" t="s">
        <v>101</v>
      </c>
      <c r="C22" s="4">
        <v>36</v>
      </c>
    </row>
    <row r="23" spans="1:3" x14ac:dyDescent="0.25">
      <c r="A23" s="8" t="s">
        <v>130</v>
      </c>
      <c r="B23" s="4" t="s">
        <v>713</v>
      </c>
      <c r="C23" s="4">
        <v>15</v>
      </c>
    </row>
    <row r="24" spans="1:3" x14ac:dyDescent="0.25">
      <c r="A24" s="8" t="s">
        <v>131</v>
      </c>
      <c r="B24" s="4" t="s">
        <v>721</v>
      </c>
      <c r="C24" s="4">
        <v>19</v>
      </c>
    </row>
    <row r="25" spans="1:3" x14ac:dyDescent="0.25">
      <c r="A25" s="8" t="s">
        <v>132</v>
      </c>
      <c r="B25" s="4" t="s">
        <v>721</v>
      </c>
      <c r="C25" s="4">
        <v>32</v>
      </c>
    </row>
    <row r="26" spans="1:3" x14ac:dyDescent="0.25">
      <c r="A26" s="8" t="s">
        <v>133</v>
      </c>
      <c r="B26" s="4" t="s">
        <v>720</v>
      </c>
      <c r="C26" s="4">
        <v>30</v>
      </c>
    </row>
    <row r="27" spans="1:3" x14ac:dyDescent="0.25">
      <c r="A27" s="8" t="s">
        <v>134</v>
      </c>
      <c r="B27" s="4" t="s">
        <v>721</v>
      </c>
      <c r="C27" s="4">
        <v>36</v>
      </c>
    </row>
    <row r="28" spans="1:3" x14ac:dyDescent="0.25">
      <c r="A28" s="8" t="s">
        <v>121</v>
      </c>
      <c r="B28" s="4" t="s">
        <v>722</v>
      </c>
      <c r="C28" s="4">
        <v>43</v>
      </c>
    </row>
    <row r="29" spans="1:3" x14ac:dyDescent="0.25">
      <c r="A29" s="8" t="s">
        <v>135</v>
      </c>
      <c r="B29" s="4" t="s">
        <v>715</v>
      </c>
      <c r="C29" s="4">
        <v>55</v>
      </c>
    </row>
    <row r="30" spans="1:3" x14ac:dyDescent="0.25">
      <c r="A30" s="8" t="s">
        <v>111</v>
      </c>
      <c r="B30" s="4" t="s">
        <v>100</v>
      </c>
      <c r="C30" s="4">
        <v>31</v>
      </c>
    </row>
    <row r="31" spans="1:3" x14ac:dyDescent="0.25">
      <c r="A31" s="8" t="s">
        <v>133</v>
      </c>
      <c r="B31" s="4" t="s">
        <v>101</v>
      </c>
      <c r="C31" s="4">
        <v>14</v>
      </c>
    </row>
    <row r="32" spans="1:3" x14ac:dyDescent="0.25">
      <c r="A32" s="8" t="s">
        <v>136</v>
      </c>
      <c r="B32" s="4" t="s">
        <v>711</v>
      </c>
      <c r="C32" s="4">
        <v>29</v>
      </c>
    </row>
    <row r="33" spans="1:3" x14ac:dyDescent="0.25">
      <c r="A33" s="8" t="s">
        <v>137</v>
      </c>
      <c r="B33" s="4" t="s">
        <v>723</v>
      </c>
      <c r="C33" s="4">
        <v>58</v>
      </c>
    </row>
    <row r="34" spans="1:3" x14ac:dyDescent="0.25">
      <c r="A34" s="8" t="s">
        <v>129</v>
      </c>
      <c r="B34" s="4" t="s">
        <v>710</v>
      </c>
      <c r="C34" s="4">
        <v>37</v>
      </c>
    </row>
    <row r="35" spans="1:3" x14ac:dyDescent="0.25">
      <c r="A35" s="8" t="s">
        <v>138</v>
      </c>
      <c r="B35" s="4" t="s">
        <v>723</v>
      </c>
      <c r="C35" s="4">
        <v>57</v>
      </c>
    </row>
    <row r="36" spans="1:3" x14ac:dyDescent="0.25">
      <c r="A36" s="8" t="s">
        <v>139</v>
      </c>
      <c r="B36" s="4" t="s">
        <v>718</v>
      </c>
      <c r="C36" s="4">
        <v>43</v>
      </c>
    </row>
    <row r="37" spans="1:3" x14ac:dyDescent="0.25">
      <c r="A37" s="8" t="s">
        <v>140</v>
      </c>
      <c r="B37" s="4" t="s">
        <v>102</v>
      </c>
      <c r="C37" s="4">
        <v>43</v>
      </c>
    </row>
    <row r="38" spans="1:3" x14ac:dyDescent="0.25">
      <c r="A38" s="8" t="s">
        <v>141</v>
      </c>
      <c r="B38" s="4" t="s">
        <v>720</v>
      </c>
      <c r="C38" s="4">
        <v>49</v>
      </c>
    </row>
    <row r="39" spans="1:3" x14ac:dyDescent="0.25">
      <c r="A39" s="8" t="s">
        <v>142</v>
      </c>
      <c r="B39" s="4" t="s">
        <v>714</v>
      </c>
      <c r="C39" s="4">
        <v>56</v>
      </c>
    </row>
    <row r="40" spans="1:3" x14ac:dyDescent="0.25">
      <c r="A40" s="8" t="s">
        <v>116</v>
      </c>
      <c r="B40" s="4" t="s">
        <v>720</v>
      </c>
      <c r="C40" s="4">
        <v>58</v>
      </c>
    </row>
    <row r="41" spans="1:3" x14ac:dyDescent="0.25">
      <c r="A41" s="8" t="s">
        <v>143</v>
      </c>
      <c r="B41" s="4" t="s">
        <v>102</v>
      </c>
      <c r="C41" s="4">
        <v>17</v>
      </c>
    </row>
    <row r="42" spans="1:3" x14ac:dyDescent="0.25">
      <c r="A42" s="8" t="s">
        <v>139</v>
      </c>
      <c r="B42" s="4" t="s">
        <v>710</v>
      </c>
      <c r="C42" s="4">
        <v>27</v>
      </c>
    </row>
    <row r="43" spans="1:3" x14ac:dyDescent="0.25">
      <c r="A43" s="8" t="s">
        <v>144</v>
      </c>
      <c r="B43" s="4" t="s">
        <v>102</v>
      </c>
      <c r="C43" s="4">
        <v>26</v>
      </c>
    </row>
    <row r="44" spans="1:3" x14ac:dyDescent="0.25">
      <c r="A44" s="8" t="s">
        <v>145</v>
      </c>
      <c r="B44" s="4" t="s">
        <v>723</v>
      </c>
      <c r="C44" s="4">
        <v>25</v>
      </c>
    </row>
    <row r="45" spans="1:3" x14ac:dyDescent="0.25">
      <c r="A45" s="8" t="s">
        <v>115</v>
      </c>
      <c r="B45" s="4" t="s">
        <v>711</v>
      </c>
      <c r="C45" s="4">
        <v>55</v>
      </c>
    </row>
    <row r="46" spans="1:3" x14ac:dyDescent="0.25">
      <c r="A46" s="8" t="s">
        <v>126</v>
      </c>
      <c r="B46" s="4" t="s">
        <v>722</v>
      </c>
      <c r="C46" s="4">
        <v>31</v>
      </c>
    </row>
    <row r="47" spans="1:3" x14ac:dyDescent="0.25">
      <c r="A47" s="8" t="s">
        <v>146</v>
      </c>
      <c r="B47" s="4" t="s">
        <v>99</v>
      </c>
      <c r="C47" s="4">
        <v>50</v>
      </c>
    </row>
    <row r="48" spans="1:3" x14ac:dyDescent="0.25">
      <c r="A48" s="8" t="s">
        <v>113</v>
      </c>
      <c r="B48" s="4" t="s">
        <v>712</v>
      </c>
      <c r="C48" s="4">
        <v>42</v>
      </c>
    </row>
    <row r="49" spans="1:3" x14ac:dyDescent="0.25">
      <c r="A49" s="8" t="s">
        <v>147</v>
      </c>
      <c r="B49" s="4" t="s">
        <v>102</v>
      </c>
      <c r="C49" s="4">
        <v>40</v>
      </c>
    </row>
    <row r="50" spans="1:3" x14ac:dyDescent="0.25">
      <c r="A50" s="8" t="s">
        <v>148</v>
      </c>
      <c r="B50" s="4" t="s">
        <v>99</v>
      </c>
      <c r="C50" s="4">
        <v>35</v>
      </c>
    </row>
    <row r="51" spans="1:3" x14ac:dyDescent="0.25">
      <c r="A51" s="8" t="s">
        <v>149</v>
      </c>
      <c r="B51" s="4" t="s">
        <v>714</v>
      </c>
      <c r="C51" s="4">
        <v>17</v>
      </c>
    </row>
    <row r="52" spans="1:3" x14ac:dyDescent="0.25">
      <c r="A52" s="8" t="s">
        <v>150</v>
      </c>
      <c r="B52" s="4" t="s">
        <v>724</v>
      </c>
      <c r="C52" s="4">
        <v>17</v>
      </c>
    </row>
    <row r="53" spans="1:3" x14ac:dyDescent="0.25">
      <c r="A53" s="8" t="s">
        <v>151</v>
      </c>
      <c r="B53" s="4" t="s">
        <v>102</v>
      </c>
      <c r="C53" s="4">
        <v>10</v>
      </c>
    </row>
    <row r="54" spans="1:3" x14ac:dyDescent="0.25">
      <c r="A54" s="8" t="s">
        <v>152</v>
      </c>
      <c r="B54" s="4" t="s">
        <v>719</v>
      </c>
      <c r="C54" s="4">
        <v>17</v>
      </c>
    </row>
    <row r="55" spans="1:3" x14ac:dyDescent="0.25">
      <c r="A55" s="8" t="s">
        <v>148</v>
      </c>
      <c r="B55" s="4" t="s">
        <v>99</v>
      </c>
      <c r="C55" s="4">
        <v>27</v>
      </c>
    </row>
    <row r="56" spans="1:3" x14ac:dyDescent="0.25">
      <c r="A56" s="8" t="s">
        <v>153</v>
      </c>
      <c r="B56" s="4" t="s">
        <v>725</v>
      </c>
      <c r="C56" s="4">
        <v>53</v>
      </c>
    </row>
    <row r="57" spans="1:3" x14ac:dyDescent="0.25">
      <c r="A57" s="8" t="s">
        <v>154</v>
      </c>
      <c r="B57" s="4" t="s">
        <v>719</v>
      </c>
      <c r="C57" s="4">
        <v>59</v>
      </c>
    </row>
    <row r="58" spans="1:3" x14ac:dyDescent="0.25">
      <c r="A58" s="8" t="s">
        <v>155</v>
      </c>
      <c r="B58" s="4" t="s">
        <v>721</v>
      </c>
      <c r="C58" s="4">
        <v>29</v>
      </c>
    </row>
    <row r="59" spans="1:3" x14ac:dyDescent="0.25">
      <c r="A59" s="8" t="s">
        <v>156</v>
      </c>
      <c r="B59" s="4" t="s">
        <v>711</v>
      </c>
      <c r="C59" s="4">
        <v>49</v>
      </c>
    </row>
    <row r="60" spans="1:3" x14ac:dyDescent="0.25">
      <c r="A60" s="8" t="s">
        <v>123</v>
      </c>
      <c r="B60" s="4" t="s">
        <v>100</v>
      </c>
      <c r="C60" s="4">
        <v>33</v>
      </c>
    </row>
    <row r="61" spans="1:3" x14ac:dyDescent="0.25">
      <c r="A61" s="8" t="s">
        <v>157</v>
      </c>
      <c r="B61" s="4" t="s">
        <v>715</v>
      </c>
      <c r="C61" s="4">
        <v>38</v>
      </c>
    </row>
    <row r="62" spans="1:3" x14ac:dyDescent="0.25">
      <c r="A62" s="8" t="s">
        <v>158</v>
      </c>
      <c r="B62" s="4" t="s">
        <v>719</v>
      </c>
      <c r="C62" s="4">
        <v>53</v>
      </c>
    </row>
    <row r="63" spans="1:3" x14ac:dyDescent="0.25">
      <c r="A63" s="8" t="s">
        <v>159</v>
      </c>
      <c r="B63" s="4" t="s">
        <v>724</v>
      </c>
      <c r="C63" s="4">
        <v>41</v>
      </c>
    </row>
    <row r="64" spans="1:3" x14ac:dyDescent="0.25">
      <c r="A64" s="8" t="s">
        <v>160</v>
      </c>
      <c r="B64" s="4" t="s">
        <v>722</v>
      </c>
      <c r="C64" s="4">
        <v>56</v>
      </c>
    </row>
    <row r="65" spans="1:3" x14ac:dyDescent="0.25">
      <c r="A65" s="8" t="s">
        <v>161</v>
      </c>
      <c r="B65" s="4" t="s">
        <v>713</v>
      </c>
      <c r="C65" s="4">
        <v>29</v>
      </c>
    </row>
    <row r="66" spans="1:3" x14ac:dyDescent="0.25">
      <c r="A66" s="8" t="s">
        <v>162</v>
      </c>
      <c r="B66" s="4" t="s">
        <v>715</v>
      </c>
      <c r="C66" s="4">
        <v>55</v>
      </c>
    </row>
    <row r="67" spans="1:3" x14ac:dyDescent="0.25">
      <c r="A67" s="8" t="s">
        <v>162</v>
      </c>
      <c r="B67" s="4" t="s">
        <v>715</v>
      </c>
      <c r="C67" s="4">
        <v>16</v>
      </c>
    </row>
    <row r="68" spans="1:3" x14ac:dyDescent="0.25">
      <c r="A68" s="8" t="s">
        <v>163</v>
      </c>
      <c r="B68" s="4" t="s">
        <v>726</v>
      </c>
      <c r="C68" s="4">
        <v>46</v>
      </c>
    </row>
    <row r="69" spans="1:3" x14ac:dyDescent="0.25">
      <c r="A69" s="8" t="s">
        <v>164</v>
      </c>
      <c r="B69" s="4" t="s">
        <v>724</v>
      </c>
      <c r="C69" s="4">
        <v>56</v>
      </c>
    </row>
    <row r="70" spans="1:3" x14ac:dyDescent="0.25">
      <c r="A70" s="8" t="s">
        <v>158</v>
      </c>
      <c r="B70" s="4" t="s">
        <v>727</v>
      </c>
      <c r="C70" s="4">
        <v>21</v>
      </c>
    </row>
    <row r="71" spans="1:3" x14ac:dyDescent="0.25">
      <c r="A71" s="8" t="s">
        <v>165</v>
      </c>
      <c r="B71" s="4" t="s">
        <v>727</v>
      </c>
      <c r="C71" s="4">
        <v>41</v>
      </c>
    </row>
    <row r="72" spans="1:3" x14ac:dyDescent="0.25">
      <c r="A72" s="8" t="s">
        <v>166</v>
      </c>
      <c r="B72" s="4" t="s">
        <v>102</v>
      </c>
      <c r="C72" s="4">
        <v>25</v>
      </c>
    </row>
    <row r="73" spans="1:3" x14ac:dyDescent="0.25">
      <c r="A73" s="8" t="s">
        <v>167</v>
      </c>
      <c r="B73" s="4" t="s">
        <v>725</v>
      </c>
      <c r="C73" s="4">
        <v>17</v>
      </c>
    </row>
    <row r="74" spans="1:3" x14ac:dyDescent="0.25">
      <c r="A74" s="8" t="s">
        <v>168</v>
      </c>
      <c r="B74" s="4" t="s">
        <v>713</v>
      </c>
      <c r="C74" s="4">
        <v>17</v>
      </c>
    </row>
    <row r="75" spans="1:3" x14ac:dyDescent="0.25">
      <c r="A75" s="8" t="s">
        <v>155</v>
      </c>
      <c r="B75" s="4" t="s">
        <v>710</v>
      </c>
      <c r="C75" s="4">
        <v>45</v>
      </c>
    </row>
    <row r="76" spans="1:3" x14ac:dyDescent="0.25">
      <c r="A76" s="8" t="s">
        <v>169</v>
      </c>
      <c r="B76" s="4" t="s">
        <v>727</v>
      </c>
      <c r="C76" s="4">
        <v>46</v>
      </c>
    </row>
    <row r="77" spans="1:3" x14ac:dyDescent="0.25">
      <c r="A77" s="8" t="s">
        <v>170</v>
      </c>
      <c r="B77" s="4" t="s">
        <v>722</v>
      </c>
      <c r="C77" s="4">
        <v>17</v>
      </c>
    </row>
    <row r="78" spans="1:3" x14ac:dyDescent="0.25">
      <c r="A78" s="8" t="s">
        <v>171</v>
      </c>
      <c r="B78" s="4" t="s">
        <v>719</v>
      </c>
      <c r="C78" s="4">
        <v>26</v>
      </c>
    </row>
    <row r="79" spans="1:3" x14ac:dyDescent="0.25">
      <c r="A79" s="8" t="s">
        <v>172</v>
      </c>
      <c r="B79" s="4" t="s">
        <v>714</v>
      </c>
      <c r="C79" s="4">
        <v>37</v>
      </c>
    </row>
    <row r="80" spans="1:3" x14ac:dyDescent="0.25">
      <c r="A80" s="8" t="s">
        <v>173</v>
      </c>
      <c r="B80" s="4" t="s">
        <v>714</v>
      </c>
      <c r="C80" s="4">
        <v>54</v>
      </c>
    </row>
    <row r="81" spans="1:3" x14ac:dyDescent="0.25">
      <c r="A81" s="8" t="s">
        <v>174</v>
      </c>
      <c r="B81" s="4" t="s">
        <v>712</v>
      </c>
      <c r="C81" s="4">
        <v>55</v>
      </c>
    </row>
    <row r="82" spans="1:3" x14ac:dyDescent="0.25">
      <c r="A82" s="8" t="s">
        <v>139</v>
      </c>
      <c r="B82" s="4" t="s">
        <v>728</v>
      </c>
      <c r="C82" s="4">
        <v>53</v>
      </c>
    </row>
    <row r="83" spans="1:3" x14ac:dyDescent="0.25">
      <c r="A83" s="8" t="s">
        <v>175</v>
      </c>
      <c r="B83" s="4" t="s">
        <v>723</v>
      </c>
      <c r="C83" s="4">
        <v>35</v>
      </c>
    </row>
    <row r="84" spans="1:3" x14ac:dyDescent="0.25">
      <c r="A84" s="8" t="s">
        <v>118</v>
      </c>
      <c r="B84" s="4" t="s">
        <v>715</v>
      </c>
      <c r="C84" s="4">
        <v>36</v>
      </c>
    </row>
    <row r="85" spans="1:3" x14ac:dyDescent="0.25">
      <c r="A85" s="8" t="s">
        <v>176</v>
      </c>
      <c r="B85" s="4" t="s">
        <v>722</v>
      </c>
      <c r="C85" s="4">
        <v>33</v>
      </c>
    </row>
    <row r="86" spans="1:3" x14ac:dyDescent="0.25">
      <c r="A86" s="8" t="s">
        <v>173</v>
      </c>
      <c r="B86" s="4" t="s">
        <v>712</v>
      </c>
      <c r="C86" s="4">
        <v>33</v>
      </c>
    </row>
    <row r="87" spans="1:3" x14ac:dyDescent="0.25">
      <c r="A87" s="8" t="s">
        <v>126</v>
      </c>
      <c r="B87" s="4" t="s">
        <v>715</v>
      </c>
      <c r="C87" s="4">
        <v>18</v>
      </c>
    </row>
    <row r="88" spans="1:3" x14ac:dyDescent="0.25">
      <c r="A88" s="8" t="s">
        <v>129</v>
      </c>
      <c r="B88" s="4" t="s">
        <v>714</v>
      </c>
      <c r="C88" s="4">
        <v>36</v>
      </c>
    </row>
    <row r="89" spans="1:3" x14ac:dyDescent="0.25">
      <c r="A89" s="8" t="s">
        <v>177</v>
      </c>
      <c r="B89" s="4" t="s">
        <v>719</v>
      </c>
      <c r="C89" s="4">
        <v>22</v>
      </c>
    </row>
    <row r="90" spans="1:3" x14ac:dyDescent="0.25">
      <c r="A90" s="8" t="s">
        <v>178</v>
      </c>
      <c r="B90" s="4" t="s">
        <v>726</v>
      </c>
      <c r="C90" s="4">
        <v>17</v>
      </c>
    </row>
    <row r="91" spans="1:3" x14ac:dyDescent="0.25">
      <c r="A91" s="8" t="s">
        <v>179</v>
      </c>
      <c r="B91" s="4" t="s">
        <v>100</v>
      </c>
      <c r="C91" s="4">
        <v>45</v>
      </c>
    </row>
    <row r="92" spans="1:3" x14ac:dyDescent="0.25">
      <c r="A92" s="8" t="s">
        <v>124</v>
      </c>
      <c r="B92" s="4" t="s">
        <v>716</v>
      </c>
      <c r="C92" s="4">
        <v>35</v>
      </c>
    </row>
    <row r="93" spans="1:3" x14ac:dyDescent="0.25">
      <c r="A93" s="8" t="s">
        <v>141</v>
      </c>
      <c r="B93" s="4" t="s">
        <v>715</v>
      </c>
      <c r="C93" s="4">
        <v>29</v>
      </c>
    </row>
    <row r="94" spans="1:3" x14ac:dyDescent="0.25">
      <c r="A94" s="8" t="s">
        <v>170</v>
      </c>
      <c r="B94" s="4" t="s">
        <v>727</v>
      </c>
      <c r="C94" s="4">
        <v>21</v>
      </c>
    </row>
    <row r="95" spans="1:3" x14ac:dyDescent="0.25">
      <c r="A95" s="8" t="s">
        <v>137</v>
      </c>
      <c r="B95" s="4" t="s">
        <v>99</v>
      </c>
      <c r="C95" s="4">
        <v>32</v>
      </c>
    </row>
    <row r="96" spans="1:3" x14ac:dyDescent="0.25">
      <c r="A96" s="8" t="s">
        <v>169</v>
      </c>
      <c r="B96" s="4" t="s">
        <v>725</v>
      </c>
      <c r="C96" s="4">
        <v>12</v>
      </c>
    </row>
    <row r="97" spans="1:3" x14ac:dyDescent="0.25">
      <c r="A97" s="8" t="s">
        <v>121</v>
      </c>
      <c r="B97" s="4" t="s">
        <v>721</v>
      </c>
      <c r="C97" s="4">
        <v>43</v>
      </c>
    </row>
    <row r="98" spans="1:3" x14ac:dyDescent="0.25">
      <c r="A98" s="8" t="s">
        <v>180</v>
      </c>
      <c r="B98" s="4" t="s">
        <v>103</v>
      </c>
      <c r="C98" s="4">
        <v>54</v>
      </c>
    </row>
    <row r="99" spans="1:3" x14ac:dyDescent="0.25">
      <c r="A99" s="8" t="s">
        <v>137</v>
      </c>
      <c r="B99" s="4" t="s">
        <v>711</v>
      </c>
      <c r="C99" s="4">
        <v>23</v>
      </c>
    </row>
    <row r="100" spans="1:3" x14ac:dyDescent="0.25">
      <c r="A100" s="8" t="s">
        <v>181</v>
      </c>
      <c r="B100" s="4" t="s">
        <v>99</v>
      </c>
      <c r="C100" s="4">
        <v>37</v>
      </c>
    </row>
    <row r="101" spans="1:3" x14ac:dyDescent="0.25">
      <c r="A101" s="8" t="s">
        <v>182</v>
      </c>
      <c r="B101" s="4" t="s">
        <v>99</v>
      </c>
      <c r="C101" s="4">
        <v>31</v>
      </c>
    </row>
    <row r="102" spans="1:3" x14ac:dyDescent="0.25">
      <c r="A102" s="8" t="s">
        <v>135</v>
      </c>
      <c r="B102" s="4" t="s">
        <v>715</v>
      </c>
      <c r="C102" s="4">
        <v>12</v>
      </c>
    </row>
    <row r="103" spans="1:3" x14ac:dyDescent="0.25">
      <c r="A103" s="8" t="s">
        <v>115</v>
      </c>
      <c r="B103" s="4" t="s">
        <v>714</v>
      </c>
      <c r="C103" s="4">
        <v>14</v>
      </c>
    </row>
    <row r="104" spans="1:3" x14ac:dyDescent="0.25">
      <c r="A104" s="8" t="s">
        <v>125</v>
      </c>
      <c r="B104" s="4" t="s">
        <v>723</v>
      </c>
      <c r="C104" s="4">
        <v>35</v>
      </c>
    </row>
    <row r="105" spans="1:3" x14ac:dyDescent="0.25">
      <c r="A105" s="8" t="s">
        <v>125</v>
      </c>
      <c r="B105" s="4" t="s">
        <v>726</v>
      </c>
      <c r="C105" s="4">
        <v>41</v>
      </c>
    </row>
    <row r="106" spans="1:3" x14ac:dyDescent="0.25">
      <c r="A106" s="8" t="s">
        <v>183</v>
      </c>
      <c r="B106" s="4" t="s">
        <v>729</v>
      </c>
      <c r="C106" s="4">
        <v>45</v>
      </c>
    </row>
    <row r="107" spans="1:3" x14ac:dyDescent="0.25">
      <c r="A107" s="8" t="s">
        <v>160</v>
      </c>
      <c r="B107" s="4" t="s">
        <v>101</v>
      </c>
      <c r="C107" s="4">
        <v>31</v>
      </c>
    </row>
    <row r="108" spans="1:3" x14ac:dyDescent="0.25">
      <c r="A108" s="8" t="s">
        <v>144</v>
      </c>
      <c r="B108" s="4" t="s">
        <v>724</v>
      </c>
      <c r="C108" s="4">
        <v>29</v>
      </c>
    </row>
    <row r="109" spans="1:3" x14ac:dyDescent="0.25">
      <c r="A109" s="8" t="s">
        <v>184</v>
      </c>
      <c r="B109" s="4" t="s">
        <v>716</v>
      </c>
      <c r="C109" s="4">
        <v>55</v>
      </c>
    </row>
    <row r="110" spans="1:3" x14ac:dyDescent="0.25">
      <c r="A110" s="8" t="s">
        <v>119</v>
      </c>
      <c r="B110" s="4" t="s">
        <v>723</v>
      </c>
      <c r="C110" s="4">
        <v>16</v>
      </c>
    </row>
    <row r="111" spans="1:3" x14ac:dyDescent="0.25">
      <c r="A111" s="8" t="s">
        <v>185</v>
      </c>
      <c r="B111" s="4" t="s">
        <v>101</v>
      </c>
      <c r="C111" s="4">
        <v>58</v>
      </c>
    </row>
    <row r="112" spans="1:3" x14ac:dyDescent="0.25">
      <c r="A112" s="8" t="s">
        <v>171</v>
      </c>
      <c r="B112" s="4" t="s">
        <v>716</v>
      </c>
      <c r="C112" s="4">
        <v>42</v>
      </c>
    </row>
    <row r="113" spans="1:3" x14ac:dyDescent="0.25">
      <c r="A113" s="8" t="s">
        <v>171</v>
      </c>
      <c r="B113" s="4" t="s">
        <v>710</v>
      </c>
      <c r="C113" s="4">
        <v>16</v>
      </c>
    </row>
    <row r="114" spans="1:3" x14ac:dyDescent="0.25">
      <c r="A114" s="8" t="s">
        <v>173</v>
      </c>
      <c r="B114" s="4" t="s">
        <v>710</v>
      </c>
      <c r="C114" s="4">
        <v>29</v>
      </c>
    </row>
    <row r="115" spans="1:3" x14ac:dyDescent="0.25">
      <c r="A115" s="8" t="s">
        <v>161</v>
      </c>
      <c r="B115" s="4" t="s">
        <v>715</v>
      </c>
      <c r="C115" s="4">
        <v>39</v>
      </c>
    </row>
    <row r="116" spans="1:3" x14ac:dyDescent="0.25">
      <c r="A116" s="8" t="s">
        <v>123</v>
      </c>
      <c r="B116" s="4" t="s">
        <v>99</v>
      </c>
      <c r="C116" s="4">
        <v>46</v>
      </c>
    </row>
    <row r="117" spans="1:3" x14ac:dyDescent="0.25">
      <c r="A117" s="8" t="s">
        <v>186</v>
      </c>
      <c r="B117" s="4" t="s">
        <v>720</v>
      </c>
      <c r="C117" s="4">
        <v>18</v>
      </c>
    </row>
    <row r="118" spans="1:3" x14ac:dyDescent="0.25">
      <c r="A118" s="8" t="s">
        <v>187</v>
      </c>
      <c r="B118" s="4" t="s">
        <v>726</v>
      </c>
      <c r="C118" s="4">
        <v>54</v>
      </c>
    </row>
    <row r="119" spans="1:3" x14ac:dyDescent="0.25">
      <c r="A119" s="8" t="s">
        <v>188</v>
      </c>
      <c r="B119" s="4" t="s">
        <v>721</v>
      </c>
      <c r="C119" s="4">
        <v>40</v>
      </c>
    </row>
    <row r="120" spans="1:3" x14ac:dyDescent="0.25">
      <c r="A120" s="8" t="s">
        <v>114</v>
      </c>
      <c r="B120" s="4" t="s">
        <v>721</v>
      </c>
      <c r="C120" s="4">
        <v>47</v>
      </c>
    </row>
    <row r="121" spans="1:3" x14ac:dyDescent="0.25">
      <c r="A121" s="8" t="s">
        <v>154</v>
      </c>
      <c r="B121" s="4" t="s">
        <v>723</v>
      </c>
      <c r="C121" s="4">
        <v>54</v>
      </c>
    </row>
    <row r="122" spans="1:3" x14ac:dyDescent="0.25">
      <c r="A122" s="8" t="s">
        <v>119</v>
      </c>
      <c r="B122" s="4" t="s">
        <v>713</v>
      </c>
      <c r="C122" s="4">
        <v>38</v>
      </c>
    </row>
    <row r="123" spans="1:3" x14ac:dyDescent="0.25">
      <c r="A123" s="8" t="s">
        <v>189</v>
      </c>
      <c r="B123" s="4" t="s">
        <v>726</v>
      </c>
      <c r="C123" s="4">
        <v>21</v>
      </c>
    </row>
    <row r="124" spans="1:3" x14ac:dyDescent="0.25">
      <c r="A124" s="8" t="s">
        <v>153</v>
      </c>
      <c r="B124" s="4" t="s">
        <v>721</v>
      </c>
      <c r="C124" s="4">
        <v>48</v>
      </c>
    </row>
    <row r="125" spans="1:3" x14ac:dyDescent="0.25">
      <c r="A125" s="8" t="s">
        <v>173</v>
      </c>
      <c r="B125" s="4" t="s">
        <v>729</v>
      </c>
      <c r="C125" s="4">
        <v>36</v>
      </c>
    </row>
    <row r="126" spans="1:3" x14ac:dyDescent="0.25">
      <c r="A126" s="8" t="s">
        <v>190</v>
      </c>
      <c r="B126" s="4" t="s">
        <v>725</v>
      </c>
      <c r="C126" s="4">
        <v>13</v>
      </c>
    </row>
    <row r="127" spans="1:3" x14ac:dyDescent="0.25">
      <c r="A127" s="8" t="s">
        <v>142</v>
      </c>
      <c r="B127" s="4" t="s">
        <v>100</v>
      </c>
      <c r="C127" s="4">
        <v>45</v>
      </c>
    </row>
    <row r="128" spans="1:3" x14ac:dyDescent="0.25">
      <c r="A128" s="8" t="s">
        <v>188</v>
      </c>
      <c r="B128" s="4" t="s">
        <v>719</v>
      </c>
      <c r="C128" s="4">
        <v>15</v>
      </c>
    </row>
    <row r="129" spans="1:3" x14ac:dyDescent="0.25">
      <c r="A129" s="8" t="s">
        <v>141</v>
      </c>
      <c r="B129" s="4" t="s">
        <v>712</v>
      </c>
      <c r="C129" s="4">
        <v>21</v>
      </c>
    </row>
    <row r="130" spans="1:3" x14ac:dyDescent="0.25">
      <c r="A130" s="8" t="s">
        <v>191</v>
      </c>
      <c r="B130" s="4" t="s">
        <v>724</v>
      </c>
      <c r="C130" s="4">
        <v>14</v>
      </c>
    </row>
    <row r="131" spans="1:3" x14ac:dyDescent="0.25">
      <c r="A131" s="8" t="s">
        <v>151</v>
      </c>
      <c r="B131" s="4" t="s">
        <v>727</v>
      </c>
      <c r="C131" s="4">
        <v>35</v>
      </c>
    </row>
    <row r="132" spans="1:3" x14ac:dyDescent="0.25">
      <c r="A132" s="8" t="s">
        <v>192</v>
      </c>
      <c r="B132" s="4" t="s">
        <v>727</v>
      </c>
      <c r="C132" s="4">
        <v>54</v>
      </c>
    </row>
    <row r="133" spans="1:3" x14ac:dyDescent="0.25">
      <c r="A133" s="8" t="s">
        <v>121</v>
      </c>
      <c r="B133" s="4" t="s">
        <v>716</v>
      </c>
      <c r="C133" s="4">
        <v>10</v>
      </c>
    </row>
    <row r="134" spans="1:3" x14ac:dyDescent="0.25">
      <c r="A134" s="8" t="s">
        <v>113</v>
      </c>
      <c r="B134" s="4" t="s">
        <v>102</v>
      </c>
      <c r="C134" s="4">
        <v>28</v>
      </c>
    </row>
    <row r="135" spans="1:3" x14ac:dyDescent="0.25">
      <c r="A135" s="8" t="s">
        <v>193</v>
      </c>
      <c r="B135" s="4" t="s">
        <v>99</v>
      </c>
      <c r="C135" s="4">
        <v>34</v>
      </c>
    </row>
    <row r="136" spans="1:3" x14ac:dyDescent="0.25">
      <c r="A136" s="8" t="s">
        <v>194</v>
      </c>
      <c r="B136" s="4" t="s">
        <v>102</v>
      </c>
      <c r="C136" s="4">
        <v>45</v>
      </c>
    </row>
    <row r="137" spans="1:3" x14ac:dyDescent="0.25">
      <c r="A137" s="8" t="s">
        <v>138</v>
      </c>
      <c r="B137" s="4" t="s">
        <v>717</v>
      </c>
      <c r="C137" s="4">
        <v>16</v>
      </c>
    </row>
    <row r="138" spans="1:3" x14ac:dyDescent="0.25">
      <c r="A138" s="8" t="s">
        <v>195</v>
      </c>
      <c r="B138" s="4" t="s">
        <v>720</v>
      </c>
      <c r="C138" s="4">
        <v>28</v>
      </c>
    </row>
    <row r="139" spans="1:3" x14ac:dyDescent="0.25">
      <c r="A139" s="8" t="s">
        <v>196</v>
      </c>
      <c r="B139" s="4" t="s">
        <v>718</v>
      </c>
      <c r="C139" s="4">
        <v>56</v>
      </c>
    </row>
    <row r="140" spans="1:3" x14ac:dyDescent="0.25">
      <c r="A140" s="8" t="s">
        <v>196</v>
      </c>
      <c r="B140" s="4" t="s">
        <v>101</v>
      </c>
      <c r="C140" s="4">
        <v>16</v>
      </c>
    </row>
    <row r="141" spans="1:3" x14ac:dyDescent="0.25">
      <c r="A141" s="8" t="s">
        <v>131</v>
      </c>
      <c r="B141" s="4" t="s">
        <v>714</v>
      </c>
      <c r="C141" s="4">
        <v>29</v>
      </c>
    </row>
    <row r="142" spans="1:3" x14ac:dyDescent="0.25">
      <c r="A142" s="8" t="s">
        <v>154</v>
      </c>
      <c r="B142" s="4" t="s">
        <v>721</v>
      </c>
      <c r="C142" s="4">
        <v>59</v>
      </c>
    </row>
    <row r="143" spans="1:3" x14ac:dyDescent="0.25">
      <c r="A143" s="8" t="s">
        <v>197</v>
      </c>
      <c r="B143" s="4" t="s">
        <v>725</v>
      </c>
      <c r="C143" s="4">
        <v>36</v>
      </c>
    </row>
    <row r="144" spans="1:3" x14ac:dyDescent="0.25">
      <c r="A144" s="8" t="s">
        <v>146</v>
      </c>
      <c r="B144" s="4" t="s">
        <v>722</v>
      </c>
      <c r="C144" s="4">
        <v>40</v>
      </c>
    </row>
    <row r="145" spans="1:3" x14ac:dyDescent="0.25">
      <c r="A145" s="8" t="s">
        <v>193</v>
      </c>
      <c r="B145" s="4" t="s">
        <v>728</v>
      </c>
      <c r="C145" s="4">
        <v>19</v>
      </c>
    </row>
    <row r="146" spans="1:3" x14ac:dyDescent="0.25">
      <c r="A146" s="8" t="s">
        <v>124</v>
      </c>
      <c r="B146" s="4" t="s">
        <v>722</v>
      </c>
      <c r="C146" s="4">
        <v>14</v>
      </c>
    </row>
    <row r="147" spans="1:3" x14ac:dyDescent="0.25">
      <c r="A147" s="8" t="s">
        <v>128</v>
      </c>
      <c r="B147" s="4" t="s">
        <v>720</v>
      </c>
      <c r="C147" s="4">
        <v>41</v>
      </c>
    </row>
    <row r="148" spans="1:3" x14ac:dyDescent="0.25">
      <c r="A148" s="8" t="s">
        <v>198</v>
      </c>
      <c r="B148" s="4" t="s">
        <v>100</v>
      </c>
      <c r="C148" s="4">
        <v>26</v>
      </c>
    </row>
    <row r="149" spans="1:3" x14ac:dyDescent="0.25">
      <c r="A149" s="8" t="s">
        <v>126</v>
      </c>
      <c r="B149" s="4" t="s">
        <v>722</v>
      </c>
      <c r="C149" s="4">
        <v>22</v>
      </c>
    </row>
    <row r="150" spans="1:3" x14ac:dyDescent="0.25">
      <c r="A150" s="8" t="s">
        <v>199</v>
      </c>
      <c r="B150" s="4" t="s">
        <v>710</v>
      </c>
      <c r="C150" s="4">
        <v>36</v>
      </c>
    </row>
    <row r="151" spans="1:3" x14ac:dyDescent="0.25">
      <c r="A151" s="8" t="s">
        <v>200</v>
      </c>
      <c r="B151" s="4" t="s">
        <v>101</v>
      </c>
      <c r="C151" s="4">
        <v>38</v>
      </c>
    </row>
    <row r="152" spans="1:3" x14ac:dyDescent="0.25">
      <c r="A152" s="8" t="s">
        <v>116</v>
      </c>
      <c r="B152" s="4" t="s">
        <v>715</v>
      </c>
      <c r="C152" s="4">
        <v>20</v>
      </c>
    </row>
    <row r="153" spans="1:3" x14ac:dyDescent="0.25">
      <c r="A153" s="8" t="s">
        <v>154</v>
      </c>
      <c r="B153" s="4" t="s">
        <v>719</v>
      </c>
      <c r="C153" s="4">
        <v>25</v>
      </c>
    </row>
    <row r="154" spans="1:3" x14ac:dyDescent="0.25">
      <c r="A154" s="8" t="s">
        <v>158</v>
      </c>
      <c r="B154" s="4" t="s">
        <v>714</v>
      </c>
      <c r="C154" s="4">
        <v>22</v>
      </c>
    </row>
    <row r="155" spans="1:3" x14ac:dyDescent="0.25">
      <c r="A155" s="8" t="s">
        <v>195</v>
      </c>
      <c r="B155" s="4" t="s">
        <v>716</v>
      </c>
      <c r="C155" s="4">
        <v>15</v>
      </c>
    </row>
    <row r="156" spans="1:3" x14ac:dyDescent="0.25">
      <c r="A156" s="8" t="s">
        <v>201</v>
      </c>
      <c r="B156" s="4" t="s">
        <v>710</v>
      </c>
      <c r="C156" s="4">
        <v>47</v>
      </c>
    </row>
    <row r="157" spans="1:3" x14ac:dyDescent="0.25">
      <c r="A157" s="8" t="s">
        <v>202</v>
      </c>
      <c r="B157" s="4" t="s">
        <v>715</v>
      </c>
      <c r="C157" s="4">
        <v>20</v>
      </c>
    </row>
    <row r="158" spans="1:3" x14ac:dyDescent="0.25">
      <c r="A158" s="8" t="s">
        <v>203</v>
      </c>
      <c r="B158" s="4" t="s">
        <v>727</v>
      </c>
      <c r="C158" s="4">
        <v>46</v>
      </c>
    </row>
    <row r="159" spans="1:3" x14ac:dyDescent="0.25">
      <c r="A159" s="8" t="s">
        <v>158</v>
      </c>
      <c r="B159" s="4" t="s">
        <v>724</v>
      </c>
      <c r="C159" s="4">
        <v>47</v>
      </c>
    </row>
    <row r="160" spans="1:3" x14ac:dyDescent="0.25">
      <c r="A160" s="8" t="s">
        <v>165</v>
      </c>
      <c r="B160" s="4" t="s">
        <v>716</v>
      </c>
      <c r="C160" s="4">
        <v>27</v>
      </c>
    </row>
    <row r="161" spans="1:3" x14ac:dyDescent="0.25">
      <c r="A161" s="8" t="s">
        <v>201</v>
      </c>
      <c r="B161" s="4" t="s">
        <v>726</v>
      </c>
      <c r="C161" s="4">
        <v>24</v>
      </c>
    </row>
    <row r="162" spans="1:3" x14ac:dyDescent="0.25">
      <c r="A162" s="8" t="s">
        <v>146</v>
      </c>
      <c r="B162" s="4" t="s">
        <v>713</v>
      </c>
      <c r="C162" s="4">
        <v>59</v>
      </c>
    </row>
    <row r="163" spans="1:3" x14ac:dyDescent="0.25">
      <c r="A163" s="8" t="s">
        <v>154</v>
      </c>
      <c r="B163" s="4" t="s">
        <v>723</v>
      </c>
      <c r="C163" s="4">
        <v>16</v>
      </c>
    </row>
    <row r="164" spans="1:3" x14ac:dyDescent="0.25">
      <c r="A164" s="8" t="s">
        <v>166</v>
      </c>
      <c r="B164" s="4" t="s">
        <v>718</v>
      </c>
      <c r="C164" s="4">
        <v>12</v>
      </c>
    </row>
    <row r="165" spans="1:3" x14ac:dyDescent="0.25">
      <c r="A165" s="8" t="s">
        <v>204</v>
      </c>
      <c r="B165" s="4" t="s">
        <v>716</v>
      </c>
      <c r="C165" s="4">
        <v>23</v>
      </c>
    </row>
    <row r="166" spans="1:3" x14ac:dyDescent="0.25">
      <c r="A166" s="8" t="s">
        <v>205</v>
      </c>
      <c r="B166" s="4" t="s">
        <v>729</v>
      </c>
      <c r="C166" s="4">
        <v>49</v>
      </c>
    </row>
    <row r="167" spans="1:3" x14ac:dyDescent="0.25">
      <c r="A167" s="8" t="s">
        <v>206</v>
      </c>
      <c r="B167" s="4" t="s">
        <v>722</v>
      </c>
      <c r="C167" s="4">
        <v>17</v>
      </c>
    </row>
    <row r="168" spans="1:3" x14ac:dyDescent="0.25">
      <c r="A168" s="8" t="s">
        <v>173</v>
      </c>
      <c r="B168" s="4" t="s">
        <v>729</v>
      </c>
      <c r="C168" s="4">
        <v>19</v>
      </c>
    </row>
    <row r="169" spans="1:3" x14ac:dyDescent="0.25">
      <c r="A169" s="8" t="s">
        <v>207</v>
      </c>
      <c r="B169" s="4" t="s">
        <v>713</v>
      </c>
      <c r="C169" s="4">
        <v>57</v>
      </c>
    </row>
    <row r="170" spans="1:3" x14ac:dyDescent="0.25">
      <c r="A170" s="8" t="s">
        <v>208</v>
      </c>
      <c r="B170" s="4" t="s">
        <v>710</v>
      </c>
      <c r="C170" s="4">
        <v>42</v>
      </c>
    </row>
    <row r="171" spans="1:3" x14ac:dyDescent="0.25">
      <c r="A171" s="8" t="s">
        <v>117</v>
      </c>
      <c r="B171" s="4" t="s">
        <v>727</v>
      </c>
      <c r="C171" s="4">
        <v>31</v>
      </c>
    </row>
    <row r="172" spans="1:3" x14ac:dyDescent="0.25">
      <c r="A172" s="8" t="s">
        <v>209</v>
      </c>
      <c r="B172" s="4" t="s">
        <v>714</v>
      </c>
      <c r="C172" s="4">
        <v>54</v>
      </c>
    </row>
    <row r="173" spans="1:3" x14ac:dyDescent="0.25">
      <c r="A173" s="8" t="s">
        <v>115</v>
      </c>
      <c r="B173" s="4" t="s">
        <v>101</v>
      </c>
      <c r="C173" s="4">
        <v>52</v>
      </c>
    </row>
    <row r="174" spans="1:3" x14ac:dyDescent="0.25">
      <c r="A174" s="8" t="s">
        <v>183</v>
      </c>
      <c r="B174" s="4" t="s">
        <v>727</v>
      </c>
      <c r="C174" s="4">
        <v>52</v>
      </c>
    </row>
    <row r="175" spans="1:3" x14ac:dyDescent="0.25">
      <c r="A175" s="8" t="s">
        <v>146</v>
      </c>
      <c r="B175" s="4" t="s">
        <v>102</v>
      </c>
      <c r="C175" s="4">
        <v>10</v>
      </c>
    </row>
    <row r="176" spans="1:3" x14ac:dyDescent="0.25">
      <c r="A176" s="8" t="s">
        <v>210</v>
      </c>
      <c r="B176" s="4" t="s">
        <v>103</v>
      </c>
      <c r="C176" s="4">
        <v>35</v>
      </c>
    </row>
    <row r="177" spans="1:3" x14ac:dyDescent="0.25">
      <c r="A177" s="8" t="s">
        <v>154</v>
      </c>
      <c r="B177" s="4" t="s">
        <v>101</v>
      </c>
      <c r="C177" s="4">
        <v>10</v>
      </c>
    </row>
    <row r="178" spans="1:3" x14ac:dyDescent="0.25">
      <c r="A178" s="8" t="s">
        <v>211</v>
      </c>
      <c r="B178" s="4" t="s">
        <v>717</v>
      </c>
      <c r="C178" s="4">
        <v>53</v>
      </c>
    </row>
    <row r="179" spans="1:3" x14ac:dyDescent="0.25">
      <c r="A179" s="8" t="s">
        <v>162</v>
      </c>
      <c r="B179" s="4" t="s">
        <v>719</v>
      </c>
      <c r="C179" s="4">
        <v>51</v>
      </c>
    </row>
    <row r="180" spans="1:3" x14ac:dyDescent="0.25">
      <c r="A180" s="8" t="s">
        <v>181</v>
      </c>
      <c r="B180" s="4" t="s">
        <v>728</v>
      </c>
      <c r="C180" s="4">
        <v>17</v>
      </c>
    </row>
    <row r="181" spans="1:3" x14ac:dyDescent="0.25">
      <c r="A181" s="8" t="s">
        <v>207</v>
      </c>
      <c r="B181" s="4" t="s">
        <v>711</v>
      </c>
      <c r="C181" s="4">
        <v>26</v>
      </c>
    </row>
    <row r="182" spans="1:3" x14ac:dyDescent="0.25">
      <c r="A182" s="8" t="s">
        <v>117</v>
      </c>
      <c r="B182" s="4" t="s">
        <v>718</v>
      </c>
      <c r="C182" s="4">
        <v>37</v>
      </c>
    </row>
    <row r="183" spans="1:3" x14ac:dyDescent="0.25">
      <c r="A183" s="8" t="s">
        <v>212</v>
      </c>
      <c r="B183" s="4" t="s">
        <v>100</v>
      </c>
      <c r="C183" s="4">
        <v>57</v>
      </c>
    </row>
    <row r="184" spans="1:3" x14ac:dyDescent="0.25">
      <c r="A184" s="8" t="s">
        <v>169</v>
      </c>
      <c r="B184" s="4" t="s">
        <v>103</v>
      </c>
      <c r="C184" s="4">
        <v>45</v>
      </c>
    </row>
    <row r="185" spans="1:3" x14ac:dyDescent="0.25">
      <c r="A185" s="8" t="s">
        <v>213</v>
      </c>
      <c r="B185" s="4" t="s">
        <v>722</v>
      </c>
      <c r="C185" s="4">
        <v>15</v>
      </c>
    </row>
    <row r="186" spans="1:3" x14ac:dyDescent="0.25">
      <c r="A186" s="8" t="s">
        <v>149</v>
      </c>
      <c r="B186" s="4" t="s">
        <v>721</v>
      </c>
      <c r="C186" s="4">
        <v>46</v>
      </c>
    </row>
    <row r="187" spans="1:3" x14ac:dyDescent="0.25">
      <c r="A187" s="8" t="s">
        <v>148</v>
      </c>
      <c r="B187" s="4" t="s">
        <v>718</v>
      </c>
      <c r="C187" s="4">
        <v>57</v>
      </c>
    </row>
    <row r="188" spans="1:3" x14ac:dyDescent="0.25">
      <c r="A188" s="8" t="s">
        <v>196</v>
      </c>
      <c r="B188" s="4" t="s">
        <v>729</v>
      </c>
      <c r="C188" s="4">
        <v>54</v>
      </c>
    </row>
    <row r="189" spans="1:3" x14ac:dyDescent="0.25">
      <c r="A189" s="8" t="s">
        <v>214</v>
      </c>
      <c r="B189" s="4" t="s">
        <v>726</v>
      </c>
      <c r="C189" s="4">
        <v>17</v>
      </c>
    </row>
    <row r="190" spans="1:3" x14ac:dyDescent="0.25">
      <c r="A190" s="8" t="s">
        <v>215</v>
      </c>
      <c r="B190" s="4" t="s">
        <v>716</v>
      </c>
      <c r="C190" s="4">
        <v>30</v>
      </c>
    </row>
    <row r="191" spans="1:3" x14ac:dyDescent="0.25">
      <c r="A191" s="8" t="s">
        <v>216</v>
      </c>
      <c r="B191" s="4" t="s">
        <v>723</v>
      </c>
      <c r="C191" s="4">
        <v>38</v>
      </c>
    </row>
    <row r="192" spans="1:3" x14ac:dyDescent="0.25">
      <c r="A192" s="8" t="s">
        <v>217</v>
      </c>
      <c r="B192" s="4" t="s">
        <v>710</v>
      </c>
      <c r="C192" s="4">
        <v>39</v>
      </c>
    </row>
    <row r="193" spans="1:3" x14ac:dyDescent="0.25">
      <c r="A193" s="8" t="s">
        <v>176</v>
      </c>
      <c r="B193" s="4" t="s">
        <v>728</v>
      </c>
      <c r="C193" s="4">
        <v>22</v>
      </c>
    </row>
    <row r="194" spans="1:3" x14ac:dyDescent="0.25">
      <c r="A194" s="8" t="s">
        <v>142</v>
      </c>
      <c r="B194" s="4" t="s">
        <v>729</v>
      </c>
      <c r="C194" s="4">
        <v>56</v>
      </c>
    </row>
    <row r="195" spans="1:3" x14ac:dyDescent="0.25">
      <c r="A195" s="8" t="s">
        <v>166</v>
      </c>
      <c r="B195" s="4" t="s">
        <v>726</v>
      </c>
      <c r="C195" s="4">
        <v>34</v>
      </c>
    </row>
    <row r="196" spans="1:3" x14ac:dyDescent="0.25">
      <c r="A196" s="8" t="s">
        <v>164</v>
      </c>
      <c r="B196" s="4" t="s">
        <v>719</v>
      </c>
      <c r="C196" s="4">
        <v>15</v>
      </c>
    </row>
    <row r="197" spans="1:3" x14ac:dyDescent="0.25">
      <c r="A197" s="8" t="s">
        <v>177</v>
      </c>
      <c r="B197" s="4" t="s">
        <v>727</v>
      </c>
      <c r="C197" s="4">
        <v>45</v>
      </c>
    </row>
    <row r="198" spans="1:3" x14ac:dyDescent="0.25">
      <c r="A198" s="8" t="s">
        <v>158</v>
      </c>
      <c r="B198" s="4" t="s">
        <v>725</v>
      </c>
      <c r="C198" s="4">
        <v>48</v>
      </c>
    </row>
    <row r="199" spans="1:3" x14ac:dyDescent="0.25">
      <c r="A199" s="8" t="s">
        <v>218</v>
      </c>
      <c r="B199" s="4" t="s">
        <v>721</v>
      </c>
      <c r="C199" s="4">
        <v>19</v>
      </c>
    </row>
    <row r="200" spans="1:3" x14ac:dyDescent="0.25">
      <c r="A200" s="8" t="s">
        <v>130</v>
      </c>
      <c r="B200" s="4" t="s">
        <v>712</v>
      </c>
      <c r="C200" s="4">
        <v>14</v>
      </c>
    </row>
    <row r="201" spans="1:3" x14ac:dyDescent="0.25">
      <c r="A201" s="8" t="s">
        <v>183</v>
      </c>
      <c r="B201" s="4" t="s">
        <v>103</v>
      </c>
      <c r="C201" s="4">
        <v>29</v>
      </c>
    </row>
    <row r="202" spans="1:3" x14ac:dyDescent="0.25">
      <c r="A202" s="8" t="s">
        <v>139</v>
      </c>
      <c r="B202" s="4" t="s">
        <v>715</v>
      </c>
      <c r="C202" s="4">
        <v>52</v>
      </c>
    </row>
    <row r="203" spans="1:3" x14ac:dyDescent="0.25">
      <c r="A203" s="8" t="s">
        <v>209</v>
      </c>
      <c r="B203" s="4" t="s">
        <v>100</v>
      </c>
      <c r="C203" s="4">
        <v>31</v>
      </c>
    </row>
    <row r="204" spans="1:3" x14ac:dyDescent="0.25">
      <c r="A204" s="8" t="s">
        <v>219</v>
      </c>
      <c r="B204" s="4" t="s">
        <v>712</v>
      </c>
      <c r="C204" s="4">
        <v>30</v>
      </c>
    </row>
    <row r="205" spans="1:3" x14ac:dyDescent="0.25">
      <c r="A205" s="8" t="s">
        <v>128</v>
      </c>
      <c r="B205" s="4" t="s">
        <v>726</v>
      </c>
      <c r="C205" s="4">
        <v>16</v>
      </c>
    </row>
    <row r="206" spans="1:3" x14ac:dyDescent="0.25">
      <c r="A206" s="8" t="s">
        <v>201</v>
      </c>
      <c r="B206" s="4" t="s">
        <v>727</v>
      </c>
      <c r="C206" s="4">
        <v>40</v>
      </c>
    </row>
    <row r="207" spans="1:3" x14ac:dyDescent="0.25">
      <c r="A207" s="8" t="s">
        <v>204</v>
      </c>
      <c r="B207" s="4" t="s">
        <v>99</v>
      </c>
      <c r="C207" s="4">
        <v>43</v>
      </c>
    </row>
    <row r="208" spans="1:3" x14ac:dyDescent="0.25">
      <c r="A208" s="8" t="s">
        <v>220</v>
      </c>
      <c r="B208" s="4" t="s">
        <v>722</v>
      </c>
      <c r="C208" s="4">
        <v>33</v>
      </c>
    </row>
    <row r="209" spans="1:3" x14ac:dyDescent="0.25">
      <c r="A209" s="8" t="s">
        <v>221</v>
      </c>
      <c r="B209" s="4" t="s">
        <v>727</v>
      </c>
      <c r="C209" s="4">
        <v>26</v>
      </c>
    </row>
    <row r="210" spans="1:3" x14ac:dyDescent="0.25">
      <c r="A210" s="8" t="s">
        <v>203</v>
      </c>
      <c r="B210" s="4" t="s">
        <v>727</v>
      </c>
      <c r="C210" s="4">
        <v>34</v>
      </c>
    </row>
    <row r="211" spans="1:3" x14ac:dyDescent="0.25">
      <c r="A211" s="8" t="s">
        <v>112</v>
      </c>
      <c r="B211" s="4" t="s">
        <v>728</v>
      </c>
      <c r="C211" s="4">
        <v>15</v>
      </c>
    </row>
    <row r="212" spans="1:3" x14ac:dyDescent="0.25">
      <c r="A212" s="8" t="s">
        <v>196</v>
      </c>
      <c r="B212" s="4" t="s">
        <v>723</v>
      </c>
      <c r="C212" s="4">
        <v>55</v>
      </c>
    </row>
    <row r="213" spans="1:3" x14ac:dyDescent="0.25">
      <c r="A213" s="8" t="s">
        <v>138</v>
      </c>
      <c r="B213" s="4" t="s">
        <v>101</v>
      </c>
      <c r="C213" s="4">
        <v>28</v>
      </c>
    </row>
    <row r="214" spans="1:3" x14ac:dyDescent="0.25">
      <c r="A214" s="8" t="s">
        <v>115</v>
      </c>
      <c r="B214" s="4" t="s">
        <v>720</v>
      </c>
      <c r="C214" s="4">
        <v>19</v>
      </c>
    </row>
    <row r="215" spans="1:3" x14ac:dyDescent="0.25">
      <c r="A215" s="8" t="s">
        <v>148</v>
      </c>
      <c r="B215" s="4" t="s">
        <v>100</v>
      </c>
      <c r="C215" s="4">
        <v>34</v>
      </c>
    </row>
    <row r="216" spans="1:3" x14ac:dyDescent="0.25">
      <c r="A216" s="8" t="s">
        <v>150</v>
      </c>
      <c r="B216" s="4" t="s">
        <v>721</v>
      </c>
      <c r="C216" s="4">
        <v>43</v>
      </c>
    </row>
    <row r="217" spans="1:3" x14ac:dyDescent="0.25">
      <c r="A217" s="8" t="s">
        <v>222</v>
      </c>
      <c r="B217" s="4" t="s">
        <v>711</v>
      </c>
      <c r="C217" s="4">
        <v>25</v>
      </c>
    </row>
    <row r="218" spans="1:3" x14ac:dyDescent="0.25">
      <c r="A218" s="8" t="s">
        <v>223</v>
      </c>
      <c r="B218" s="4" t="s">
        <v>722</v>
      </c>
      <c r="C218" s="4">
        <v>19</v>
      </c>
    </row>
    <row r="219" spans="1:3" x14ac:dyDescent="0.25">
      <c r="A219" s="8" t="s">
        <v>170</v>
      </c>
      <c r="B219" s="4" t="s">
        <v>102</v>
      </c>
      <c r="C219" s="4">
        <v>28</v>
      </c>
    </row>
    <row r="220" spans="1:3" x14ac:dyDescent="0.25">
      <c r="A220" s="8" t="s">
        <v>109</v>
      </c>
      <c r="B220" s="4" t="s">
        <v>102</v>
      </c>
      <c r="C220" s="4">
        <v>54</v>
      </c>
    </row>
    <row r="221" spans="1:3" x14ac:dyDescent="0.25">
      <c r="A221" s="8" t="s">
        <v>224</v>
      </c>
      <c r="B221" s="4" t="s">
        <v>710</v>
      </c>
      <c r="C221" s="4">
        <v>42</v>
      </c>
    </row>
    <row r="222" spans="1:3" x14ac:dyDescent="0.25">
      <c r="A222" s="8" t="s">
        <v>223</v>
      </c>
      <c r="B222" s="4" t="s">
        <v>721</v>
      </c>
      <c r="C222" s="4">
        <v>47</v>
      </c>
    </row>
    <row r="223" spans="1:3" x14ac:dyDescent="0.25">
      <c r="A223" s="8" t="s">
        <v>225</v>
      </c>
      <c r="B223" s="4" t="s">
        <v>720</v>
      </c>
      <c r="C223" s="4">
        <v>35</v>
      </c>
    </row>
    <row r="224" spans="1:3" x14ac:dyDescent="0.25">
      <c r="A224" s="8" t="s">
        <v>226</v>
      </c>
      <c r="B224" s="4" t="s">
        <v>724</v>
      </c>
      <c r="C224" s="4">
        <v>25</v>
      </c>
    </row>
    <row r="225" spans="1:3" x14ac:dyDescent="0.25">
      <c r="A225" s="8" t="s">
        <v>227</v>
      </c>
      <c r="B225" s="4" t="s">
        <v>713</v>
      </c>
      <c r="C225" s="4">
        <v>27</v>
      </c>
    </row>
    <row r="226" spans="1:3" x14ac:dyDescent="0.25">
      <c r="A226" s="8" t="s">
        <v>228</v>
      </c>
      <c r="B226" s="4" t="s">
        <v>726</v>
      </c>
      <c r="C226" s="4">
        <v>54</v>
      </c>
    </row>
    <row r="227" spans="1:3" x14ac:dyDescent="0.25">
      <c r="A227" s="8" t="s">
        <v>182</v>
      </c>
      <c r="B227" s="4" t="s">
        <v>722</v>
      </c>
      <c r="C227" s="4">
        <v>54</v>
      </c>
    </row>
    <row r="228" spans="1:3" x14ac:dyDescent="0.25">
      <c r="A228" s="8" t="s">
        <v>229</v>
      </c>
      <c r="B228" s="4" t="s">
        <v>99</v>
      </c>
      <c r="C228" s="4">
        <v>26</v>
      </c>
    </row>
    <row r="229" spans="1:3" x14ac:dyDescent="0.25">
      <c r="A229" s="8" t="s">
        <v>117</v>
      </c>
      <c r="B229" s="4" t="s">
        <v>727</v>
      </c>
      <c r="C229" s="4">
        <v>45</v>
      </c>
    </row>
    <row r="230" spans="1:3" x14ac:dyDescent="0.25">
      <c r="A230" s="8" t="s">
        <v>158</v>
      </c>
      <c r="B230" s="4" t="s">
        <v>102</v>
      </c>
      <c r="C230" s="4">
        <v>54</v>
      </c>
    </row>
    <row r="231" spans="1:3" x14ac:dyDescent="0.25">
      <c r="A231" s="8" t="s">
        <v>127</v>
      </c>
      <c r="B231" s="4" t="s">
        <v>710</v>
      </c>
      <c r="C231" s="4">
        <v>35</v>
      </c>
    </row>
    <row r="232" spans="1:3" x14ac:dyDescent="0.25">
      <c r="A232" s="8" t="s">
        <v>120</v>
      </c>
      <c r="B232" s="4" t="s">
        <v>711</v>
      </c>
      <c r="C232" s="4">
        <v>32</v>
      </c>
    </row>
    <row r="233" spans="1:3" x14ac:dyDescent="0.25">
      <c r="A233" s="8" t="s">
        <v>113</v>
      </c>
      <c r="B233" s="4" t="s">
        <v>718</v>
      </c>
      <c r="C233" s="4">
        <v>32</v>
      </c>
    </row>
    <row r="234" spans="1:3" x14ac:dyDescent="0.25">
      <c r="A234" s="8" t="s">
        <v>229</v>
      </c>
      <c r="B234" s="4" t="s">
        <v>99</v>
      </c>
      <c r="C234" s="4">
        <v>38</v>
      </c>
    </row>
    <row r="235" spans="1:3" x14ac:dyDescent="0.25">
      <c r="A235" s="8" t="s">
        <v>178</v>
      </c>
      <c r="B235" s="4" t="s">
        <v>726</v>
      </c>
      <c r="C235" s="4">
        <v>42</v>
      </c>
    </row>
    <row r="236" spans="1:3" x14ac:dyDescent="0.25">
      <c r="A236" s="8" t="s">
        <v>201</v>
      </c>
      <c r="B236" s="4" t="s">
        <v>102</v>
      </c>
      <c r="C236" s="4">
        <v>47</v>
      </c>
    </row>
    <row r="237" spans="1:3" x14ac:dyDescent="0.25">
      <c r="A237" s="8" t="s">
        <v>123</v>
      </c>
      <c r="B237" s="4" t="s">
        <v>102</v>
      </c>
      <c r="C237" s="4">
        <v>40</v>
      </c>
    </row>
    <row r="238" spans="1:3" x14ac:dyDescent="0.25">
      <c r="A238" s="8" t="s">
        <v>209</v>
      </c>
      <c r="B238" s="4" t="s">
        <v>724</v>
      </c>
      <c r="C238" s="4">
        <v>48</v>
      </c>
    </row>
    <row r="239" spans="1:3" x14ac:dyDescent="0.25">
      <c r="A239" s="8" t="s">
        <v>137</v>
      </c>
      <c r="B239" s="4" t="s">
        <v>710</v>
      </c>
      <c r="C239" s="4">
        <v>12</v>
      </c>
    </row>
    <row r="240" spans="1:3" x14ac:dyDescent="0.25">
      <c r="A240" s="8" t="s">
        <v>188</v>
      </c>
      <c r="B240" s="4" t="s">
        <v>715</v>
      </c>
      <c r="C240" s="4">
        <v>42</v>
      </c>
    </row>
    <row r="241" spans="1:3" x14ac:dyDescent="0.25">
      <c r="A241" s="8" t="s">
        <v>230</v>
      </c>
      <c r="B241" s="4" t="s">
        <v>716</v>
      </c>
      <c r="C241" s="4">
        <v>32</v>
      </c>
    </row>
    <row r="242" spans="1:3" x14ac:dyDescent="0.25">
      <c r="A242" s="8" t="s">
        <v>163</v>
      </c>
      <c r="B242" s="4" t="s">
        <v>101</v>
      </c>
      <c r="C242" s="4">
        <v>47</v>
      </c>
    </row>
    <row r="243" spans="1:3" x14ac:dyDescent="0.25">
      <c r="A243" s="8" t="s">
        <v>187</v>
      </c>
      <c r="B243" s="4" t="s">
        <v>728</v>
      </c>
      <c r="C243" s="4">
        <v>55</v>
      </c>
    </row>
    <row r="244" spans="1:3" x14ac:dyDescent="0.25">
      <c r="A244" s="8" t="s">
        <v>231</v>
      </c>
      <c r="B244" s="4" t="s">
        <v>727</v>
      </c>
      <c r="C244" s="4">
        <v>17</v>
      </c>
    </row>
    <row r="245" spans="1:3" x14ac:dyDescent="0.25">
      <c r="A245" s="8" t="s">
        <v>232</v>
      </c>
      <c r="B245" s="4" t="s">
        <v>717</v>
      </c>
      <c r="C245" s="4">
        <v>32</v>
      </c>
    </row>
    <row r="246" spans="1:3" x14ac:dyDescent="0.25">
      <c r="A246" s="8" t="s">
        <v>186</v>
      </c>
      <c r="B246" s="4" t="s">
        <v>721</v>
      </c>
      <c r="C246" s="4">
        <v>24</v>
      </c>
    </row>
    <row r="247" spans="1:3" x14ac:dyDescent="0.25">
      <c r="A247" s="8" t="s">
        <v>233</v>
      </c>
      <c r="B247" s="4" t="s">
        <v>729</v>
      </c>
      <c r="C247" s="4">
        <v>12</v>
      </c>
    </row>
    <row r="248" spans="1:3" x14ac:dyDescent="0.25">
      <c r="A248" s="8" t="s">
        <v>222</v>
      </c>
      <c r="B248" s="4" t="s">
        <v>724</v>
      </c>
      <c r="C248" s="4">
        <v>38</v>
      </c>
    </row>
    <row r="249" spans="1:3" x14ac:dyDescent="0.25">
      <c r="A249" s="8" t="s">
        <v>214</v>
      </c>
      <c r="B249" s="4" t="s">
        <v>716</v>
      </c>
      <c r="C249" s="4">
        <v>40</v>
      </c>
    </row>
    <row r="250" spans="1:3" x14ac:dyDescent="0.25">
      <c r="A250" s="8" t="s">
        <v>205</v>
      </c>
      <c r="B250" s="4" t="s">
        <v>103</v>
      </c>
      <c r="C250" s="4">
        <v>23</v>
      </c>
    </row>
    <row r="251" spans="1:3" x14ac:dyDescent="0.25">
      <c r="A251" s="8" t="s">
        <v>223</v>
      </c>
      <c r="B251" s="4" t="s">
        <v>103</v>
      </c>
      <c r="C251" s="4">
        <v>48</v>
      </c>
    </row>
    <row r="252" spans="1:3" x14ac:dyDescent="0.25">
      <c r="A252" s="8" t="s">
        <v>162</v>
      </c>
      <c r="B252" s="4" t="s">
        <v>719</v>
      </c>
      <c r="C252" s="4">
        <v>30</v>
      </c>
    </row>
    <row r="253" spans="1:3" x14ac:dyDescent="0.25">
      <c r="A253" s="8" t="s">
        <v>195</v>
      </c>
      <c r="B253" s="4" t="s">
        <v>712</v>
      </c>
      <c r="C253" s="4">
        <v>56</v>
      </c>
    </row>
    <row r="254" spans="1:3" x14ac:dyDescent="0.25">
      <c r="A254" s="8" t="s">
        <v>166</v>
      </c>
      <c r="B254" s="4" t="s">
        <v>99</v>
      </c>
      <c r="C254" s="4">
        <v>37</v>
      </c>
    </row>
    <row r="255" spans="1:3" x14ac:dyDescent="0.25">
      <c r="A255" s="8" t="s">
        <v>225</v>
      </c>
      <c r="B255" s="4" t="s">
        <v>712</v>
      </c>
      <c r="C255" s="4">
        <v>49</v>
      </c>
    </row>
    <row r="256" spans="1:3" x14ac:dyDescent="0.25">
      <c r="A256" s="8" t="s">
        <v>147</v>
      </c>
      <c r="B256" s="4" t="s">
        <v>721</v>
      </c>
      <c r="C256" s="4">
        <v>15</v>
      </c>
    </row>
    <row r="257" spans="1:3" x14ac:dyDescent="0.25">
      <c r="A257" s="8" t="s">
        <v>234</v>
      </c>
      <c r="B257" s="4" t="s">
        <v>726</v>
      </c>
      <c r="C257" s="4">
        <v>30</v>
      </c>
    </row>
    <row r="258" spans="1:3" x14ac:dyDescent="0.25">
      <c r="A258" s="8" t="s">
        <v>235</v>
      </c>
      <c r="B258" s="4" t="s">
        <v>719</v>
      </c>
      <c r="C258" s="4">
        <v>32</v>
      </c>
    </row>
    <row r="259" spans="1:3" x14ac:dyDescent="0.25">
      <c r="A259" s="8" t="s">
        <v>138</v>
      </c>
      <c r="B259" s="4" t="s">
        <v>728</v>
      </c>
      <c r="C259" s="4">
        <v>41</v>
      </c>
    </row>
    <row r="260" spans="1:3" x14ac:dyDescent="0.25">
      <c r="A260" s="8" t="s">
        <v>130</v>
      </c>
      <c r="B260" s="4" t="s">
        <v>103</v>
      </c>
      <c r="C260" s="4">
        <v>24</v>
      </c>
    </row>
    <row r="261" spans="1:3" x14ac:dyDescent="0.25">
      <c r="A261" s="8" t="s">
        <v>236</v>
      </c>
      <c r="B261" s="4" t="s">
        <v>727</v>
      </c>
      <c r="C261" s="4">
        <v>35</v>
      </c>
    </row>
    <row r="262" spans="1:3" x14ac:dyDescent="0.25">
      <c r="A262" s="8" t="s">
        <v>186</v>
      </c>
      <c r="B262" s="4" t="s">
        <v>713</v>
      </c>
      <c r="C262" s="4">
        <v>51</v>
      </c>
    </row>
    <row r="263" spans="1:3" x14ac:dyDescent="0.25">
      <c r="A263" s="8" t="s">
        <v>220</v>
      </c>
      <c r="B263" s="4" t="s">
        <v>716</v>
      </c>
      <c r="C263" s="4">
        <v>58</v>
      </c>
    </row>
    <row r="264" spans="1:3" x14ac:dyDescent="0.25">
      <c r="A264" s="8" t="s">
        <v>162</v>
      </c>
      <c r="B264" s="4" t="s">
        <v>710</v>
      </c>
      <c r="C264" s="4">
        <v>42</v>
      </c>
    </row>
    <row r="265" spans="1:3" x14ac:dyDescent="0.25">
      <c r="A265" s="8" t="s">
        <v>205</v>
      </c>
      <c r="B265" s="4" t="s">
        <v>721</v>
      </c>
      <c r="C265" s="4">
        <v>59</v>
      </c>
    </row>
    <row r="266" spans="1:3" x14ac:dyDescent="0.25">
      <c r="A266" s="8" t="s">
        <v>131</v>
      </c>
      <c r="B266" s="4" t="s">
        <v>103</v>
      </c>
      <c r="C266" s="4">
        <v>30</v>
      </c>
    </row>
    <row r="267" spans="1:3" x14ac:dyDescent="0.25">
      <c r="A267" s="8" t="s">
        <v>194</v>
      </c>
      <c r="B267" s="4" t="s">
        <v>712</v>
      </c>
      <c r="C267" s="4">
        <v>59</v>
      </c>
    </row>
    <row r="268" spans="1:3" x14ac:dyDescent="0.25">
      <c r="A268" s="8" t="s">
        <v>187</v>
      </c>
      <c r="B268" s="4" t="s">
        <v>101</v>
      </c>
      <c r="C268" s="4">
        <v>17</v>
      </c>
    </row>
    <row r="269" spans="1:3" x14ac:dyDescent="0.25">
      <c r="A269" s="8" t="s">
        <v>133</v>
      </c>
      <c r="B269" s="4" t="s">
        <v>719</v>
      </c>
      <c r="C269" s="4">
        <v>47</v>
      </c>
    </row>
    <row r="270" spans="1:3" x14ac:dyDescent="0.25">
      <c r="A270" s="8" t="s">
        <v>168</v>
      </c>
      <c r="B270" s="4" t="s">
        <v>719</v>
      </c>
      <c r="C270" s="4">
        <v>53</v>
      </c>
    </row>
    <row r="271" spans="1:3" x14ac:dyDescent="0.25">
      <c r="A271" s="8" t="s">
        <v>201</v>
      </c>
      <c r="B271" s="4" t="s">
        <v>722</v>
      </c>
      <c r="C271" s="4">
        <v>17</v>
      </c>
    </row>
    <row r="272" spans="1:3" x14ac:dyDescent="0.25">
      <c r="A272" s="8" t="s">
        <v>237</v>
      </c>
      <c r="B272" s="4" t="s">
        <v>714</v>
      </c>
      <c r="C272" s="4">
        <v>11</v>
      </c>
    </row>
    <row r="273" spans="1:3" x14ac:dyDescent="0.25">
      <c r="A273" s="8" t="s">
        <v>113</v>
      </c>
      <c r="B273" s="4" t="s">
        <v>718</v>
      </c>
      <c r="C273" s="4">
        <v>58</v>
      </c>
    </row>
    <row r="274" spans="1:3" x14ac:dyDescent="0.25">
      <c r="A274" s="8" t="s">
        <v>214</v>
      </c>
      <c r="B274" s="4" t="s">
        <v>728</v>
      </c>
      <c r="C274" s="4">
        <v>46</v>
      </c>
    </row>
    <row r="275" spans="1:3" x14ac:dyDescent="0.25">
      <c r="A275" s="8" t="s">
        <v>198</v>
      </c>
      <c r="B275" s="4" t="s">
        <v>713</v>
      </c>
      <c r="C275" s="4">
        <v>49</v>
      </c>
    </row>
    <row r="276" spans="1:3" x14ac:dyDescent="0.25">
      <c r="A276" s="8" t="s">
        <v>153</v>
      </c>
      <c r="B276" s="4" t="s">
        <v>718</v>
      </c>
      <c r="C276" s="4">
        <v>16</v>
      </c>
    </row>
    <row r="277" spans="1:3" x14ac:dyDescent="0.25">
      <c r="A277" s="8" t="s">
        <v>158</v>
      </c>
      <c r="B277" s="4" t="s">
        <v>723</v>
      </c>
      <c r="C277" s="4">
        <v>32</v>
      </c>
    </row>
    <row r="278" spans="1:3" x14ac:dyDescent="0.25">
      <c r="A278" s="8" t="s">
        <v>209</v>
      </c>
      <c r="B278" s="4" t="s">
        <v>717</v>
      </c>
      <c r="C278" s="4">
        <v>32</v>
      </c>
    </row>
    <row r="279" spans="1:3" x14ac:dyDescent="0.25">
      <c r="A279" s="8" t="s">
        <v>135</v>
      </c>
      <c r="B279" s="4" t="s">
        <v>100</v>
      </c>
      <c r="C279" s="4">
        <v>19</v>
      </c>
    </row>
    <row r="280" spans="1:3" x14ac:dyDescent="0.25">
      <c r="A280" s="8" t="s">
        <v>145</v>
      </c>
      <c r="B280" s="4" t="s">
        <v>725</v>
      </c>
      <c r="C280" s="4">
        <v>32</v>
      </c>
    </row>
    <row r="281" spans="1:3" x14ac:dyDescent="0.25">
      <c r="A281" s="8" t="s">
        <v>220</v>
      </c>
      <c r="B281" s="4" t="s">
        <v>718</v>
      </c>
      <c r="C281" s="4">
        <v>13</v>
      </c>
    </row>
    <row r="282" spans="1:3" x14ac:dyDescent="0.25">
      <c r="A282" s="8" t="s">
        <v>224</v>
      </c>
      <c r="B282" s="4" t="s">
        <v>720</v>
      </c>
      <c r="C282" s="4">
        <v>52</v>
      </c>
    </row>
    <row r="283" spans="1:3" x14ac:dyDescent="0.25">
      <c r="A283" s="8" t="s">
        <v>190</v>
      </c>
      <c r="B283" s="4" t="s">
        <v>102</v>
      </c>
      <c r="C283" s="4">
        <v>59</v>
      </c>
    </row>
    <row r="284" spans="1:3" x14ac:dyDescent="0.25">
      <c r="A284" s="8" t="s">
        <v>139</v>
      </c>
      <c r="B284" s="4" t="s">
        <v>715</v>
      </c>
      <c r="C284" s="4">
        <v>48</v>
      </c>
    </row>
    <row r="285" spans="1:3" x14ac:dyDescent="0.25">
      <c r="A285" s="8" t="s">
        <v>129</v>
      </c>
      <c r="B285" s="4" t="s">
        <v>726</v>
      </c>
      <c r="C285" s="4">
        <v>46</v>
      </c>
    </row>
    <row r="286" spans="1:3" x14ac:dyDescent="0.25">
      <c r="A286" s="8" t="s">
        <v>139</v>
      </c>
      <c r="B286" s="4" t="s">
        <v>727</v>
      </c>
      <c r="C286" s="4">
        <v>43</v>
      </c>
    </row>
    <row r="287" spans="1:3" x14ac:dyDescent="0.25">
      <c r="A287" s="8" t="s">
        <v>129</v>
      </c>
      <c r="B287" s="4" t="s">
        <v>715</v>
      </c>
      <c r="C287" s="4">
        <v>45</v>
      </c>
    </row>
    <row r="288" spans="1:3" x14ac:dyDescent="0.25">
      <c r="A288" s="8" t="s">
        <v>120</v>
      </c>
      <c r="B288" s="4" t="s">
        <v>721</v>
      </c>
      <c r="C288" s="4">
        <v>56</v>
      </c>
    </row>
    <row r="289" spans="1:3" x14ac:dyDescent="0.25">
      <c r="A289" s="8" t="s">
        <v>238</v>
      </c>
      <c r="B289" s="4" t="s">
        <v>712</v>
      </c>
      <c r="C289" s="4">
        <v>10</v>
      </c>
    </row>
    <row r="290" spans="1:3" x14ac:dyDescent="0.25">
      <c r="A290" s="8" t="s">
        <v>235</v>
      </c>
      <c r="B290" s="4" t="s">
        <v>715</v>
      </c>
      <c r="C290" s="4">
        <v>57</v>
      </c>
    </row>
    <row r="291" spans="1:3" x14ac:dyDescent="0.25">
      <c r="A291" s="8" t="s">
        <v>135</v>
      </c>
      <c r="B291" s="4" t="s">
        <v>723</v>
      </c>
      <c r="C291" s="4">
        <v>50</v>
      </c>
    </row>
    <row r="292" spans="1:3" x14ac:dyDescent="0.25">
      <c r="A292" s="8" t="s">
        <v>217</v>
      </c>
      <c r="B292" s="4" t="s">
        <v>712</v>
      </c>
      <c r="C292" s="4">
        <v>40</v>
      </c>
    </row>
    <row r="293" spans="1:3" x14ac:dyDescent="0.25">
      <c r="A293" s="8" t="s">
        <v>136</v>
      </c>
      <c r="B293" s="4" t="s">
        <v>714</v>
      </c>
      <c r="C293" s="4">
        <v>33</v>
      </c>
    </row>
    <row r="294" spans="1:3" x14ac:dyDescent="0.25">
      <c r="A294" s="8" t="s">
        <v>238</v>
      </c>
      <c r="B294" s="4" t="s">
        <v>100</v>
      </c>
      <c r="C294" s="4">
        <v>24</v>
      </c>
    </row>
    <row r="295" spans="1:3" x14ac:dyDescent="0.25">
      <c r="A295" s="8" t="s">
        <v>165</v>
      </c>
      <c r="B295" s="4" t="s">
        <v>101</v>
      </c>
      <c r="C295" s="4">
        <v>38</v>
      </c>
    </row>
    <row r="296" spans="1:3" x14ac:dyDescent="0.25">
      <c r="A296" s="8" t="s">
        <v>178</v>
      </c>
      <c r="B296" s="4" t="s">
        <v>100</v>
      </c>
      <c r="C296" s="4">
        <v>49</v>
      </c>
    </row>
    <row r="297" spans="1:3" x14ac:dyDescent="0.25">
      <c r="A297" s="8" t="s">
        <v>154</v>
      </c>
      <c r="B297" s="4" t="s">
        <v>716</v>
      </c>
      <c r="C297" s="4">
        <v>11</v>
      </c>
    </row>
    <row r="298" spans="1:3" x14ac:dyDescent="0.25">
      <c r="A298" s="8" t="s">
        <v>120</v>
      </c>
      <c r="B298" s="4" t="s">
        <v>720</v>
      </c>
      <c r="C298" s="4">
        <v>57</v>
      </c>
    </row>
    <row r="299" spans="1:3" x14ac:dyDescent="0.25">
      <c r="A299" s="8" t="s">
        <v>127</v>
      </c>
      <c r="B299" s="4" t="s">
        <v>103</v>
      </c>
      <c r="C299" s="4">
        <v>19</v>
      </c>
    </row>
    <row r="300" spans="1:3" x14ac:dyDescent="0.25">
      <c r="A300" s="8" t="s">
        <v>203</v>
      </c>
      <c r="B300" s="4" t="s">
        <v>715</v>
      </c>
      <c r="C300" s="4">
        <v>45</v>
      </c>
    </row>
    <row r="301" spans="1:3" x14ac:dyDescent="0.25">
      <c r="A301" s="8" t="s">
        <v>222</v>
      </c>
      <c r="B301" s="4" t="s">
        <v>719</v>
      </c>
      <c r="C301" s="4">
        <v>38</v>
      </c>
    </row>
    <row r="302" spans="1:3" x14ac:dyDescent="0.25">
      <c r="A302" s="8" t="s">
        <v>237</v>
      </c>
      <c r="B302" s="4" t="s">
        <v>716</v>
      </c>
      <c r="C302" s="4">
        <v>32</v>
      </c>
    </row>
    <row r="303" spans="1:3" x14ac:dyDescent="0.25">
      <c r="A303" s="8" t="s">
        <v>175</v>
      </c>
      <c r="B303" s="4" t="s">
        <v>718</v>
      </c>
      <c r="C303" s="4">
        <v>54</v>
      </c>
    </row>
    <row r="304" spans="1:3" x14ac:dyDescent="0.25">
      <c r="A304" s="8" t="s">
        <v>120</v>
      </c>
      <c r="B304" s="4" t="s">
        <v>715</v>
      </c>
      <c r="C304" s="4">
        <v>18</v>
      </c>
    </row>
    <row r="305" spans="1:3" x14ac:dyDescent="0.25">
      <c r="A305" s="8" t="s">
        <v>234</v>
      </c>
      <c r="B305" s="4" t="s">
        <v>102</v>
      </c>
      <c r="C305" s="4">
        <v>56</v>
      </c>
    </row>
    <row r="306" spans="1:3" x14ac:dyDescent="0.25">
      <c r="A306" s="8" t="s">
        <v>125</v>
      </c>
      <c r="B306" s="4" t="s">
        <v>715</v>
      </c>
      <c r="C306" s="4">
        <v>50</v>
      </c>
    </row>
    <row r="307" spans="1:3" x14ac:dyDescent="0.25">
      <c r="A307" s="8" t="s">
        <v>175</v>
      </c>
      <c r="B307" s="4" t="s">
        <v>721</v>
      </c>
      <c r="C307" s="4">
        <v>10</v>
      </c>
    </row>
    <row r="308" spans="1:3" x14ac:dyDescent="0.25">
      <c r="A308" s="8" t="s">
        <v>239</v>
      </c>
      <c r="B308" s="4" t="s">
        <v>728</v>
      </c>
      <c r="C308" s="4">
        <v>42</v>
      </c>
    </row>
    <row r="309" spans="1:3" x14ac:dyDescent="0.25">
      <c r="A309" s="8" t="s">
        <v>185</v>
      </c>
      <c r="B309" s="4" t="s">
        <v>728</v>
      </c>
      <c r="C309" s="4">
        <v>14</v>
      </c>
    </row>
    <row r="310" spans="1:3" x14ac:dyDescent="0.25">
      <c r="A310" s="8" t="s">
        <v>188</v>
      </c>
      <c r="B310" s="4" t="s">
        <v>102</v>
      </c>
      <c r="C310" s="4">
        <v>57</v>
      </c>
    </row>
    <row r="311" spans="1:3" x14ac:dyDescent="0.25">
      <c r="A311" s="8" t="s">
        <v>214</v>
      </c>
      <c r="B311" s="4" t="s">
        <v>729</v>
      </c>
      <c r="C311" s="4">
        <v>53</v>
      </c>
    </row>
    <row r="312" spans="1:3" x14ac:dyDescent="0.25">
      <c r="A312" s="8" t="s">
        <v>160</v>
      </c>
      <c r="B312" s="4" t="s">
        <v>714</v>
      </c>
      <c r="C312" s="4">
        <v>43</v>
      </c>
    </row>
    <row r="313" spans="1:3" x14ac:dyDescent="0.25">
      <c r="A313" s="8" t="s">
        <v>230</v>
      </c>
      <c r="B313" s="4" t="s">
        <v>724</v>
      </c>
      <c r="C313" s="4">
        <v>37</v>
      </c>
    </row>
    <row r="314" spans="1:3" x14ac:dyDescent="0.25">
      <c r="A314" s="8" t="s">
        <v>175</v>
      </c>
      <c r="B314" s="4" t="s">
        <v>719</v>
      </c>
      <c r="C314" s="4">
        <v>54</v>
      </c>
    </row>
    <row r="315" spans="1:3" x14ac:dyDescent="0.25">
      <c r="A315" s="8" t="s">
        <v>172</v>
      </c>
      <c r="B315" s="4" t="s">
        <v>728</v>
      </c>
      <c r="C315" s="4">
        <v>55</v>
      </c>
    </row>
    <row r="316" spans="1:3" x14ac:dyDescent="0.25">
      <c r="A316" s="8" t="s">
        <v>240</v>
      </c>
      <c r="B316" s="4" t="s">
        <v>101</v>
      </c>
      <c r="C316" s="4">
        <v>48</v>
      </c>
    </row>
    <row r="317" spans="1:3" x14ac:dyDescent="0.25">
      <c r="A317" s="8" t="s">
        <v>241</v>
      </c>
      <c r="B317" s="4" t="s">
        <v>714</v>
      </c>
      <c r="C317" s="4">
        <v>28</v>
      </c>
    </row>
    <row r="318" spans="1:3" x14ac:dyDescent="0.25">
      <c r="A318" s="8" t="s">
        <v>242</v>
      </c>
      <c r="B318" s="4" t="s">
        <v>728</v>
      </c>
      <c r="C318" s="4">
        <v>16</v>
      </c>
    </row>
    <row r="319" spans="1:3" x14ac:dyDescent="0.25">
      <c r="A319" s="8" t="s">
        <v>153</v>
      </c>
      <c r="B319" s="4" t="s">
        <v>725</v>
      </c>
      <c r="C319" s="4">
        <v>47</v>
      </c>
    </row>
    <row r="320" spans="1:3" x14ac:dyDescent="0.25">
      <c r="A320" s="8" t="s">
        <v>150</v>
      </c>
      <c r="B320" s="4" t="s">
        <v>99</v>
      </c>
      <c r="C320" s="4">
        <v>17</v>
      </c>
    </row>
    <row r="321" spans="1:3" x14ac:dyDescent="0.25">
      <c r="A321" s="8" t="s">
        <v>117</v>
      </c>
      <c r="B321" s="4" t="s">
        <v>715</v>
      </c>
      <c r="C321" s="4">
        <v>53</v>
      </c>
    </row>
    <row r="322" spans="1:3" x14ac:dyDescent="0.25">
      <c r="A322" s="8" t="s">
        <v>136</v>
      </c>
      <c r="B322" s="4" t="s">
        <v>717</v>
      </c>
      <c r="C322" s="4">
        <v>45</v>
      </c>
    </row>
    <row r="323" spans="1:3" x14ac:dyDescent="0.25">
      <c r="A323" s="8" t="s">
        <v>126</v>
      </c>
      <c r="B323" s="4" t="s">
        <v>722</v>
      </c>
      <c r="C323" s="4">
        <v>57</v>
      </c>
    </row>
    <row r="324" spans="1:3" x14ac:dyDescent="0.25">
      <c r="A324" s="8" t="s">
        <v>199</v>
      </c>
      <c r="B324" s="4" t="s">
        <v>102</v>
      </c>
      <c r="C324" s="4">
        <v>52</v>
      </c>
    </row>
    <row r="325" spans="1:3" x14ac:dyDescent="0.25">
      <c r="A325" s="8" t="s">
        <v>177</v>
      </c>
      <c r="B325" s="4" t="s">
        <v>727</v>
      </c>
      <c r="C325" s="4">
        <v>39</v>
      </c>
    </row>
    <row r="326" spans="1:3" x14ac:dyDescent="0.25">
      <c r="A326" s="8" t="s">
        <v>117</v>
      </c>
      <c r="B326" s="4" t="s">
        <v>717</v>
      </c>
      <c r="C326" s="4">
        <v>42</v>
      </c>
    </row>
    <row r="327" spans="1:3" x14ac:dyDescent="0.25">
      <c r="A327" s="8" t="s">
        <v>243</v>
      </c>
      <c r="B327" s="4" t="s">
        <v>724</v>
      </c>
      <c r="C327" s="4">
        <v>50</v>
      </c>
    </row>
    <row r="328" spans="1:3" x14ac:dyDescent="0.25">
      <c r="A328" s="8" t="s">
        <v>127</v>
      </c>
      <c r="B328" s="4" t="s">
        <v>720</v>
      </c>
      <c r="C328" s="4">
        <v>53</v>
      </c>
    </row>
    <row r="329" spans="1:3" x14ac:dyDescent="0.25">
      <c r="A329" s="8" t="s">
        <v>182</v>
      </c>
      <c r="B329" s="4" t="s">
        <v>100</v>
      </c>
      <c r="C329" s="4">
        <v>23</v>
      </c>
    </row>
    <row r="330" spans="1:3" x14ac:dyDescent="0.25">
      <c r="A330" s="8" t="s">
        <v>224</v>
      </c>
      <c r="B330" s="4" t="s">
        <v>712</v>
      </c>
      <c r="C330" s="4">
        <v>38</v>
      </c>
    </row>
    <row r="331" spans="1:3" x14ac:dyDescent="0.25">
      <c r="A331" s="8" t="s">
        <v>233</v>
      </c>
      <c r="B331" s="4" t="s">
        <v>712</v>
      </c>
      <c r="C331" s="4">
        <v>56</v>
      </c>
    </row>
    <row r="332" spans="1:3" x14ac:dyDescent="0.25">
      <c r="A332" s="8" t="s">
        <v>110</v>
      </c>
      <c r="B332" s="4" t="s">
        <v>721</v>
      </c>
      <c r="C332" s="4">
        <v>37</v>
      </c>
    </row>
    <row r="333" spans="1:3" x14ac:dyDescent="0.25">
      <c r="A333" s="8" t="s">
        <v>145</v>
      </c>
      <c r="B333" s="4" t="s">
        <v>725</v>
      </c>
      <c r="C333" s="4">
        <v>56</v>
      </c>
    </row>
    <row r="334" spans="1:3" x14ac:dyDescent="0.25">
      <c r="A334" s="8" t="s">
        <v>240</v>
      </c>
      <c r="B334" s="4" t="s">
        <v>102</v>
      </c>
      <c r="C334" s="4">
        <v>43</v>
      </c>
    </row>
    <row r="335" spans="1:3" x14ac:dyDescent="0.25">
      <c r="A335" s="8" t="s">
        <v>171</v>
      </c>
      <c r="B335" s="4" t="s">
        <v>718</v>
      </c>
      <c r="C335" s="4">
        <v>36</v>
      </c>
    </row>
    <row r="336" spans="1:3" x14ac:dyDescent="0.25">
      <c r="A336" s="8" t="s">
        <v>112</v>
      </c>
      <c r="B336" s="4" t="s">
        <v>99</v>
      </c>
      <c r="C336" s="4">
        <v>51</v>
      </c>
    </row>
    <row r="337" spans="1:3" x14ac:dyDescent="0.25">
      <c r="A337" s="8" t="s">
        <v>183</v>
      </c>
      <c r="B337" s="4" t="s">
        <v>718</v>
      </c>
      <c r="C337" s="4">
        <v>15</v>
      </c>
    </row>
    <row r="338" spans="1:3" x14ac:dyDescent="0.25">
      <c r="A338" s="8" t="s">
        <v>229</v>
      </c>
      <c r="B338" s="4" t="s">
        <v>101</v>
      </c>
      <c r="C338" s="4">
        <v>14</v>
      </c>
    </row>
    <row r="339" spans="1:3" x14ac:dyDescent="0.25">
      <c r="A339" s="8" t="s">
        <v>182</v>
      </c>
      <c r="B339" s="4" t="s">
        <v>729</v>
      </c>
      <c r="C339" s="4">
        <v>59</v>
      </c>
    </row>
    <row r="340" spans="1:3" x14ac:dyDescent="0.25">
      <c r="A340" s="8" t="s">
        <v>184</v>
      </c>
      <c r="B340" s="4" t="s">
        <v>714</v>
      </c>
      <c r="C340" s="4">
        <v>14</v>
      </c>
    </row>
    <row r="341" spans="1:3" x14ac:dyDescent="0.25">
      <c r="A341" s="8" t="s">
        <v>129</v>
      </c>
      <c r="B341" s="4" t="s">
        <v>728</v>
      </c>
      <c r="C341" s="4">
        <v>24</v>
      </c>
    </row>
    <row r="342" spans="1:3" x14ac:dyDescent="0.25">
      <c r="A342" s="8" t="s">
        <v>145</v>
      </c>
      <c r="B342" s="4" t="s">
        <v>719</v>
      </c>
      <c r="C342" s="4">
        <v>20</v>
      </c>
    </row>
    <row r="343" spans="1:3" x14ac:dyDescent="0.25">
      <c r="A343" s="8" t="s">
        <v>196</v>
      </c>
      <c r="B343" s="4" t="s">
        <v>726</v>
      </c>
      <c r="C343" s="4">
        <v>52</v>
      </c>
    </row>
    <row r="344" spans="1:3" x14ac:dyDescent="0.25">
      <c r="A344" s="8" t="s">
        <v>204</v>
      </c>
      <c r="B344" s="4" t="s">
        <v>717</v>
      </c>
      <c r="C344" s="4">
        <v>54</v>
      </c>
    </row>
    <row r="345" spans="1:3" x14ac:dyDescent="0.25">
      <c r="A345" s="8" t="s">
        <v>216</v>
      </c>
      <c r="B345" s="4" t="s">
        <v>101</v>
      </c>
      <c r="C345" s="4">
        <v>12</v>
      </c>
    </row>
    <row r="346" spans="1:3" x14ac:dyDescent="0.25">
      <c r="A346" s="8" t="s">
        <v>165</v>
      </c>
      <c r="B346" s="4" t="s">
        <v>715</v>
      </c>
      <c r="C346" s="4">
        <v>24</v>
      </c>
    </row>
    <row r="347" spans="1:3" x14ac:dyDescent="0.25">
      <c r="A347" s="8" t="s">
        <v>116</v>
      </c>
      <c r="B347" s="4" t="s">
        <v>103</v>
      </c>
      <c r="C347" s="4">
        <v>57</v>
      </c>
    </row>
    <row r="348" spans="1:3" x14ac:dyDescent="0.25">
      <c r="A348" s="8" t="s">
        <v>114</v>
      </c>
      <c r="B348" s="4" t="s">
        <v>99</v>
      </c>
      <c r="C348" s="4">
        <v>53</v>
      </c>
    </row>
    <row r="349" spans="1:3" x14ac:dyDescent="0.25">
      <c r="A349" s="8" t="s">
        <v>214</v>
      </c>
      <c r="B349" s="4" t="s">
        <v>713</v>
      </c>
      <c r="C349" s="4">
        <v>46</v>
      </c>
    </row>
    <row r="350" spans="1:3" x14ac:dyDescent="0.25">
      <c r="A350" s="8" t="s">
        <v>191</v>
      </c>
      <c r="B350" s="4" t="s">
        <v>101</v>
      </c>
      <c r="C350" s="4">
        <v>59</v>
      </c>
    </row>
    <row r="351" spans="1:3" x14ac:dyDescent="0.25">
      <c r="A351" s="8" t="s">
        <v>153</v>
      </c>
      <c r="B351" s="4" t="s">
        <v>714</v>
      </c>
      <c r="C351" s="4">
        <v>16</v>
      </c>
    </row>
    <row r="352" spans="1:3" x14ac:dyDescent="0.25">
      <c r="A352" s="8" t="s">
        <v>244</v>
      </c>
      <c r="B352" s="4" t="s">
        <v>715</v>
      </c>
      <c r="C352" s="4">
        <v>16</v>
      </c>
    </row>
    <row r="353" spans="1:3" x14ac:dyDescent="0.25">
      <c r="A353" s="8" t="s">
        <v>148</v>
      </c>
      <c r="B353" s="4" t="s">
        <v>719</v>
      </c>
      <c r="C353" s="4">
        <v>29</v>
      </c>
    </row>
    <row r="354" spans="1:3" x14ac:dyDescent="0.25">
      <c r="A354" s="8" t="s">
        <v>200</v>
      </c>
      <c r="B354" s="4" t="s">
        <v>717</v>
      </c>
      <c r="C354" s="4">
        <v>12</v>
      </c>
    </row>
    <row r="355" spans="1:3" x14ac:dyDescent="0.25">
      <c r="A355" s="8" t="s">
        <v>115</v>
      </c>
      <c r="B355" s="4" t="s">
        <v>718</v>
      </c>
      <c r="C355" s="4">
        <v>23</v>
      </c>
    </row>
    <row r="356" spans="1:3" x14ac:dyDescent="0.25">
      <c r="A356" s="8" t="s">
        <v>225</v>
      </c>
      <c r="B356" s="4" t="s">
        <v>718</v>
      </c>
      <c r="C356" s="4">
        <v>41</v>
      </c>
    </row>
    <row r="357" spans="1:3" x14ac:dyDescent="0.25">
      <c r="A357" s="8" t="s">
        <v>192</v>
      </c>
      <c r="B357" s="4" t="s">
        <v>710</v>
      </c>
      <c r="C357" s="4">
        <v>15</v>
      </c>
    </row>
    <row r="358" spans="1:3" x14ac:dyDescent="0.25">
      <c r="A358" s="8" t="s">
        <v>240</v>
      </c>
      <c r="B358" s="4" t="s">
        <v>725</v>
      </c>
      <c r="C358" s="4">
        <v>42</v>
      </c>
    </row>
    <row r="359" spans="1:3" x14ac:dyDescent="0.25">
      <c r="A359" s="8" t="s">
        <v>165</v>
      </c>
      <c r="B359" s="4" t="s">
        <v>714</v>
      </c>
      <c r="C359" s="4">
        <v>53</v>
      </c>
    </row>
    <row r="360" spans="1:3" x14ac:dyDescent="0.25">
      <c r="A360" s="8" t="s">
        <v>198</v>
      </c>
      <c r="B360" s="4" t="s">
        <v>103</v>
      </c>
      <c r="C360" s="4">
        <v>56</v>
      </c>
    </row>
    <row r="361" spans="1:3" x14ac:dyDescent="0.25">
      <c r="A361" s="8" t="s">
        <v>179</v>
      </c>
      <c r="B361" s="4" t="s">
        <v>721</v>
      </c>
      <c r="C361" s="4">
        <v>50</v>
      </c>
    </row>
    <row r="362" spans="1:3" x14ac:dyDescent="0.25">
      <c r="A362" s="8" t="s">
        <v>239</v>
      </c>
      <c r="B362" s="4" t="s">
        <v>717</v>
      </c>
      <c r="C362" s="4">
        <v>26</v>
      </c>
    </row>
    <row r="363" spans="1:3" x14ac:dyDescent="0.25">
      <c r="A363" s="8" t="s">
        <v>175</v>
      </c>
      <c r="B363" s="4" t="s">
        <v>99</v>
      </c>
      <c r="C363" s="4">
        <v>23</v>
      </c>
    </row>
    <row r="364" spans="1:3" x14ac:dyDescent="0.25">
      <c r="A364" s="8" t="s">
        <v>114</v>
      </c>
      <c r="B364" s="4" t="s">
        <v>102</v>
      </c>
      <c r="C364" s="4">
        <v>23</v>
      </c>
    </row>
    <row r="365" spans="1:3" x14ac:dyDescent="0.25">
      <c r="A365" s="8" t="s">
        <v>111</v>
      </c>
      <c r="B365" s="4" t="s">
        <v>102</v>
      </c>
      <c r="C365" s="4">
        <v>12</v>
      </c>
    </row>
    <row r="366" spans="1:3" x14ac:dyDescent="0.25">
      <c r="A366" s="8" t="s">
        <v>168</v>
      </c>
      <c r="B366" s="4" t="s">
        <v>101</v>
      </c>
      <c r="C366" s="4">
        <v>17</v>
      </c>
    </row>
    <row r="367" spans="1:3" x14ac:dyDescent="0.25">
      <c r="A367" s="8" t="s">
        <v>178</v>
      </c>
      <c r="B367" s="4" t="s">
        <v>714</v>
      </c>
      <c r="C367" s="4">
        <v>14</v>
      </c>
    </row>
    <row r="368" spans="1:3" x14ac:dyDescent="0.25">
      <c r="A368" s="8" t="s">
        <v>228</v>
      </c>
      <c r="B368" s="4" t="s">
        <v>103</v>
      </c>
      <c r="C368" s="4">
        <v>57</v>
      </c>
    </row>
    <row r="369" spans="1:3" x14ac:dyDescent="0.25">
      <c r="A369" s="8" t="s">
        <v>204</v>
      </c>
      <c r="B369" s="4" t="s">
        <v>727</v>
      </c>
      <c r="C369" s="4">
        <v>37</v>
      </c>
    </row>
    <row r="370" spans="1:3" x14ac:dyDescent="0.25">
      <c r="A370" s="8" t="s">
        <v>133</v>
      </c>
      <c r="B370" s="4" t="s">
        <v>723</v>
      </c>
      <c r="C370" s="4">
        <v>25</v>
      </c>
    </row>
    <row r="371" spans="1:3" x14ac:dyDescent="0.25">
      <c r="A371" s="8" t="s">
        <v>169</v>
      </c>
      <c r="B371" s="4" t="s">
        <v>99</v>
      </c>
      <c r="C371" s="4">
        <v>32</v>
      </c>
    </row>
    <row r="372" spans="1:3" x14ac:dyDescent="0.25">
      <c r="A372" s="8" t="s">
        <v>166</v>
      </c>
      <c r="B372" s="4" t="s">
        <v>724</v>
      </c>
      <c r="C372" s="4">
        <v>28</v>
      </c>
    </row>
    <row r="373" spans="1:3" x14ac:dyDescent="0.25">
      <c r="A373" s="8" t="s">
        <v>202</v>
      </c>
      <c r="B373" s="4" t="s">
        <v>727</v>
      </c>
      <c r="C373" s="4">
        <v>30</v>
      </c>
    </row>
    <row r="374" spans="1:3" x14ac:dyDescent="0.25">
      <c r="A374" s="8" t="s">
        <v>204</v>
      </c>
      <c r="B374" s="4" t="s">
        <v>721</v>
      </c>
      <c r="C374" s="4">
        <v>34</v>
      </c>
    </row>
    <row r="375" spans="1:3" x14ac:dyDescent="0.25">
      <c r="A375" s="8" t="s">
        <v>151</v>
      </c>
      <c r="B375" s="4" t="s">
        <v>718</v>
      </c>
      <c r="C375" s="4">
        <v>13</v>
      </c>
    </row>
    <row r="376" spans="1:3" x14ac:dyDescent="0.25">
      <c r="A376" s="8" t="s">
        <v>245</v>
      </c>
      <c r="B376" s="4" t="s">
        <v>99</v>
      </c>
      <c r="C376" s="4">
        <v>45</v>
      </c>
    </row>
    <row r="377" spans="1:3" x14ac:dyDescent="0.25">
      <c r="A377" s="8" t="s">
        <v>123</v>
      </c>
      <c r="B377" s="4" t="s">
        <v>723</v>
      </c>
      <c r="C377" s="4">
        <v>34</v>
      </c>
    </row>
    <row r="378" spans="1:3" x14ac:dyDescent="0.25">
      <c r="A378" s="8" t="s">
        <v>159</v>
      </c>
      <c r="B378" s="4" t="s">
        <v>710</v>
      </c>
      <c r="C378" s="4">
        <v>41</v>
      </c>
    </row>
    <row r="379" spans="1:3" x14ac:dyDescent="0.25">
      <c r="A379" s="8" t="s">
        <v>148</v>
      </c>
      <c r="B379" s="4" t="s">
        <v>726</v>
      </c>
      <c r="C379" s="4">
        <v>11</v>
      </c>
    </row>
    <row r="380" spans="1:3" x14ac:dyDescent="0.25">
      <c r="A380" s="8" t="s">
        <v>119</v>
      </c>
      <c r="B380" s="4" t="s">
        <v>714</v>
      </c>
      <c r="C380" s="4">
        <v>31</v>
      </c>
    </row>
    <row r="381" spans="1:3" x14ac:dyDescent="0.25">
      <c r="A381" s="8" t="s">
        <v>166</v>
      </c>
      <c r="B381" s="4" t="s">
        <v>714</v>
      </c>
      <c r="C381" s="4">
        <v>45</v>
      </c>
    </row>
    <row r="382" spans="1:3" x14ac:dyDescent="0.25">
      <c r="A382" s="8" t="s">
        <v>136</v>
      </c>
      <c r="B382" s="4" t="s">
        <v>717</v>
      </c>
      <c r="C382" s="4">
        <v>20</v>
      </c>
    </row>
    <row r="383" spans="1:3" x14ac:dyDescent="0.25">
      <c r="A383" s="8" t="s">
        <v>179</v>
      </c>
      <c r="B383" s="4" t="s">
        <v>717</v>
      </c>
      <c r="C383" s="4">
        <v>27</v>
      </c>
    </row>
    <row r="384" spans="1:3" x14ac:dyDescent="0.25">
      <c r="A384" s="8" t="s">
        <v>246</v>
      </c>
      <c r="B384" s="4" t="s">
        <v>727</v>
      </c>
      <c r="C384" s="4">
        <v>10</v>
      </c>
    </row>
    <row r="385" spans="1:3" x14ac:dyDescent="0.25">
      <c r="A385" s="8" t="s">
        <v>217</v>
      </c>
      <c r="B385" s="4" t="s">
        <v>725</v>
      </c>
      <c r="C385" s="4">
        <v>39</v>
      </c>
    </row>
    <row r="386" spans="1:3" x14ac:dyDescent="0.25">
      <c r="A386" s="8" t="s">
        <v>230</v>
      </c>
      <c r="B386" s="4" t="s">
        <v>715</v>
      </c>
      <c r="C386" s="4">
        <v>21</v>
      </c>
    </row>
    <row r="387" spans="1:3" x14ac:dyDescent="0.25">
      <c r="A387" s="8" t="s">
        <v>231</v>
      </c>
      <c r="B387" s="4" t="s">
        <v>711</v>
      </c>
      <c r="C387" s="4">
        <v>11</v>
      </c>
    </row>
    <row r="388" spans="1:3" x14ac:dyDescent="0.25">
      <c r="A388" s="8" t="s">
        <v>159</v>
      </c>
      <c r="B388" s="4" t="s">
        <v>723</v>
      </c>
      <c r="C388" s="4">
        <v>32</v>
      </c>
    </row>
    <row r="389" spans="1:3" x14ac:dyDescent="0.25">
      <c r="A389" s="8" t="s">
        <v>241</v>
      </c>
      <c r="B389" s="4" t="s">
        <v>729</v>
      </c>
      <c r="C389" s="4">
        <v>28</v>
      </c>
    </row>
    <row r="390" spans="1:3" x14ac:dyDescent="0.25">
      <c r="A390" s="8" t="s">
        <v>130</v>
      </c>
      <c r="B390" s="4" t="s">
        <v>728</v>
      </c>
      <c r="C390" s="4">
        <v>17</v>
      </c>
    </row>
    <row r="391" spans="1:3" x14ac:dyDescent="0.25">
      <c r="A391" s="8" t="s">
        <v>137</v>
      </c>
      <c r="B391" s="4" t="s">
        <v>728</v>
      </c>
      <c r="C391" s="4">
        <v>14</v>
      </c>
    </row>
    <row r="392" spans="1:3" x14ac:dyDescent="0.25">
      <c r="A392" s="8" t="s">
        <v>131</v>
      </c>
      <c r="B392" s="4" t="s">
        <v>719</v>
      </c>
      <c r="C392" s="4">
        <v>26</v>
      </c>
    </row>
    <row r="393" spans="1:3" x14ac:dyDescent="0.25">
      <c r="A393" s="8" t="s">
        <v>247</v>
      </c>
      <c r="B393" s="4" t="s">
        <v>726</v>
      </c>
      <c r="C393" s="4">
        <v>27</v>
      </c>
    </row>
    <row r="394" spans="1:3" x14ac:dyDescent="0.25">
      <c r="A394" s="8" t="s">
        <v>178</v>
      </c>
      <c r="B394" s="4" t="s">
        <v>725</v>
      </c>
      <c r="C394" s="4">
        <v>53</v>
      </c>
    </row>
    <row r="395" spans="1:3" x14ac:dyDescent="0.25">
      <c r="A395" s="8" t="s">
        <v>136</v>
      </c>
      <c r="B395" s="4" t="s">
        <v>99</v>
      </c>
      <c r="C395" s="4">
        <v>59</v>
      </c>
    </row>
    <row r="396" spans="1:3" x14ac:dyDescent="0.25">
      <c r="A396" s="8" t="s">
        <v>212</v>
      </c>
      <c r="B396" s="4" t="s">
        <v>101</v>
      </c>
      <c r="C396" s="4">
        <v>24</v>
      </c>
    </row>
    <row r="397" spans="1:3" x14ac:dyDescent="0.25">
      <c r="A397" s="8" t="s">
        <v>231</v>
      </c>
      <c r="B397" s="4" t="s">
        <v>724</v>
      </c>
      <c r="C397" s="4">
        <v>10</v>
      </c>
    </row>
    <row r="398" spans="1:3" x14ac:dyDescent="0.25">
      <c r="A398" s="8" t="s">
        <v>248</v>
      </c>
      <c r="B398" s="4" t="s">
        <v>729</v>
      </c>
      <c r="C398" s="4">
        <v>36</v>
      </c>
    </row>
    <row r="399" spans="1:3" x14ac:dyDescent="0.25">
      <c r="A399" s="8" t="s">
        <v>244</v>
      </c>
      <c r="B399" s="4" t="s">
        <v>713</v>
      </c>
      <c r="C399" s="4">
        <v>43</v>
      </c>
    </row>
    <row r="400" spans="1:3" x14ac:dyDescent="0.25">
      <c r="A400" s="8" t="s">
        <v>132</v>
      </c>
      <c r="B400" s="4" t="s">
        <v>729</v>
      </c>
      <c r="C400" s="4">
        <v>17</v>
      </c>
    </row>
    <row r="401" spans="1:3" x14ac:dyDescent="0.25">
      <c r="A401" s="8" t="s">
        <v>208</v>
      </c>
      <c r="B401" s="4" t="s">
        <v>100</v>
      </c>
      <c r="C401" s="4">
        <v>32</v>
      </c>
    </row>
    <row r="402" spans="1:3" x14ac:dyDescent="0.25">
      <c r="A402" s="8" t="s">
        <v>121</v>
      </c>
      <c r="B402" s="4" t="s">
        <v>729</v>
      </c>
      <c r="C402" s="4">
        <v>16</v>
      </c>
    </row>
    <row r="403" spans="1:3" x14ac:dyDescent="0.25">
      <c r="A403" s="8" t="s">
        <v>195</v>
      </c>
      <c r="B403" s="4" t="s">
        <v>101</v>
      </c>
      <c r="C403" s="4">
        <v>50</v>
      </c>
    </row>
    <row r="404" spans="1:3" x14ac:dyDescent="0.25">
      <c r="A404" s="8" t="s">
        <v>139</v>
      </c>
      <c r="B404" s="4" t="s">
        <v>728</v>
      </c>
      <c r="C404" s="4">
        <v>54</v>
      </c>
    </row>
    <row r="405" spans="1:3" x14ac:dyDescent="0.25">
      <c r="A405" s="8" t="s">
        <v>233</v>
      </c>
      <c r="B405" s="4" t="s">
        <v>102</v>
      </c>
      <c r="C405" s="4">
        <v>52</v>
      </c>
    </row>
    <row r="406" spans="1:3" x14ac:dyDescent="0.25">
      <c r="A406" s="8" t="s">
        <v>218</v>
      </c>
      <c r="B406" s="4" t="s">
        <v>729</v>
      </c>
      <c r="C406" s="4">
        <v>24</v>
      </c>
    </row>
    <row r="407" spans="1:3" x14ac:dyDescent="0.25">
      <c r="A407" s="8" t="s">
        <v>249</v>
      </c>
      <c r="B407" s="4" t="s">
        <v>716</v>
      </c>
      <c r="C407" s="4">
        <v>27</v>
      </c>
    </row>
    <row r="408" spans="1:3" x14ac:dyDescent="0.25">
      <c r="A408" s="8" t="s">
        <v>142</v>
      </c>
      <c r="B408" s="4" t="s">
        <v>103</v>
      </c>
      <c r="C408" s="4">
        <v>48</v>
      </c>
    </row>
    <row r="409" spans="1:3" x14ac:dyDescent="0.25">
      <c r="A409" s="8" t="s">
        <v>174</v>
      </c>
      <c r="B409" s="4" t="s">
        <v>711</v>
      </c>
      <c r="C409" s="4">
        <v>37</v>
      </c>
    </row>
    <row r="410" spans="1:3" x14ac:dyDescent="0.25">
      <c r="A410" s="8" t="s">
        <v>175</v>
      </c>
      <c r="B410" s="4" t="s">
        <v>717</v>
      </c>
      <c r="C410" s="4">
        <v>23</v>
      </c>
    </row>
    <row r="411" spans="1:3" x14ac:dyDescent="0.25">
      <c r="A411" s="8" t="s">
        <v>205</v>
      </c>
      <c r="B411" s="4" t="s">
        <v>722</v>
      </c>
      <c r="C411" s="4">
        <v>46</v>
      </c>
    </row>
    <row r="412" spans="1:3" x14ac:dyDescent="0.25">
      <c r="A412" s="8" t="s">
        <v>250</v>
      </c>
      <c r="B412" s="4" t="s">
        <v>716</v>
      </c>
      <c r="C412" s="4">
        <v>57</v>
      </c>
    </row>
    <row r="413" spans="1:3" x14ac:dyDescent="0.25">
      <c r="A413" s="8" t="s">
        <v>205</v>
      </c>
      <c r="B413" s="4" t="s">
        <v>103</v>
      </c>
      <c r="C413" s="4">
        <v>39</v>
      </c>
    </row>
    <row r="414" spans="1:3" x14ac:dyDescent="0.25">
      <c r="A414" s="8" t="s">
        <v>216</v>
      </c>
      <c r="B414" s="4" t="s">
        <v>727</v>
      </c>
      <c r="C414" s="4">
        <v>13</v>
      </c>
    </row>
    <row r="415" spans="1:3" x14ac:dyDescent="0.25">
      <c r="A415" s="8" t="s">
        <v>203</v>
      </c>
      <c r="B415" s="4" t="s">
        <v>102</v>
      </c>
      <c r="C415" s="4">
        <v>22</v>
      </c>
    </row>
    <row r="416" spans="1:3" x14ac:dyDescent="0.25">
      <c r="A416" s="8" t="s">
        <v>186</v>
      </c>
      <c r="B416" s="4" t="s">
        <v>710</v>
      </c>
      <c r="C416" s="4">
        <v>42</v>
      </c>
    </row>
    <row r="417" spans="1:3" x14ac:dyDescent="0.25">
      <c r="A417" s="8" t="s">
        <v>115</v>
      </c>
      <c r="B417" s="4" t="s">
        <v>723</v>
      </c>
      <c r="C417" s="4">
        <v>19</v>
      </c>
    </row>
    <row r="418" spans="1:3" x14ac:dyDescent="0.25">
      <c r="A418" s="8" t="s">
        <v>113</v>
      </c>
      <c r="B418" s="4" t="s">
        <v>725</v>
      </c>
      <c r="C418" s="4">
        <v>35</v>
      </c>
    </row>
    <row r="419" spans="1:3" x14ac:dyDescent="0.25">
      <c r="A419" s="8" t="s">
        <v>247</v>
      </c>
      <c r="B419" s="4" t="s">
        <v>716</v>
      </c>
      <c r="C419" s="4">
        <v>34</v>
      </c>
    </row>
    <row r="420" spans="1:3" x14ac:dyDescent="0.25">
      <c r="A420" s="8" t="s">
        <v>173</v>
      </c>
      <c r="B420" s="4" t="s">
        <v>102</v>
      </c>
      <c r="C420" s="4">
        <v>56</v>
      </c>
    </row>
    <row r="421" spans="1:3" x14ac:dyDescent="0.25">
      <c r="A421" s="8" t="s">
        <v>200</v>
      </c>
      <c r="B421" s="4" t="s">
        <v>724</v>
      </c>
      <c r="C421" s="4">
        <v>26</v>
      </c>
    </row>
    <row r="422" spans="1:3" x14ac:dyDescent="0.25">
      <c r="A422" s="8" t="s">
        <v>217</v>
      </c>
      <c r="B422" s="4" t="s">
        <v>718</v>
      </c>
      <c r="C422" s="4">
        <v>27</v>
      </c>
    </row>
    <row r="423" spans="1:3" x14ac:dyDescent="0.25">
      <c r="A423" s="8" t="s">
        <v>156</v>
      </c>
      <c r="B423" s="4" t="s">
        <v>716</v>
      </c>
      <c r="C423" s="4">
        <v>54</v>
      </c>
    </row>
    <row r="424" spans="1:3" x14ac:dyDescent="0.25">
      <c r="A424" s="8" t="s">
        <v>212</v>
      </c>
      <c r="B424" s="4" t="s">
        <v>101</v>
      </c>
      <c r="C424" s="4">
        <v>27</v>
      </c>
    </row>
    <row r="425" spans="1:3" x14ac:dyDescent="0.25">
      <c r="A425" s="8" t="s">
        <v>208</v>
      </c>
      <c r="B425" s="4" t="s">
        <v>714</v>
      </c>
      <c r="C425" s="4">
        <v>13</v>
      </c>
    </row>
    <row r="426" spans="1:3" x14ac:dyDescent="0.25">
      <c r="A426" s="8" t="s">
        <v>179</v>
      </c>
      <c r="B426" s="4" t="s">
        <v>714</v>
      </c>
      <c r="C426" s="4">
        <v>52</v>
      </c>
    </row>
    <row r="427" spans="1:3" x14ac:dyDescent="0.25">
      <c r="A427" s="8" t="s">
        <v>193</v>
      </c>
      <c r="B427" s="4" t="s">
        <v>715</v>
      </c>
      <c r="C427" s="4">
        <v>34</v>
      </c>
    </row>
    <row r="428" spans="1:3" x14ac:dyDescent="0.25">
      <c r="A428" s="8" t="s">
        <v>210</v>
      </c>
      <c r="B428" s="4" t="s">
        <v>714</v>
      </c>
      <c r="C428" s="4">
        <v>26</v>
      </c>
    </row>
    <row r="429" spans="1:3" x14ac:dyDescent="0.25">
      <c r="A429" s="8" t="s">
        <v>192</v>
      </c>
      <c r="B429" s="4" t="s">
        <v>718</v>
      </c>
      <c r="C429" s="4">
        <v>15</v>
      </c>
    </row>
    <row r="430" spans="1:3" x14ac:dyDescent="0.25">
      <c r="A430" s="8" t="s">
        <v>247</v>
      </c>
      <c r="B430" s="4" t="s">
        <v>725</v>
      </c>
      <c r="C430" s="4">
        <v>29</v>
      </c>
    </row>
    <row r="431" spans="1:3" x14ac:dyDescent="0.25">
      <c r="A431" s="8" t="s">
        <v>136</v>
      </c>
      <c r="B431" s="4" t="s">
        <v>710</v>
      </c>
      <c r="C431" s="4">
        <v>58</v>
      </c>
    </row>
    <row r="432" spans="1:3" x14ac:dyDescent="0.25">
      <c r="A432" s="8" t="s">
        <v>151</v>
      </c>
      <c r="B432" s="4" t="s">
        <v>723</v>
      </c>
      <c r="C432" s="4">
        <v>12</v>
      </c>
    </row>
    <row r="433" spans="1:3" x14ac:dyDescent="0.25">
      <c r="A433" s="8" t="s">
        <v>184</v>
      </c>
      <c r="B433" s="4" t="s">
        <v>716</v>
      </c>
      <c r="C433" s="4">
        <v>46</v>
      </c>
    </row>
    <row r="434" spans="1:3" x14ac:dyDescent="0.25">
      <c r="A434" s="8" t="s">
        <v>159</v>
      </c>
      <c r="B434" s="4" t="s">
        <v>717</v>
      </c>
      <c r="C434" s="4">
        <v>50</v>
      </c>
    </row>
    <row r="435" spans="1:3" x14ac:dyDescent="0.25">
      <c r="A435" s="8" t="s">
        <v>139</v>
      </c>
      <c r="B435" s="4" t="s">
        <v>725</v>
      </c>
      <c r="C435" s="4">
        <v>31</v>
      </c>
    </row>
    <row r="436" spans="1:3" x14ac:dyDescent="0.25">
      <c r="A436" s="8" t="s">
        <v>170</v>
      </c>
      <c r="B436" s="4" t="s">
        <v>726</v>
      </c>
      <c r="C436" s="4">
        <v>17</v>
      </c>
    </row>
    <row r="437" spans="1:3" x14ac:dyDescent="0.25">
      <c r="A437" s="8" t="s">
        <v>227</v>
      </c>
      <c r="B437" s="4" t="s">
        <v>715</v>
      </c>
      <c r="C437" s="4">
        <v>27</v>
      </c>
    </row>
    <row r="438" spans="1:3" x14ac:dyDescent="0.25">
      <c r="A438" s="8" t="s">
        <v>137</v>
      </c>
      <c r="B438" s="4" t="s">
        <v>711</v>
      </c>
      <c r="C438" s="4">
        <v>26</v>
      </c>
    </row>
    <row r="439" spans="1:3" x14ac:dyDescent="0.25">
      <c r="A439" s="8" t="s">
        <v>123</v>
      </c>
      <c r="B439" s="4" t="s">
        <v>729</v>
      </c>
      <c r="C439" s="4">
        <v>27</v>
      </c>
    </row>
    <row r="440" spans="1:3" x14ac:dyDescent="0.25">
      <c r="A440" s="8" t="s">
        <v>191</v>
      </c>
      <c r="B440" s="4" t="s">
        <v>722</v>
      </c>
      <c r="C440" s="4">
        <v>18</v>
      </c>
    </row>
    <row r="441" spans="1:3" x14ac:dyDescent="0.25">
      <c r="A441" s="8" t="s">
        <v>174</v>
      </c>
      <c r="B441" s="4" t="s">
        <v>99</v>
      </c>
      <c r="C441" s="4">
        <v>36</v>
      </c>
    </row>
    <row r="442" spans="1:3" x14ac:dyDescent="0.25">
      <c r="A442" s="8" t="s">
        <v>113</v>
      </c>
      <c r="B442" s="4" t="s">
        <v>718</v>
      </c>
      <c r="C442" s="4">
        <v>16</v>
      </c>
    </row>
    <row r="443" spans="1:3" x14ac:dyDescent="0.25">
      <c r="A443" s="8" t="s">
        <v>245</v>
      </c>
      <c r="B443" s="4" t="s">
        <v>724</v>
      </c>
      <c r="C443" s="4">
        <v>51</v>
      </c>
    </row>
    <row r="444" spans="1:3" x14ac:dyDescent="0.25">
      <c r="A444" s="8" t="s">
        <v>109</v>
      </c>
      <c r="B444" s="4" t="s">
        <v>102</v>
      </c>
      <c r="C444" s="4">
        <v>39</v>
      </c>
    </row>
    <row r="445" spans="1:3" x14ac:dyDescent="0.25">
      <c r="A445" s="8" t="s">
        <v>158</v>
      </c>
      <c r="B445" s="4" t="s">
        <v>715</v>
      </c>
      <c r="C445" s="4">
        <v>27</v>
      </c>
    </row>
    <row r="446" spans="1:3" x14ac:dyDescent="0.25">
      <c r="A446" s="8" t="s">
        <v>234</v>
      </c>
      <c r="B446" s="4" t="s">
        <v>725</v>
      </c>
      <c r="C446" s="4">
        <v>13</v>
      </c>
    </row>
    <row r="447" spans="1:3" x14ac:dyDescent="0.25">
      <c r="A447" s="8" t="s">
        <v>227</v>
      </c>
      <c r="B447" s="4" t="s">
        <v>99</v>
      </c>
      <c r="C447" s="4">
        <v>50</v>
      </c>
    </row>
    <row r="448" spans="1:3" x14ac:dyDescent="0.25">
      <c r="A448" s="8" t="s">
        <v>204</v>
      </c>
      <c r="B448" s="4" t="s">
        <v>724</v>
      </c>
      <c r="C448" s="4">
        <v>17</v>
      </c>
    </row>
    <row r="449" spans="1:3" x14ac:dyDescent="0.25">
      <c r="A449" s="8" t="s">
        <v>251</v>
      </c>
      <c r="B449" s="4" t="s">
        <v>103</v>
      </c>
      <c r="C449" s="4">
        <v>50</v>
      </c>
    </row>
    <row r="450" spans="1:3" x14ac:dyDescent="0.25">
      <c r="A450" s="8" t="s">
        <v>110</v>
      </c>
      <c r="B450" s="4" t="s">
        <v>102</v>
      </c>
      <c r="C450" s="4">
        <v>23</v>
      </c>
    </row>
    <row r="451" spans="1:3" x14ac:dyDescent="0.25">
      <c r="A451" s="8" t="s">
        <v>224</v>
      </c>
      <c r="B451" s="4" t="s">
        <v>726</v>
      </c>
      <c r="C451" s="4">
        <v>14</v>
      </c>
    </row>
    <row r="452" spans="1:3" x14ac:dyDescent="0.25">
      <c r="A452" s="8" t="s">
        <v>185</v>
      </c>
      <c r="B452" s="4" t="s">
        <v>102</v>
      </c>
      <c r="C452" s="4">
        <v>35</v>
      </c>
    </row>
    <row r="453" spans="1:3" x14ac:dyDescent="0.25">
      <c r="A453" s="8" t="s">
        <v>246</v>
      </c>
      <c r="B453" s="4" t="s">
        <v>722</v>
      </c>
      <c r="C453" s="4">
        <v>51</v>
      </c>
    </row>
    <row r="454" spans="1:3" x14ac:dyDescent="0.25">
      <c r="A454" s="8" t="s">
        <v>226</v>
      </c>
      <c r="B454" s="4" t="s">
        <v>721</v>
      </c>
      <c r="C454" s="4">
        <v>24</v>
      </c>
    </row>
    <row r="455" spans="1:3" x14ac:dyDescent="0.25">
      <c r="A455" s="8" t="s">
        <v>159</v>
      </c>
      <c r="B455" s="4" t="s">
        <v>724</v>
      </c>
      <c r="C455" s="4">
        <v>12</v>
      </c>
    </row>
    <row r="456" spans="1:3" x14ac:dyDescent="0.25">
      <c r="A456" s="8" t="s">
        <v>214</v>
      </c>
      <c r="B456" s="4" t="s">
        <v>100</v>
      </c>
      <c r="C456" s="4">
        <v>11</v>
      </c>
    </row>
    <row r="457" spans="1:3" x14ac:dyDescent="0.25">
      <c r="A457" s="8" t="s">
        <v>122</v>
      </c>
      <c r="B457" s="4" t="s">
        <v>725</v>
      </c>
      <c r="C457" s="4">
        <v>50</v>
      </c>
    </row>
    <row r="458" spans="1:3" x14ac:dyDescent="0.25">
      <c r="A458" s="8" t="s">
        <v>139</v>
      </c>
      <c r="B458" s="4" t="s">
        <v>711</v>
      </c>
      <c r="C458" s="4">
        <v>55</v>
      </c>
    </row>
    <row r="459" spans="1:3" x14ac:dyDescent="0.25">
      <c r="A459" s="8" t="s">
        <v>172</v>
      </c>
      <c r="B459" s="4" t="s">
        <v>103</v>
      </c>
      <c r="C459" s="4">
        <v>18</v>
      </c>
    </row>
    <row r="460" spans="1:3" x14ac:dyDescent="0.25">
      <c r="A460" s="8" t="s">
        <v>252</v>
      </c>
      <c r="B460" s="4" t="s">
        <v>102</v>
      </c>
      <c r="C460" s="4">
        <v>22</v>
      </c>
    </row>
    <row r="461" spans="1:3" x14ac:dyDescent="0.25">
      <c r="A461" s="8" t="s">
        <v>136</v>
      </c>
      <c r="B461" s="4" t="s">
        <v>721</v>
      </c>
      <c r="C461" s="4">
        <v>16</v>
      </c>
    </row>
    <row r="462" spans="1:3" x14ac:dyDescent="0.25">
      <c r="A462" s="8" t="s">
        <v>194</v>
      </c>
      <c r="B462" s="4" t="s">
        <v>101</v>
      </c>
      <c r="C462" s="4">
        <v>15</v>
      </c>
    </row>
    <row r="463" spans="1:3" x14ac:dyDescent="0.25">
      <c r="A463" s="8" t="s">
        <v>181</v>
      </c>
      <c r="B463" s="4" t="s">
        <v>714</v>
      </c>
      <c r="C463" s="4">
        <v>45</v>
      </c>
    </row>
    <row r="464" spans="1:3" x14ac:dyDescent="0.25">
      <c r="A464" s="8" t="s">
        <v>120</v>
      </c>
      <c r="B464" s="4" t="s">
        <v>721</v>
      </c>
      <c r="C464" s="4">
        <v>17</v>
      </c>
    </row>
    <row r="465" spans="1:3" x14ac:dyDescent="0.25">
      <c r="A465" s="8" t="s">
        <v>251</v>
      </c>
      <c r="B465" s="4" t="s">
        <v>728</v>
      </c>
      <c r="C465" s="4">
        <v>18</v>
      </c>
    </row>
    <row r="466" spans="1:3" x14ac:dyDescent="0.25">
      <c r="A466" s="8" t="s">
        <v>245</v>
      </c>
      <c r="B466" s="4" t="s">
        <v>724</v>
      </c>
      <c r="C466" s="4">
        <v>37</v>
      </c>
    </row>
    <row r="467" spans="1:3" x14ac:dyDescent="0.25">
      <c r="A467" s="8" t="s">
        <v>136</v>
      </c>
      <c r="B467" s="4" t="s">
        <v>728</v>
      </c>
      <c r="C467" s="4">
        <v>34</v>
      </c>
    </row>
    <row r="468" spans="1:3" x14ac:dyDescent="0.25">
      <c r="A468" s="8" t="s">
        <v>253</v>
      </c>
      <c r="B468" s="4" t="s">
        <v>102</v>
      </c>
      <c r="C468" s="4">
        <v>19</v>
      </c>
    </row>
    <row r="469" spans="1:3" x14ac:dyDescent="0.25">
      <c r="A469" s="8" t="s">
        <v>191</v>
      </c>
      <c r="B469" s="4" t="s">
        <v>727</v>
      </c>
      <c r="C469" s="4">
        <v>53</v>
      </c>
    </row>
    <row r="470" spans="1:3" x14ac:dyDescent="0.25">
      <c r="A470" s="8" t="s">
        <v>228</v>
      </c>
      <c r="B470" s="4" t="s">
        <v>102</v>
      </c>
      <c r="C470" s="4">
        <v>28</v>
      </c>
    </row>
    <row r="471" spans="1:3" x14ac:dyDescent="0.25">
      <c r="A471" s="8" t="s">
        <v>164</v>
      </c>
      <c r="B471" s="4" t="s">
        <v>715</v>
      </c>
      <c r="C471" s="4">
        <v>38</v>
      </c>
    </row>
    <row r="472" spans="1:3" x14ac:dyDescent="0.25">
      <c r="A472" s="8" t="s">
        <v>254</v>
      </c>
      <c r="B472" s="4" t="s">
        <v>711</v>
      </c>
      <c r="C472" s="4">
        <v>52</v>
      </c>
    </row>
    <row r="473" spans="1:3" x14ac:dyDescent="0.25">
      <c r="A473" s="8" t="s">
        <v>177</v>
      </c>
      <c r="B473" s="4" t="s">
        <v>100</v>
      </c>
      <c r="C473" s="4">
        <v>52</v>
      </c>
    </row>
    <row r="474" spans="1:3" x14ac:dyDescent="0.25">
      <c r="A474" s="8" t="s">
        <v>136</v>
      </c>
      <c r="B474" s="4" t="s">
        <v>712</v>
      </c>
      <c r="C474" s="4">
        <v>13</v>
      </c>
    </row>
    <row r="475" spans="1:3" x14ac:dyDescent="0.25">
      <c r="A475" s="8" t="s">
        <v>227</v>
      </c>
      <c r="B475" s="4" t="s">
        <v>713</v>
      </c>
      <c r="C475" s="4">
        <v>31</v>
      </c>
    </row>
    <row r="476" spans="1:3" x14ac:dyDescent="0.25">
      <c r="A476" s="8" t="s">
        <v>211</v>
      </c>
      <c r="B476" s="4" t="s">
        <v>713</v>
      </c>
      <c r="C476" s="4">
        <v>47</v>
      </c>
    </row>
    <row r="477" spans="1:3" x14ac:dyDescent="0.25">
      <c r="A477" s="8" t="s">
        <v>154</v>
      </c>
      <c r="B477" s="4" t="s">
        <v>99</v>
      </c>
      <c r="C477" s="4">
        <v>39</v>
      </c>
    </row>
    <row r="478" spans="1:3" x14ac:dyDescent="0.25">
      <c r="A478" s="8" t="s">
        <v>192</v>
      </c>
      <c r="B478" s="4" t="s">
        <v>711</v>
      </c>
      <c r="C478" s="4">
        <v>20</v>
      </c>
    </row>
    <row r="479" spans="1:3" x14ac:dyDescent="0.25">
      <c r="A479" s="8" t="s">
        <v>135</v>
      </c>
      <c r="B479" s="4" t="s">
        <v>715</v>
      </c>
      <c r="C479" s="4">
        <v>23</v>
      </c>
    </row>
    <row r="480" spans="1:3" x14ac:dyDescent="0.25">
      <c r="A480" s="8" t="s">
        <v>135</v>
      </c>
      <c r="B480" s="4" t="s">
        <v>724</v>
      </c>
      <c r="C480" s="4">
        <v>14</v>
      </c>
    </row>
    <row r="481" spans="1:3" x14ac:dyDescent="0.25">
      <c r="A481" s="8" t="s">
        <v>187</v>
      </c>
      <c r="B481" s="4" t="s">
        <v>715</v>
      </c>
      <c r="C481" s="4">
        <v>20</v>
      </c>
    </row>
    <row r="482" spans="1:3" x14ac:dyDescent="0.25">
      <c r="A482" s="8" t="s">
        <v>195</v>
      </c>
      <c r="B482" s="4" t="s">
        <v>721</v>
      </c>
      <c r="C482" s="4">
        <v>16</v>
      </c>
    </row>
    <row r="483" spans="1:3" x14ac:dyDescent="0.25">
      <c r="A483" s="8" t="s">
        <v>221</v>
      </c>
      <c r="B483" s="4" t="s">
        <v>719</v>
      </c>
      <c r="C483" s="4">
        <v>22</v>
      </c>
    </row>
    <row r="484" spans="1:3" x14ac:dyDescent="0.25">
      <c r="A484" s="8" t="s">
        <v>164</v>
      </c>
      <c r="B484" s="4" t="s">
        <v>728</v>
      </c>
      <c r="C484" s="4">
        <v>46</v>
      </c>
    </row>
    <row r="485" spans="1:3" x14ac:dyDescent="0.25">
      <c r="A485" s="8" t="s">
        <v>187</v>
      </c>
      <c r="B485" s="4" t="s">
        <v>726</v>
      </c>
      <c r="C485" s="4">
        <v>34</v>
      </c>
    </row>
    <row r="486" spans="1:3" x14ac:dyDescent="0.25">
      <c r="A486" s="8" t="s">
        <v>121</v>
      </c>
      <c r="B486" s="4" t="s">
        <v>99</v>
      </c>
      <c r="C486" s="4">
        <v>50</v>
      </c>
    </row>
    <row r="487" spans="1:3" x14ac:dyDescent="0.25">
      <c r="A487" s="8" t="s">
        <v>139</v>
      </c>
      <c r="B487" s="4" t="s">
        <v>726</v>
      </c>
      <c r="C487" s="4">
        <v>53</v>
      </c>
    </row>
    <row r="488" spans="1:3" x14ac:dyDescent="0.25">
      <c r="A488" s="8" t="s">
        <v>189</v>
      </c>
      <c r="B488" s="4" t="s">
        <v>713</v>
      </c>
      <c r="C488" s="4">
        <v>32</v>
      </c>
    </row>
    <row r="489" spans="1:3" x14ac:dyDescent="0.25">
      <c r="A489" s="8" t="s">
        <v>118</v>
      </c>
      <c r="B489" s="4" t="s">
        <v>723</v>
      </c>
      <c r="C489" s="4">
        <v>16</v>
      </c>
    </row>
    <row r="490" spans="1:3" x14ac:dyDescent="0.25">
      <c r="A490" s="8" t="s">
        <v>227</v>
      </c>
      <c r="B490" s="4" t="s">
        <v>718</v>
      </c>
      <c r="C490" s="4">
        <v>46</v>
      </c>
    </row>
    <row r="491" spans="1:3" x14ac:dyDescent="0.25">
      <c r="A491" s="8" t="s">
        <v>223</v>
      </c>
      <c r="B491" s="4" t="s">
        <v>102</v>
      </c>
      <c r="C491" s="4">
        <v>28</v>
      </c>
    </row>
    <row r="492" spans="1:3" x14ac:dyDescent="0.25">
      <c r="A492" s="8" t="s">
        <v>171</v>
      </c>
      <c r="B492" s="4" t="s">
        <v>721</v>
      </c>
      <c r="C492" s="4">
        <v>19</v>
      </c>
    </row>
    <row r="493" spans="1:3" x14ac:dyDescent="0.25">
      <c r="A493" s="8" t="s">
        <v>177</v>
      </c>
      <c r="B493" s="4" t="s">
        <v>722</v>
      </c>
      <c r="C493" s="4">
        <v>55</v>
      </c>
    </row>
    <row r="494" spans="1:3" x14ac:dyDescent="0.25">
      <c r="A494" s="8" t="s">
        <v>215</v>
      </c>
      <c r="B494" s="4" t="s">
        <v>722</v>
      </c>
      <c r="C494" s="4">
        <v>22</v>
      </c>
    </row>
    <row r="495" spans="1:3" x14ac:dyDescent="0.25">
      <c r="A495" s="8" t="s">
        <v>200</v>
      </c>
      <c r="B495" s="4" t="s">
        <v>719</v>
      </c>
      <c r="C495" s="4">
        <v>31</v>
      </c>
    </row>
    <row r="496" spans="1:3" x14ac:dyDescent="0.25">
      <c r="A496" s="8" t="s">
        <v>162</v>
      </c>
      <c r="B496" s="4" t="s">
        <v>723</v>
      </c>
      <c r="C496" s="4">
        <v>21</v>
      </c>
    </row>
    <row r="497" spans="1:3" x14ac:dyDescent="0.25">
      <c r="A497" s="8" t="s">
        <v>115</v>
      </c>
      <c r="B497" s="4" t="s">
        <v>721</v>
      </c>
      <c r="C497" s="4">
        <v>37</v>
      </c>
    </row>
    <row r="498" spans="1:3" x14ac:dyDescent="0.25">
      <c r="A498" s="8" t="s">
        <v>215</v>
      </c>
      <c r="B498" s="4" t="s">
        <v>724</v>
      </c>
      <c r="C498" s="4">
        <v>44</v>
      </c>
    </row>
    <row r="499" spans="1:3" x14ac:dyDescent="0.25">
      <c r="A499" s="8" t="s">
        <v>172</v>
      </c>
      <c r="B499" s="4" t="s">
        <v>720</v>
      </c>
      <c r="C499" s="4">
        <v>49</v>
      </c>
    </row>
    <row r="500" spans="1:3" x14ac:dyDescent="0.25">
      <c r="A500" s="8" t="s">
        <v>134</v>
      </c>
      <c r="B500" s="4" t="s">
        <v>710</v>
      </c>
      <c r="C500" s="4">
        <v>39</v>
      </c>
    </row>
    <row r="501" spans="1:3" x14ac:dyDescent="0.25">
      <c r="A501" s="8" t="s">
        <v>193</v>
      </c>
      <c r="B501" s="4" t="s">
        <v>728</v>
      </c>
      <c r="C501" s="4">
        <v>23</v>
      </c>
    </row>
    <row r="502" spans="1:3" x14ac:dyDescent="0.25">
      <c r="A502" s="8" t="s">
        <v>239</v>
      </c>
      <c r="B502" s="4" t="s">
        <v>719</v>
      </c>
      <c r="C502" s="4">
        <v>32</v>
      </c>
    </row>
    <row r="503" spans="1:3" x14ac:dyDescent="0.25">
      <c r="A503" s="8" t="s">
        <v>125</v>
      </c>
      <c r="B503" s="4" t="s">
        <v>715</v>
      </c>
      <c r="C503" s="4">
        <v>27</v>
      </c>
    </row>
    <row r="504" spans="1:3" x14ac:dyDescent="0.25">
      <c r="A504" s="8" t="s">
        <v>148</v>
      </c>
      <c r="B504" s="4" t="s">
        <v>718</v>
      </c>
      <c r="C504" s="4">
        <v>35</v>
      </c>
    </row>
    <row r="505" spans="1:3" x14ac:dyDescent="0.25">
      <c r="A505" s="8" t="s">
        <v>249</v>
      </c>
      <c r="B505" s="4" t="s">
        <v>718</v>
      </c>
      <c r="C505" s="4">
        <v>36</v>
      </c>
    </row>
    <row r="506" spans="1:3" x14ac:dyDescent="0.25">
      <c r="A506" s="8" t="s">
        <v>145</v>
      </c>
      <c r="B506" s="4" t="s">
        <v>722</v>
      </c>
      <c r="C506" s="4">
        <v>15</v>
      </c>
    </row>
    <row r="507" spans="1:3" x14ac:dyDescent="0.25">
      <c r="A507" s="8" t="s">
        <v>242</v>
      </c>
      <c r="B507" s="4" t="s">
        <v>725</v>
      </c>
      <c r="C507" s="4">
        <v>24</v>
      </c>
    </row>
    <row r="508" spans="1:3" x14ac:dyDescent="0.25">
      <c r="A508" s="8" t="s">
        <v>115</v>
      </c>
      <c r="B508" s="4" t="s">
        <v>723</v>
      </c>
      <c r="C508" s="4">
        <v>29</v>
      </c>
    </row>
    <row r="509" spans="1:3" x14ac:dyDescent="0.25">
      <c r="A509" s="8" t="s">
        <v>168</v>
      </c>
      <c r="B509" s="4" t="s">
        <v>711</v>
      </c>
      <c r="C509" s="4">
        <v>42</v>
      </c>
    </row>
    <row r="510" spans="1:3" x14ac:dyDescent="0.25">
      <c r="A510" s="8" t="s">
        <v>231</v>
      </c>
      <c r="B510" s="4" t="s">
        <v>712</v>
      </c>
      <c r="C510" s="4">
        <v>56</v>
      </c>
    </row>
    <row r="511" spans="1:3" x14ac:dyDescent="0.25">
      <c r="A511" s="8" t="s">
        <v>194</v>
      </c>
      <c r="B511" s="4" t="s">
        <v>722</v>
      </c>
      <c r="C511" s="4">
        <v>39</v>
      </c>
    </row>
    <row r="512" spans="1:3" x14ac:dyDescent="0.25">
      <c r="A512" s="8" t="s">
        <v>177</v>
      </c>
      <c r="B512" s="4" t="s">
        <v>103</v>
      </c>
      <c r="C512" s="4">
        <v>28</v>
      </c>
    </row>
    <row r="513" spans="1:3" x14ac:dyDescent="0.25">
      <c r="A513" s="8" t="s">
        <v>195</v>
      </c>
      <c r="B513" s="4" t="s">
        <v>723</v>
      </c>
      <c r="C513" s="4">
        <v>23</v>
      </c>
    </row>
    <row r="514" spans="1:3" x14ac:dyDescent="0.25">
      <c r="A514" s="8" t="s">
        <v>232</v>
      </c>
      <c r="B514" s="4" t="s">
        <v>720</v>
      </c>
      <c r="C514" s="4">
        <v>47</v>
      </c>
    </row>
    <row r="515" spans="1:3" x14ac:dyDescent="0.25">
      <c r="A515" s="8" t="s">
        <v>128</v>
      </c>
      <c r="B515" s="4" t="s">
        <v>710</v>
      </c>
      <c r="C515" s="4">
        <v>16</v>
      </c>
    </row>
    <row r="516" spans="1:3" x14ac:dyDescent="0.25">
      <c r="A516" s="8" t="s">
        <v>134</v>
      </c>
      <c r="B516" s="4" t="s">
        <v>720</v>
      </c>
      <c r="C516" s="4">
        <v>57</v>
      </c>
    </row>
    <row r="517" spans="1:3" x14ac:dyDescent="0.25">
      <c r="A517" s="8" t="s">
        <v>109</v>
      </c>
      <c r="B517" s="4" t="s">
        <v>715</v>
      </c>
      <c r="C517" s="4">
        <v>25</v>
      </c>
    </row>
    <row r="518" spans="1:3" x14ac:dyDescent="0.25">
      <c r="A518" s="8" t="s">
        <v>173</v>
      </c>
      <c r="B518" s="4" t="s">
        <v>710</v>
      </c>
      <c r="C518" s="4">
        <v>49</v>
      </c>
    </row>
    <row r="519" spans="1:3" x14ac:dyDescent="0.25">
      <c r="A519" s="8" t="s">
        <v>114</v>
      </c>
      <c r="B519" s="4" t="s">
        <v>721</v>
      </c>
      <c r="C519" s="4">
        <v>18</v>
      </c>
    </row>
    <row r="520" spans="1:3" x14ac:dyDescent="0.25">
      <c r="A520" s="8" t="s">
        <v>135</v>
      </c>
      <c r="B520" s="4" t="s">
        <v>715</v>
      </c>
      <c r="C520" s="4">
        <v>22</v>
      </c>
    </row>
    <row r="521" spans="1:3" x14ac:dyDescent="0.25">
      <c r="A521" s="8" t="s">
        <v>252</v>
      </c>
      <c r="B521" s="4" t="s">
        <v>716</v>
      </c>
      <c r="C521" s="4">
        <v>52</v>
      </c>
    </row>
    <row r="522" spans="1:3" x14ac:dyDescent="0.25">
      <c r="A522" s="8" t="s">
        <v>135</v>
      </c>
      <c r="B522" s="4" t="s">
        <v>716</v>
      </c>
      <c r="C522" s="4">
        <v>13</v>
      </c>
    </row>
    <row r="523" spans="1:3" x14ac:dyDescent="0.25">
      <c r="A523" s="8" t="s">
        <v>126</v>
      </c>
      <c r="B523" s="4" t="s">
        <v>711</v>
      </c>
      <c r="C523" s="4">
        <v>49</v>
      </c>
    </row>
    <row r="524" spans="1:3" x14ac:dyDescent="0.25">
      <c r="A524" s="8" t="s">
        <v>234</v>
      </c>
      <c r="B524" s="4" t="s">
        <v>103</v>
      </c>
      <c r="C524" s="4">
        <v>15</v>
      </c>
    </row>
    <row r="525" spans="1:3" x14ac:dyDescent="0.25">
      <c r="A525" s="8" t="s">
        <v>193</v>
      </c>
      <c r="B525" s="4" t="s">
        <v>710</v>
      </c>
      <c r="C525" s="4">
        <v>39</v>
      </c>
    </row>
    <row r="526" spans="1:3" x14ac:dyDescent="0.25">
      <c r="A526" s="8" t="s">
        <v>120</v>
      </c>
      <c r="B526" s="4" t="s">
        <v>728</v>
      </c>
      <c r="C526" s="4">
        <v>36</v>
      </c>
    </row>
    <row r="527" spans="1:3" x14ac:dyDescent="0.25">
      <c r="A527" s="8" t="s">
        <v>224</v>
      </c>
      <c r="B527" s="4" t="s">
        <v>725</v>
      </c>
      <c r="C527" s="4">
        <v>17</v>
      </c>
    </row>
    <row r="528" spans="1:3" x14ac:dyDescent="0.25">
      <c r="A528" s="8" t="s">
        <v>216</v>
      </c>
      <c r="B528" s="4" t="s">
        <v>102</v>
      </c>
      <c r="C528" s="4">
        <v>41</v>
      </c>
    </row>
    <row r="529" spans="1:3" x14ac:dyDescent="0.25">
      <c r="A529" s="8" t="s">
        <v>228</v>
      </c>
      <c r="B529" s="4" t="s">
        <v>720</v>
      </c>
      <c r="C529" s="4">
        <v>54</v>
      </c>
    </row>
    <row r="530" spans="1:3" x14ac:dyDescent="0.25">
      <c r="A530" s="8" t="s">
        <v>173</v>
      </c>
      <c r="B530" s="4" t="s">
        <v>728</v>
      </c>
      <c r="C530" s="4">
        <v>45</v>
      </c>
    </row>
    <row r="531" spans="1:3" x14ac:dyDescent="0.25">
      <c r="A531" s="8" t="s">
        <v>239</v>
      </c>
      <c r="B531" s="4" t="s">
        <v>718</v>
      </c>
      <c r="C531" s="4">
        <v>55</v>
      </c>
    </row>
    <row r="532" spans="1:3" x14ac:dyDescent="0.25">
      <c r="A532" s="8" t="s">
        <v>221</v>
      </c>
      <c r="B532" s="4" t="s">
        <v>722</v>
      </c>
      <c r="C532" s="4">
        <v>26</v>
      </c>
    </row>
    <row r="533" spans="1:3" x14ac:dyDescent="0.25">
      <c r="A533" s="8" t="s">
        <v>174</v>
      </c>
      <c r="B533" s="4" t="s">
        <v>101</v>
      </c>
      <c r="C533" s="4">
        <v>28</v>
      </c>
    </row>
    <row r="534" spans="1:3" x14ac:dyDescent="0.25">
      <c r="A534" s="8" t="s">
        <v>129</v>
      </c>
      <c r="B534" s="4" t="s">
        <v>722</v>
      </c>
      <c r="C534" s="4">
        <v>43</v>
      </c>
    </row>
    <row r="535" spans="1:3" x14ac:dyDescent="0.25">
      <c r="A535" s="8" t="s">
        <v>197</v>
      </c>
      <c r="B535" s="4" t="s">
        <v>725</v>
      </c>
      <c r="C535" s="4">
        <v>30</v>
      </c>
    </row>
    <row r="536" spans="1:3" x14ac:dyDescent="0.25">
      <c r="A536" s="8" t="s">
        <v>192</v>
      </c>
      <c r="B536" s="4" t="s">
        <v>711</v>
      </c>
      <c r="C536" s="4">
        <v>36</v>
      </c>
    </row>
    <row r="537" spans="1:3" x14ac:dyDescent="0.25">
      <c r="A537" s="8" t="s">
        <v>151</v>
      </c>
      <c r="B537" s="4" t="s">
        <v>721</v>
      </c>
      <c r="C537" s="4">
        <v>46</v>
      </c>
    </row>
    <row r="538" spans="1:3" x14ac:dyDescent="0.25">
      <c r="A538" s="8" t="s">
        <v>153</v>
      </c>
      <c r="B538" s="4" t="s">
        <v>728</v>
      </c>
      <c r="C538" s="4">
        <v>39</v>
      </c>
    </row>
    <row r="539" spans="1:3" x14ac:dyDescent="0.25">
      <c r="A539" s="8" t="s">
        <v>174</v>
      </c>
      <c r="B539" s="4" t="s">
        <v>102</v>
      </c>
      <c r="C539" s="4">
        <v>16</v>
      </c>
    </row>
    <row r="540" spans="1:3" x14ac:dyDescent="0.25">
      <c r="A540" s="8" t="s">
        <v>246</v>
      </c>
      <c r="B540" s="4" t="s">
        <v>717</v>
      </c>
      <c r="C540" s="4">
        <v>55</v>
      </c>
    </row>
    <row r="541" spans="1:3" x14ac:dyDescent="0.25">
      <c r="A541" s="8" t="s">
        <v>223</v>
      </c>
      <c r="B541" s="4" t="s">
        <v>715</v>
      </c>
      <c r="C541" s="4">
        <v>19</v>
      </c>
    </row>
    <row r="542" spans="1:3" x14ac:dyDescent="0.25">
      <c r="A542" s="8" t="s">
        <v>125</v>
      </c>
      <c r="B542" s="4" t="s">
        <v>101</v>
      </c>
      <c r="C542" s="4">
        <v>25</v>
      </c>
    </row>
    <row r="543" spans="1:3" x14ac:dyDescent="0.25">
      <c r="A543" s="8" t="s">
        <v>255</v>
      </c>
      <c r="B543" s="4" t="s">
        <v>724</v>
      </c>
      <c r="C543" s="4">
        <v>27</v>
      </c>
    </row>
    <row r="544" spans="1:3" x14ac:dyDescent="0.25">
      <c r="A544" s="8" t="s">
        <v>256</v>
      </c>
      <c r="B544" s="4" t="s">
        <v>723</v>
      </c>
      <c r="C544" s="4">
        <v>29</v>
      </c>
    </row>
    <row r="545" spans="1:3" x14ac:dyDescent="0.25">
      <c r="A545" s="8" t="s">
        <v>149</v>
      </c>
      <c r="B545" s="4" t="s">
        <v>715</v>
      </c>
      <c r="C545" s="4">
        <v>56</v>
      </c>
    </row>
    <row r="546" spans="1:3" x14ac:dyDescent="0.25">
      <c r="A546" s="8" t="s">
        <v>191</v>
      </c>
      <c r="B546" s="4" t="s">
        <v>103</v>
      </c>
      <c r="C546" s="4">
        <v>15</v>
      </c>
    </row>
    <row r="547" spans="1:3" x14ac:dyDescent="0.25">
      <c r="A547" s="8" t="s">
        <v>191</v>
      </c>
      <c r="B547" s="4" t="s">
        <v>721</v>
      </c>
      <c r="C547" s="4">
        <v>16</v>
      </c>
    </row>
    <row r="548" spans="1:3" x14ac:dyDescent="0.25">
      <c r="A548" s="8" t="s">
        <v>152</v>
      </c>
      <c r="B548" s="4" t="s">
        <v>722</v>
      </c>
      <c r="C548" s="4">
        <v>51</v>
      </c>
    </row>
    <row r="549" spans="1:3" x14ac:dyDescent="0.25">
      <c r="A549" s="8" t="s">
        <v>159</v>
      </c>
      <c r="B549" s="4" t="s">
        <v>727</v>
      </c>
      <c r="C549" s="4">
        <v>59</v>
      </c>
    </row>
    <row r="550" spans="1:3" x14ac:dyDescent="0.25">
      <c r="A550" s="8" t="s">
        <v>175</v>
      </c>
      <c r="B550" s="4" t="s">
        <v>728</v>
      </c>
      <c r="C550" s="4">
        <v>40</v>
      </c>
    </row>
    <row r="551" spans="1:3" x14ac:dyDescent="0.25">
      <c r="A551" s="8" t="s">
        <v>244</v>
      </c>
      <c r="B551" s="4" t="s">
        <v>722</v>
      </c>
      <c r="C551" s="4">
        <v>39</v>
      </c>
    </row>
    <row r="552" spans="1:3" x14ac:dyDescent="0.25">
      <c r="A552" s="8" t="s">
        <v>230</v>
      </c>
      <c r="B552" s="4" t="s">
        <v>720</v>
      </c>
      <c r="C552" s="4">
        <v>38</v>
      </c>
    </row>
    <row r="553" spans="1:3" x14ac:dyDescent="0.25">
      <c r="A553" s="8" t="s">
        <v>242</v>
      </c>
      <c r="B553" s="4" t="s">
        <v>99</v>
      </c>
      <c r="C553" s="4">
        <v>23</v>
      </c>
    </row>
    <row r="554" spans="1:3" x14ac:dyDescent="0.25">
      <c r="A554" s="8" t="s">
        <v>238</v>
      </c>
      <c r="B554" s="4" t="s">
        <v>717</v>
      </c>
      <c r="C554" s="4">
        <v>48</v>
      </c>
    </row>
    <row r="555" spans="1:3" x14ac:dyDescent="0.25">
      <c r="A555" s="8" t="s">
        <v>245</v>
      </c>
      <c r="B555" s="4" t="s">
        <v>721</v>
      </c>
      <c r="C555" s="4">
        <v>39</v>
      </c>
    </row>
    <row r="556" spans="1:3" x14ac:dyDescent="0.25">
      <c r="A556" s="8" t="s">
        <v>160</v>
      </c>
      <c r="B556" s="4" t="s">
        <v>711</v>
      </c>
      <c r="C556" s="4">
        <v>47</v>
      </c>
    </row>
    <row r="557" spans="1:3" x14ac:dyDescent="0.25">
      <c r="A557" s="8" t="s">
        <v>205</v>
      </c>
      <c r="B557" s="4" t="s">
        <v>100</v>
      </c>
      <c r="C557" s="4">
        <v>43</v>
      </c>
    </row>
    <row r="558" spans="1:3" x14ac:dyDescent="0.25">
      <c r="A558" s="8" t="s">
        <v>140</v>
      </c>
      <c r="B558" s="4" t="s">
        <v>726</v>
      </c>
      <c r="C558" s="4">
        <v>14</v>
      </c>
    </row>
    <row r="559" spans="1:3" x14ac:dyDescent="0.25">
      <c r="A559" s="8" t="s">
        <v>163</v>
      </c>
      <c r="B559" s="4" t="s">
        <v>710</v>
      </c>
      <c r="C559" s="4">
        <v>40</v>
      </c>
    </row>
    <row r="560" spans="1:3" x14ac:dyDescent="0.25">
      <c r="A560" s="8" t="s">
        <v>192</v>
      </c>
      <c r="B560" s="4" t="s">
        <v>718</v>
      </c>
      <c r="C560" s="4">
        <v>17</v>
      </c>
    </row>
    <row r="561" spans="1:3" x14ac:dyDescent="0.25">
      <c r="A561" s="8" t="s">
        <v>122</v>
      </c>
      <c r="B561" s="4" t="s">
        <v>727</v>
      </c>
      <c r="C561" s="4">
        <v>12</v>
      </c>
    </row>
    <row r="562" spans="1:3" x14ac:dyDescent="0.25">
      <c r="A562" s="8" t="s">
        <v>115</v>
      </c>
      <c r="B562" s="4" t="s">
        <v>101</v>
      </c>
      <c r="C562" s="4">
        <v>56</v>
      </c>
    </row>
    <row r="563" spans="1:3" x14ac:dyDescent="0.25">
      <c r="A563" s="8" t="s">
        <v>213</v>
      </c>
      <c r="B563" s="4" t="s">
        <v>726</v>
      </c>
      <c r="C563" s="4">
        <v>12</v>
      </c>
    </row>
    <row r="564" spans="1:3" x14ac:dyDescent="0.25">
      <c r="A564" s="8" t="s">
        <v>207</v>
      </c>
      <c r="B564" s="4" t="s">
        <v>715</v>
      </c>
      <c r="C564" s="4">
        <v>21</v>
      </c>
    </row>
    <row r="565" spans="1:3" x14ac:dyDescent="0.25">
      <c r="A565" s="8" t="s">
        <v>145</v>
      </c>
      <c r="B565" s="4" t="s">
        <v>715</v>
      </c>
      <c r="C565" s="4">
        <v>39</v>
      </c>
    </row>
    <row r="566" spans="1:3" x14ac:dyDescent="0.25">
      <c r="A566" s="8" t="s">
        <v>231</v>
      </c>
      <c r="B566" s="4" t="s">
        <v>724</v>
      </c>
      <c r="C566" s="4">
        <v>29</v>
      </c>
    </row>
    <row r="567" spans="1:3" x14ac:dyDescent="0.25">
      <c r="A567" s="8" t="s">
        <v>233</v>
      </c>
      <c r="B567" s="4" t="s">
        <v>723</v>
      </c>
      <c r="C567" s="4">
        <v>32</v>
      </c>
    </row>
    <row r="568" spans="1:3" x14ac:dyDescent="0.25">
      <c r="A568" s="8" t="s">
        <v>148</v>
      </c>
      <c r="B568" s="4" t="s">
        <v>101</v>
      </c>
      <c r="C568" s="4">
        <v>52</v>
      </c>
    </row>
    <row r="569" spans="1:3" x14ac:dyDescent="0.25">
      <c r="A569" s="8" t="s">
        <v>196</v>
      </c>
      <c r="B569" s="4" t="s">
        <v>101</v>
      </c>
      <c r="C569" s="4">
        <v>15</v>
      </c>
    </row>
    <row r="570" spans="1:3" x14ac:dyDescent="0.25">
      <c r="A570" s="8" t="s">
        <v>189</v>
      </c>
      <c r="B570" s="4" t="s">
        <v>103</v>
      </c>
      <c r="C570" s="4">
        <v>22</v>
      </c>
    </row>
    <row r="571" spans="1:3" x14ac:dyDescent="0.25">
      <c r="A571" s="8" t="s">
        <v>200</v>
      </c>
      <c r="B571" s="4" t="s">
        <v>720</v>
      </c>
      <c r="C571" s="4">
        <v>53</v>
      </c>
    </row>
    <row r="572" spans="1:3" x14ac:dyDescent="0.25">
      <c r="A572" s="8" t="s">
        <v>251</v>
      </c>
      <c r="B572" s="4" t="s">
        <v>713</v>
      </c>
      <c r="C572" s="4">
        <v>37</v>
      </c>
    </row>
    <row r="573" spans="1:3" x14ac:dyDescent="0.25">
      <c r="A573" s="8" t="s">
        <v>240</v>
      </c>
      <c r="B573" s="4" t="s">
        <v>102</v>
      </c>
      <c r="C573" s="4">
        <v>43</v>
      </c>
    </row>
    <row r="574" spans="1:3" x14ac:dyDescent="0.25">
      <c r="A574" s="8" t="s">
        <v>162</v>
      </c>
      <c r="B574" s="4" t="s">
        <v>101</v>
      </c>
      <c r="C574" s="4">
        <v>10</v>
      </c>
    </row>
    <row r="575" spans="1:3" x14ac:dyDescent="0.25">
      <c r="A575" s="8" t="s">
        <v>212</v>
      </c>
      <c r="B575" s="4" t="s">
        <v>724</v>
      </c>
      <c r="C575" s="4">
        <v>27</v>
      </c>
    </row>
    <row r="576" spans="1:3" x14ac:dyDescent="0.25">
      <c r="A576" s="8" t="s">
        <v>205</v>
      </c>
      <c r="B576" s="4" t="s">
        <v>100</v>
      </c>
      <c r="C576" s="4">
        <v>22</v>
      </c>
    </row>
    <row r="577" spans="1:3" x14ac:dyDescent="0.25">
      <c r="A577" s="8" t="s">
        <v>236</v>
      </c>
      <c r="B577" s="4" t="s">
        <v>716</v>
      </c>
      <c r="C577" s="4">
        <v>17</v>
      </c>
    </row>
    <row r="578" spans="1:3" x14ac:dyDescent="0.25">
      <c r="A578" s="8" t="s">
        <v>121</v>
      </c>
      <c r="B578" s="4" t="s">
        <v>101</v>
      </c>
      <c r="C578" s="4">
        <v>31</v>
      </c>
    </row>
    <row r="579" spans="1:3" x14ac:dyDescent="0.25">
      <c r="A579" s="8" t="s">
        <v>117</v>
      </c>
      <c r="B579" s="4" t="s">
        <v>714</v>
      </c>
      <c r="C579" s="4">
        <v>49</v>
      </c>
    </row>
    <row r="580" spans="1:3" x14ac:dyDescent="0.25">
      <c r="A580" s="8" t="s">
        <v>257</v>
      </c>
      <c r="B580" s="4" t="s">
        <v>727</v>
      </c>
      <c r="C580" s="4">
        <v>48</v>
      </c>
    </row>
    <row r="581" spans="1:3" x14ac:dyDescent="0.25">
      <c r="A581" s="8" t="s">
        <v>253</v>
      </c>
      <c r="B581" s="4" t="s">
        <v>711</v>
      </c>
      <c r="C581" s="4">
        <v>55</v>
      </c>
    </row>
    <row r="582" spans="1:3" x14ac:dyDescent="0.25">
      <c r="A582" s="8" t="s">
        <v>169</v>
      </c>
      <c r="B582" s="4" t="s">
        <v>721</v>
      </c>
      <c r="C582" s="4">
        <v>26</v>
      </c>
    </row>
    <row r="583" spans="1:3" x14ac:dyDescent="0.25">
      <c r="A583" s="8" t="s">
        <v>200</v>
      </c>
      <c r="B583" s="4" t="s">
        <v>722</v>
      </c>
      <c r="C583" s="4">
        <v>47</v>
      </c>
    </row>
    <row r="584" spans="1:3" x14ac:dyDescent="0.25">
      <c r="A584" s="8" t="s">
        <v>146</v>
      </c>
      <c r="B584" s="4" t="s">
        <v>716</v>
      </c>
      <c r="C584" s="4">
        <v>14</v>
      </c>
    </row>
    <row r="585" spans="1:3" x14ac:dyDescent="0.25">
      <c r="A585" s="8" t="s">
        <v>178</v>
      </c>
      <c r="B585" s="4" t="s">
        <v>101</v>
      </c>
      <c r="C585" s="4">
        <v>40</v>
      </c>
    </row>
    <row r="586" spans="1:3" x14ac:dyDescent="0.25">
      <c r="A586" s="8" t="s">
        <v>160</v>
      </c>
      <c r="B586" s="4" t="s">
        <v>103</v>
      </c>
      <c r="C586" s="4">
        <v>23</v>
      </c>
    </row>
    <row r="587" spans="1:3" x14ac:dyDescent="0.25">
      <c r="A587" s="8" t="s">
        <v>123</v>
      </c>
      <c r="B587" s="4" t="s">
        <v>721</v>
      </c>
      <c r="C587" s="4">
        <v>51</v>
      </c>
    </row>
    <row r="588" spans="1:3" x14ac:dyDescent="0.25">
      <c r="A588" s="8" t="s">
        <v>207</v>
      </c>
      <c r="B588" s="4" t="s">
        <v>719</v>
      </c>
      <c r="C588" s="4">
        <v>24</v>
      </c>
    </row>
    <row r="589" spans="1:3" x14ac:dyDescent="0.25">
      <c r="A589" s="8" t="s">
        <v>233</v>
      </c>
      <c r="B589" s="4" t="s">
        <v>101</v>
      </c>
      <c r="C589" s="4">
        <v>56</v>
      </c>
    </row>
    <row r="590" spans="1:3" x14ac:dyDescent="0.25">
      <c r="A590" s="8" t="s">
        <v>151</v>
      </c>
      <c r="B590" s="4" t="s">
        <v>724</v>
      </c>
      <c r="C590" s="4">
        <v>21</v>
      </c>
    </row>
    <row r="591" spans="1:3" x14ac:dyDescent="0.25">
      <c r="A591" s="8" t="s">
        <v>192</v>
      </c>
      <c r="B591" s="4" t="s">
        <v>716</v>
      </c>
      <c r="C591" s="4">
        <v>19</v>
      </c>
    </row>
    <row r="592" spans="1:3" x14ac:dyDescent="0.25">
      <c r="A592" s="8" t="s">
        <v>246</v>
      </c>
      <c r="B592" s="4" t="s">
        <v>725</v>
      </c>
      <c r="C592" s="4">
        <v>39</v>
      </c>
    </row>
    <row r="593" spans="1:3" x14ac:dyDescent="0.25">
      <c r="A593" s="8" t="s">
        <v>238</v>
      </c>
      <c r="B593" s="4" t="s">
        <v>720</v>
      </c>
      <c r="C593" s="4">
        <v>34</v>
      </c>
    </row>
    <row r="594" spans="1:3" x14ac:dyDescent="0.25">
      <c r="A594" s="8" t="s">
        <v>158</v>
      </c>
      <c r="B594" s="4" t="s">
        <v>103</v>
      </c>
      <c r="C594" s="4">
        <v>42</v>
      </c>
    </row>
    <row r="595" spans="1:3" x14ac:dyDescent="0.25">
      <c r="A595" s="8" t="s">
        <v>194</v>
      </c>
      <c r="B595" s="4" t="s">
        <v>712</v>
      </c>
      <c r="C595" s="4">
        <v>21</v>
      </c>
    </row>
    <row r="596" spans="1:3" x14ac:dyDescent="0.25">
      <c r="A596" s="8" t="s">
        <v>184</v>
      </c>
      <c r="B596" s="4" t="s">
        <v>723</v>
      </c>
      <c r="C596" s="4">
        <v>10</v>
      </c>
    </row>
    <row r="597" spans="1:3" x14ac:dyDescent="0.25">
      <c r="A597" s="8" t="s">
        <v>251</v>
      </c>
      <c r="B597" s="4" t="s">
        <v>711</v>
      </c>
      <c r="C597" s="4">
        <v>57</v>
      </c>
    </row>
    <row r="598" spans="1:3" x14ac:dyDescent="0.25">
      <c r="A598" s="8" t="s">
        <v>221</v>
      </c>
      <c r="B598" s="4" t="s">
        <v>727</v>
      </c>
      <c r="C598" s="4">
        <v>38</v>
      </c>
    </row>
    <row r="599" spans="1:3" x14ac:dyDescent="0.25">
      <c r="A599" s="8" t="s">
        <v>132</v>
      </c>
      <c r="B599" s="4" t="s">
        <v>101</v>
      </c>
      <c r="C599" s="4">
        <v>39</v>
      </c>
    </row>
    <row r="600" spans="1:3" x14ac:dyDescent="0.25">
      <c r="A600" s="8" t="s">
        <v>248</v>
      </c>
      <c r="B600" s="4" t="s">
        <v>726</v>
      </c>
      <c r="C600" s="4">
        <v>57</v>
      </c>
    </row>
    <row r="601" spans="1:3" x14ac:dyDescent="0.25">
      <c r="A601" s="8" t="s">
        <v>202</v>
      </c>
      <c r="B601" s="4" t="s">
        <v>100</v>
      </c>
      <c r="C601" s="4">
        <v>15</v>
      </c>
    </row>
    <row r="602" spans="1:3" x14ac:dyDescent="0.25">
      <c r="A602" s="8" t="s">
        <v>242</v>
      </c>
      <c r="B602" s="4" t="s">
        <v>99</v>
      </c>
      <c r="C602" s="4">
        <v>36</v>
      </c>
    </row>
    <row r="603" spans="1:3" x14ac:dyDescent="0.25">
      <c r="A603" s="8" t="s">
        <v>135</v>
      </c>
      <c r="B603" s="4" t="s">
        <v>716</v>
      </c>
      <c r="C603" s="4">
        <v>50</v>
      </c>
    </row>
    <row r="604" spans="1:3" x14ac:dyDescent="0.25">
      <c r="A604" s="8" t="s">
        <v>111</v>
      </c>
      <c r="B604" s="4" t="s">
        <v>726</v>
      </c>
      <c r="C604" s="4">
        <v>36</v>
      </c>
    </row>
    <row r="605" spans="1:3" x14ac:dyDescent="0.25">
      <c r="A605" s="8" t="s">
        <v>139</v>
      </c>
      <c r="B605" s="4" t="s">
        <v>726</v>
      </c>
      <c r="C605" s="4">
        <v>36</v>
      </c>
    </row>
    <row r="606" spans="1:3" x14ac:dyDescent="0.25">
      <c r="A606" s="8" t="s">
        <v>154</v>
      </c>
      <c r="B606" s="4" t="s">
        <v>718</v>
      </c>
      <c r="C606" s="4">
        <v>51</v>
      </c>
    </row>
    <row r="607" spans="1:3" x14ac:dyDescent="0.25">
      <c r="A607" s="8" t="s">
        <v>172</v>
      </c>
      <c r="B607" s="4" t="s">
        <v>102</v>
      </c>
      <c r="C607" s="4">
        <v>37</v>
      </c>
    </row>
    <row r="608" spans="1:3" x14ac:dyDescent="0.25">
      <c r="A608" s="8" t="s">
        <v>164</v>
      </c>
      <c r="B608" s="4" t="s">
        <v>102</v>
      </c>
      <c r="C608" s="4">
        <v>46</v>
      </c>
    </row>
    <row r="609" spans="1:3" x14ac:dyDescent="0.25">
      <c r="A609" s="8" t="s">
        <v>179</v>
      </c>
      <c r="B609" s="4" t="s">
        <v>102</v>
      </c>
      <c r="C609" s="4">
        <v>29</v>
      </c>
    </row>
    <row r="610" spans="1:3" x14ac:dyDescent="0.25">
      <c r="A610" s="8" t="s">
        <v>154</v>
      </c>
      <c r="B610" s="4" t="s">
        <v>723</v>
      </c>
      <c r="C610" s="4">
        <v>31</v>
      </c>
    </row>
    <row r="611" spans="1:3" x14ac:dyDescent="0.25">
      <c r="A611" s="8" t="s">
        <v>148</v>
      </c>
      <c r="B611" s="4" t="s">
        <v>102</v>
      </c>
      <c r="C611" s="4">
        <v>10</v>
      </c>
    </row>
    <row r="612" spans="1:3" x14ac:dyDescent="0.25">
      <c r="A612" s="8" t="s">
        <v>250</v>
      </c>
      <c r="B612" s="4" t="s">
        <v>719</v>
      </c>
      <c r="C612" s="4">
        <v>54</v>
      </c>
    </row>
    <row r="613" spans="1:3" x14ac:dyDescent="0.25">
      <c r="A613" s="8" t="s">
        <v>249</v>
      </c>
      <c r="B613" s="4" t="s">
        <v>716</v>
      </c>
      <c r="C613" s="4">
        <v>23</v>
      </c>
    </row>
    <row r="614" spans="1:3" x14ac:dyDescent="0.25">
      <c r="A614" s="8" t="s">
        <v>240</v>
      </c>
      <c r="B614" s="4" t="s">
        <v>712</v>
      </c>
      <c r="C614" s="4">
        <v>28</v>
      </c>
    </row>
    <row r="615" spans="1:3" x14ac:dyDescent="0.25">
      <c r="A615" s="8" t="s">
        <v>128</v>
      </c>
      <c r="B615" s="4" t="s">
        <v>725</v>
      </c>
      <c r="C615" s="4">
        <v>32</v>
      </c>
    </row>
    <row r="616" spans="1:3" x14ac:dyDescent="0.25">
      <c r="A616" s="8" t="s">
        <v>232</v>
      </c>
      <c r="B616" s="4" t="s">
        <v>716</v>
      </c>
      <c r="C616" s="4">
        <v>17</v>
      </c>
    </row>
    <row r="617" spans="1:3" x14ac:dyDescent="0.25">
      <c r="A617" s="8" t="s">
        <v>236</v>
      </c>
      <c r="B617" s="4" t="s">
        <v>722</v>
      </c>
      <c r="C617" s="4">
        <v>46</v>
      </c>
    </row>
    <row r="618" spans="1:3" x14ac:dyDescent="0.25">
      <c r="A618" s="8" t="s">
        <v>130</v>
      </c>
      <c r="B618" s="4" t="s">
        <v>729</v>
      </c>
      <c r="C618" s="4">
        <v>22</v>
      </c>
    </row>
    <row r="619" spans="1:3" x14ac:dyDescent="0.25">
      <c r="A619" s="8" t="s">
        <v>197</v>
      </c>
      <c r="B619" s="4" t="s">
        <v>718</v>
      </c>
      <c r="C619" s="4">
        <v>57</v>
      </c>
    </row>
    <row r="620" spans="1:3" x14ac:dyDescent="0.25">
      <c r="A620" s="8" t="s">
        <v>146</v>
      </c>
      <c r="B620" s="4" t="s">
        <v>101</v>
      </c>
      <c r="C620" s="4">
        <v>25</v>
      </c>
    </row>
    <row r="621" spans="1:3" x14ac:dyDescent="0.25">
      <c r="A621" s="8" t="s">
        <v>111</v>
      </c>
      <c r="B621" s="4" t="s">
        <v>718</v>
      </c>
      <c r="C621" s="4">
        <v>41</v>
      </c>
    </row>
    <row r="622" spans="1:3" x14ac:dyDescent="0.25">
      <c r="A622" s="8" t="s">
        <v>227</v>
      </c>
      <c r="B622" s="4" t="s">
        <v>720</v>
      </c>
      <c r="C622" s="4">
        <v>20</v>
      </c>
    </row>
    <row r="623" spans="1:3" x14ac:dyDescent="0.25">
      <c r="A623" s="8" t="s">
        <v>130</v>
      </c>
      <c r="B623" s="4" t="s">
        <v>724</v>
      </c>
      <c r="C623" s="4">
        <v>35</v>
      </c>
    </row>
    <row r="624" spans="1:3" x14ac:dyDescent="0.25">
      <c r="A624" s="8" t="s">
        <v>142</v>
      </c>
      <c r="B624" s="4" t="s">
        <v>710</v>
      </c>
      <c r="C624" s="4">
        <v>28</v>
      </c>
    </row>
    <row r="625" spans="1:3" x14ac:dyDescent="0.25">
      <c r="A625" s="8" t="s">
        <v>234</v>
      </c>
      <c r="B625" s="4" t="s">
        <v>99</v>
      </c>
      <c r="C625" s="4">
        <v>52</v>
      </c>
    </row>
    <row r="626" spans="1:3" x14ac:dyDescent="0.25">
      <c r="A626" s="8" t="s">
        <v>153</v>
      </c>
      <c r="B626" s="4" t="s">
        <v>725</v>
      </c>
      <c r="C626" s="4">
        <v>31</v>
      </c>
    </row>
    <row r="627" spans="1:3" x14ac:dyDescent="0.25">
      <c r="A627" s="8" t="s">
        <v>237</v>
      </c>
      <c r="B627" s="4" t="s">
        <v>723</v>
      </c>
      <c r="C627" s="4">
        <v>27</v>
      </c>
    </row>
    <row r="628" spans="1:3" x14ac:dyDescent="0.25">
      <c r="A628" s="8" t="s">
        <v>144</v>
      </c>
      <c r="B628" s="4" t="s">
        <v>100</v>
      </c>
      <c r="C628" s="4">
        <v>22</v>
      </c>
    </row>
    <row r="629" spans="1:3" x14ac:dyDescent="0.25">
      <c r="A629" s="8" t="s">
        <v>251</v>
      </c>
      <c r="B629" s="4" t="s">
        <v>102</v>
      </c>
      <c r="C629" s="4">
        <v>21</v>
      </c>
    </row>
    <row r="630" spans="1:3" x14ac:dyDescent="0.25">
      <c r="A630" s="8" t="s">
        <v>136</v>
      </c>
      <c r="B630" s="4" t="s">
        <v>714</v>
      </c>
      <c r="C630" s="4">
        <v>26</v>
      </c>
    </row>
    <row r="631" spans="1:3" x14ac:dyDescent="0.25">
      <c r="A631" s="8" t="s">
        <v>151</v>
      </c>
      <c r="B631" s="4" t="s">
        <v>725</v>
      </c>
      <c r="C631" s="4">
        <v>58</v>
      </c>
    </row>
    <row r="632" spans="1:3" x14ac:dyDescent="0.25">
      <c r="A632" s="8" t="s">
        <v>222</v>
      </c>
      <c r="B632" s="4" t="s">
        <v>718</v>
      </c>
      <c r="C632" s="4">
        <v>10</v>
      </c>
    </row>
    <row r="633" spans="1:3" x14ac:dyDescent="0.25">
      <c r="A633" s="8" t="s">
        <v>173</v>
      </c>
      <c r="B633" s="4" t="s">
        <v>710</v>
      </c>
      <c r="C633" s="4">
        <v>19</v>
      </c>
    </row>
    <row r="634" spans="1:3" x14ac:dyDescent="0.25">
      <c r="A634" s="8" t="s">
        <v>135</v>
      </c>
      <c r="B634" s="4" t="s">
        <v>720</v>
      </c>
      <c r="C634" s="4">
        <v>43</v>
      </c>
    </row>
    <row r="635" spans="1:3" x14ac:dyDescent="0.25">
      <c r="A635" s="8" t="s">
        <v>117</v>
      </c>
      <c r="B635" s="4" t="s">
        <v>722</v>
      </c>
      <c r="C635" s="4">
        <v>51</v>
      </c>
    </row>
    <row r="636" spans="1:3" x14ac:dyDescent="0.25">
      <c r="A636" s="8" t="s">
        <v>117</v>
      </c>
      <c r="B636" s="4" t="s">
        <v>717</v>
      </c>
      <c r="C636" s="4">
        <v>35</v>
      </c>
    </row>
    <row r="637" spans="1:3" x14ac:dyDescent="0.25">
      <c r="A637" s="8" t="s">
        <v>169</v>
      </c>
      <c r="B637" s="4" t="s">
        <v>721</v>
      </c>
      <c r="C637" s="4">
        <v>25</v>
      </c>
    </row>
    <row r="638" spans="1:3" x14ac:dyDescent="0.25">
      <c r="A638" s="8" t="s">
        <v>201</v>
      </c>
      <c r="B638" s="4" t="s">
        <v>713</v>
      </c>
      <c r="C638" s="4">
        <v>27</v>
      </c>
    </row>
    <row r="639" spans="1:3" x14ac:dyDescent="0.25">
      <c r="A639" s="8" t="s">
        <v>252</v>
      </c>
      <c r="B639" s="4" t="s">
        <v>716</v>
      </c>
      <c r="C639" s="4">
        <v>44</v>
      </c>
    </row>
    <row r="640" spans="1:3" x14ac:dyDescent="0.25">
      <c r="A640" s="8" t="s">
        <v>177</v>
      </c>
      <c r="B640" s="4" t="s">
        <v>723</v>
      </c>
      <c r="C640" s="4">
        <v>43</v>
      </c>
    </row>
    <row r="641" spans="1:3" x14ac:dyDescent="0.25">
      <c r="A641" s="8" t="s">
        <v>181</v>
      </c>
      <c r="B641" s="4" t="s">
        <v>723</v>
      </c>
      <c r="C641" s="4">
        <v>53</v>
      </c>
    </row>
    <row r="642" spans="1:3" x14ac:dyDescent="0.25">
      <c r="A642" s="8" t="s">
        <v>196</v>
      </c>
      <c r="B642" s="4" t="s">
        <v>728</v>
      </c>
      <c r="C642" s="4">
        <v>18</v>
      </c>
    </row>
    <row r="643" spans="1:3" x14ac:dyDescent="0.25">
      <c r="A643" s="8" t="s">
        <v>254</v>
      </c>
      <c r="B643" s="4" t="s">
        <v>712</v>
      </c>
      <c r="C643" s="4">
        <v>47</v>
      </c>
    </row>
    <row r="644" spans="1:3" x14ac:dyDescent="0.25">
      <c r="A644" s="8" t="s">
        <v>175</v>
      </c>
      <c r="B644" s="4" t="s">
        <v>723</v>
      </c>
      <c r="C644" s="4">
        <v>42</v>
      </c>
    </row>
    <row r="645" spans="1:3" x14ac:dyDescent="0.25">
      <c r="A645" s="8" t="s">
        <v>256</v>
      </c>
      <c r="B645" s="4" t="s">
        <v>725</v>
      </c>
      <c r="C645" s="4">
        <v>49</v>
      </c>
    </row>
    <row r="646" spans="1:3" x14ac:dyDescent="0.25">
      <c r="A646" s="8" t="s">
        <v>210</v>
      </c>
      <c r="B646" s="4" t="s">
        <v>99</v>
      </c>
      <c r="C646" s="4">
        <v>37</v>
      </c>
    </row>
    <row r="647" spans="1:3" x14ac:dyDescent="0.25">
      <c r="A647" s="8" t="s">
        <v>171</v>
      </c>
      <c r="B647" s="4" t="s">
        <v>724</v>
      </c>
      <c r="C647" s="4">
        <v>13</v>
      </c>
    </row>
    <row r="648" spans="1:3" x14ac:dyDescent="0.25">
      <c r="A648" s="8" t="s">
        <v>221</v>
      </c>
      <c r="B648" s="4" t="s">
        <v>720</v>
      </c>
      <c r="C648" s="4">
        <v>11</v>
      </c>
    </row>
    <row r="649" spans="1:3" x14ac:dyDescent="0.25">
      <c r="A649" s="8" t="s">
        <v>163</v>
      </c>
      <c r="B649" s="4" t="s">
        <v>720</v>
      </c>
      <c r="C649" s="4">
        <v>49</v>
      </c>
    </row>
    <row r="650" spans="1:3" x14ac:dyDescent="0.25">
      <c r="A650" s="8" t="s">
        <v>187</v>
      </c>
      <c r="B650" s="4" t="s">
        <v>716</v>
      </c>
      <c r="C650" s="4">
        <v>11</v>
      </c>
    </row>
    <row r="651" spans="1:3" x14ac:dyDescent="0.25">
      <c r="A651" s="8" t="s">
        <v>190</v>
      </c>
      <c r="B651" s="4" t="s">
        <v>100</v>
      </c>
      <c r="C651" s="4">
        <v>24</v>
      </c>
    </row>
    <row r="652" spans="1:3" x14ac:dyDescent="0.25">
      <c r="A652" s="8" t="s">
        <v>231</v>
      </c>
      <c r="B652" s="4" t="s">
        <v>720</v>
      </c>
      <c r="C652" s="4">
        <v>57</v>
      </c>
    </row>
    <row r="653" spans="1:3" x14ac:dyDescent="0.25">
      <c r="A653" s="8" t="s">
        <v>241</v>
      </c>
      <c r="B653" s="4" t="s">
        <v>100</v>
      </c>
      <c r="C653" s="4">
        <v>30</v>
      </c>
    </row>
    <row r="654" spans="1:3" x14ac:dyDescent="0.25">
      <c r="A654" s="8" t="s">
        <v>171</v>
      </c>
      <c r="B654" s="4" t="s">
        <v>718</v>
      </c>
      <c r="C654" s="4">
        <v>19</v>
      </c>
    </row>
    <row r="655" spans="1:3" x14ac:dyDescent="0.25">
      <c r="A655" s="8" t="s">
        <v>237</v>
      </c>
      <c r="B655" s="4" t="s">
        <v>710</v>
      </c>
      <c r="C655" s="4">
        <v>47</v>
      </c>
    </row>
    <row r="656" spans="1:3" x14ac:dyDescent="0.25">
      <c r="A656" s="8" t="s">
        <v>250</v>
      </c>
      <c r="B656" s="4" t="s">
        <v>723</v>
      </c>
      <c r="C656" s="4">
        <v>41</v>
      </c>
    </row>
    <row r="657" spans="1:3" x14ac:dyDescent="0.25">
      <c r="A657" s="8" t="s">
        <v>232</v>
      </c>
      <c r="B657" s="4" t="s">
        <v>724</v>
      </c>
      <c r="C657" s="4">
        <v>43</v>
      </c>
    </row>
    <row r="658" spans="1:3" x14ac:dyDescent="0.25">
      <c r="A658" s="8" t="s">
        <v>139</v>
      </c>
      <c r="B658" s="4" t="s">
        <v>712</v>
      </c>
      <c r="C658" s="4">
        <v>11</v>
      </c>
    </row>
    <row r="659" spans="1:3" x14ac:dyDescent="0.25">
      <c r="A659" s="8" t="s">
        <v>111</v>
      </c>
      <c r="B659" s="4" t="s">
        <v>719</v>
      </c>
      <c r="C659" s="4">
        <v>46</v>
      </c>
    </row>
    <row r="660" spans="1:3" x14ac:dyDescent="0.25">
      <c r="A660" s="8" t="s">
        <v>243</v>
      </c>
      <c r="B660" s="4" t="s">
        <v>100</v>
      </c>
      <c r="C660" s="4">
        <v>32</v>
      </c>
    </row>
    <row r="661" spans="1:3" x14ac:dyDescent="0.25">
      <c r="A661" s="8" t="s">
        <v>179</v>
      </c>
      <c r="B661" s="4" t="s">
        <v>725</v>
      </c>
      <c r="C661" s="4">
        <v>12</v>
      </c>
    </row>
    <row r="662" spans="1:3" x14ac:dyDescent="0.25">
      <c r="A662" s="8" t="s">
        <v>140</v>
      </c>
      <c r="B662" s="4" t="s">
        <v>710</v>
      </c>
      <c r="C662" s="4">
        <v>49</v>
      </c>
    </row>
    <row r="663" spans="1:3" x14ac:dyDescent="0.25">
      <c r="A663" s="8" t="s">
        <v>133</v>
      </c>
      <c r="B663" s="4" t="s">
        <v>713</v>
      </c>
      <c r="C663" s="4">
        <v>54</v>
      </c>
    </row>
    <row r="664" spans="1:3" x14ac:dyDescent="0.25">
      <c r="A664" s="8" t="s">
        <v>182</v>
      </c>
      <c r="B664" s="4" t="s">
        <v>100</v>
      </c>
      <c r="C664" s="4">
        <v>19</v>
      </c>
    </row>
    <row r="665" spans="1:3" x14ac:dyDescent="0.25">
      <c r="A665" s="8" t="s">
        <v>195</v>
      </c>
      <c r="B665" s="4" t="s">
        <v>726</v>
      </c>
      <c r="C665" s="4">
        <v>39</v>
      </c>
    </row>
    <row r="666" spans="1:3" x14ac:dyDescent="0.25">
      <c r="A666" s="8" t="s">
        <v>183</v>
      </c>
      <c r="B666" s="4" t="s">
        <v>727</v>
      </c>
      <c r="C666" s="4">
        <v>28</v>
      </c>
    </row>
    <row r="667" spans="1:3" x14ac:dyDescent="0.25">
      <c r="A667" s="8" t="s">
        <v>142</v>
      </c>
      <c r="B667" s="4" t="s">
        <v>721</v>
      </c>
      <c r="C667" s="4">
        <v>28</v>
      </c>
    </row>
    <row r="668" spans="1:3" x14ac:dyDescent="0.25">
      <c r="A668" s="8" t="s">
        <v>214</v>
      </c>
      <c r="B668" s="4" t="s">
        <v>724</v>
      </c>
      <c r="C668" s="4">
        <v>54</v>
      </c>
    </row>
    <row r="669" spans="1:3" x14ac:dyDescent="0.25">
      <c r="A669" s="8" t="s">
        <v>234</v>
      </c>
      <c r="B669" s="4" t="s">
        <v>717</v>
      </c>
      <c r="C669" s="4">
        <v>55</v>
      </c>
    </row>
    <row r="670" spans="1:3" x14ac:dyDescent="0.25">
      <c r="A670" s="8" t="s">
        <v>168</v>
      </c>
      <c r="B670" s="4" t="s">
        <v>716</v>
      </c>
      <c r="C670" s="4">
        <v>44</v>
      </c>
    </row>
    <row r="671" spans="1:3" x14ac:dyDescent="0.25">
      <c r="A671" s="8" t="s">
        <v>125</v>
      </c>
      <c r="B671" s="4" t="s">
        <v>727</v>
      </c>
      <c r="C671" s="4">
        <v>15</v>
      </c>
    </row>
    <row r="672" spans="1:3" x14ac:dyDescent="0.25">
      <c r="A672" s="8" t="s">
        <v>144</v>
      </c>
      <c r="B672" s="4" t="s">
        <v>719</v>
      </c>
      <c r="C672" s="4">
        <v>14</v>
      </c>
    </row>
    <row r="673" spans="1:3" x14ac:dyDescent="0.25">
      <c r="A673" s="8" t="s">
        <v>229</v>
      </c>
      <c r="B673" s="4" t="s">
        <v>727</v>
      </c>
      <c r="C673" s="4">
        <v>32</v>
      </c>
    </row>
    <row r="674" spans="1:3" x14ac:dyDescent="0.25">
      <c r="A674" s="8" t="s">
        <v>220</v>
      </c>
      <c r="B674" s="4" t="s">
        <v>728</v>
      </c>
      <c r="C674" s="4">
        <v>42</v>
      </c>
    </row>
    <row r="675" spans="1:3" x14ac:dyDescent="0.25">
      <c r="A675" s="8" t="s">
        <v>191</v>
      </c>
      <c r="B675" s="4" t="s">
        <v>722</v>
      </c>
      <c r="C675" s="4">
        <v>34</v>
      </c>
    </row>
    <row r="676" spans="1:3" x14ac:dyDescent="0.25">
      <c r="A676" s="8" t="s">
        <v>246</v>
      </c>
      <c r="B676" s="4" t="s">
        <v>725</v>
      </c>
      <c r="C676" s="4">
        <v>22</v>
      </c>
    </row>
    <row r="677" spans="1:3" x14ac:dyDescent="0.25">
      <c r="A677" s="8" t="s">
        <v>197</v>
      </c>
      <c r="B677" s="4" t="s">
        <v>729</v>
      </c>
      <c r="C677" s="4">
        <v>15</v>
      </c>
    </row>
    <row r="678" spans="1:3" x14ac:dyDescent="0.25">
      <c r="A678" s="8" t="s">
        <v>125</v>
      </c>
      <c r="B678" s="4" t="s">
        <v>721</v>
      </c>
      <c r="C678" s="4">
        <v>57</v>
      </c>
    </row>
    <row r="679" spans="1:3" x14ac:dyDescent="0.25">
      <c r="A679" s="8" t="s">
        <v>210</v>
      </c>
      <c r="B679" s="4" t="s">
        <v>725</v>
      </c>
      <c r="C679" s="4">
        <v>32</v>
      </c>
    </row>
    <row r="680" spans="1:3" x14ac:dyDescent="0.25">
      <c r="A680" s="8" t="s">
        <v>235</v>
      </c>
      <c r="B680" s="4" t="s">
        <v>710</v>
      </c>
      <c r="C680" s="4">
        <v>31</v>
      </c>
    </row>
    <row r="681" spans="1:3" x14ac:dyDescent="0.25">
      <c r="A681" s="8" t="s">
        <v>232</v>
      </c>
      <c r="B681" s="4" t="s">
        <v>716</v>
      </c>
      <c r="C681" s="4">
        <v>33</v>
      </c>
    </row>
    <row r="682" spans="1:3" x14ac:dyDescent="0.25">
      <c r="A682" s="8" t="s">
        <v>138</v>
      </c>
      <c r="B682" s="4" t="s">
        <v>712</v>
      </c>
      <c r="C682" s="4">
        <v>11</v>
      </c>
    </row>
    <row r="683" spans="1:3" x14ac:dyDescent="0.25">
      <c r="A683" s="8" t="s">
        <v>168</v>
      </c>
      <c r="B683" s="4" t="s">
        <v>715</v>
      </c>
      <c r="C683" s="4">
        <v>30</v>
      </c>
    </row>
    <row r="684" spans="1:3" x14ac:dyDescent="0.25">
      <c r="A684" s="8" t="s">
        <v>185</v>
      </c>
      <c r="B684" s="4" t="s">
        <v>726</v>
      </c>
      <c r="C684" s="4">
        <v>25</v>
      </c>
    </row>
    <row r="685" spans="1:3" x14ac:dyDescent="0.25">
      <c r="A685" s="8" t="s">
        <v>214</v>
      </c>
      <c r="B685" s="4" t="s">
        <v>100</v>
      </c>
      <c r="C685" s="4">
        <v>21</v>
      </c>
    </row>
    <row r="686" spans="1:3" x14ac:dyDescent="0.25">
      <c r="A686" s="8" t="s">
        <v>251</v>
      </c>
      <c r="B686" s="4" t="s">
        <v>101</v>
      </c>
      <c r="C686" s="4">
        <v>50</v>
      </c>
    </row>
    <row r="687" spans="1:3" x14ac:dyDescent="0.25">
      <c r="A687" s="8" t="s">
        <v>248</v>
      </c>
      <c r="B687" s="4" t="s">
        <v>719</v>
      </c>
      <c r="C687" s="4">
        <v>40</v>
      </c>
    </row>
    <row r="688" spans="1:3" x14ac:dyDescent="0.25">
      <c r="A688" s="8" t="s">
        <v>158</v>
      </c>
      <c r="B688" s="4" t="s">
        <v>721</v>
      </c>
      <c r="C688" s="4">
        <v>27</v>
      </c>
    </row>
    <row r="689" spans="1:3" x14ac:dyDescent="0.25">
      <c r="A689" s="8" t="s">
        <v>177</v>
      </c>
      <c r="B689" s="4" t="s">
        <v>103</v>
      </c>
      <c r="C689" s="4">
        <v>48</v>
      </c>
    </row>
    <row r="690" spans="1:3" x14ac:dyDescent="0.25">
      <c r="A690" s="8" t="s">
        <v>202</v>
      </c>
      <c r="B690" s="4" t="s">
        <v>722</v>
      </c>
      <c r="C690" s="4">
        <v>44</v>
      </c>
    </row>
    <row r="691" spans="1:3" x14ac:dyDescent="0.25">
      <c r="A691" s="8" t="s">
        <v>242</v>
      </c>
      <c r="B691" s="4" t="s">
        <v>715</v>
      </c>
      <c r="C691" s="4">
        <v>11</v>
      </c>
    </row>
    <row r="692" spans="1:3" x14ac:dyDescent="0.25">
      <c r="A692" s="8" t="s">
        <v>109</v>
      </c>
      <c r="B692" s="4" t="s">
        <v>720</v>
      </c>
      <c r="C692" s="4">
        <v>44</v>
      </c>
    </row>
    <row r="693" spans="1:3" x14ac:dyDescent="0.25">
      <c r="A693" s="8" t="s">
        <v>234</v>
      </c>
      <c r="B693" s="4" t="s">
        <v>714</v>
      </c>
      <c r="C693" s="4">
        <v>53</v>
      </c>
    </row>
    <row r="694" spans="1:3" x14ac:dyDescent="0.25">
      <c r="A694" s="8" t="s">
        <v>140</v>
      </c>
      <c r="B694" s="4" t="s">
        <v>722</v>
      </c>
      <c r="C694" s="4">
        <v>26</v>
      </c>
    </row>
    <row r="695" spans="1:3" x14ac:dyDescent="0.25">
      <c r="A695" s="8" t="s">
        <v>138</v>
      </c>
      <c r="B695" s="4" t="s">
        <v>725</v>
      </c>
      <c r="C695" s="4">
        <v>55</v>
      </c>
    </row>
    <row r="696" spans="1:3" x14ac:dyDescent="0.25">
      <c r="A696" s="8" t="s">
        <v>256</v>
      </c>
      <c r="B696" s="4" t="s">
        <v>101</v>
      </c>
      <c r="C696" s="4">
        <v>58</v>
      </c>
    </row>
    <row r="697" spans="1:3" x14ac:dyDescent="0.25">
      <c r="A697" s="8" t="s">
        <v>189</v>
      </c>
      <c r="B697" s="4" t="s">
        <v>725</v>
      </c>
      <c r="C697" s="4">
        <v>50</v>
      </c>
    </row>
    <row r="698" spans="1:3" x14ac:dyDescent="0.25">
      <c r="A698" s="8" t="s">
        <v>174</v>
      </c>
      <c r="B698" s="4" t="s">
        <v>723</v>
      </c>
      <c r="C698" s="4">
        <v>44</v>
      </c>
    </row>
    <row r="699" spans="1:3" x14ac:dyDescent="0.25">
      <c r="A699" s="8" t="s">
        <v>215</v>
      </c>
      <c r="B699" s="4" t="s">
        <v>727</v>
      </c>
      <c r="C699" s="4">
        <v>33</v>
      </c>
    </row>
    <row r="700" spans="1:3" x14ac:dyDescent="0.25">
      <c r="A700" s="8" t="s">
        <v>210</v>
      </c>
      <c r="B700" s="4" t="s">
        <v>713</v>
      </c>
      <c r="C700" s="4">
        <v>19</v>
      </c>
    </row>
    <row r="701" spans="1:3" x14ac:dyDescent="0.25">
      <c r="A701" s="8" t="s">
        <v>143</v>
      </c>
      <c r="B701" s="4" t="s">
        <v>100</v>
      </c>
      <c r="C701" s="4">
        <v>13</v>
      </c>
    </row>
    <row r="702" spans="1:3" x14ac:dyDescent="0.25">
      <c r="A702" s="8" t="s">
        <v>143</v>
      </c>
      <c r="B702" s="4" t="s">
        <v>723</v>
      </c>
      <c r="C702" s="4">
        <v>44</v>
      </c>
    </row>
    <row r="703" spans="1:3" x14ac:dyDescent="0.25">
      <c r="A703" s="8" t="s">
        <v>224</v>
      </c>
      <c r="B703" s="4" t="s">
        <v>101</v>
      </c>
      <c r="C703" s="4">
        <v>26</v>
      </c>
    </row>
    <row r="704" spans="1:3" x14ac:dyDescent="0.25">
      <c r="A704" s="8" t="s">
        <v>136</v>
      </c>
      <c r="B704" s="4" t="s">
        <v>723</v>
      </c>
      <c r="C704" s="4">
        <v>44</v>
      </c>
    </row>
    <row r="705" spans="1:3" x14ac:dyDescent="0.25">
      <c r="A705" s="8" t="s">
        <v>128</v>
      </c>
      <c r="B705" s="4" t="s">
        <v>711</v>
      </c>
      <c r="C705" s="4">
        <v>59</v>
      </c>
    </row>
    <row r="706" spans="1:3" x14ac:dyDescent="0.25">
      <c r="A706" s="8" t="s">
        <v>126</v>
      </c>
      <c r="B706" s="4" t="s">
        <v>712</v>
      </c>
      <c r="C706" s="4">
        <v>14</v>
      </c>
    </row>
    <row r="707" spans="1:3" x14ac:dyDescent="0.25">
      <c r="A707" s="8" t="s">
        <v>151</v>
      </c>
      <c r="B707" s="4" t="s">
        <v>103</v>
      </c>
      <c r="C707" s="4">
        <v>30</v>
      </c>
    </row>
    <row r="708" spans="1:3" x14ac:dyDescent="0.25">
      <c r="A708" s="8" t="s">
        <v>183</v>
      </c>
      <c r="B708" s="4" t="s">
        <v>728</v>
      </c>
      <c r="C708" s="4">
        <v>42</v>
      </c>
    </row>
    <row r="709" spans="1:3" x14ac:dyDescent="0.25">
      <c r="A709" s="8" t="s">
        <v>144</v>
      </c>
      <c r="B709" s="4" t="s">
        <v>728</v>
      </c>
      <c r="C709" s="4">
        <v>46</v>
      </c>
    </row>
    <row r="710" spans="1:3" x14ac:dyDescent="0.25">
      <c r="A710" s="8" t="s">
        <v>200</v>
      </c>
      <c r="B710" s="4" t="s">
        <v>724</v>
      </c>
      <c r="C710" s="4">
        <v>58</v>
      </c>
    </row>
    <row r="711" spans="1:3" x14ac:dyDescent="0.25">
      <c r="A711" s="8" t="s">
        <v>148</v>
      </c>
      <c r="B711" s="4" t="s">
        <v>712</v>
      </c>
      <c r="C711" s="4">
        <v>36</v>
      </c>
    </row>
    <row r="712" spans="1:3" x14ac:dyDescent="0.25">
      <c r="A712" s="8" t="s">
        <v>122</v>
      </c>
      <c r="B712" s="4" t="s">
        <v>711</v>
      </c>
      <c r="C712" s="4">
        <v>30</v>
      </c>
    </row>
    <row r="713" spans="1:3" x14ac:dyDescent="0.25">
      <c r="A713" s="8" t="s">
        <v>237</v>
      </c>
      <c r="B713" s="4" t="s">
        <v>719</v>
      </c>
      <c r="C713" s="4">
        <v>13</v>
      </c>
    </row>
    <row r="714" spans="1:3" x14ac:dyDescent="0.25">
      <c r="A714" s="8" t="s">
        <v>147</v>
      </c>
      <c r="B714" s="4" t="s">
        <v>99</v>
      </c>
      <c r="C714" s="4">
        <v>30</v>
      </c>
    </row>
    <row r="715" spans="1:3" x14ac:dyDescent="0.25">
      <c r="A715" s="8" t="s">
        <v>144</v>
      </c>
      <c r="B715" s="4" t="s">
        <v>711</v>
      </c>
      <c r="C715" s="4">
        <v>30</v>
      </c>
    </row>
    <row r="716" spans="1:3" x14ac:dyDescent="0.25">
      <c r="A716" s="8" t="s">
        <v>124</v>
      </c>
      <c r="B716" s="4" t="s">
        <v>718</v>
      </c>
      <c r="C716" s="4">
        <v>55</v>
      </c>
    </row>
    <row r="717" spans="1:3" x14ac:dyDescent="0.25">
      <c r="A717" s="8" t="s">
        <v>229</v>
      </c>
      <c r="B717" s="4" t="s">
        <v>724</v>
      </c>
      <c r="C717" s="4">
        <v>51</v>
      </c>
    </row>
    <row r="718" spans="1:3" x14ac:dyDescent="0.25">
      <c r="A718" s="8" t="s">
        <v>169</v>
      </c>
      <c r="B718" s="4" t="s">
        <v>102</v>
      </c>
      <c r="C718" s="4">
        <v>18</v>
      </c>
    </row>
    <row r="719" spans="1:3" x14ac:dyDescent="0.25">
      <c r="A719" s="8" t="s">
        <v>257</v>
      </c>
      <c r="B719" s="4" t="s">
        <v>722</v>
      </c>
      <c r="C719" s="4">
        <v>51</v>
      </c>
    </row>
    <row r="720" spans="1:3" x14ac:dyDescent="0.25">
      <c r="A720" s="8" t="s">
        <v>193</v>
      </c>
      <c r="B720" s="4" t="s">
        <v>100</v>
      </c>
      <c r="C720" s="4">
        <v>57</v>
      </c>
    </row>
    <row r="721" spans="1:3" x14ac:dyDescent="0.25">
      <c r="A721" s="8" t="s">
        <v>158</v>
      </c>
      <c r="B721" s="4" t="s">
        <v>725</v>
      </c>
      <c r="C721" s="4">
        <v>51</v>
      </c>
    </row>
    <row r="722" spans="1:3" x14ac:dyDescent="0.25">
      <c r="A722" s="8" t="s">
        <v>181</v>
      </c>
      <c r="B722" s="4" t="s">
        <v>715</v>
      </c>
      <c r="C722" s="4">
        <v>42</v>
      </c>
    </row>
    <row r="723" spans="1:3" x14ac:dyDescent="0.25">
      <c r="A723" s="8" t="s">
        <v>110</v>
      </c>
      <c r="B723" s="4" t="s">
        <v>718</v>
      </c>
      <c r="C723" s="4">
        <v>32</v>
      </c>
    </row>
    <row r="724" spans="1:3" x14ac:dyDescent="0.25">
      <c r="A724" s="8" t="s">
        <v>249</v>
      </c>
      <c r="B724" s="4" t="s">
        <v>724</v>
      </c>
      <c r="C724" s="4">
        <v>18</v>
      </c>
    </row>
    <row r="725" spans="1:3" x14ac:dyDescent="0.25">
      <c r="A725" s="8" t="s">
        <v>203</v>
      </c>
      <c r="B725" s="4" t="s">
        <v>722</v>
      </c>
      <c r="C725" s="4">
        <v>27</v>
      </c>
    </row>
    <row r="726" spans="1:3" x14ac:dyDescent="0.25">
      <c r="A726" s="8" t="s">
        <v>113</v>
      </c>
      <c r="B726" s="4" t="s">
        <v>722</v>
      </c>
      <c r="C726" s="4">
        <v>41</v>
      </c>
    </row>
    <row r="727" spans="1:3" x14ac:dyDescent="0.25">
      <c r="A727" s="8" t="s">
        <v>157</v>
      </c>
      <c r="B727" s="4" t="s">
        <v>100</v>
      </c>
      <c r="C727" s="4">
        <v>57</v>
      </c>
    </row>
    <row r="728" spans="1:3" x14ac:dyDescent="0.25">
      <c r="A728" s="8" t="s">
        <v>241</v>
      </c>
      <c r="B728" s="4" t="s">
        <v>726</v>
      </c>
      <c r="C728" s="4">
        <v>43</v>
      </c>
    </row>
    <row r="729" spans="1:3" x14ac:dyDescent="0.25">
      <c r="A729" s="8" t="s">
        <v>158</v>
      </c>
      <c r="B729" s="4" t="s">
        <v>721</v>
      </c>
      <c r="C729" s="4">
        <v>29</v>
      </c>
    </row>
    <row r="730" spans="1:3" x14ac:dyDescent="0.25">
      <c r="A730" s="8" t="s">
        <v>112</v>
      </c>
      <c r="B730" s="4" t="s">
        <v>710</v>
      </c>
      <c r="C730" s="4">
        <v>11</v>
      </c>
    </row>
    <row r="731" spans="1:3" x14ac:dyDescent="0.25">
      <c r="A731" s="8" t="s">
        <v>190</v>
      </c>
      <c r="B731" s="4" t="s">
        <v>717</v>
      </c>
      <c r="C731" s="4">
        <v>36</v>
      </c>
    </row>
    <row r="732" spans="1:3" x14ac:dyDescent="0.25">
      <c r="A732" s="8" t="s">
        <v>131</v>
      </c>
      <c r="B732" s="4" t="s">
        <v>726</v>
      </c>
      <c r="C732" s="4">
        <v>56</v>
      </c>
    </row>
    <row r="733" spans="1:3" x14ac:dyDescent="0.25">
      <c r="A733" s="8" t="s">
        <v>154</v>
      </c>
      <c r="B733" s="4" t="s">
        <v>710</v>
      </c>
      <c r="C733" s="4">
        <v>52</v>
      </c>
    </row>
    <row r="734" spans="1:3" x14ac:dyDescent="0.25">
      <c r="A734" s="8" t="s">
        <v>149</v>
      </c>
      <c r="B734" s="4" t="s">
        <v>720</v>
      </c>
      <c r="C734" s="4">
        <v>45</v>
      </c>
    </row>
    <row r="735" spans="1:3" x14ac:dyDescent="0.25">
      <c r="A735" s="8" t="s">
        <v>257</v>
      </c>
      <c r="B735" s="4" t="s">
        <v>720</v>
      </c>
      <c r="C735" s="4">
        <v>12</v>
      </c>
    </row>
    <row r="736" spans="1:3" x14ac:dyDescent="0.25">
      <c r="A736" s="8" t="s">
        <v>254</v>
      </c>
      <c r="B736" s="4" t="s">
        <v>103</v>
      </c>
      <c r="C736" s="4">
        <v>38</v>
      </c>
    </row>
    <row r="737" spans="1:3" x14ac:dyDescent="0.25">
      <c r="A737" s="8" t="s">
        <v>132</v>
      </c>
      <c r="B737" s="4" t="s">
        <v>716</v>
      </c>
      <c r="C737" s="4">
        <v>27</v>
      </c>
    </row>
    <row r="738" spans="1:3" x14ac:dyDescent="0.25">
      <c r="A738" s="8" t="s">
        <v>225</v>
      </c>
      <c r="B738" s="4" t="s">
        <v>727</v>
      </c>
      <c r="C738" s="4">
        <v>52</v>
      </c>
    </row>
    <row r="739" spans="1:3" x14ac:dyDescent="0.25">
      <c r="A739" s="8" t="s">
        <v>211</v>
      </c>
      <c r="B739" s="4" t="s">
        <v>722</v>
      </c>
      <c r="C739" s="4">
        <v>31</v>
      </c>
    </row>
    <row r="740" spans="1:3" x14ac:dyDescent="0.25">
      <c r="A740" s="8" t="s">
        <v>226</v>
      </c>
      <c r="B740" s="4" t="s">
        <v>102</v>
      </c>
      <c r="C740" s="4">
        <v>59</v>
      </c>
    </row>
    <row r="741" spans="1:3" x14ac:dyDescent="0.25">
      <c r="A741" s="8" t="s">
        <v>147</v>
      </c>
      <c r="B741" s="4" t="s">
        <v>710</v>
      </c>
      <c r="C741" s="4">
        <v>32</v>
      </c>
    </row>
    <row r="742" spans="1:3" x14ac:dyDescent="0.25">
      <c r="A742" s="8" t="s">
        <v>190</v>
      </c>
      <c r="B742" s="4" t="s">
        <v>720</v>
      </c>
      <c r="C742" s="4">
        <v>41</v>
      </c>
    </row>
    <row r="743" spans="1:3" x14ac:dyDescent="0.25">
      <c r="A743" s="8" t="s">
        <v>117</v>
      </c>
      <c r="B743" s="4" t="s">
        <v>725</v>
      </c>
      <c r="C743" s="4">
        <v>26</v>
      </c>
    </row>
    <row r="744" spans="1:3" x14ac:dyDescent="0.25">
      <c r="A744" s="8" t="s">
        <v>230</v>
      </c>
      <c r="B744" s="4" t="s">
        <v>726</v>
      </c>
      <c r="C744" s="4">
        <v>14</v>
      </c>
    </row>
    <row r="745" spans="1:3" x14ac:dyDescent="0.25">
      <c r="A745" s="8" t="s">
        <v>140</v>
      </c>
      <c r="B745" s="4" t="s">
        <v>727</v>
      </c>
      <c r="C745" s="4">
        <v>32</v>
      </c>
    </row>
    <row r="746" spans="1:3" x14ac:dyDescent="0.25">
      <c r="A746" s="8" t="s">
        <v>152</v>
      </c>
      <c r="B746" s="4" t="s">
        <v>714</v>
      </c>
      <c r="C746" s="4">
        <v>53</v>
      </c>
    </row>
    <row r="747" spans="1:3" x14ac:dyDescent="0.25">
      <c r="A747" s="8" t="s">
        <v>237</v>
      </c>
      <c r="B747" s="4" t="s">
        <v>716</v>
      </c>
      <c r="C747" s="4">
        <v>22</v>
      </c>
    </row>
    <row r="748" spans="1:3" x14ac:dyDescent="0.25">
      <c r="A748" s="8" t="s">
        <v>165</v>
      </c>
      <c r="B748" s="4" t="s">
        <v>718</v>
      </c>
      <c r="C748" s="4">
        <v>18</v>
      </c>
    </row>
    <row r="749" spans="1:3" x14ac:dyDescent="0.25">
      <c r="A749" s="8" t="s">
        <v>239</v>
      </c>
      <c r="B749" s="4" t="s">
        <v>714</v>
      </c>
      <c r="C749" s="4">
        <v>30</v>
      </c>
    </row>
    <row r="750" spans="1:3" x14ac:dyDescent="0.25">
      <c r="A750" s="8" t="s">
        <v>207</v>
      </c>
      <c r="B750" s="4" t="s">
        <v>727</v>
      </c>
      <c r="C750" s="4">
        <v>51</v>
      </c>
    </row>
    <row r="751" spans="1:3" x14ac:dyDescent="0.25">
      <c r="A751" s="8" t="s">
        <v>221</v>
      </c>
      <c r="B751" s="4" t="s">
        <v>726</v>
      </c>
      <c r="C751" s="4">
        <v>54</v>
      </c>
    </row>
    <row r="752" spans="1:3" x14ac:dyDescent="0.25">
      <c r="A752" s="8" t="s">
        <v>225</v>
      </c>
      <c r="B752" s="4" t="s">
        <v>99</v>
      </c>
      <c r="C752" s="4">
        <v>54</v>
      </c>
    </row>
    <row r="753" spans="1:3" x14ac:dyDescent="0.25">
      <c r="A753" s="8" t="s">
        <v>221</v>
      </c>
      <c r="B753" s="4" t="s">
        <v>729</v>
      </c>
      <c r="C753" s="4">
        <v>39</v>
      </c>
    </row>
    <row r="754" spans="1:3" x14ac:dyDescent="0.25">
      <c r="A754" s="8" t="s">
        <v>200</v>
      </c>
      <c r="B754" s="4" t="s">
        <v>725</v>
      </c>
      <c r="C754" s="4">
        <v>16</v>
      </c>
    </row>
    <row r="755" spans="1:3" x14ac:dyDescent="0.25">
      <c r="A755" s="8" t="s">
        <v>258</v>
      </c>
      <c r="B755" s="4" t="s">
        <v>100</v>
      </c>
      <c r="C755" s="4">
        <v>54</v>
      </c>
    </row>
    <row r="756" spans="1:3" x14ac:dyDescent="0.25">
      <c r="A756" s="8" t="s">
        <v>251</v>
      </c>
      <c r="B756" s="4" t="s">
        <v>102</v>
      </c>
      <c r="C756" s="4">
        <v>36</v>
      </c>
    </row>
    <row r="757" spans="1:3" x14ac:dyDescent="0.25">
      <c r="A757" s="8" t="s">
        <v>193</v>
      </c>
      <c r="B757" s="4" t="s">
        <v>99</v>
      </c>
      <c r="C757" s="4">
        <v>50</v>
      </c>
    </row>
    <row r="758" spans="1:3" x14ac:dyDescent="0.25">
      <c r="A758" s="8" t="s">
        <v>218</v>
      </c>
      <c r="B758" s="4" t="s">
        <v>717</v>
      </c>
      <c r="C758" s="4">
        <v>31</v>
      </c>
    </row>
    <row r="759" spans="1:3" x14ac:dyDescent="0.25">
      <c r="A759" s="8" t="s">
        <v>140</v>
      </c>
      <c r="B759" s="4" t="s">
        <v>717</v>
      </c>
      <c r="C759" s="4">
        <v>19</v>
      </c>
    </row>
    <row r="760" spans="1:3" x14ac:dyDescent="0.25">
      <c r="A760" s="8" t="s">
        <v>165</v>
      </c>
      <c r="B760" s="4" t="s">
        <v>102</v>
      </c>
      <c r="C760" s="4">
        <v>47</v>
      </c>
    </row>
    <row r="761" spans="1:3" x14ac:dyDescent="0.25">
      <c r="A761" s="8" t="s">
        <v>138</v>
      </c>
      <c r="B761" s="4" t="s">
        <v>723</v>
      </c>
      <c r="C761" s="4">
        <v>59</v>
      </c>
    </row>
    <row r="762" spans="1:3" x14ac:dyDescent="0.25">
      <c r="A762" s="8" t="s">
        <v>152</v>
      </c>
      <c r="B762" s="4" t="s">
        <v>721</v>
      </c>
      <c r="C762" s="4">
        <v>54</v>
      </c>
    </row>
    <row r="763" spans="1:3" x14ac:dyDescent="0.25">
      <c r="A763" s="8" t="s">
        <v>129</v>
      </c>
      <c r="B763" s="4" t="s">
        <v>100</v>
      </c>
      <c r="C763" s="4">
        <v>21</v>
      </c>
    </row>
    <row r="764" spans="1:3" x14ac:dyDescent="0.25">
      <c r="A764" s="8" t="s">
        <v>146</v>
      </c>
      <c r="B764" s="4" t="s">
        <v>103</v>
      </c>
      <c r="C764" s="4">
        <v>26</v>
      </c>
    </row>
    <row r="765" spans="1:3" x14ac:dyDescent="0.25">
      <c r="A765" s="8" t="s">
        <v>192</v>
      </c>
      <c r="B765" s="4" t="s">
        <v>103</v>
      </c>
      <c r="C765" s="4">
        <v>49</v>
      </c>
    </row>
    <row r="766" spans="1:3" x14ac:dyDescent="0.25">
      <c r="A766" s="8" t="s">
        <v>145</v>
      </c>
      <c r="B766" s="4" t="s">
        <v>714</v>
      </c>
      <c r="C766" s="4">
        <v>55</v>
      </c>
    </row>
    <row r="767" spans="1:3" x14ac:dyDescent="0.25">
      <c r="A767" s="8" t="s">
        <v>174</v>
      </c>
      <c r="B767" s="4" t="s">
        <v>718</v>
      </c>
      <c r="C767" s="4">
        <v>10</v>
      </c>
    </row>
    <row r="768" spans="1:3" x14ac:dyDescent="0.25">
      <c r="A768" s="8" t="s">
        <v>182</v>
      </c>
      <c r="B768" s="4" t="s">
        <v>714</v>
      </c>
      <c r="C768" s="4">
        <v>36</v>
      </c>
    </row>
    <row r="769" spans="1:3" x14ac:dyDescent="0.25">
      <c r="A769" s="8" t="s">
        <v>128</v>
      </c>
      <c r="B769" s="4" t="s">
        <v>712</v>
      </c>
      <c r="C769" s="4">
        <v>32</v>
      </c>
    </row>
    <row r="770" spans="1:3" x14ac:dyDescent="0.25">
      <c r="A770" s="8" t="s">
        <v>109</v>
      </c>
      <c r="B770" s="4" t="s">
        <v>717</v>
      </c>
      <c r="C770" s="4">
        <v>18</v>
      </c>
    </row>
    <row r="771" spans="1:3" x14ac:dyDescent="0.25">
      <c r="A771" s="8" t="s">
        <v>240</v>
      </c>
      <c r="B771" s="4" t="s">
        <v>713</v>
      </c>
      <c r="C771" s="4">
        <v>21</v>
      </c>
    </row>
    <row r="772" spans="1:3" x14ac:dyDescent="0.25">
      <c r="A772" s="8" t="s">
        <v>176</v>
      </c>
      <c r="B772" s="4" t="s">
        <v>716</v>
      </c>
      <c r="C772" s="4">
        <v>53</v>
      </c>
    </row>
    <row r="773" spans="1:3" x14ac:dyDescent="0.25">
      <c r="A773" s="8" t="s">
        <v>159</v>
      </c>
      <c r="B773" s="4" t="s">
        <v>726</v>
      </c>
      <c r="C773" s="4">
        <v>56</v>
      </c>
    </row>
    <row r="774" spans="1:3" x14ac:dyDescent="0.25">
      <c r="A774" s="8" t="s">
        <v>121</v>
      </c>
      <c r="B774" s="4" t="s">
        <v>102</v>
      </c>
      <c r="C774" s="4">
        <v>38</v>
      </c>
    </row>
    <row r="775" spans="1:3" x14ac:dyDescent="0.25">
      <c r="A775" s="8" t="s">
        <v>234</v>
      </c>
      <c r="B775" s="4" t="s">
        <v>99</v>
      </c>
      <c r="C775" s="4">
        <v>25</v>
      </c>
    </row>
    <row r="776" spans="1:3" x14ac:dyDescent="0.25">
      <c r="A776" s="8" t="s">
        <v>204</v>
      </c>
      <c r="B776" s="4" t="s">
        <v>729</v>
      </c>
      <c r="C776" s="4">
        <v>13</v>
      </c>
    </row>
    <row r="777" spans="1:3" x14ac:dyDescent="0.25">
      <c r="A777" s="8" t="s">
        <v>258</v>
      </c>
      <c r="B777" s="4" t="s">
        <v>99</v>
      </c>
      <c r="C777" s="4">
        <v>38</v>
      </c>
    </row>
    <row r="778" spans="1:3" x14ac:dyDescent="0.25">
      <c r="A778" s="8" t="s">
        <v>165</v>
      </c>
      <c r="B778" s="4" t="s">
        <v>103</v>
      </c>
      <c r="C778" s="4">
        <v>34</v>
      </c>
    </row>
    <row r="779" spans="1:3" x14ac:dyDescent="0.25">
      <c r="A779" s="8" t="s">
        <v>222</v>
      </c>
      <c r="B779" s="4" t="s">
        <v>101</v>
      </c>
      <c r="C779" s="4">
        <v>12</v>
      </c>
    </row>
    <row r="780" spans="1:3" x14ac:dyDescent="0.25">
      <c r="A780" s="8" t="s">
        <v>249</v>
      </c>
      <c r="B780" s="4" t="s">
        <v>717</v>
      </c>
      <c r="C780" s="4">
        <v>35</v>
      </c>
    </row>
    <row r="781" spans="1:3" x14ac:dyDescent="0.25">
      <c r="A781" s="8" t="s">
        <v>224</v>
      </c>
      <c r="B781" s="4" t="s">
        <v>728</v>
      </c>
      <c r="C781" s="4">
        <v>30</v>
      </c>
    </row>
    <row r="782" spans="1:3" x14ac:dyDescent="0.25">
      <c r="A782" s="8" t="s">
        <v>232</v>
      </c>
      <c r="B782" s="4" t="s">
        <v>723</v>
      </c>
      <c r="C782" s="4">
        <v>43</v>
      </c>
    </row>
    <row r="783" spans="1:3" x14ac:dyDescent="0.25">
      <c r="A783" s="8" t="s">
        <v>210</v>
      </c>
      <c r="B783" s="4" t="s">
        <v>713</v>
      </c>
      <c r="C783" s="4">
        <v>36</v>
      </c>
    </row>
    <row r="784" spans="1:3" x14ac:dyDescent="0.25">
      <c r="A784" s="8" t="s">
        <v>121</v>
      </c>
      <c r="B784" s="4" t="s">
        <v>720</v>
      </c>
      <c r="C784" s="4">
        <v>15</v>
      </c>
    </row>
    <row r="785" spans="1:3" x14ac:dyDescent="0.25">
      <c r="A785" s="8" t="s">
        <v>188</v>
      </c>
      <c r="B785" s="4" t="s">
        <v>724</v>
      </c>
      <c r="C785" s="4">
        <v>16</v>
      </c>
    </row>
    <row r="786" spans="1:3" x14ac:dyDescent="0.25">
      <c r="A786" s="8" t="s">
        <v>198</v>
      </c>
      <c r="B786" s="4" t="s">
        <v>715</v>
      </c>
      <c r="C786" s="4">
        <v>39</v>
      </c>
    </row>
    <row r="787" spans="1:3" x14ac:dyDescent="0.25">
      <c r="A787" s="8" t="s">
        <v>138</v>
      </c>
      <c r="B787" s="4" t="s">
        <v>724</v>
      </c>
      <c r="C787" s="4">
        <v>28</v>
      </c>
    </row>
    <row r="788" spans="1:3" x14ac:dyDescent="0.25">
      <c r="A788" s="8" t="s">
        <v>162</v>
      </c>
      <c r="B788" s="4" t="s">
        <v>728</v>
      </c>
      <c r="C788" s="4">
        <v>45</v>
      </c>
    </row>
    <row r="789" spans="1:3" x14ac:dyDescent="0.25">
      <c r="A789" s="8" t="s">
        <v>110</v>
      </c>
      <c r="B789" s="4" t="s">
        <v>712</v>
      </c>
      <c r="C789" s="4">
        <v>51</v>
      </c>
    </row>
    <row r="790" spans="1:3" x14ac:dyDescent="0.25">
      <c r="A790" s="8" t="s">
        <v>179</v>
      </c>
      <c r="B790" s="4" t="s">
        <v>103</v>
      </c>
      <c r="C790" s="4">
        <v>50</v>
      </c>
    </row>
    <row r="791" spans="1:3" x14ac:dyDescent="0.25">
      <c r="A791" s="8" t="s">
        <v>217</v>
      </c>
      <c r="B791" s="4" t="s">
        <v>713</v>
      </c>
      <c r="C791" s="4">
        <v>50</v>
      </c>
    </row>
    <row r="792" spans="1:3" x14ac:dyDescent="0.25">
      <c r="A792" s="8" t="s">
        <v>221</v>
      </c>
      <c r="B792" s="4" t="s">
        <v>102</v>
      </c>
      <c r="C792" s="4">
        <v>14</v>
      </c>
    </row>
    <row r="793" spans="1:3" x14ac:dyDescent="0.25">
      <c r="A793" s="8" t="s">
        <v>207</v>
      </c>
      <c r="B793" s="4" t="s">
        <v>719</v>
      </c>
      <c r="C793" s="4">
        <v>49</v>
      </c>
    </row>
    <row r="794" spans="1:3" x14ac:dyDescent="0.25">
      <c r="A794" s="8" t="s">
        <v>192</v>
      </c>
      <c r="B794" s="4" t="s">
        <v>725</v>
      </c>
      <c r="C794" s="4">
        <v>23</v>
      </c>
    </row>
    <row r="795" spans="1:3" x14ac:dyDescent="0.25">
      <c r="A795" s="8" t="s">
        <v>237</v>
      </c>
      <c r="B795" s="4" t="s">
        <v>102</v>
      </c>
      <c r="C795" s="4">
        <v>35</v>
      </c>
    </row>
    <row r="796" spans="1:3" x14ac:dyDescent="0.25">
      <c r="A796" s="8" t="s">
        <v>145</v>
      </c>
      <c r="B796" s="4" t="s">
        <v>723</v>
      </c>
      <c r="C796" s="4">
        <v>42</v>
      </c>
    </row>
    <row r="797" spans="1:3" x14ac:dyDescent="0.25">
      <c r="A797" s="8" t="s">
        <v>144</v>
      </c>
      <c r="B797" s="4" t="s">
        <v>727</v>
      </c>
      <c r="C797" s="4">
        <v>58</v>
      </c>
    </row>
    <row r="798" spans="1:3" x14ac:dyDescent="0.25">
      <c r="A798" s="8" t="s">
        <v>237</v>
      </c>
      <c r="B798" s="4" t="s">
        <v>716</v>
      </c>
      <c r="C798" s="4">
        <v>18</v>
      </c>
    </row>
    <row r="799" spans="1:3" x14ac:dyDescent="0.25">
      <c r="A799" s="8" t="s">
        <v>153</v>
      </c>
      <c r="B799" s="4" t="s">
        <v>102</v>
      </c>
      <c r="C799" s="4">
        <v>46</v>
      </c>
    </row>
    <row r="800" spans="1:3" x14ac:dyDescent="0.25">
      <c r="A800" s="8" t="s">
        <v>228</v>
      </c>
      <c r="B800" s="4" t="s">
        <v>722</v>
      </c>
      <c r="C800" s="4">
        <v>25</v>
      </c>
    </row>
    <row r="801" spans="1:3" x14ac:dyDescent="0.25">
      <c r="A801" s="8" t="s">
        <v>176</v>
      </c>
      <c r="B801" s="4" t="s">
        <v>100</v>
      </c>
      <c r="C801" s="4">
        <v>15</v>
      </c>
    </row>
    <row r="802" spans="1:3" x14ac:dyDescent="0.25">
      <c r="A802" s="8" t="s">
        <v>223</v>
      </c>
      <c r="B802" s="4" t="s">
        <v>724</v>
      </c>
      <c r="C802" s="4">
        <v>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802"/>
  <sheetViews>
    <sheetView zoomScaleNormal="100" workbookViewId="0">
      <selection activeCell="G6" sqref="G6"/>
    </sheetView>
  </sheetViews>
  <sheetFormatPr defaultRowHeight="15" x14ac:dyDescent="0.25"/>
  <cols>
    <col min="1" max="1" width="15.140625" customWidth="1"/>
    <col min="2" max="2" width="18.140625" bestFit="1" customWidth="1"/>
    <col min="3" max="4" width="11" customWidth="1"/>
    <col min="5" max="5" width="13.140625" customWidth="1"/>
    <col min="6" max="6" width="13" customWidth="1"/>
    <col min="7" max="7" width="13.85546875" customWidth="1"/>
    <col min="11" max="11" width="13.140625" customWidth="1"/>
    <col min="13" max="13" width="10.85546875" customWidth="1"/>
    <col min="17" max="17" width="17.28515625" customWidth="1"/>
  </cols>
  <sheetData>
    <row r="1" spans="1:7" x14ac:dyDescent="0.25">
      <c r="A1" s="11" t="s">
        <v>91</v>
      </c>
      <c r="B1" s="11" t="s">
        <v>92</v>
      </c>
      <c r="C1" s="11" t="s">
        <v>93</v>
      </c>
      <c r="E1" s="28" t="s">
        <v>704</v>
      </c>
      <c r="F1" s="8">
        <f t="array" ref="F1">MIN($A$2:$A$802+0)</f>
        <v>41500</v>
      </c>
      <c r="G1" s="8">
        <f t="shared" ref="G1" si="0">_xlfn.AGGREGATE(15,4,$A$2:$A$802+0,1)</f>
        <v>41500</v>
      </c>
    </row>
    <row r="2" spans="1:7" x14ac:dyDescent="0.25">
      <c r="A2" s="8" t="s">
        <v>109</v>
      </c>
      <c r="B2" s="4" t="s">
        <v>710</v>
      </c>
      <c r="C2" s="4">
        <v>51</v>
      </c>
      <c r="E2" s="28" t="s">
        <v>705</v>
      </c>
      <c r="F2" s="8">
        <f t="array" ref="F2">MAX($A$2:$A$802+0)</f>
        <v>41650</v>
      </c>
      <c r="G2" s="8">
        <f>_xlfn.AGGREGATE(14,4,$A$2:$A$802+0,1)</f>
        <v>41650</v>
      </c>
    </row>
    <row r="3" spans="1:7" x14ac:dyDescent="0.25">
      <c r="A3" s="8" t="s">
        <v>110</v>
      </c>
      <c r="B3" s="4" t="s">
        <v>711</v>
      </c>
      <c r="C3" s="4">
        <v>12</v>
      </c>
    </row>
    <row r="4" spans="1:7" x14ac:dyDescent="0.25">
      <c r="A4" s="8" t="s">
        <v>111</v>
      </c>
      <c r="B4" s="4" t="s">
        <v>712</v>
      </c>
      <c r="C4" s="4">
        <v>38</v>
      </c>
    </row>
    <row r="5" spans="1:7" x14ac:dyDescent="0.25">
      <c r="A5" s="8" t="s">
        <v>112</v>
      </c>
      <c r="B5" s="4" t="s">
        <v>103</v>
      </c>
      <c r="C5" s="4">
        <v>36</v>
      </c>
      <c r="E5" s="11" t="s">
        <v>706</v>
      </c>
      <c r="F5" s="11" t="s">
        <v>707</v>
      </c>
      <c r="G5" s="11" t="s">
        <v>82</v>
      </c>
    </row>
    <row r="6" spans="1:7" x14ac:dyDescent="0.25">
      <c r="A6" s="8" t="s">
        <v>113</v>
      </c>
      <c r="B6" s="4" t="s">
        <v>103</v>
      </c>
      <c r="C6" s="4">
        <v>12</v>
      </c>
      <c r="E6" s="8">
        <f>F1</f>
        <v>41500</v>
      </c>
      <c r="F6" s="8">
        <f>EOMONTH(E6,0)</f>
        <v>41517</v>
      </c>
      <c r="G6" s="22">
        <f>SUMPRODUCT(--(A2:A802+0&gt;=E6),--(A2:A802+0&lt;=F6),C2:C802)</f>
        <v>3174</v>
      </c>
    </row>
    <row r="7" spans="1:7" x14ac:dyDescent="0.25">
      <c r="A7" s="8" t="s">
        <v>114</v>
      </c>
      <c r="B7" s="4" t="s">
        <v>101</v>
      </c>
      <c r="C7" s="4">
        <v>26</v>
      </c>
      <c r="E7" s="8">
        <f>F6+1</f>
        <v>41518</v>
      </c>
      <c r="F7" s="8">
        <f>EOMONTH(E7,0)</f>
        <v>41547</v>
      </c>
      <c r="G7" s="22">
        <f t="shared" ref="G7:G11" si="1">SUMPRODUCT(--(A3:A803+0&gt;=E7),--(A3:A803+0&lt;=F7),C3:C803)</f>
        <v>5255</v>
      </c>
    </row>
    <row r="8" spans="1:7" x14ac:dyDescent="0.25">
      <c r="A8" s="8" t="s">
        <v>115</v>
      </c>
      <c r="B8" s="4" t="s">
        <v>711</v>
      </c>
      <c r="C8" s="4">
        <v>13</v>
      </c>
      <c r="E8" s="8">
        <f t="shared" ref="E8:E11" si="2">F7+1</f>
        <v>41548</v>
      </c>
      <c r="F8" s="8">
        <f t="shared" ref="F8:F11" si="3">EOMONTH(E8,0)</f>
        <v>41578</v>
      </c>
      <c r="G8" s="22">
        <f t="shared" si="1"/>
        <v>6145</v>
      </c>
    </row>
    <row r="9" spans="1:7" x14ac:dyDescent="0.25">
      <c r="A9" s="8" t="s">
        <v>116</v>
      </c>
      <c r="B9" s="4" t="s">
        <v>713</v>
      </c>
      <c r="C9" s="4">
        <v>29</v>
      </c>
      <c r="E9" s="8">
        <f t="shared" si="2"/>
        <v>41579</v>
      </c>
      <c r="F9" s="8">
        <f t="shared" si="3"/>
        <v>41608</v>
      </c>
      <c r="G9" s="22">
        <f t="shared" si="1"/>
        <v>5556</v>
      </c>
    </row>
    <row r="10" spans="1:7" x14ac:dyDescent="0.25">
      <c r="A10" s="8" t="s">
        <v>117</v>
      </c>
      <c r="B10" s="4" t="s">
        <v>714</v>
      </c>
      <c r="C10" s="4">
        <v>33</v>
      </c>
      <c r="E10" s="8">
        <f t="shared" si="2"/>
        <v>41609</v>
      </c>
      <c r="F10" s="8">
        <f t="shared" si="3"/>
        <v>41639</v>
      </c>
      <c r="G10" s="22">
        <f t="shared" si="1"/>
        <v>5273</v>
      </c>
    </row>
    <row r="11" spans="1:7" x14ac:dyDescent="0.25">
      <c r="A11" s="8" t="s">
        <v>118</v>
      </c>
      <c r="B11" s="4" t="s">
        <v>715</v>
      </c>
      <c r="C11" s="4">
        <v>48</v>
      </c>
      <c r="E11" s="8">
        <f t="shared" si="2"/>
        <v>41640</v>
      </c>
      <c r="F11" s="8">
        <f t="shared" si="3"/>
        <v>41670</v>
      </c>
      <c r="G11" s="22">
        <f t="shared" si="1"/>
        <v>2248</v>
      </c>
    </row>
    <row r="12" spans="1:7" x14ac:dyDescent="0.25">
      <c r="A12" s="8" t="s">
        <v>119</v>
      </c>
      <c r="B12" s="4" t="s">
        <v>716</v>
      </c>
      <c r="C12" s="4">
        <v>45</v>
      </c>
      <c r="E12" s="25"/>
      <c r="F12" s="25"/>
    </row>
    <row r="13" spans="1:7" x14ac:dyDescent="0.25">
      <c r="A13" s="8" t="s">
        <v>120</v>
      </c>
      <c r="B13" s="4" t="s">
        <v>101</v>
      </c>
      <c r="C13" s="4">
        <v>36</v>
      </c>
      <c r="E13" s="25"/>
      <c r="F13" s="25"/>
    </row>
    <row r="14" spans="1:7" x14ac:dyDescent="0.25">
      <c r="A14" s="8" t="s">
        <v>121</v>
      </c>
      <c r="B14" s="4" t="s">
        <v>717</v>
      </c>
      <c r="C14" s="4">
        <v>54</v>
      </c>
    </row>
    <row r="15" spans="1:7" x14ac:dyDescent="0.25">
      <c r="A15" s="8" t="s">
        <v>122</v>
      </c>
      <c r="B15" s="4" t="s">
        <v>101</v>
      </c>
      <c r="C15" s="4">
        <v>45</v>
      </c>
    </row>
    <row r="16" spans="1:7" x14ac:dyDescent="0.25">
      <c r="A16" s="8" t="s">
        <v>123</v>
      </c>
      <c r="B16" s="4" t="s">
        <v>718</v>
      </c>
      <c r="C16" s="4">
        <v>37</v>
      </c>
    </row>
    <row r="17" spans="1:3" x14ac:dyDescent="0.25">
      <c r="A17" s="8" t="s">
        <v>124</v>
      </c>
      <c r="B17" s="4" t="s">
        <v>719</v>
      </c>
      <c r="C17" s="4">
        <v>41</v>
      </c>
    </row>
    <row r="18" spans="1:3" x14ac:dyDescent="0.25">
      <c r="A18" s="8" t="s">
        <v>125</v>
      </c>
      <c r="B18" s="4" t="s">
        <v>717</v>
      </c>
      <c r="C18" s="4">
        <v>46</v>
      </c>
    </row>
    <row r="19" spans="1:3" x14ac:dyDescent="0.25">
      <c r="A19" s="8" t="s">
        <v>126</v>
      </c>
      <c r="B19" s="4" t="s">
        <v>720</v>
      </c>
      <c r="C19" s="4">
        <v>23</v>
      </c>
    </row>
    <row r="20" spans="1:3" x14ac:dyDescent="0.25">
      <c r="A20" s="8" t="s">
        <v>127</v>
      </c>
      <c r="B20" s="4" t="s">
        <v>715</v>
      </c>
      <c r="C20" s="4">
        <v>27</v>
      </c>
    </row>
    <row r="21" spans="1:3" x14ac:dyDescent="0.25">
      <c r="A21" s="8" t="s">
        <v>128</v>
      </c>
      <c r="B21" s="4" t="s">
        <v>712</v>
      </c>
      <c r="C21" s="4">
        <v>55</v>
      </c>
    </row>
    <row r="22" spans="1:3" x14ac:dyDescent="0.25">
      <c r="A22" s="8" t="s">
        <v>129</v>
      </c>
      <c r="B22" s="4" t="s">
        <v>101</v>
      </c>
      <c r="C22" s="4">
        <v>36</v>
      </c>
    </row>
    <row r="23" spans="1:3" x14ac:dyDescent="0.25">
      <c r="A23" s="8" t="s">
        <v>130</v>
      </c>
      <c r="B23" s="4" t="s">
        <v>713</v>
      </c>
      <c r="C23" s="4">
        <v>15</v>
      </c>
    </row>
    <row r="24" spans="1:3" x14ac:dyDescent="0.25">
      <c r="A24" s="8" t="s">
        <v>131</v>
      </c>
      <c r="B24" s="4" t="s">
        <v>721</v>
      </c>
      <c r="C24" s="4">
        <v>19</v>
      </c>
    </row>
    <row r="25" spans="1:3" x14ac:dyDescent="0.25">
      <c r="A25" s="8" t="s">
        <v>132</v>
      </c>
      <c r="B25" s="4" t="s">
        <v>721</v>
      </c>
      <c r="C25" s="4">
        <v>32</v>
      </c>
    </row>
    <row r="26" spans="1:3" x14ac:dyDescent="0.25">
      <c r="A26" s="8" t="s">
        <v>133</v>
      </c>
      <c r="B26" s="4" t="s">
        <v>720</v>
      </c>
      <c r="C26" s="4">
        <v>30</v>
      </c>
    </row>
    <row r="27" spans="1:3" x14ac:dyDescent="0.25">
      <c r="A27" s="8" t="s">
        <v>134</v>
      </c>
      <c r="B27" s="4" t="s">
        <v>721</v>
      </c>
      <c r="C27" s="4">
        <v>36</v>
      </c>
    </row>
    <row r="28" spans="1:3" x14ac:dyDescent="0.25">
      <c r="A28" s="8" t="s">
        <v>121</v>
      </c>
      <c r="B28" s="4" t="s">
        <v>722</v>
      </c>
      <c r="C28" s="4">
        <v>43</v>
      </c>
    </row>
    <row r="29" spans="1:3" x14ac:dyDescent="0.25">
      <c r="A29" s="8" t="s">
        <v>135</v>
      </c>
      <c r="B29" s="4" t="s">
        <v>715</v>
      </c>
      <c r="C29" s="4">
        <v>55</v>
      </c>
    </row>
    <row r="30" spans="1:3" x14ac:dyDescent="0.25">
      <c r="A30" s="8" t="s">
        <v>111</v>
      </c>
      <c r="B30" s="4" t="s">
        <v>100</v>
      </c>
      <c r="C30" s="4">
        <v>31</v>
      </c>
    </row>
    <row r="31" spans="1:3" x14ac:dyDescent="0.25">
      <c r="A31" s="8" t="s">
        <v>133</v>
      </c>
      <c r="B31" s="4" t="s">
        <v>101</v>
      </c>
      <c r="C31" s="4">
        <v>14</v>
      </c>
    </row>
    <row r="32" spans="1:3" x14ac:dyDescent="0.25">
      <c r="A32" s="8" t="s">
        <v>136</v>
      </c>
      <c r="B32" s="4" t="s">
        <v>711</v>
      </c>
      <c r="C32" s="4">
        <v>29</v>
      </c>
    </row>
    <row r="33" spans="1:3" x14ac:dyDescent="0.25">
      <c r="A33" s="8" t="s">
        <v>137</v>
      </c>
      <c r="B33" s="4" t="s">
        <v>723</v>
      </c>
      <c r="C33" s="4">
        <v>58</v>
      </c>
    </row>
    <row r="34" spans="1:3" x14ac:dyDescent="0.25">
      <c r="A34" s="8" t="s">
        <v>129</v>
      </c>
      <c r="B34" s="4" t="s">
        <v>710</v>
      </c>
      <c r="C34" s="4">
        <v>37</v>
      </c>
    </row>
    <row r="35" spans="1:3" x14ac:dyDescent="0.25">
      <c r="A35" s="8" t="s">
        <v>138</v>
      </c>
      <c r="B35" s="4" t="s">
        <v>723</v>
      </c>
      <c r="C35" s="4">
        <v>57</v>
      </c>
    </row>
    <row r="36" spans="1:3" x14ac:dyDescent="0.25">
      <c r="A36" s="8" t="s">
        <v>139</v>
      </c>
      <c r="B36" s="4" t="s">
        <v>718</v>
      </c>
      <c r="C36" s="4">
        <v>43</v>
      </c>
    </row>
    <row r="37" spans="1:3" x14ac:dyDescent="0.25">
      <c r="A37" s="8" t="s">
        <v>140</v>
      </c>
      <c r="B37" s="4" t="s">
        <v>102</v>
      </c>
      <c r="C37" s="4">
        <v>43</v>
      </c>
    </row>
    <row r="38" spans="1:3" x14ac:dyDescent="0.25">
      <c r="A38" s="8" t="s">
        <v>141</v>
      </c>
      <c r="B38" s="4" t="s">
        <v>720</v>
      </c>
      <c r="C38" s="4">
        <v>49</v>
      </c>
    </row>
    <row r="39" spans="1:3" x14ac:dyDescent="0.25">
      <c r="A39" s="8" t="s">
        <v>142</v>
      </c>
      <c r="B39" s="4" t="s">
        <v>714</v>
      </c>
      <c r="C39" s="4">
        <v>56</v>
      </c>
    </row>
    <row r="40" spans="1:3" x14ac:dyDescent="0.25">
      <c r="A40" s="8" t="s">
        <v>116</v>
      </c>
      <c r="B40" s="4" t="s">
        <v>720</v>
      </c>
      <c r="C40" s="4">
        <v>58</v>
      </c>
    </row>
    <row r="41" spans="1:3" x14ac:dyDescent="0.25">
      <c r="A41" s="8" t="s">
        <v>143</v>
      </c>
      <c r="B41" s="4" t="s">
        <v>102</v>
      </c>
      <c r="C41" s="4">
        <v>17</v>
      </c>
    </row>
    <row r="42" spans="1:3" x14ac:dyDescent="0.25">
      <c r="A42" s="8" t="s">
        <v>139</v>
      </c>
      <c r="B42" s="4" t="s">
        <v>710</v>
      </c>
      <c r="C42" s="4">
        <v>27</v>
      </c>
    </row>
    <row r="43" spans="1:3" x14ac:dyDescent="0.25">
      <c r="A43" s="8" t="s">
        <v>144</v>
      </c>
      <c r="B43" s="4" t="s">
        <v>102</v>
      </c>
      <c r="C43" s="4">
        <v>26</v>
      </c>
    </row>
    <row r="44" spans="1:3" x14ac:dyDescent="0.25">
      <c r="A44" s="8" t="s">
        <v>145</v>
      </c>
      <c r="B44" s="4" t="s">
        <v>723</v>
      </c>
      <c r="C44" s="4">
        <v>25</v>
      </c>
    </row>
    <row r="45" spans="1:3" x14ac:dyDescent="0.25">
      <c r="A45" s="8" t="s">
        <v>115</v>
      </c>
      <c r="B45" s="4" t="s">
        <v>711</v>
      </c>
      <c r="C45" s="4">
        <v>55</v>
      </c>
    </row>
    <row r="46" spans="1:3" x14ac:dyDescent="0.25">
      <c r="A46" s="8" t="s">
        <v>126</v>
      </c>
      <c r="B46" s="4" t="s">
        <v>722</v>
      </c>
      <c r="C46" s="4">
        <v>31</v>
      </c>
    </row>
    <row r="47" spans="1:3" x14ac:dyDescent="0.25">
      <c r="A47" s="8" t="s">
        <v>146</v>
      </c>
      <c r="B47" s="4" t="s">
        <v>99</v>
      </c>
      <c r="C47" s="4">
        <v>50</v>
      </c>
    </row>
    <row r="48" spans="1:3" x14ac:dyDescent="0.25">
      <c r="A48" s="8" t="s">
        <v>113</v>
      </c>
      <c r="B48" s="4" t="s">
        <v>712</v>
      </c>
      <c r="C48" s="4">
        <v>42</v>
      </c>
    </row>
    <row r="49" spans="1:3" x14ac:dyDescent="0.25">
      <c r="A49" s="8" t="s">
        <v>147</v>
      </c>
      <c r="B49" s="4" t="s">
        <v>102</v>
      </c>
      <c r="C49" s="4">
        <v>40</v>
      </c>
    </row>
    <row r="50" spans="1:3" x14ac:dyDescent="0.25">
      <c r="A50" s="8" t="s">
        <v>148</v>
      </c>
      <c r="B50" s="4" t="s">
        <v>99</v>
      </c>
      <c r="C50" s="4">
        <v>35</v>
      </c>
    </row>
    <row r="51" spans="1:3" x14ac:dyDescent="0.25">
      <c r="A51" s="8" t="s">
        <v>149</v>
      </c>
      <c r="B51" s="4" t="s">
        <v>714</v>
      </c>
      <c r="C51" s="4">
        <v>17</v>
      </c>
    </row>
    <row r="52" spans="1:3" x14ac:dyDescent="0.25">
      <c r="A52" s="8" t="s">
        <v>150</v>
      </c>
      <c r="B52" s="4" t="s">
        <v>724</v>
      </c>
      <c r="C52" s="4">
        <v>17</v>
      </c>
    </row>
    <row r="53" spans="1:3" x14ac:dyDescent="0.25">
      <c r="A53" s="8" t="s">
        <v>151</v>
      </c>
      <c r="B53" s="4" t="s">
        <v>102</v>
      </c>
      <c r="C53" s="4">
        <v>10</v>
      </c>
    </row>
    <row r="54" spans="1:3" x14ac:dyDescent="0.25">
      <c r="A54" s="8" t="s">
        <v>152</v>
      </c>
      <c r="B54" s="4" t="s">
        <v>719</v>
      </c>
      <c r="C54" s="4">
        <v>17</v>
      </c>
    </row>
    <row r="55" spans="1:3" x14ac:dyDescent="0.25">
      <c r="A55" s="8" t="s">
        <v>148</v>
      </c>
      <c r="B55" s="4" t="s">
        <v>99</v>
      </c>
      <c r="C55" s="4">
        <v>27</v>
      </c>
    </row>
    <row r="56" spans="1:3" x14ac:dyDescent="0.25">
      <c r="A56" s="8" t="s">
        <v>153</v>
      </c>
      <c r="B56" s="4" t="s">
        <v>725</v>
      </c>
      <c r="C56" s="4">
        <v>53</v>
      </c>
    </row>
    <row r="57" spans="1:3" x14ac:dyDescent="0.25">
      <c r="A57" s="8" t="s">
        <v>154</v>
      </c>
      <c r="B57" s="4" t="s">
        <v>719</v>
      </c>
      <c r="C57" s="4">
        <v>59</v>
      </c>
    </row>
    <row r="58" spans="1:3" x14ac:dyDescent="0.25">
      <c r="A58" s="8" t="s">
        <v>155</v>
      </c>
      <c r="B58" s="4" t="s">
        <v>721</v>
      </c>
      <c r="C58" s="4">
        <v>29</v>
      </c>
    </row>
    <row r="59" spans="1:3" x14ac:dyDescent="0.25">
      <c r="A59" s="8" t="s">
        <v>156</v>
      </c>
      <c r="B59" s="4" t="s">
        <v>711</v>
      </c>
      <c r="C59" s="4">
        <v>49</v>
      </c>
    </row>
    <row r="60" spans="1:3" x14ac:dyDescent="0.25">
      <c r="A60" s="8" t="s">
        <v>123</v>
      </c>
      <c r="B60" s="4" t="s">
        <v>100</v>
      </c>
      <c r="C60" s="4">
        <v>33</v>
      </c>
    </row>
    <row r="61" spans="1:3" x14ac:dyDescent="0.25">
      <c r="A61" s="8" t="s">
        <v>157</v>
      </c>
      <c r="B61" s="4" t="s">
        <v>715</v>
      </c>
      <c r="C61" s="4">
        <v>38</v>
      </c>
    </row>
    <row r="62" spans="1:3" x14ac:dyDescent="0.25">
      <c r="A62" s="8" t="s">
        <v>158</v>
      </c>
      <c r="B62" s="4" t="s">
        <v>719</v>
      </c>
      <c r="C62" s="4">
        <v>53</v>
      </c>
    </row>
    <row r="63" spans="1:3" x14ac:dyDescent="0.25">
      <c r="A63" s="8" t="s">
        <v>159</v>
      </c>
      <c r="B63" s="4" t="s">
        <v>724</v>
      </c>
      <c r="C63" s="4">
        <v>41</v>
      </c>
    </row>
    <row r="64" spans="1:3" x14ac:dyDescent="0.25">
      <c r="A64" s="8" t="s">
        <v>160</v>
      </c>
      <c r="B64" s="4" t="s">
        <v>722</v>
      </c>
      <c r="C64" s="4">
        <v>56</v>
      </c>
    </row>
    <row r="65" spans="1:3" x14ac:dyDescent="0.25">
      <c r="A65" s="8" t="s">
        <v>161</v>
      </c>
      <c r="B65" s="4" t="s">
        <v>713</v>
      </c>
      <c r="C65" s="4">
        <v>29</v>
      </c>
    </row>
    <row r="66" spans="1:3" x14ac:dyDescent="0.25">
      <c r="A66" s="8" t="s">
        <v>162</v>
      </c>
      <c r="B66" s="4" t="s">
        <v>715</v>
      </c>
      <c r="C66" s="4">
        <v>55</v>
      </c>
    </row>
    <row r="67" spans="1:3" x14ac:dyDescent="0.25">
      <c r="A67" s="8" t="s">
        <v>162</v>
      </c>
      <c r="B67" s="4" t="s">
        <v>715</v>
      </c>
      <c r="C67" s="4">
        <v>16</v>
      </c>
    </row>
    <row r="68" spans="1:3" x14ac:dyDescent="0.25">
      <c r="A68" s="8" t="s">
        <v>163</v>
      </c>
      <c r="B68" s="4" t="s">
        <v>726</v>
      </c>
      <c r="C68" s="4">
        <v>46</v>
      </c>
    </row>
    <row r="69" spans="1:3" x14ac:dyDescent="0.25">
      <c r="A69" s="8" t="s">
        <v>164</v>
      </c>
      <c r="B69" s="4" t="s">
        <v>724</v>
      </c>
      <c r="C69" s="4">
        <v>56</v>
      </c>
    </row>
    <row r="70" spans="1:3" x14ac:dyDescent="0.25">
      <c r="A70" s="8" t="s">
        <v>158</v>
      </c>
      <c r="B70" s="4" t="s">
        <v>727</v>
      </c>
      <c r="C70" s="4">
        <v>21</v>
      </c>
    </row>
    <row r="71" spans="1:3" x14ac:dyDescent="0.25">
      <c r="A71" s="8" t="s">
        <v>165</v>
      </c>
      <c r="B71" s="4" t="s">
        <v>727</v>
      </c>
      <c r="C71" s="4">
        <v>41</v>
      </c>
    </row>
    <row r="72" spans="1:3" x14ac:dyDescent="0.25">
      <c r="A72" s="8" t="s">
        <v>166</v>
      </c>
      <c r="B72" s="4" t="s">
        <v>102</v>
      </c>
      <c r="C72" s="4">
        <v>25</v>
      </c>
    </row>
    <row r="73" spans="1:3" x14ac:dyDescent="0.25">
      <c r="A73" s="8" t="s">
        <v>167</v>
      </c>
      <c r="B73" s="4" t="s">
        <v>725</v>
      </c>
      <c r="C73" s="4">
        <v>17</v>
      </c>
    </row>
    <row r="74" spans="1:3" x14ac:dyDescent="0.25">
      <c r="A74" s="8" t="s">
        <v>168</v>
      </c>
      <c r="B74" s="4" t="s">
        <v>713</v>
      </c>
      <c r="C74" s="4">
        <v>17</v>
      </c>
    </row>
    <row r="75" spans="1:3" x14ac:dyDescent="0.25">
      <c r="A75" s="8" t="s">
        <v>155</v>
      </c>
      <c r="B75" s="4" t="s">
        <v>710</v>
      </c>
      <c r="C75" s="4">
        <v>45</v>
      </c>
    </row>
    <row r="76" spans="1:3" x14ac:dyDescent="0.25">
      <c r="A76" s="8" t="s">
        <v>169</v>
      </c>
      <c r="B76" s="4" t="s">
        <v>727</v>
      </c>
      <c r="C76" s="4">
        <v>46</v>
      </c>
    </row>
    <row r="77" spans="1:3" x14ac:dyDescent="0.25">
      <c r="A77" s="8" t="s">
        <v>170</v>
      </c>
      <c r="B77" s="4" t="s">
        <v>722</v>
      </c>
      <c r="C77" s="4">
        <v>17</v>
      </c>
    </row>
    <row r="78" spans="1:3" x14ac:dyDescent="0.25">
      <c r="A78" s="8" t="s">
        <v>171</v>
      </c>
      <c r="B78" s="4" t="s">
        <v>719</v>
      </c>
      <c r="C78" s="4">
        <v>26</v>
      </c>
    </row>
    <row r="79" spans="1:3" x14ac:dyDescent="0.25">
      <c r="A79" s="8" t="s">
        <v>172</v>
      </c>
      <c r="B79" s="4" t="s">
        <v>714</v>
      </c>
      <c r="C79" s="4">
        <v>37</v>
      </c>
    </row>
    <row r="80" spans="1:3" x14ac:dyDescent="0.25">
      <c r="A80" s="8" t="s">
        <v>173</v>
      </c>
      <c r="B80" s="4" t="s">
        <v>714</v>
      </c>
      <c r="C80" s="4">
        <v>54</v>
      </c>
    </row>
    <row r="81" spans="1:3" x14ac:dyDescent="0.25">
      <c r="A81" s="8" t="s">
        <v>174</v>
      </c>
      <c r="B81" s="4" t="s">
        <v>712</v>
      </c>
      <c r="C81" s="4">
        <v>55</v>
      </c>
    </row>
    <row r="82" spans="1:3" x14ac:dyDescent="0.25">
      <c r="A82" s="8" t="s">
        <v>139</v>
      </c>
      <c r="B82" s="4" t="s">
        <v>728</v>
      </c>
      <c r="C82" s="4">
        <v>53</v>
      </c>
    </row>
    <row r="83" spans="1:3" x14ac:dyDescent="0.25">
      <c r="A83" s="8" t="s">
        <v>175</v>
      </c>
      <c r="B83" s="4" t="s">
        <v>723</v>
      </c>
      <c r="C83" s="4">
        <v>35</v>
      </c>
    </row>
    <row r="84" spans="1:3" x14ac:dyDescent="0.25">
      <c r="A84" s="8" t="s">
        <v>118</v>
      </c>
      <c r="B84" s="4" t="s">
        <v>715</v>
      </c>
      <c r="C84" s="4">
        <v>36</v>
      </c>
    </row>
    <row r="85" spans="1:3" x14ac:dyDescent="0.25">
      <c r="A85" s="8" t="s">
        <v>176</v>
      </c>
      <c r="B85" s="4" t="s">
        <v>722</v>
      </c>
      <c r="C85" s="4">
        <v>33</v>
      </c>
    </row>
    <row r="86" spans="1:3" x14ac:dyDescent="0.25">
      <c r="A86" s="8" t="s">
        <v>173</v>
      </c>
      <c r="B86" s="4" t="s">
        <v>712</v>
      </c>
      <c r="C86" s="4">
        <v>33</v>
      </c>
    </row>
    <row r="87" spans="1:3" x14ac:dyDescent="0.25">
      <c r="A87" s="8" t="s">
        <v>126</v>
      </c>
      <c r="B87" s="4" t="s">
        <v>715</v>
      </c>
      <c r="C87" s="4">
        <v>18</v>
      </c>
    </row>
    <row r="88" spans="1:3" x14ac:dyDescent="0.25">
      <c r="A88" s="8" t="s">
        <v>129</v>
      </c>
      <c r="B88" s="4" t="s">
        <v>714</v>
      </c>
      <c r="C88" s="4">
        <v>36</v>
      </c>
    </row>
    <row r="89" spans="1:3" x14ac:dyDescent="0.25">
      <c r="A89" s="8" t="s">
        <v>177</v>
      </c>
      <c r="B89" s="4" t="s">
        <v>719</v>
      </c>
      <c r="C89" s="4">
        <v>22</v>
      </c>
    </row>
    <row r="90" spans="1:3" x14ac:dyDescent="0.25">
      <c r="A90" s="8" t="s">
        <v>178</v>
      </c>
      <c r="B90" s="4" t="s">
        <v>726</v>
      </c>
      <c r="C90" s="4">
        <v>17</v>
      </c>
    </row>
    <row r="91" spans="1:3" x14ac:dyDescent="0.25">
      <c r="A91" s="8" t="s">
        <v>179</v>
      </c>
      <c r="B91" s="4" t="s">
        <v>100</v>
      </c>
      <c r="C91" s="4">
        <v>45</v>
      </c>
    </row>
    <row r="92" spans="1:3" x14ac:dyDescent="0.25">
      <c r="A92" s="8" t="s">
        <v>124</v>
      </c>
      <c r="B92" s="4" t="s">
        <v>716</v>
      </c>
      <c r="C92" s="4">
        <v>35</v>
      </c>
    </row>
    <row r="93" spans="1:3" x14ac:dyDescent="0.25">
      <c r="A93" s="8" t="s">
        <v>141</v>
      </c>
      <c r="B93" s="4" t="s">
        <v>715</v>
      </c>
      <c r="C93" s="4">
        <v>29</v>
      </c>
    </row>
    <row r="94" spans="1:3" x14ac:dyDescent="0.25">
      <c r="A94" s="8" t="s">
        <v>170</v>
      </c>
      <c r="B94" s="4" t="s">
        <v>727</v>
      </c>
      <c r="C94" s="4">
        <v>21</v>
      </c>
    </row>
    <row r="95" spans="1:3" x14ac:dyDescent="0.25">
      <c r="A95" s="8" t="s">
        <v>137</v>
      </c>
      <c r="B95" s="4" t="s">
        <v>99</v>
      </c>
      <c r="C95" s="4">
        <v>32</v>
      </c>
    </row>
    <row r="96" spans="1:3" x14ac:dyDescent="0.25">
      <c r="A96" s="8" t="s">
        <v>169</v>
      </c>
      <c r="B96" s="4" t="s">
        <v>725</v>
      </c>
      <c r="C96" s="4">
        <v>12</v>
      </c>
    </row>
    <row r="97" spans="1:3" x14ac:dyDescent="0.25">
      <c r="A97" s="8" t="s">
        <v>121</v>
      </c>
      <c r="B97" s="4" t="s">
        <v>721</v>
      </c>
      <c r="C97" s="4">
        <v>43</v>
      </c>
    </row>
    <row r="98" spans="1:3" x14ac:dyDescent="0.25">
      <c r="A98" s="8" t="s">
        <v>180</v>
      </c>
      <c r="B98" s="4" t="s">
        <v>103</v>
      </c>
      <c r="C98" s="4">
        <v>54</v>
      </c>
    </row>
    <row r="99" spans="1:3" x14ac:dyDescent="0.25">
      <c r="A99" s="8" t="s">
        <v>137</v>
      </c>
      <c r="B99" s="4" t="s">
        <v>711</v>
      </c>
      <c r="C99" s="4">
        <v>23</v>
      </c>
    </row>
    <row r="100" spans="1:3" x14ac:dyDescent="0.25">
      <c r="A100" s="8" t="s">
        <v>181</v>
      </c>
      <c r="B100" s="4" t="s">
        <v>99</v>
      </c>
      <c r="C100" s="4">
        <v>37</v>
      </c>
    </row>
    <row r="101" spans="1:3" x14ac:dyDescent="0.25">
      <c r="A101" s="8" t="s">
        <v>182</v>
      </c>
      <c r="B101" s="4" t="s">
        <v>99</v>
      </c>
      <c r="C101" s="4">
        <v>31</v>
      </c>
    </row>
    <row r="102" spans="1:3" x14ac:dyDescent="0.25">
      <c r="A102" s="8" t="s">
        <v>135</v>
      </c>
      <c r="B102" s="4" t="s">
        <v>715</v>
      </c>
      <c r="C102" s="4">
        <v>12</v>
      </c>
    </row>
    <row r="103" spans="1:3" x14ac:dyDescent="0.25">
      <c r="A103" s="8" t="s">
        <v>115</v>
      </c>
      <c r="B103" s="4" t="s">
        <v>714</v>
      </c>
      <c r="C103" s="4">
        <v>14</v>
      </c>
    </row>
    <row r="104" spans="1:3" x14ac:dyDescent="0.25">
      <c r="A104" s="8" t="s">
        <v>125</v>
      </c>
      <c r="B104" s="4" t="s">
        <v>723</v>
      </c>
      <c r="C104" s="4">
        <v>35</v>
      </c>
    </row>
    <row r="105" spans="1:3" x14ac:dyDescent="0.25">
      <c r="A105" s="8" t="s">
        <v>125</v>
      </c>
      <c r="B105" s="4" t="s">
        <v>726</v>
      </c>
      <c r="C105" s="4">
        <v>41</v>
      </c>
    </row>
    <row r="106" spans="1:3" x14ac:dyDescent="0.25">
      <c r="A106" s="8" t="s">
        <v>183</v>
      </c>
      <c r="B106" s="4" t="s">
        <v>729</v>
      </c>
      <c r="C106" s="4">
        <v>45</v>
      </c>
    </row>
    <row r="107" spans="1:3" x14ac:dyDescent="0.25">
      <c r="A107" s="8" t="s">
        <v>160</v>
      </c>
      <c r="B107" s="4" t="s">
        <v>101</v>
      </c>
      <c r="C107" s="4">
        <v>31</v>
      </c>
    </row>
    <row r="108" spans="1:3" x14ac:dyDescent="0.25">
      <c r="A108" s="8" t="s">
        <v>144</v>
      </c>
      <c r="B108" s="4" t="s">
        <v>724</v>
      </c>
      <c r="C108" s="4">
        <v>29</v>
      </c>
    </row>
    <row r="109" spans="1:3" x14ac:dyDescent="0.25">
      <c r="A109" s="8" t="s">
        <v>184</v>
      </c>
      <c r="B109" s="4" t="s">
        <v>716</v>
      </c>
      <c r="C109" s="4">
        <v>55</v>
      </c>
    </row>
    <row r="110" spans="1:3" x14ac:dyDescent="0.25">
      <c r="A110" s="8" t="s">
        <v>119</v>
      </c>
      <c r="B110" s="4" t="s">
        <v>723</v>
      </c>
      <c r="C110" s="4">
        <v>16</v>
      </c>
    </row>
    <row r="111" spans="1:3" x14ac:dyDescent="0.25">
      <c r="A111" s="8" t="s">
        <v>185</v>
      </c>
      <c r="B111" s="4" t="s">
        <v>101</v>
      </c>
      <c r="C111" s="4">
        <v>58</v>
      </c>
    </row>
    <row r="112" spans="1:3" x14ac:dyDescent="0.25">
      <c r="A112" s="8" t="s">
        <v>171</v>
      </c>
      <c r="B112" s="4" t="s">
        <v>716</v>
      </c>
      <c r="C112" s="4">
        <v>42</v>
      </c>
    </row>
    <row r="113" spans="1:3" x14ac:dyDescent="0.25">
      <c r="A113" s="8" t="s">
        <v>171</v>
      </c>
      <c r="B113" s="4" t="s">
        <v>710</v>
      </c>
      <c r="C113" s="4">
        <v>16</v>
      </c>
    </row>
    <row r="114" spans="1:3" x14ac:dyDescent="0.25">
      <c r="A114" s="8" t="s">
        <v>173</v>
      </c>
      <c r="B114" s="4" t="s">
        <v>710</v>
      </c>
      <c r="C114" s="4">
        <v>29</v>
      </c>
    </row>
    <row r="115" spans="1:3" x14ac:dyDescent="0.25">
      <c r="A115" s="8" t="s">
        <v>161</v>
      </c>
      <c r="B115" s="4" t="s">
        <v>715</v>
      </c>
      <c r="C115" s="4">
        <v>39</v>
      </c>
    </row>
    <row r="116" spans="1:3" x14ac:dyDescent="0.25">
      <c r="A116" s="8" t="s">
        <v>123</v>
      </c>
      <c r="B116" s="4" t="s">
        <v>99</v>
      </c>
      <c r="C116" s="4">
        <v>46</v>
      </c>
    </row>
    <row r="117" spans="1:3" x14ac:dyDescent="0.25">
      <c r="A117" s="8" t="s">
        <v>186</v>
      </c>
      <c r="B117" s="4" t="s">
        <v>720</v>
      </c>
      <c r="C117" s="4">
        <v>18</v>
      </c>
    </row>
    <row r="118" spans="1:3" x14ac:dyDescent="0.25">
      <c r="A118" s="8" t="s">
        <v>187</v>
      </c>
      <c r="B118" s="4" t="s">
        <v>726</v>
      </c>
      <c r="C118" s="4">
        <v>54</v>
      </c>
    </row>
    <row r="119" spans="1:3" x14ac:dyDescent="0.25">
      <c r="A119" s="8" t="s">
        <v>188</v>
      </c>
      <c r="B119" s="4" t="s">
        <v>721</v>
      </c>
      <c r="C119" s="4">
        <v>40</v>
      </c>
    </row>
    <row r="120" spans="1:3" x14ac:dyDescent="0.25">
      <c r="A120" s="8" t="s">
        <v>114</v>
      </c>
      <c r="B120" s="4" t="s">
        <v>721</v>
      </c>
      <c r="C120" s="4">
        <v>47</v>
      </c>
    </row>
    <row r="121" spans="1:3" x14ac:dyDescent="0.25">
      <c r="A121" s="8" t="s">
        <v>154</v>
      </c>
      <c r="B121" s="4" t="s">
        <v>723</v>
      </c>
      <c r="C121" s="4">
        <v>54</v>
      </c>
    </row>
    <row r="122" spans="1:3" x14ac:dyDescent="0.25">
      <c r="A122" s="8" t="s">
        <v>119</v>
      </c>
      <c r="B122" s="4" t="s">
        <v>713</v>
      </c>
      <c r="C122" s="4">
        <v>38</v>
      </c>
    </row>
    <row r="123" spans="1:3" x14ac:dyDescent="0.25">
      <c r="A123" s="8" t="s">
        <v>189</v>
      </c>
      <c r="B123" s="4" t="s">
        <v>726</v>
      </c>
      <c r="C123" s="4">
        <v>21</v>
      </c>
    </row>
    <row r="124" spans="1:3" x14ac:dyDescent="0.25">
      <c r="A124" s="8" t="s">
        <v>153</v>
      </c>
      <c r="B124" s="4" t="s">
        <v>721</v>
      </c>
      <c r="C124" s="4">
        <v>48</v>
      </c>
    </row>
    <row r="125" spans="1:3" x14ac:dyDescent="0.25">
      <c r="A125" s="8" t="s">
        <v>173</v>
      </c>
      <c r="B125" s="4" t="s">
        <v>729</v>
      </c>
      <c r="C125" s="4">
        <v>36</v>
      </c>
    </row>
    <row r="126" spans="1:3" x14ac:dyDescent="0.25">
      <c r="A126" s="8" t="s">
        <v>190</v>
      </c>
      <c r="B126" s="4" t="s">
        <v>725</v>
      </c>
      <c r="C126" s="4">
        <v>13</v>
      </c>
    </row>
    <row r="127" spans="1:3" x14ac:dyDescent="0.25">
      <c r="A127" s="8" t="s">
        <v>142</v>
      </c>
      <c r="B127" s="4" t="s">
        <v>100</v>
      </c>
      <c r="C127" s="4">
        <v>45</v>
      </c>
    </row>
    <row r="128" spans="1:3" x14ac:dyDescent="0.25">
      <c r="A128" s="8" t="s">
        <v>188</v>
      </c>
      <c r="B128" s="4" t="s">
        <v>719</v>
      </c>
      <c r="C128" s="4">
        <v>15</v>
      </c>
    </row>
    <row r="129" spans="1:3" x14ac:dyDescent="0.25">
      <c r="A129" s="8" t="s">
        <v>141</v>
      </c>
      <c r="B129" s="4" t="s">
        <v>712</v>
      </c>
      <c r="C129" s="4">
        <v>21</v>
      </c>
    </row>
    <row r="130" spans="1:3" x14ac:dyDescent="0.25">
      <c r="A130" s="8" t="s">
        <v>191</v>
      </c>
      <c r="B130" s="4" t="s">
        <v>724</v>
      </c>
      <c r="C130" s="4">
        <v>14</v>
      </c>
    </row>
    <row r="131" spans="1:3" x14ac:dyDescent="0.25">
      <c r="A131" s="8" t="s">
        <v>151</v>
      </c>
      <c r="B131" s="4" t="s">
        <v>727</v>
      </c>
      <c r="C131" s="4">
        <v>35</v>
      </c>
    </row>
    <row r="132" spans="1:3" x14ac:dyDescent="0.25">
      <c r="A132" s="8" t="s">
        <v>192</v>
      </c>
      <c r="B132" s="4" t="s">
        <v>727</v>
      </c>
      <c r="C132" s="4">
        <v>54</v>
      </c>
    </row>
    <row r="133" spans="1:3" x14ac:dyDescent="0.25">
      <c r="A133" s="8" t="s">
        <v>121</v>
      </c>
      <c r="B133" s="4" t="s">
        <v>716</v>
      </c>
      <c r="C133" s="4">
        <v>10</v>
      </c>
    </row>
    <row r="134" spans="1:3" x14ac:dyDescent="0.25">
      <c r="A134" s="8" t="s">
        <v>113</v>
      </c>
      <c r="B134" s="4" t="s">
        <v>102</v>
      </c>
      <c r="C134" s="4">
        <v>28</v>
      </c>
    </row>
    <row r="135" spans="1:3" x14ac:dyDescent="0.25">
      <c r="A135" s="8" t="s">
        <v>193</v>
      </c>
      <c r="B135" s="4" t="s">
        <v>99</v>
      </c>
      <c r="C135" s="4">
        <v>34</v>
      </c>
    </row>
    <row r="136" spans="1:3" x14ac:dyDescent="0.25">
      <c r="A136" s="8" t="s">
        <v>194</v>
      </c>
      <c r="B136" s="4" t="s">
        <v>102</v>
      </c>
      <c r="C136" s="4">
        <v>45</v>
      </c>
    </row>
    <row r="137" spans="1:3" x14ac:dyDescent="0.25">
      <c r="A137" s="8" t="s">
        <v>138</v>
      </c>
      <c r="B137" s="4" t="s">
        <v>717</v>
      </c>
      <c r="C137" s="4">
        <v>16</v>
      </c>
    </row>
    <row r="138" spans="1:3" x14ac:dyDescent="0.25">
      <c r="A138" s="8" t="s">
        <v>195</v>
      </c>
      <c r="B138" s="4" t="s">
        <v>720</v>
      </c>
      <c r="C138" s="4">
        <v>28</v>
      </c>
    </row>
    <row r="139" spans="1:3" x14ac:dyDescent="0.25">
      <c r="A139" s="8" t="s">
        <v>196</v>
      </c>
      <c r="B139" s="4" t="s">
        <v>718</v>
      </c>
      <c r="C139" s="4">
        <v>56</v>
      </c>
    </row>
    <row r="140" spans="1:3" x14ac:dyDescent="0.25">
      <c r="A140" s="8" t="s">
        <v>196</v>
      </c>
      <c r="B140" s="4" t="s">
        <v>101</v>
      </c>
      <c r="C140" s="4">
        <v>16</v>
      </c>
    </row>
    <row r="141" spans="1:3" x14ac:dyDescent="0.25">
      <c r="A141" s="8" t="s">
        <v>131</v>
      </c>
      <c r="B141" s="4" t="s">
        <v>714</v>
      </c>
      <c r="C141" s="4">
        <v>29</v>
      </c>
    </row>
    <row r="142" spans="1:3" x14ac:dyDescent="0.25">
      <c r="A142" s="8" t="s">
        <v>154</v>
      </c>
      <c r="B142" s="4" t="s">
        <v>721</v>
      </c>
      <c r="C142" s="4">
        <v>59</v>
      </c>
    </row>
    <row r="143" spans="1:3" x14ac:dyDescent="0.25">
      <c r="A143" s="8" t="s">
        <v>197</v>
      </c>
      <c r="B143" s="4" t="s">
        <v>725</v>
      </c>
      <c r="C143" s="4">
        <v>36</v>
      </c>
    </row>
    <row r="144" spans="1:3" x14ac:dyDescent="0.25">
      <c r="A144" s="8" t="s">
        <v>146</v>
      </c>
      <c r="B144" s="4" t="s">
        <v>722</v>
      </c>
      <c r="C144" s="4">
        <v>40</v>
      </c>
    </row>
    <row r="145" spans="1:3" x14ac:dyDescent="0.25">
      <c r="A145" s="8" t="s">
        <v>193</v>
      </c>
      <c r="B145" s="4" t="s">
        <v>728</v>
      </c>
      <c r="C145" s="4">
        <v>19</v>
      </c>
    </row>
    <row r="146" spans="1:3" x14ac:dyDescent="0.25">
      <c r="A146" s="8" t="s">
        <v>124</v>
      </c>
      <c r="B146" s="4" t="s">
        <v>722</v>
      </c>
      <c r="C146" s="4">
        <v>14</v>
      </c>
    </row>
    <row r="147" spans="1:3" x14ac:dyDescent="0.25">
      <c r="A147" s="8" t="s">
        <v>128</v>
      </c>
      <c r="B147" s="4" t="s">
        <v>720</v>
      </c>
      <c r="C147" s="4">
        <v>41</v>
      </c>
    </row>
    <row r="148" spans="1:3" x14ac:dyDescent="0.25">
      <c r="A148" s="8" t="s">
        <v>198</v>
      </c>
      <c r="B148" s="4" t="s">
        <v>100</v>
      </c>
      <c r="C148" s="4">
        <v>26</v>
      </c>
    </row>
    <row r="149" spans="1:3" x14ac:dyDescent="0.25">
      <c r="A149" s="8" t="s">
        <v>126</v>
      </c>
      <c r="B149" s="4" t="s">
        <v>722</v>
      </c>
      <c r="C149" s="4">
        <v>22</v>
      </c>
    </row>
    <row r="150" spans="1:3" x14ac:dyDescent="0.25">
      <c r="A150" s="8" t="s">
        <v>199</v>
      </c>
      <c r="B150" s="4" t="s">
        <v>710</v>
      </c>
      <c r="C150" s="4">
        <v>36</v>
      </c>
    </row>
    <row r="151" spans="1:3" x14ac:dyDescent="0.25">
      <c r="A151" s="8" t="s">
        <v>200</v>
      </c>
      <c r="B151" s="4" t="s">
        <v>101</v>
      </c>
      <c r="C151" s="4">
        <v>38</v>
      </c>
    </row>
    <row r="152" spans="1:3" x14ac:dyDescent="0.25">
      <c r="A152" s="8" t="s">
        <v>116</v>
      </c>
      <c r="B152" s="4" t="s">
        <v>715</v>
      </c>
      <c r="C152" s="4">
        <v>20</v>
      </c>
    </row>
    <row r="153" spans="1:3" x14ac:dyDescent="0.25">
      <c r="A153" s="8" t="s">
        <v>154</v>
      </c>
      <c r="B153" s="4" t="s">
        <v>719</v>
      </c>
      <c r="C153" s="4">
        <v>25</v>
      </c>
    </row>
    <row r="154" spans="1:3" x14ac:dyDescent="0.25">
      <c r="A154" s="8" t="s">
        <v>158</v>
      </c>
      <c r="B154" s="4" t="s">
        <v>714</v>
      </c>
      <c r="C154" s="4">
        <v>22</v>
      </c>
    </row>
    <row r="155" spans="1:3" x14ac:dyDescent="0.25">
      <c r="A155" s="8" t="s">
        <v>195</v>
      </c>
      <c r="B155" s="4" t="s">
        <v>716</v>
      </c>
      <c r="C155" s="4">
        <v>15</v>
      </c>
    </row>
    <row r="156" spans="1:3" x14ac:dyDescent="0.25">
      <c r="A156" s="8" t="s">
        <v>201</v>
      </c>
      <c r="B156" s="4" t="s">
        <v>710</v>
      </c>
      <c r="C156" s="4">
        <v>47</v>
      </c>
    </row>
    <row r="157" spans="1:3" x14ac:dyDescent="0.25">
      <c r="A157" s="8" t="s">
        <v>202</v>
      </c>
      <c r="B157" s="4" t="s">
        <v>715</v>
      </c>
      <c r="C157" s="4">
        <v>20</v>
      </c>
    </row>
    <row r="158" spans="1:3" x14ac:dyDescent="0.25">
      <c r="A158" s="8" t="s">
        <v>203</v>
      </c>
      <c r="B158" s="4" t="s">
        <v>727</v>
      </c>
      <c r="C158" s="4">
        <v>46</v>
      </c>
    </row>
    <row r="159" spans="1:3" x14ac:dyDescent="0.25">
      <c r="A159" s="8" t="s">
        <v>158</v>
      </c>
      <c r="B159" s="4" t="s">
        <v>724</v>
      </c>
      <c r="C159" s="4">
        <v>47</v>
      </c>
    </row>
    <row r="160" spans="1:3" x14ac:dyDescent="0.25">
      <c r="A160" s="8" t="s">
        <v>165</v>
      </c>
      <c r="B160" s="4" t="s">
        <v>716</v>
      </c>
      <c r="C160" s="4">
        <v>27</v>
      </c>
    </row>
    <row r="161" spans="1:3" x14ac:dyDescent="0.25">
      <c r="A161" s="8" t="s">
        <v>201</v>
      </c>
      <c r="B161" s="4" t="s">
        <v>726</v>
      </c>
      <c r="C161" s="4">
        <v>24</v>
      </c>
    </row>
    <row r="162" spans="1:3" x14ac:dyDescent="0.25">
      <c r="A162" s="8" t="s">
        <v>146</v>
      </c>
      <c r="B162" s="4" t="s">
        <v>713</v>
      </c>
      <c r="C162" s="4">
        <v>59</v>
      </c>
    </row>
    <row r="163" spans="1:3" x14ac:dyDescent="0.25">
      <c r="A163" s="8" t="s">
        <v>154</v>
      </c>
      <c r="B163" s="4" t="s">
        <v>723</v>
      </c>
      <c r="C163" s="4">
        <v>16</v>
      </c>
    </row>
    <row r="164" spans="1:3" x14ac:dyDescent="0.25">
      <c r="A164" s="8" t="s">
        <v>166</v>
      </c>
      <c r="B164" s="4" t="s">
        <v>718</v>
      </c>
      <c r="C164" s="4">
        <v>12</v>
      </c>
    </row>
    <row r="165" spans="1:3" x14ac:dyDescent="0.25">
      <c r="A165" s="8" t="s">
        <v>204</v>
      </c>
      <c r="B165" s="4" t="s">
        <v>716</v>
      </c>
      <c r="C165" s="4">
        <v>23</v>
      </c>
    </row>
    <row r="166" spans="1:3" x14ac:dyDescent="0.25">
      <c r="A166" s="8" t="s">
        <v>205</v>
      </c>
      <c r="B166" s="4" t="s">
        <v>729</v>
      </c>
      <c r="C166" s="4">
        <v>49</v>
      </c>
    </row>
    <row r="167" spans="1:3" x14ac:dyDescent="0.25">
      <c r="A167" s="8" t="s">
        <v>206</v>
      </c>
      <c r="B167" s="4" t="s">
        <v>722</v>
      </c>
      <c r="C167" s="4">
        <v>17</v>
      </c>
    </row>
    <row r="168" spans="1:3" x14ac:dyDescent="0.25">
      <c r="A168" s="8" t="s">
        <v>173</v>
      </c>
      <c r="B168" s="4" t="s">
        <v>729</v>
      </c>
      <c r="C168" s="4">
        <v>19</v>
      </c>
    </row>
    <row r="169" spans="1:3" x14ac:dyDescent="0.25">
      <c r="A169" s="8" t="s">
        <v>207</v>
      </c>
      <c r="B169" s="4" t="s">
        <v>713</v>
      </c>
      <c r="C169" s="4">
        <v>57</v>
      </c>
    </row>
    <row r="170" spans="1:3" x14ac:dyDescent="0.25">
      <c r="A170" s="8" t="s">
        <v>208</v>
      </c>
      <c r="B170" s="4" t="s">
        <v>710</v>
      </c>
      <c r="C170" s="4">
        <v>42</v>
      </c>
    </row>
    <row r="171" spans="1:3" x14ac:dyDescent="0.25">
      <c r="A171" s="8" t="s">
        <v>117</v>
      </c>
      <c r="B171" s="4" t="s">
        <v>727</v>
      </c>
      <c r="C171" s="4">
        <v>31</v>
      </c>
    </row>
    <row r="172" spans="1:3" x14ac:dyDescent="0.25">
      <c r="A172" s="8" t="s">
        <v>209</v>
      </c>
      <c r="B172" s="4" t="s">
        <v>714</v>
      </c>
      <c r="C172" s="4">
        <v>54</v>
      </c>
    </row>
    <row r="173" spans="1:3" x14ac:dyDescent="0.25">
      <c r="A173" s="8" t="s">
        <v>115</v>
      </c>
      <c r="B173" s="4" t="s">
        <v>101</v>
      </c>
      <c r="C173" s="4">
        <v>52</v>
      </c>
    </row>
    <row r="174" spans="1:3" x14ac:dyDescent="0.25">
      <c r="A174" s="8" t="s">
        <v>183</v>
      </c>
      <c r="B174" s="4" t="s">
        <v>727</v>
      </c>
      <c r="C174" s="4">
        <v>52</v>
      </c>
    </row>
    <row r="175" spans="1:3" x14ac:dyDescent="0.25">
      <c r="A175" s="8" t="s">
        <v>146</v>
      </c>
      <c r="B175" s="4" t="s">
        <v>102</v>
      </c>
      <c r="C175" s="4">
        <v>10</v>
      </c>
    </row>
    <row r="176" spans="1:3" x14ac:dyDescent="0.25">
      <c r="A176" s="8" t="s">
        <v>210</v>
      </c>
      <c r="B176" s="4" t="s">
        <v>103</v>
      </c>
      <c r="C176" s="4">
        <v>35</v>
      </c>
    </row>
    <row r="177" spans="1:3" x14ac:dyDescent="0.25">
      <c r="A177" s="8" t="s">
        <v>154</v>
      </c>
      <c r="B177" s="4" t="s">
        <v>101</v>
      </c>
      <c r="C177" s="4">
        <v>10</v>
      </c>
    </row>
    <row r="178" spans="1:3" x14ac:dyDescent="0.25">
      <c r="A178" s="8" t="s">
        <v>211</v>
      </c>
      <c r="B178" s="4" t="s">
        <v>717</v>
      </c>
      <c r="C178" s="4">
        <v>53</v>
      </c>
    </row>
    <row r="179" spans="1:3" x14ac:dyDescent="0.25">
      <c r="A179" s="8" t="s">
        <v>162</v>
      </c>
      <c r="B179" s="4" t="s">
        <v>719</v>
      </c>
      <c r="C179" s="4">
        <v>51</v>
      </c>
    </row>
    <row r="180" spans="1:3" x14ac:dyDescent="0.25">
      <c r="A180" s="8" t="s">
        <v>181</v>
      </c>
      <c r="B180" s="4" t="s">
        <v>728</v>
      </c>
      <c r="C180" s="4">
        <v>17</v>
      </c>
    </row>
    <row r="181" spans="1:3" x14ac:dyDescent="0.25">
      <c r="A181" s="8" t="s">
        <v>207</v>
      </c>
      <c r="B181" s="4" t="s">
        <v>711</v>
      </c>
      <c r="C181" s="4">
        <v>26</v>
      </c>
    </row>
    <row r="182" spans="1:3" x14ac:dyDescent="0.25">
      <c r="A182" s="8" t="s">
        <v>117</v>
      </c>
      <c r="B182" s="4" t="s">
        <v>718</v>
      </c>
      <c r="C182" s="4">
        <v>37</v>
      </c>
    </row>
    <row r="183" spans="1:3" x14ac:dyDescent="0.25">
      <c r="A183" s="8" t="s">
        <v>212</v>
      </c>
      <c r="B183" s="4" t="s">
        <v>100</v>
      </c>
      <c r="C183" s="4">
        <v>57</v>
      </c>
    </row>
    <row r="184" spans="1:3" x14ac:dyDescent="0.25">
      <c r="A184" s="8" t="s">
        <v>169</v>
      </c>
      <c r="B184" s="4" t="s">
        <v>103</v>
      </c>
      <c r="C184" s="4">
        <v>45</v>
      </c>
    </row>
    <row r="185" spans="1:3" x14ac:dyDescent="0.25">
      <c r="A185" s="8" t="s">
        <v>213</v>
      </c>
      <c r="B185" s="4" t="s">
        <v>722</v>
      </c>
      <c r="C185" s="4">
        <v>15</v>
      </c>
    </row>
    <row r="186" spans="1:3" x14ac:dyDescent="0.25">
      <c r="A186" s="8" t="s">
        <v>149</v>
      </c>
      <c r="B186" s="4" t="s">
        <v>721</v>
      </c>
      <c r="C186" s="4">
        <v>46</v>
      </c>
    </row>
    <row r="187" spans="1:3" x14ac:dyDescent="0.25">
      <c r="A187" s="8" t="s">
        <v>148</v>
      </c>
      <c r="B187" s="4" t="s">
        <v>718</v>
      </c>
      <c r="C187" s="4">
        <v>57</v>
      </c>
    </row>
    <row r="188" spans="1:3" x14ac:dyDescent="0.25">
      <c r="A188" s="8" t="s">
        <v>196</v>
      </c>
      <c r="B188" s="4" t="s">
        <v>729</v>
      </c>
      <c r="C188" s="4">
        <v>54</v>
      </c>
    </row>
    <row r="189" spans="1:3" x14ac:dyDescent="0.25">
      <c r="A189" s="8" t="s">
        <v>214</v>
      </c>
      <c r="B189" s="4" t="s">
        <v>726</v>
      </c>
      <c r="C189" s="4">
        <v>17</v>
      </c>
    </row>
    <row r="190" spans="1:3" x14ac:dyDescent="0.25">
      <c r="A190" s="8" t="s">
        <v>215</v>
      </c>
      <c r="B190" s="4" t="s">
        <v>716</v>
      </c>
      <c r="C190" s="4">
        <v>30</v>
      </c>
    </row>
    <row r="191" spans="1:3" x14ac:dyDescent="0.25">
      <c r="A191" s="8" t="s">
        <v>216</v>
      </c>
      <c r="B191" s="4" t="s">
        <v>723</v>
      </c>
      <c r="C191" s="4">
        <v>38</v>
      </c>
    </row>
    <row r="192" spans="1:3" x14ac:dyDescent="0.25">
      <c r="A192" s="8" t="s">
        <v>217</v>
      </c>
      <c r="B192" s="4" t="s">
        <v>710</v>
      </c>
      <c r="C192" s="4">
        <v>39</v>
      </c>
    </row>
    <row r="193" spans="1:3" x14ac:dyDescent="0.25">
      <c r="A193" s="8" t="s">
        <v>176</v>
      </c>
      <c r="B193" s="4" t="s">
        <v>728</v>
      </c>
      <c r="C193" s="4">
        <v>22</v>
      </c>
    </row>
    <row r="194" spans="1:3" x14ac:dyDescent="0.25">
      <c r="A194" s="8" t="s">
        <v>142</v>
      </c>
      <c r="B194" s="4" t="s">
        <v>729</v>
      </c>
      <c r="C194" s="4">
        <v>56</v>
      </c>
    </row>
    <row r="195" spans="1:3" x14ac:dyDescent="0.25">
      <c r="A195" s="8" t="s">
        <v>166</v>
      </c>
      <c r="B195" s="4" t="s">
        <v>726</v>
      </c>
      <c r="C195" s="4">
        <v>34</v>
      </c>
    </row>
    <row r="196" spans="1:3" x14ac:dyDescent="0.25">
      <c r="A196" s="8" t="s">
        <v>164</v>
      </c>
      <c r="B196" s="4" t="s">
        <v>719</v>
      </c>
      <c r="C196" s="4">
        <v>15</v>
      </c>
    </row>
    <row r="197" spans="1:3" x14ac:dyDescent="0.25">
      <c r="A197" s="8" t="s">
        <v>177</v>
      </c>
      <c r="B197" s="4" t="s">
        <v>727</v>
      </c>
      <c r="C197" s="4">
        <v>45</v>
      </c>
    </row>
    <row r="198" spans="1:3" x14ac:dyDescent="0.25">
      <c r="A198" s="8" t="s">
        <v>158</v>
      </c>
      <c r="B198" s="4" t="s">
        <v>725</v>
      </c>
      <c r="C198" s="4">
        <v>48</v>
      </c>
    </row>
    <row r="199" spans="1:3" x14ac:dyDescent="0.25">
      <c r="A199" s="8" t="s">
        <v>218</v>
      </c>
      <c r="B199" s="4" t="s">
        <v>721</v>
      </c>
      <c r="C199" s="4">
        <v>19</v>
      </c>
    </row>
    <row r="200" spans="1:3" x14ac:dyDescent="0.25">
      <c r="A200" s="8" t="s">
        <v>130</v>
      </c>
      <c r="B200" s="4" t="s">
        <v>712</v>
      </c>
      <c r="C200" s="4">
        <v>14</v>
      </c>
    </row>
    <row r="201" spans="1:3" x14ac:dyDescent="0.25">
      <c r="A201" s="8" t="s">
        <v>183</v>
      </c>
      <c r="B201" s="4" t="s">
        <v>103</v>
      </c>
      <c r="C201" s="4">
        <v>29</v>
      </c>
    </row>
    <row r="202" spans="1:3" x14ac:dyDescent="0.25">
      <c r="A202" s="8" t="s">
        <v>139</v>
      </c>
      <c r="B202" s="4" t="s">
        <v>715</v>
      </c>
      <c r="C202" s="4">
        <v>52</v>
      </c>
    </row>
    <row r="203" spans="1:3" x14ac:dyDescent="0.25">
      <c r="A203" s="8" t="s">
        <v>209</v>
      </c>
      <c r="B203" s="4" t="s">
        <v>100</v>
      </c>
      <c r="C203" s="4">
        <v>31</v>
      </c>
    </row>
    <row r="204" spans="1:3" x14ac:dyDescent="0.25">
      <c r="A204" s="8" t="s">
        <v>219</v>
      </c>
      <c r="B204" s="4" t="s">
        <v>712</v>
      </c>
      <c r="C204" s="4">
        <v>30</v>
      </c>
    </row>
    <row r="205" spans="1:3" x14ac:dyDescent="0.25">
      <c r="A205" s="8" t="s">
        <v>128</v>
      </c>
      <c r="B205" s="4" t="s">
        <v>726</v>
      </c>
      <c r="C205" s="4">
        <v>16</v>
      </c>
    </row>
    <row r="206" spans="1:3" x14ac:dyDescent="0.25">
      <c r="A206" s="8" t="s">
        <v>201</v>
      </c>
      <c r="B206" s="4" t="s">
        <v>727</v>
      </c>
      <c r="C206" s="4">
        <v>40</v>
      </c>
    </row>
    <row r="207" spans="1:3" x14ac:dyDescent="0.25">
      <c r="A207" s="8" t="s">
        <v>204</v>
      </c>
      <c r="B207" s="4" t="s">
        <v>99</v>
      </c>
      <c r="C207" s="4">
        <v>43</v>
      </c>
    </row>
    <row r="208" spans="1:3" x14ac:dyDescent="0.25">
      <c r="A208" s="8" t="s">
        <v>220</v>
      </c>
      <c r="B208" s="4" t="s">
        <v>722</v>
      </c>
      <c r="C208" s="4">
        <v>33</v>
      </c>
    </row>
    <row r="209" spans="1:3" x14ac:dyDescent="0.25">
      <c r="A209" s="8" t="s">
        <v>221</v>
      </c>
      <c r="B209" s="4" t="s">
        <v>727</v>
      </c>
      <c r="C209" s="4">
        <v>26</v>
      </c>
    </row>
    <row r="210" spans="1:3" x14ac:dyDescent="0.25">
      <c r="A210" s="8" t="s">
        <v>203</v>
      </c>
      <c r="B210" s="4" t="s">
        <v>727</v>
      </c>
      <c r="C210" s="4">
        <v>34</v>
      </c>
    </row>
    <row r="211" spans="1:3" x14ac:dyDescent="0.25">
      <c r="A211" s="8" t="s">
        <v>112</v>
      </c>
      <c r="B211" s="4" t="s">
        <v>728</v>
      </c>
      <c r="C211" s="4">
        <v>15</v>
      </c>
    </row>
    <row r="212" spans="1:3" x14ac:dyDescent="0.25">
      <c r="A212" s="8" t="s">
        <v>196</v>
      </c>
      <c r="B212" s="4" t="s">
        <v>723</v>
      </c>
      <c r="C212" s="4">
        <v>55</v>
      </c>
    </row>
    <row r="213" spans="1:3" x14ac:dyDescent="0.25">
      <c r="A213" s="8" t="s">
        <v>138</v>
      </c>
      <c r="B213" s="4" t="s">
        <v>101</v>
      </c>
      <c r="C213" s="4">
        <v>28</v>
      </c>
    </row>
    <row r="214" spans="1:3" x14ac:dyDescent="0.25">
      <c r="A214" s="8" t="s">
        <v>115</v>
      </c>
      <c r="B214" s="4" t="s">
        <v>720</v>
      </c>
      <c r="C214" s="4">
        <v>19</v>
      </c>
    </row>
    <row r="215" spans="1:3" x14ac:dyDescent="0.25">
      <c r="A215" s="8" t="s">
        <v>148</v>
      </c>
      <c r="B215" s="4" t="s">
        <v>100</v>
      </c>
      <c r="C215" s="4">
        <v>34</v>
      </c>
    </row>
    <row r="216" spans="1:3" x14ac:dyDescent="0.25">
      <c r="A216" s="8" t="s">
        <v>150</v>
      </c>
      <c r="B216" s="4" t="s">
        <v>721</v>
      </c>
      <c r="C216" s="4">
        <v>43</v>
      </c>
    </row>
    <row r="217" spans="1:3" x14ac:dyDescent="0.25">
      <c r="A217" s="8" t="s">
        <v>222</v>
      </c>
      <c r="B217" s="4" t="s">
        <v>711</v>
      </c>
      <c r="C217" s="4">
        <v>25</v>
      </c>
    </row>
    <row r="218" spans="1:3" x14ac:dyDescent="0.25">
      <c r="A218" s="8" t="s">
        <v>223</v>
      </c>
      <c r="B218" s="4" t="s">
        <v>722</v>
      </c>
      <c r="C218" s="4">
        <v>19</v>
      </c>
    </row>
    <row r="219" spans="1:3" x14ac:dyDescent="0.25">
      <c r="A219" s="8" t="s">
        <v>170</v>
      </c>
      <c r="B219" s="4" t="s">
        <v>102</v>
      </c>
      <c r="C219" s="4">
        <v>28</v>
      </c>
    </row>
    <row r="220" spans="1:3" x14ac:dyDescent="0.25">
      <c r="A220" s="8" t="s">
        <v>109</v>
      </c>
      <c r="B220" s="4" t="s">
        <v>102</v>
      </c>
      <c r="C220" s="4">
        <v>54</v>
      </c>
    </row>
    <row r="221" spans="1:3" x14ac:dyDescent="0.25">
      <c r="A221" s="8" t="s">
        <v>224</v>
      </c>
      <c r="B221" s="4" t="s">
        <v>710</v>
      </c>
      <c r="C221" s="4">
        <v>42</v>
      </c>
    </row>
    <row r="222" spans="1:3" x14ac:dyDescent="0.25">
      <c r="A222" s="8" t="s">
        <v>223</v>
      </c>
      <c r="B222" s="4" t="s">
        <v>721</v>
      </c>
      <c r="C222" s="4">
        <v>47</v>
      </c>
    </row>
    <row r="223" spans="1:3" x14ac:dyDescent="0.25">
      <c r="A223" s="8" t="s">
        <v>225</v>
      </c>
      <c r="B223" s="4" t="s">
        <v>720</v>
      </c>
      <c r="C223" s="4">
        <v>35</v>
      </c>
    </row>
    <row r="224" spans="1:3" x14ac:dyDescent="0.25">
      <c r="A224" s="8" t="s">
        <v>226</v>
      </c>
      <c r="B224" s="4" t="s">
        <v>724</v>
      </c>
      <c r="C224" s="4">
        <v>25</v>
      </c>
    </row>
    <row r="225" spans="1:3" x14ac:dyDescent="0.25">
      <c r="A225" s="8" t="s">
        <v>227</v>
      </c>
      <c r="B225" s="4" t="s">
        <v>713</v>
      </c>
      <c r="C225" s="4">
        <v>27</v>
      </c>
    </row>
    <row r="226" spans="1:3" x14ac:dyDescent="0.25">
      <c r="A226" s="8" t="s">
        <v>228</v>
      </c>
      <c r="B226" s="4" t="s">
        <v>726</v>
      </c>
      <c r="C226" s="4">
        <v>54</v>
      </c>
    </row>
    <row r="227" spans="1:3" x14ac:dyDescent="0.25">
      <c r="A227" s="8" t="s">
        <v>182</v>
      </c>
      <c r="B227" s="4" t="s">
        <v>722</v>
      </c>
      <c r="C227" s="4">
        <v>54</v>
      </c>
    </row>
    <row r="228" spans="1:3" x14ac:dyDescent="0.25">
      <c r="A228" s="8" t="s">
        <v>229</v>
      </c>
      <c r="B228" s="4" t="s">
        <v>99</v>
      </c>
      <c r="C228" s="4">
        <v>26</v>
      </c>
    </row>
    <row r="229" spans="1:3" x14ac:dyDescent="0.25">
      <c r="A229" s="8" t="s">
        <v>117</v>
      </c>
      <c r="B229" s="4" t="s">
        <v>727</v>
      </c>
      <c r="C229" s="4">
        <v>45</v>
      </c>
    </row>
    <row r="230" spans="1:3" x14ac:dyDescent="0.25">
      <c r="A230" s="8" t="s">
        <v>158</v>
      </c>
      <c r="B230" s="4" t="s">
        <v>102</v>
      </c>
      <c r="C230" s="4">
        <v>54</v>
      </c>
    </row>
    <row r="231" spans="1:3" x14ac:dyDescent="0.25">
      <c r="A231" s="8" t="s">
        <v>127</v>
      </c>
      <c r="B231" s="4" t="s">
        <v>710</v>
      </c>
      <c r="C231" s="4">
        <v>35</v>
      </c>
    </row>
    <row r="232" spans="1:3" x14ac:dyDescent="0.25">
      <c r="A232" s="8" t="s">
        <v>120</v>
      </c>
      <c r="B232" s="4" t="s">
        <v>711</v>
      </c>
      <c r="C232" s="4">
        <v>32</v>
      </c>
    </row>
    <row r="233" spans="1:3" x14ac:dyDescent="0.25">
      <c r="A233" s="8" t="s">
        <v>113</v>
      </c>
      <c r="B233" s="4" t="s">
        <v>718</v>
      </c>
      <c r="C233" s="4">
        <v>32</v>
      </c>
    </row>
    <row r="234" spans="1:3" x14ac:dyDescent="0.25">
      <c r="A234" s="8" t="s">
        <v>229</v>
      </c>
      <c r="B234" s="4" t="s">
        <v>99</v>
      </c>
      <c r="C234" s="4">
        <v>38</v>
      </c>
    </row>
    <row r="235" spans="1:3" x14ac:dyDescent="0.25">
      <c r="A235" s="8" t="s">
        <v>178</v>
      </c>
      <c r="B235" s="4" t="s">
        <v>726</v>
      </c>
      <c r="C235" s="4">
        <v>42</v>
      </c>
    </row>
    <row r="236" spans="1:3" x14ac:dyDescent="0.25">
      <c r="A236" s="8" t="s">
        <v>201</v>
      </c>
      <c r="B236" s="4" t="s">
        <v>102</v>
      </c>
      <c r="C236" s="4">
        <v>47</v>
      </c>
    </row>
    <row r="237" spans="1:3" x14ac:dyDescent="0.25">
      <c r="A237" s="8" t="s">
        <v>123</v>
      </c>
      <c r="B237" s="4" t="s">
        <v>102</v>
      </c>
      <c r="C237" s="4">
        <v>40</v>
      </c>
    </row>
    <row r="238" spans="1:3" x14ac:dyDescent="0.25">
      <c r="A238" s="8" t="s">
        <v>209</v>
      </c>
      <c r="B238" s="4" t="s">
        <v>724</v>
      </c>
      <c r="C238" s="4">
        <v>48</v>
      </c>
    </row>
    <row r="239" spans="1:3" x14ac:dyDescent="0.25">
      <c r="A239" s="8" t="s">
        <v>137</v>
      </c>
      <c r="B239" s="4" t="s">
        <v>710</v>
      </c>
      <c r="C239" s="4">
        <v>12</v>
      </c>
    </row>
    <row r="240" spans="1:3" x14ac:dyDescent="0.25">
      <c r="A240" s="8" t="s">
        <v>188</v>
      </c>
      <c r="B240" s="4" t="s">
        <v>715</v>
      </c>
      <c r="C240" s="4">
        <v>42</v>
      </c>
    </row>
    <row r="241" spans="1:3" x14ac:dyDescent="0.25">
      <c r="A241" s="8" t="s">
        <v>230</v>
      </c>
      <c r="B241" s="4" t="s">
        <v>716</v>
      </c>
      <c r="C241" s="4">
        <v>32</v>
      </c>
    </row>
    <row r="242" spans="1:3" x14ac:dyDescent="0.25">
      <c r="A242" s="8" t="s">
        <v>163</v>
      </c>
      <c r="B242" s="4" t="s">
        <v>101</v>
      </c>
      <c r="C242" s="4">
        <v>47</v>
      </c>
    </row>
    <row r="243" spans="1:3" x14ac:dyDescent="0.25">
      <c r="A243" s="8" t="s">
        <v>187</v>
      </c>
      <c r="B243" s="4" t="s">
        <v>728</v>
      </c>
      <c r="C243" s="4">
        <v>55</v>
      </c>
    </row>
    <row r="244" spans="1:3" x14ac:dyDescent="0.25">
      <c r="A244" s="8" t="s">
        <v>231</v>
      </c>
      <c r="B244" s="4" t="s">
        <v>727</v>
      </c>
      <c r="C244" s="4">
        <v>17</v>
      </c>
    </row>
    <row r="245" spans="1:3" x14ac:dyDescent="0.25">
      <c r="A245" s="8" t="s">
        <v>232</v>
      </c>
      <c r="B245" s="4" t="s">
        <v>717</v>
      </c>
      <c r="C245" s="4">
        <v>32</v>
      </c>
    </row>
    <row r="246" spans="1:3" x14ac:dyDescent="0.25">
      <c r="A246" s="8" t="s">
        <v>186</v>
      </c>
      <c r="B246" s="4" t="s">
        <v>721</v>
      </c>
      <c r="C246" s="4">
        <v>24</v>
      </c>
    </row>
    <row r="247" spans="1:3" x14ac:dyDescent="0.25">
      <c r="A247" s="8" t="s">
        <v>233</v>
      </c>
      <c r="B247" s="4" t="s">
        <v>729</v>
      </c>
      <c r="C247" s="4">
        <v>12</v>
      </c>
    </row>
    <row r="248" spans="1:3" x14ac:dyDescent="0.25">
      <c r="A248" s="8" t="s">
        <v>222</v>
      </c>
      <c r="B248" s="4" t="s">
        <v>724</v>
      </c>
      <c r="C248" s="4">
        <v>38</v>
      </c>
    </row>
    <row r="249" spans="1:3" x14ac:dyDescent="0.25">
      <c r="A249" s="8" t="s">
        <v>214</v>
      </c>
      <c r="B249" s="4" t="s">
        <v>716</v>
      </c>
      <c r="C249" s="4">
        <v>40</v>
      </c>
    </row>
    <row r="250" spans="1:3" x14ac:dyDescent="0.25">
      <c r="A250" s="8" t="s">
        <v>205</v>
      </c>
      <c r="B250" s="4" t="s">
        <v>103</v>
      </c>
      <c r="C250" s="4">
        <v>23</v>
      </c>
    </row>
    <row r="251" spans="1:3" x14ac:dyDescent="0.25">
      <c r="A251" s="8" t="s">
        <v>223</v>
      </c>
      <c r="B251" s="4" t="s">
        <v>103</v>
      </c>
      <c r="C251" s="4">
        <v>48</v>
      </c>
    </row>
    <row r="252" spans="1:3" x14ac:dyDescent="0.25">
      <c r="A252" s="8" t="s">
        <v>162</v>
      </c>
      <c r="B252" s="4" t="s">
        <v>719</v>
      </c>
      <c r="C252" s="4">
        <v>30</v>
      </c>
    </row>
    <row r="253" spans="1:3" x14ac:dyDescent="0.25">
      <c r="A253" s="8" t="s">
        <v>195</v>
      </c>
      <c r="B253" s="4" t="s">
        <v>712</v>
      </c>
      <c r="C253" s="4">
        <v>56</v>
      </c>
    </row>
    <row r="254" spans="1:3" x14ac:dyDescent="0.25">
      <c r="A254" s="8" t="s">
        <v>166</v>
      </c>
      <c r="B254" s="4" t="s">
        <v>99</v>
      </c>
      <c r="C254" s="4">
        <v>37</v>
      </c>
    </row>
    <row r="255" spans="1:3" x14ac:dyDescent="0.25">
      <c r="A255" s="8" t="s">
        <v>225</v>
      </c>
      <c r="B255" s="4" t="s">
        <v>712</v>
      </c>
      <c r="C255" s="4">
        <v>49</v>
      </c>
    </row>
    <row r="256" spans="1:3" x14ac:dyDescent="0.25">
      <c r="A256" s="8" t="s">
        <v>147</v>
      </c>
      <c r="B256" s="4" t="s">
        <v>721</v>
      </c>
      <c r="C256" s="4">
        <v>15</v>
      </c>
    </row>
    <row r="257" spans="1:3" x14ac:dyDescent="0.25">
      <c r="A257" s="8" t="s">
        <v>234</v>
      </c>
      <c r="B257" s="4" t="s">
        <v>726</v>
      </c>
      <c r="C257" s="4">
        <v>30</v>
      </c>
    </row>
    <row r="258" spans="1:3" x14ac:dyDescent="0.25">
      <c r="A258" s="8" t="s">
        <v>235</v>
      </c>
      <c r="B258" s="4" t="s">
        <v>719</v>
      </c>
      <c r="C258" s="4">
        <v>32</v>
      </c>
    </row>
    <row r="259" spans="1:3" x14ac:dyDescent="0.25">
      <c r="A259" s="8" t="s">
        <v>138</v>
      </c>
      <c r="B259" s="4" t="s">
        <v>728</v>
      </c>
      <c r="C259" s="4">
        <v>41</v>
      </c>
    </row>
    <row r="260" spans="1:3" x14ac:dyDescent="0.25">
      <c r="A260" s="8" t="s">
        <v>130</v>
      </c>
      <c r="B260" s="4" t="s">
        <v>103</v>
      </c>
      <c r="C260" s="4">
        <v>24</v>
      </c>
    </row>
    <row r="261" spans="1:3" x14ac:dyDescent="0.25">
      <c r="A261" s="8" t="s">
        <v>236</v>
      </c>
      <c r="B261" s="4" t="s">
        <v>727</v>
      </c>
      <c r="C261" s="4">
        <v>35</v>
      </c>
    </row>
    <row r="262" spans="1:3" x14ac:dyDescent="0.25">
      <c r="A262" s="8" t="s">
        <v>186</v>
      </c>
      <c r="B262" s="4" t="s">
        <v>713</v>
      </c>
      <c r="C262" s="4">
        <v>51</v>
      </c>
    </row>
    <row r="263" spans="1:3" x14ac:dyDescent="0.25">
      <c r="A263" s="8" t="s">
        <v>220</v>
      </c>
      <c r="B263" s="4" t="s">
        <v>716</v>
      </c>
      <c r="C263" s="4">
        <v>58</v>
      </c>
    </row>
    <row r="264" spans="1:3" x14ac:dyDescent="0.25">
      <c r="A264" s="8" t="s">
        <v>162</v>
      </c>
      <c r="B264" s="4" t="s">
        <v>710</v>
      </c>
      <c r="C264" s="4">
        <v>42</v>
      </c>
    </row>
    <row r="265" spans="1:3" x14ac:dyDescent="0.25">
      <c r="A265" s="8" t="s">
        <v>205</v>
      </c>
      <c r="B265" s="4" t="s">
        <v>721</v>
      </c>
      <c r="C265" s="4">
        <v>59</v>
      </c>
    </row>
    <row r="266" spans="1:3" x14ac:dyDescent="0.25">
      <c r="A266" s="8" t="s">
        <v>131</v>
      </c>
      <c r="B266" s="4" t="s">
        <v>103</v>
      </c>
      <c r="C266" s="4">
        <v>30</v>
      </c>
    </row>
    <row r="267" spans="1:3" x14ac:dyDescent="0.25">
      <c r="A267" s="8" t="s">
        <v>194</v>
      </c>
      <c r="B267" s="4" t="s">
        <v>712</v>
      </c>
      <c r="C267" s="4">
        <v>59</v>
      </c>
    </row>
    <row r="268" spans="1:3" x14ac:dyDescent="0.25">
      <c r="A268" s="8" t="s">
        <v>187</v>
      </c>
      <c r="B268" s="4" t="s">
        <v>101</v>
      </c>
      <c r="C268" s="4">
        <v>17</v>
      </c>
    </row>
    <row r="269" spans="1:3" x14ac:dyDescent="0.25">
      <c r="A269" s="8" t="s">
        <v>133</v>
      </c>
      <c r="B269" s="4" t="s">
        <v>719</v>
      </c>
      <c r="C269" s="4">
        <v>47</v>
      </c>
    </row>
    <row r="270" spans="1:3" x14ac:dyDescent="0.25">
      <c r="A270" s="8" t="s">
        <v>168</v>
      </c>
      <c r="B270" s="4" t="s">
        <v>719</v>
      </c>
      <c r="C270" s="4">
        <v>53</v>
      </c>
    </row>
    <row r="271" spans="1:3" x14ac:dyDescent="0.25">
      <c r="A271" s="8" t="s">
        <v>201</v>
      </c>
      <c r="B271" s="4" t="s">
        <v>722</v>
      </c>
      <c r="C271" s="4">
        <v>17</v>
      </c>
    </row>
    <row r="272" spans="1:3" x14ac:dyDescent="0.25">
      <c r="A272" s="8" t="s">
        <v>237</v>
      </c>
      <c r="B272" s="4" t="s">
        <v>714</v>
      </c>
      <c r="C272" s="4">
        <v>11</v>
      </c>
    </row>
    <row r="273" spans="1:3" x14ac:dyDescent="0.25">
      <c r="A273" s="8" t="s">
        <v>113</v>
      </c>
      <c r="B273" s="4" t="s">
        <v>718</v>
      </c>
      <c r="C273" s="4">
        <v>58</v>
      </c>
    </row>
    <row r="274" spans="1:3" x14ac:dyDescent="0.25">
      <c r="A274" s="8" t="s">
        <v>214</v>
      </c>
      <c r="B274" s="4" t="s">
        <v>728</v>
      </c>
      <c r="C274" s="4">
        <v>46</v>
      </c>
    </row>
    <row r="275" spans="1:3" x14ac:dyDescent="0.25">
      <c r="A275" s="8" t="s">
        <v>198</v>
      </c>
      <c r="B275" s="4" t="s">
        <v>713</v>
      </c>
      <c r="C275" s="4">
        <v>49</v>
      </c>
    </row>
    <row r="276" spans="1:3" x14ac:dyDescent="0.25">
      <c r="A276" s="8" t="s">
        <v>153</v>
      </c>
      <c r="B276" s="4" t="s">
        <v>718</v>
      </c>
      <c r="C276" s="4">
        <v>16</v>
      </c>
    </row>
    <row r="277" spans="1:3" x14ac:dyDescent="0.25">
      <c r="A277" s="8" t="s">
        <v>158</v>
      </c>
      <c r="B277" s="4" t="s">
        <v>723</v>
      </c>
      <c r="C277" s="4">
        <v>32</v>
      </c>
    </row>
    <row r="278" spans="1:3" x14ac:dyDescent="0.25">
      <c r="A278" s="8" t="s">
        <v>209</v>
      </c>
      <c r="B278" s="4" t="s">
        <v>717</v>
      </c>
      <c r="C278" s="4">
        <v>32</v>
      </c>
    </row>
    <row r="279" spans="1:3" x14ac:dyDescent="0.25">
      <c r="A279" s="8" t="s">
        <v>135</v>
      </c>
      <c r="B279" s="4" t="s">
        <v>100</v>
      </c>
      <c r="C279" s="4">
        <v>19</v>
      </c>
    </row>
    <row r="280" spans="1:3" x14ac:dyDescent="0.25">
      <c r="A280" s="8" t="s">
        <v>145</v>
      </c>
      <c r="B280" s="4" t="s">
        <v>725</v>
      </c>
      <c r="C280" s="4">
        <v>32</v>
      </c>
    </row>
    <row r="281" spans="1:3" x14ac:dyDescent="0.25">
      <c r="A281" s="8" t="s">
        <v>220</v>
      </c>
      <c r="B281" s="4" t="s">
        <v>718</v>
      </c>
      <c r="C281" s="4">
        <v>13</v>
      </c>
    </row>
    <row r="282" spans="1:3" x14ac:dyDescent="0.25">
      <c r="A282" s="8" t="s">
        <v>224</v>
      </c>
      <c r="B282" s="4" t="s">
        <v>720</v>
      </c>
      <c r="C282" s="4">
        <v>52</v>
      </c>
    </row>
    <row r="283" spans="1:3" x14ac:dyDescent="0.25">
      <c r="A283" s="8" t="s">
        <v>190</v>
      </c>
      <c r="B283" s="4" t="s">
        <v>102</v>
      </c>
      <c r="C283" s="4">
        <v>59</v>
      </c>
    </row>
    <row r="284" spans="1:3" x14ac:dyDescent="0.25">
      <c r="A284" s="8" t="s">
        <v>139</v>
      </c>
      <c r="B284" s="4" t="s">
        <v>715</v>
      </c>
      <c r="C284" s="4">
        <v>48</v>
      </c>
    </row>
    <row r="285" spans="1:3" x14ac:dyDescent="0.25">
      <c r="A285" s="8" t="s">
        <v>129</v>
      </c>
      <c r="B285" s="4" t="s">
        <v>726</v>
      </c>
      <c r="C285" s="4">
        <v>46</v>
      </c>
    </row>
    <row r="286" spans="1:3" x14ac:dyDescent="0.25">
      <c r="A286" s="8" t="s">
        <v>139</v>
      </c>
      <c r="B286" s="4" t="s">
        <v>727</v>
      </c>
      <c r="C286" s="4">
        <v>43</v>
      </c>
    </row>
    <row r="287" spans="1:3" x14ac:dyDescent="0.25">
      <c r="A287" s="8" t="s">
        <v>129</v>
      </c>
      <c r="B287" s="4" t="s">
        <v>715</v>
      </c>
      <c r="C287" s="4">
        <v>45</v>
      </c>
    </row>
    <row r="288" spans="1:3" x14ac:dyDescent="0.25">
      <c r="A288" s="8" t="s">
        <v>120</v>
      </c>
      <c r="B288" s="4" t="s">
        <v>721</v>
      </c>
      <c r="C288" s="4">
        <v>56</v>
      </c>
    </row>
    <row r="289" spans="1:3" x14ac:dyDescent="0.25">
      <c r="A289" s="8" t="s">
        <v>238</v>
      </c>
      <c r="B289" s="4" t="s">
        <v>712</v>
      </c>
      <c r="C289" s="4">
        <v>10</v>
      </c>
    </row>
    <row r="290" spans="1:3" x14ac:dyDescent="0.25">
      <c r="A290" s="8" t="s">
        <v>235</v>
      </c>
      <c r="B290" s="4" t="s">
        <v>715</v>
      </c>
      <c r="C290" s="4">
        <v>57</v>
      </c>
    </row>
    <row r="291" spans="1:3" x14ac:dyDescent="0.25">
      <c r="A291" s="8" t="s">
        <v>135</v>
      </c>
      <c r="B291" s="4" t="s">
        <v>723</v>
      </c>
      <c r="C291" s="4">
        <v>50</v>
      </c>
    </row>
    <row r="292" spans="1:3" x14ac:dyDescent="0.25">
      <c r="A292" s="8" t="s">
        <v>217</v>
      </c>
      <c r="B292" s="4" t="s">
        <v>712</v>
      </c>
      <c r="C292" s="4">
        <v>40</v>
      </c>
    </row>
    <row r="293" spans="1:3" x14ac:dyDescent="0.25">
      <c r="A293" s="8" t="s">
        <v>136</v>
      </c>
      <c r="B293" s="4" t="s">
        <v>714</v>
      </c>
      <c r="C293" s="4">
        <v>33</v>
      </c>
    </row>
    <row r="294" spans="1:3" x14ac:dyDescent="0.25">
      <c r="A294" s="8" t="s">
        <v>238</v>
      </c>
      <c r="B294" s="4" t="s">
        <v>100</v>
      </c>
      <c r="C294" s="4">
        <v>24</v>
      </c>
    </row>
    <row r="295" spans="1:3" x14ac:dyDescent="0.25">
      <c r="A295" s="8" t="s">
        <v>165</v>
      </c>
      <c r="B295" s="4" t="s">
        <v>101</v>
      </c>
      <c r="C295" s="4">
        <v>38</v>
      </c>
    </row>
    <row r="296" spans="1:3" x14ac:dyDescent="0.25">
      <c r="A296" s="8" t="s">
        <v>178</v>
      </c>
      <c r="B296" s="4" t="s">
        <v>100</v>
      </c>
      <c r="C296" s="4">
        <v>49</v>
      </c>
    </row>
    <row r="297" spans="1:3" x14ac:dyDescent="0.25">
      <c r="A297" s="8" t="s">
        <v>154</v>
      </c>
      <c r="B297" s="4" t="s">
        <v>716</v>
      </c>
      <c r="C297" s="4">
        <v>11</v>
      </c>
    </row>
    <row r="298" spans="1:3" x14ac:dyDescent="0.25">
      <c r="A298" s="8" t="s">
        <v>120</v>
      </c>
      <c r="B298" s="4" t="s">
        <v>720</v>
      </c>
      <c r="C298" s="4">
        <v>57</v>
      </c>
    </row>
    <row r="299" spans="1:3" x14ac:dyDescent="0.25">
      <c r="A299" s="8" t="s">
        <v>127</v>
      </c>
      <c r="B299" s="4" t="s">
        <v>103</v>
      </c>
      <c r="C299" s="4">
        <v>19</v>
      </c>
    </row>
    <row r="300" spans="1:3" x14ac:dyDescent="0.25">
      <c r="A300" s="8" t="s">
        <v>203</v>
      </c>
      <c r="B300" s="4" t="s">
        <v>715</v>
      </c>
      <c r="C300" s="4">
        <v>45</v>
      </c>
    </row>
    <row r="301" spans="1:3" x14ac:dyDescent="0.25">
      <c r="A301" s="8" t="s">
        <v>222</v>
      </c>
      <c r="B301" s="4" t="s">
        <v>719</v>
      </c>
      <c r="C301" s="4">
        <v>38</v>
      </c>
    </row>
    <row r="302" spans="1:3" x14ac:dyDescent="0.25">
      <c r="A302" s="8" t="s">
        <v>237</v>
      </c>
      <c r="B302" s="4" t="s">
        <v>716</v>
      </c>
      <c r="C302" s="4">
        <v>32</v>
      </c>
    </row>
    <row r="303" spans="1:3" x14ac:dyDescent="0.25">
      <c r="A303" s="8" t="s">
        <v>175</v>
      </c>
      <c r="B303" s="4" t="s">
        <v>718</v>
      </c>
      <c r="C303" s="4">
        <v>54</v>
      </c>
    </row>
    <row r="304" spans="1:3" x14ac:dyDescent="0.25">
      <c r="A304" s="8" t="s">
        <v>120</v>
      </c>
      <c r="B304" s="4" t="s">
        <v>715</v>
      </c>
      <c r="C304" s="4">
        <v>18</v>
      </c>
    </row>
    <row r="305" spans="1:3" x14ac:dyDescent="0.25">
      <c r="A305" s="8" t="s">
        <v>234</v>
      </c>
      <c r="B305" s="4" t="s">
        <v>102</v>
      </c>
      <c r="C305" s="4">
        <v>56</v>
      </c>
    </row>
    <row r="306" spans="1:3" x14ac:dyDescent="0.25">
      <c r="A306" s="8" t="s">
        <v>125</v>
      </c>
      <c r="B306" s="4" t="s">
        <v>715</v>
      </c>
      <c r="C306" s="4">
        <v>50</v>
      </c>
    </row>
    <row r="307" spans="1:3" x14ac:dyDescent="0.25">
      <c r="A307" s="8" t="s">
        <v>175</v>
      </c>
      <c r="B307" s="4" t="s">
        <v>721</v>
      </c>
      <c r="C307" s="4">
        <v>10</v>
      </c>
    </row>
    <row r="308" spans="1:3" x14ac:dyDescent="0.25">
      <c r="A308" s="8" t="s">
        <v>239</v>
      </c>
      <c r="B308" s="4" t="s">
        <v>728</v>
      </c>
      <c r="C308" s="4">
        <v>42</v>
      </c>
    </row>
    <row r="309" spans="1:3" x14ac:dyDescent="0.25">
      <c r="A309" s="8" t="s">
        <v>185</v>
      </c>
      <c r="B309" s="4" t="s">
        <v>728</v>
      </c>
      <c r="C309" s="4">
        <v>14</v>
      </c>
    </row>
    <row r="310" spans="1:3" x14ac:dyDescent="0.25">
      <c r="A310" s="8" t="s">
        <v>188</v>
      </c>
      <c r="B310" s="4" t="s">
        <v>102</v>
      </c>
      <c r="C310" s="4">
        <v>57</v>
      </c>
    </row>
    <row r="311" spans="1:3" x14ac:dyDescent="0.25">
      <c r="A311" s="8" t="s">
        <v>214</v>
      </c>
      <c r="B311" s="4" t="s">
        <v>729</v>
      </c>
      <c r="C311" s="4">
        <v>53</v>
      </c>
    </row>
    <row r="312" spans="1:3" x14ac:dyDescent="0.25">
      <c r="A312" s="8" t="s">
        <v>160</v>
      </c>
      <c r="B312" s="4" t="s">
        <v>714</v>
      </c>
      <c r="C312" s="4">
        <v>43</v>
      </c>
    </row>
    <row r="313" spans="1:3" x14ac:dyDescent="0.25">
      <c r="A313" s="8" t="s">
        <v>230</v>
      </c>
      <c r="B313" s="4" t="s">
        <v>724</v>
      </c>
      <c r="C313" s="4">
        <v>37</v>
      </c>
    </row>
    <row r="314" spans="1:3" x14ac:dyDescent="0.25">
      <c r="A314" s="8" t="s">
        <v>175</v>
      </c>
      <c r="B314" s="4" t="s">
        <v>719</v>
      </c>
      <c r="C314" s="4">
        <v>54</v>
      </c>
    </row>
    <row r="315" spans="1:3" x14ac:dyDescent="0.25">
      <c r="A315" s="8" t="s">
        <v>172</v>
      </c>
      <c r="B315" s="4" t="s">
        <v>728</v>
      </c>
      <c r="C315" s="4">
        <v>55</v>
      </c>
    </row>
    <row r="316" spans="1:3" x14ac:dyDescent="0.25">
      <c r="A316" s="8" t="s">
        <v>240</v>
      </c>
      <c r="B316" s="4" t="s">
        <v>101</v>
      </c>
      <c r="C316" s="4">
        <v>48</v>
      </c>
    </row>
    <row r="317" spans="1:3" x14ac:dyDescent="0.25">
      <c r="A317" s="8" t="s">
        <v>241</v>
      </c>
      <c r="B317" s="4" t="s">
        <v>714</v>
      </c>
      <c r="C317" s="4">
        <v>28</v>
      </c>
    </row>
    <row r="318" spans="1:3" x14ac:dyDescent="0.25">
      <c r="A318" s="8" t="s">
        <v>242</v>
      </c>
      <c r="B318" s="4" t="s">
        <v>728</v>
      </c>
      <c r="C318" s="4">
        <v>16</v>
      </c>
    </row>
    <row r="319" spans="1:3" x14ac:dyDescent="0.25">
      <c r="A319" s="8" t="s">
        <v>153</v>
      </c>
      <c r="B319" s="4" t="s">
        <v>725</v>
      </c>
      <c r="C319" s="4">
        <v>47</v>
      </c>
    </row>
    <row r="320" spans="1:3" x14ac:dyDescent="0.25">
      <c r="A320" s="8" t="s">
        <v>150</v>
      </c>
      <c r="B320" s="4" t="s">
        <v>99</v>
      </c>
      <c r="C320" s="4">
        <v>17</v>
      </c>
    </row>
    <row r="321" spans="1:3" x14ac:dyDescent="0.25">
      <c r="A321" s="8" t="s">
        <v>117</v>
      </c>
      <c r="B321" s="4" t="s">
        <v>715</v>
      </c>
      <c r="C321" s="4">
        <v>53</v>
      </c>
    </row>
    <row r="322" spans="1:3" x14ac:dyDescent="0.25">
      <c r="A322" s="8" t="s">
        <v>136</v>
      </c>
      <c r="B322" s="4" t="s">
        <v>717</v>
      </c>
      <c r="C322" s="4">
        <v>45</v>
      </c>
    </row>
    <row r="323" spans="1:3" x14ac:dyDescent="0.25">
      <c r="A323" s="8" t="s">
        <v>126</v>
      </c>
      <c r="B323" s="4" t="s">
        <v>722</v>
      </c>
      <c r="C323" s="4">
        <v>57</v>
      </c>
    </row>
    <row r="324" spans="1:3" x14ac:dyDescent="0.25">
      <c r="A324" s="8" t="s">
        <v>199</v>
      </c>
      <c r="B324" s="4" t="s">
        <v>102</v>
      </c>
      <c r="C324" s="4">
        <v>52</v>
      </c>
    </row>
    <row r="325" spans="1:3" x14ac:dyDescent="0.25">
      <c r="A325" s="8" t="s">
        <v>177</v>
      </c>
      <c r="B325" s="4" t="s">
        <v>727</v>
      </c>
      <c r="C325" s="4">
        <v>39</v>
      </c>
    </row>
    <row r="326" spans="1:3" x14ac:dyDescent="0.25">
      <c r="A326" s="8" t="s">
        <v>117</v>
      </c>
      <c r="B326" s="4" t="s">
        <v>717</v>
      </c>
      <c r="C326" s="4">
        <v>42</v>
      </c>
    </row>
    <row r="327" spans="1:3" x14ac:dyDescent="0.25">
      <c r="A327" s="8" t="s">
        <v>243</v>
      </c>
      <c r="B327" s="4" t="s">
        <v>724</v>
      </c>
      <c r="C327" s="4">
        <v>50</v>
      </c>
    </row>
    <row r="328" spans="1:3" x14ac:dyDescent="0.25">
      <c r="A328" s="8" t="s">
        <v>127</v>
      </c>
      <c r="B328" s="4" t="s">
        <v>720</v>
      </c>
      <c r="C328" s="4">
        <v>53</v>
      </c>
    </row>
    <row r="329" spans="1:3" x14ac:dyDescent="0.25">
      <c r="A329" s="8" t="s">
        <v>182</v>
      </c>
      <c r="B329" s="4" t="s">
        <v>100</v>
      </c>
      <c r="C329" s="4">
        <v>23</v>
      </c>
    </row>
    <row r="330" spans="1:3" x14ac:dyDescent="0.25">
      <c r="A330" s="8" t="s">
        <v>224</v>
      </c>
      <c r="B330" s="4" t="s">
        <v>712</v>
      </c>
      <c r="C330" s="4">
        <v>38</v>
      </c>
    </row>
    <row r="331" spans="1:3" x14ac:dyDescent="0.25">
      <c r="A331" s="8" t="s">
        <v>233</v>
      </c>
      <c r="B331" s="4" t="s">
        <v>712</v>
      </c>
      <c r="C331" s="4">
        <v>56</v>
      </c>
    </row>
    <row r="332" spans="1:3" x14ac:dyDescent="0.25">
      <c r="A332" s="8" t="s">
        <v>110</v>
      </c>
      <c r="B332" s="4" t="s">
        <v>721</v>
      </c>
      <c r="C332" s="4">
        <v>37</v>
      </c>
    </row>
    <row r="333" spans="1:3" x14ac:dyDescent="0.25">
      <c r="A333" s="8" t="s">
        <v>145</v>
      </c>
      <c r="B333" s="4" t="s">
        <v>725</v>
      </c>
      <c r="C333" s="4">
        <v>56</v>
      </c>
    </row>
    <row r="334" spans="1:3" x14ac:dyDescent="0.25">
      <c r="A334" s="8" t="s">
        <v>240</v>
      </c>
      <c r="B334" s="4" t="s">
        <v>102</v>
      </c>
      <c r="C334" s="4">
        <v>43</v>
      </c>
    </row>
    <row r="335" spans="1:3" x14ac:dyDescent="0.25">
      <c r="A335" s="8" t="s">
        <v>171</v>
      </c>
      <c r="B335" s="4" t="s">
        <v>718</v>
      </c>
      <c r="C335" s="4">
        <v>36</v>
      </c>
    </row>
    <row r="336" spans="1:3" x14ac:dyDescent="0.25">
      <c r="A336" s="8" t="s">
        <v>112</v>
      </c>
      <c r="B336" s="4" t="s">
        <v>99</v>
      </c>
      <c r="C336" s="4">
        <v>51</v>
      </c>
    </row>
    <row r="337" spans="1:3" x14ac:dyDescent="0.25">
      <c r="A337" s="8" t="s">
        <v>183</v>
      </c>
      <c r="B337" s="4" t="s">
        <v>718</v>
      </c>
      <c r="C337" s="4">
        <v>15</v>
      </c>
    </row>
    <row r="338" spans="1:3" x14ac:dyDescent="0.25">
      <c r="A338" s="8" t="s">
        <v>229</v>
      </c>
      <c r="B338" s="4" t="s">
        <v>101</v>
      </c>
      <c r="C338" s="4">
        <v>14</v>
      </c>
    </row>
    <row r="339" spans="1:3" x14ac:dyDescent="0.25">
      <c r="A339" s="8" t="s">
        <v>182</v>
      </c>
      <c r="B339" s="4" t="s">
        <v>729</v>
      </c>
      <c r="C339" s="4">
        <v>59</v>
      </c>
    </row>
    <row r="340" spans="1:3" x14ac:dyDescent="0.25">
      <c r="A340" s="8" t="s">
        <v>184</v>
      </c>
      <c r="B340" s="4" t="s">
        <v>714</v>
      </c>
      <c r="C340" s="4">
        <v>14</v>
      </c>
    </row>
    <row r="341" spans="1:3" x14ac:dyDescent="0.25">
      <c r="A341" s="8" t="s">
        <v>129</v>
      </c>
      <c r="B341" s="4" t="s">
        <v>728</v>
      </c>
      <c r="C341" s="4">
        <v>24</v>
      </c>
    </row>
    <row r="342" spans="1:3" x14ac:dyDescent="0.25">
      <c r="A342" s="8" t="s">
        <v>145</v>
      </c>
      <c r="B342" s="4" t="s">
        <v>719</v>
      </c>
      <c r="C342" s="4">
        <v>20</v>
      </c>
    </row>
    <row r="343" spans="1:3" x14ac:dyDescent="0.25">
      <c r="A343" s="8" t="s">
        <v>196</v>
      </c>
      <c r="B343" s="4" t="s">
        <v>726</v>
      </c>
      <c r="C343" s="4">
        <v>52</v>
      </c>
    </row>
    <row r="344" spans="1:3" x14ac:dyDescent="0.25">
      <c r="A344" s="8" t="s">
        <v>204</v>
      </c>
      <c r="B344" s="4" t="s">
        <v>717</v>
      </c>
      <c r="C344" s="4">
        <v>54</v>
      </c>
    </row>
    <row r="345" spans="1:3" x14ac:dyDescent="0.25">
      <c r="A345" s="8" t="s">
        <v>216</v>
      </c>
      <c r="B345" s="4" t="s">
        <v>101</v>
      </c>
      <c r="C345" s="4">
        <v>12</v>
      </c>
    </row>
    <row r="346" spans="1:3" x14ac:dyDescent="0.25">
      <c r="A346" s="8" t="s">
        <v>165</v>
      </c>
      <c r="B346" s="4" t="s">
        <v>715</v>
      </c>
      <c r="C346" s="4">
        <v>24</v>
      </c>
    </row>
    <row r="347" spans="1:3" x14ac:dyDescent="0.25">
      <c r="A347" s="8" t="s">
        <v>116</v>
      </c>
      <c r="B347" s="4" t="s">
        <v>103</v>
      </c>
      <c r="C347" s="4">
        <v>57</v>
      </c>
    </row>
    <row r="348" spans="1:3" x14ac:dyDescent="0.25">
      <c r="A348" s="8" t="s">
        <v>114</v>
      </c>
      <c r="B348" s="4" t="s">
        <v>99</v>
      </c>
      <c r="C348" s="4">
        <v>53</v>
      </c>
    </row>
    <row r="349" spans="1:3" x14ac:dyDescent="0.25">
      <c r="A349" s="8" t="s">
        <v>214</v>
      </c>
      <c r="B349" s="4" t="s">
        <v>713</v>
      </c>
      <c r="C349" s="4">
        <v>46</v>
      </c>
    </row>
    <row r="350" spans="1:3" x14ac:dyDescent="0.25">
      <c r="A350" s="8" t="s">
        <v>191</v>
      </c>
      <c r="B350" s="4" t="s">
        <v>101</v>
      </c>
      <c r="C350" s="4">
        <v>59</v>
      </c>
    </row>
    <row r="351" spans="1:3" x14ac:dyDescent="0.25">
      <c r="A351" s="8" t="s">
        <v>153</v>
      </c>
      <c r="B351" s="4" t="s">
        <v>714</v>
      </c>
      <c r="C351" s="4">
        <v>16</v>
      </c>
    </row>
    <row r="352" spans="1:3" x14ac:dyDescent="0.25">
      <c r="A352" s="8" t="s">
        <v>244</v>
      </c>
      <c r="B352" s="4" t="s">
        <v>715</v>
      </c>
      <c r="C352" s="4">
        <v>16</v>
      </c>
    </row>
    <row r="353" spans="1:3" x14ac:dyDescent="0.25">
      <c r="A353" s="8" t="s">
        <v>148</v>
      </c>
      <c r="B353" s="4" t="s">
        <v>719</v>
      </c>
      <c r="C353" s="4">
        <v>29</v>
      </c>
    </row>
    <row r="354" spans="1:3" x14ac:dyDescent="0.25">
      <c r="A354" s="8" t="s">
        <v>200</v>
      </c>
      <c r="B354" s="4" t="s">
        <v>717</v>
      </c>
      <c r="C354" s="4">
        <v>12</v>
      </c>
    </row>
    <row r="355" spans="1:3" x14ac:dyDescent="0.25">
      <c r="A355" s="8" t="s">
        <v>115</v>
      </c>
      <c r="B355" s="4" t="s">
        <v>718</v>
      </c>
      <c r="C355" s="4">
        <v>23</v>
      </c>
    </row>
    <row r="356" spans="1:3" x14ac:dyDescent="0.25">
      <c r="A356" s="8" t="s">
        <v>225</v>
      </c>
      <c r="B356" s="4" t="s">
        <v>718</v>
      </c>
      <c r="C356" s="4">
        <v>41</v>
      </c>
    </row>
    <row r="357" spans="1:3" x14ac:dyDescent="0.25">
      <c r="A357" s="8" t="s">
        <v>192</v>
      </c>
      <c r="B357" s="4" t="s">
        <v>710</v>
      </c>
      <c r="C357" s="4">
        <v>15</v>
      </c>
    </row>
    <row r="358" spans="1:3" x14ac:dyDescent="0.25">
      <c r="A358" s="8" t="s">
        <v>240</v>
      </c>
      <c r="B358" s="4" t="s">
        <v>725</v>
      </c>
      <c r="C358" s="4">
        <v>42</v>
      </c>
    </row>
    <row r="359" spans="1:3" x14ac:dyDescent="0.25">
      <c r="A359" s="8" t="s">
        <v>165</v>
      </c>
      <c r="B359" s="4" t="s">
        <v>714</v>
      </c>
      <c r="C359" s="4">
        <v>53</v>
      </c>
    </row>
    <row r="360" spans="1:3" x14ac:dyDescent="0.25">
      <c r="A360" s="8" t="s">
        <v>198</v>
      </c>
      <c r="B360" s="4" t="s">
        <v>103</v>
      </c>
      <c r="C360" s="4">
        <v>56</v>
      </c>
    </row>
    <row r="361" spans="1:3" x14ac:dyDescent="0.25">
      <c r="A361" s="8" t="s">
        <v>179</v>
      </c>
      <c r="B361" s="4" t="s">
        <v>721</v>
      </c>
      <c r="C361" s="4">
        <v>50</v>
      </c>
    </row>
    <row r="362" spans="1:3" x14ac:dyDescent="0.25">
      <c r="A362" s="8" t="s">
        <v>239</v>
      </c>
      <c r="B362" s="4" t="s">
        <v>717</v>
      </c>
      <c r="C362" s="4">
        <v>26</v>
      </c>
    </row>
    <row r="363" spans="1:3" x14ac:dyDescent="0.25">
      <c r="A363" s="8" t="s">
        <v>175</v>
      </c>
      <c r="B363" s="4" t="s">
        <v>99</v>
      </c>
      <c r="C363" s="4">
        <v>23</v>
      </c>
    </row>
    <row r="364" spans="1:3" x14ac:dyDescent="0.25">
      <c r="A364" s="8" t="s">
        <v>114</v>
      </c>
      <c r="B364" s="4" t="s">
        <v>102</v>
      </c>
      <c r="C364" s="4">
        <v>23</v>
      </c>
    </row>
    <row r="365" spans="1:3" x14ac:dyDescent="0.25">
      <c r="A365" s="8" t="s">
        <v>111</v>
      </c>
      <c r="B365" s="4" t="s">
        <v>102</v>
      </c>
      <c r="C365" s="4">
        <v>12</v>
      </c>
    </row>
    <row r="366" spans="1:3" x14ac:dyDescent="0.25">
      <c r="A366" s="8" t="s">
        <v>168</v>
      </c>
      <c r="B366" s="4" t="s">
        <v>101</v>
      </c>
      <c r="C366" s="4">
        <v>17</v>
      </c>
    </row>
    <row r="367" spans="1:3" x14ac:dyDescent="0.25">
      <c r="A367" s="8" t="s">
        <v>178</v>
      </c>
      <c r="B367" s="4" t="s">
        <v>714</v>
      </c>
      <c r="C367" s="4">
        <v>14</v>
      </c>
    </row>
    <row r="368" spans="1:3" x14ac:dyDescent="0.25">
      <c r="A368" s="8" t="s">
        <v>228</v>
      </c>
      <c r="B368" s="4" t="s">
        <v>103</v>
      </c>
      <c r="C368" s="4">
        <v>57</v>
      </c>
    </row>
    <row r="369" spans="1:3" x14ac:dyDescent="0.25">
      <c r="A369" s="8" t="s">
        <v>204</v>
      </c>
      <c r="B369" s="4" t="s">
        <v>727</v>
      </c>
      <c r="C369" s="4">
        <v>37</v>
      </c>
    </row>
    <row r="370" spans="1:3" x14ac:dyDescent="0.25">
      <c r="A370" s="8" t="s">
        <v>133</v>
      </c>
      <c r="B370" s="4" t="s">
        <v>723</v>
      </c>
      <c r="C370" s="4">
        <v>25</v>
      </c>
    </row>
    <row r="371" spans="1:3" x14ac:dyDescent="0.25">
      <c r="A371" s="8" t="s">
        <v>169</v>
      </c>
      <c r="B371" s="4" t="s">
        <v>99</v>
      </c>
      <c r="C371" s="4">
        <v>32</v>
      </c>
    </row>
    <row r="372" spans="1:3" x14ac:dyDescent="0.25">
      <c r="A372" s="8" t="s">
        <v>166</v>
      </c>
      <c r="B372" s="4" t="s">
        <v>724</v>
      </c>
      <c r="C372" s="4">
        <v>28</v>
      </c>
    </row>
    <row r="373" spans="1:3" x14ac:dyDescent="0.25">
      <c r="A373" s="8" t="s">
        <v>202</v>
      </c>
      <c r="B373" s="4" t="s">
        <v>727</v>
      </c>
      <c r="C373" s="4">
        <v>30</v>
      </c>
    </row>
    <row r="374" spans="1:3" x14ac:dyDescent="0.25">
      <c r="A374" s="8" t="s">
        <v>204</v>
      </c>
      <c r="B374" s="4" t="s">
        <v>721</v>
      </c>
      <c r="C374" s="4">
        <v>34</v>
      </c>
    </row>
    <row r="375" spans="1:3" x14ac:dyDescent="0.25">
      <c r="A375" s="8" t="s">
        <v>151</v>
      </c>
      <c r="B375" s="4" t="s">
        <v>718</v>
      </c>
      <c r="C375" s="4">
        <v>13</v>
      </c>
    </row>
    <row r="376" spans="1:3" x14ac:dyDescent="0.25">
      <c r="A376" s="8" t="s">
        <v>245</v>
      </c>
      <c r="B376" s="4" t="s">
        <v>99</v>
      </c>
      <c r="C376" s="4">
        <v>45</v>
      </c>
    </row>
    <row r="377" spans="1:3" x14ac:dyDescent="0.25">
      <c r="A377" s="8" t="s">
        <v>123</v>
      </c>
      <c r="B377" s="4" t="s">
        <v>723</v>
      </c>
      <c r="C377" s="4">
        <v>34</v>
      </c>
    </row>
    <row r="378" spans="1:3" x14ac:dyDescent="0.25">
      <c r="A378" s="8" t="s">
        <v>159</v>
      </c>
      <c r="B378" s="4" t="s">
        <v>710</v>
      </c>
      <c r="C378" s="4">
        <v>41</v>
      </c>
    </row>
    <row r="379" spans="1:3" x14ac:dyDescent="0.25">
      <c r="A379" s="8" t="s">
        <v>148</v>
      </c>
      <c r="B379" s="4" t="s">
        <v>726</v>
      </c>
      <c r="C379" s="4">
        <v>11</v>
      </c>
    </row>
    <row r="380" spans="1:3" x14ac:dyDescent="0.25">
      <c r="A380" s="8" t="s">
        <v>119</v>
      </c>
      <c r="B380" s="4" t="s">
        <v>714</v>
      </c>
      <c r="C380" s="4">
        <v>31</v>
      </c>
    </row>
    <row r="381" spans="1:3" x14ac:dyDescent="0.25">
      <c r="A381" s="8" t="s">
        <v>166</v>
      </c>
      <c r="B381" s="4" t="s">
        <v>714</v>
      </c>
      <c r="C381" s="4">
        <v>45</v>
      </c>
    </row>
    <row r="382" spans="1:3" x14ac:dyDescent="0.25">
      <c r="A382" s="8" t="s">
        <v>136</v>
      </c>
      <c r="B382" s="4" t="s">
        <v>717</v>
      </c>
      <c r="C382" s="4">
        <v>20</v>
      </c>
    </row>
    <row r="383" spans="1:3" x14ac:dyDescent="0.25">
      <c r="A383" s="8" t="s">
        <v>179</v>
      </c>
      <c r="B383" s="4" t="s">
        <v>717</v>
      </c>
      <c r="C383" s="4">
        <v>27</v>
      </c>
    </row>
    <row r="384" spans="1:3" x14ac:dyDescent="0.25">
      <c r="A384" s="8" t="s">
        <v>246</v>
      </c>
      <c r="B384" s="4" t="s">
        <v>727</v>
      </c>
      <c r="C384" s="4">
        <v>10</v>
      </c>
    </row>
    <row r="385" spans="1:3" x14ac:dyDescent="0.25">
      <c r="A385" s="8" t="s">
        <v>217</v>
      </c>
      <c r="B385" s="4" t="s">
        <v>725</v>
      </c>
      <c r="C385" s="4">
        <v>39</v>
      </c>
    </row>
    <row r="386" spans="1:3" x14ac:dyDescent="0.25">
      <c r="A386" s="8" t="s">
        <v>230</v>
      </c>
      <c r="B386" s="4" t="s">
        <v>715</v>
      </c>
      <c r="C386" s="4">
        <v>21</v>
      </c>
    </row>
    <row r="387" spans="1:3" x14ac:dyDescent="0.25">
      <c r="A387" s="8" t="s">
        <v>231</v>
      </c>
      <c r="B387" s="4" t="s">
        <v>711</v>
      </c>
      <c r="C387" s="4">
        <v>11</v>
      </c>
    </row>
    <row r="388" spans="1:3" x14ac:dyDescent="0.25">
      <c r="A388" s="8" t="s">
        <v>159</v>
      </c>
      <c r="B388" s="4" t="s">
        <v>723</v>
      </c>
      <c r="C388" s="4">
        <v>32</v>
      </c>
    </row>
    <row r="389" spans="1:3" x14ac:dyDescent="0.25">
      <c r="A389" s="8" t="s">
        <v>241</v>
      </c>
      <c r="B389" s="4" t="s">
        <v>729</v>
      </c>
      <c r="C389" s="4">
        <v>28</v>
      </c>
    </row>
    <row r="390" spans="1:3" x14ac:dyDescent="0.25">
      <c r="A390" s="8" t="s">
        <v>130</v>
      </c>
      <c r="B390" s="4" t="s">
        <v>728</v>
      </c>
      <c r="C390" s="4">
        <v>17</v>
      </c>
    </row>
    <row r="391" spans="1:3" x14ac:dyDescent="0.25">
      <c r="A391" s="8" t="s">
        <v>137</v>
      </c>
      <c r="B391" s="4" t="s">
        <v>728</v>
      </c>
      <c r="C391" s="4">
        <v>14</v>
      </c>
    </row>
    <row r="392" spans="1:3" x14ac:dyDescent="0.25">
      <c r="A392" s="8" t="s">
        <v>131</v>
      </c>
      <c r="B392" s="4" t="s">
        <v>719</v>
      </c>
      <c r="C392" s="4">
        <v>26</v>
      </c>
    </row>
    <row r="393" spans="1:3" x14ac:dyDescent="0.25">
      <c r="A393" s="8" t="s">
        <v>247</v>
      </c>
      <c r="B393" s="4" t="s">
        <v>726</v>
      </c>
      <c r="C393" s="4">
        <v>27</v>
      </c>
    </row>
    <row r="394" spans="1:3" x14ac:dyDescent="0.25">
      <c r="A394" s="8" t="s">
        <v>178</v>
      </c>
      <c r="B394" s="4" t="s">
        <v>725</v>
      </c>
      <c r="C394" s="4">
        <v>53</v>
      </c>
    </row>
    <row r="395" spans="1:3" x14ac:dyDescent="0.25">
      <c r="A395" s="8" t="s">
        <v>136</v>
      </c>
      <c r="B395" s="4" t="s">
        <v>99</v>
      </c>
      <c r="C395" s="4">
        <v>59</v>
      </c>
    </row>
    <row r="396" spans="1:3" x14ac:dyDescent="0.25">
      <c r="A396" s="8" t="s">
        <v>212</v>
      </c>
      <c r="B396" s="4" t="s">
        <v>101</v>
      </c>
      <c r="C396" s="4">
        <v>24</v>
      </c>
    </row>
    <row r="397" spans="1:3" x14ac:dyDescent="0.25">
      <c r="A397" s="8" t="s">
        <v>231</v>
      </c>
      <c r="B397" s="4" t="s">
        <v>724</v>
      </c>
      <c r="C397" s="4">
        <v>10</v>
      </c>
    </row>
    <row r="398" spans="1:3" x14ac:dyDescent="0.25">
      <c r="A398" s="8" t="s">
        <v>248</v>
      </c>
      <c r="B398" s="4" t="s">
        <v>729</v>
      </c>
      <c r="C398" s="4">
        <v>36</v>
      </c>
    </row>
    <row r="399" spans="1:3" x14ac:dyDescent="0.25">
      <c r="A399" s="8" t="s">
        <v>244</v>
      </c>
      <c r="B399" s="4" t="s">
        <v>713</v>
      </c>
      <c r="C399" s="4">
        <v>43</v>
      </c>
    </row>
    <row r="400" spans="1:3" x14ac:dyDescent="0.25">
      <c r="A400" s="8" t="s">
        <v>132</v>
      </c>
      <c r="B400" s="4" t="s">
        <v>729</v>
      </c>
      <c r="C400" s="4">
        <v>17</v>
      </c>
    </row>
    <row r="401" spans="1:3" x14ac:dyDescent="0.25">
      <c r="A401" s="8" t="s">
        <v>208</v>
      </c>
      <c r="B401" s="4" t="s">
        <v>100</v>
      </c>
      <c r="C401" s="4">
        <v>32</v>
      </c>
    </row>
    <row r="402" spans="1:3" x14ac:dyDescent="0.25">
      <c r="A402" s="8" t="s">
        <v>121</v>
      </c>
      <c r="B402" s="4" t="s">
        <v>729</v>
      </c>
      <c r="C402" s="4">
        <v>16</v>
      </c>
    </row>
    <row r="403" spans="1:3" x14ac:dyDescent="0.25">
      <c r="A403" s="8" t="s">
        <v>195</v>
      </c>
      <c r="B403" s="4" t="s">
        <v>101</v>
      </c>
      <c r="C403" s="4">
        <v>50</v>
      </c>
    </row>
    <row r="404" spans="1:3" x14ac:dyDescent="0.25">
      <c r="A404" s="8" t="s">
        <v>139</v>
      </c>
      <c r="B404" s="4" t="s">
        <v>728</v>
      </c>
      <c r="C404" s="4">
        <v>54</v>
      </c>
    </row>
    <row r="405" spans="1:3" x14ac:dyDescent="0.25">
      <c r="A405" s="8" t="s">
        <v>233</v>
      </c>
      <c r="B405" s="4" t="s">
        <v>102</v>
      </c>
      <c r="C405" s="4">
        <v>52</v>
      </c>
    </row>
    <row r="406" spans="1:3" x14ac:dyDescent="0.25">
      <c r="A406" s="8" t="s">
        <v>218</v>
      </c>
      <c r="B406" s="4" t="s">
        <v>729</v>
      </c>
      <c r="C406" s="4">
        <v>24</v>
      </c>
    </row>
    <row r="407" spans="1:3" x14ac:dyDescent="0.25">
      <c r="A407" s="8" t="s">
        <v>249</v>
      </c>
      <c r="B407" s="4" t="s">
        <v>716</v>
      </c>
      <c r="C407" s="4">
        <v>27</v>
      </c>
    </row>
    <row r="408" spans="1:3" x14ac:dyDescent="0.25">
      <c r="A408" s="8" t="s">
        <v>142</v>
      </c>
      <c r="B408" s="4" t="s">
        <v>103</v>
      </c>
      <c r="C408" s="4">
        <v>48</v>
      </c>
    </row>
    <row r="409" spans="1:3" x14ac:dyDescent="0.25">
      <c r="A409" s="8" t="s">
        <v>174</v>
      </c>
      <c r="B409" s="4" t="s">
        <v>711</v>
      </c>
      <c r="C409" s="4">
        <v>37</v>
      </c>
    </row>
    <row r="410" spans="1:3" x14ac:dyDescent="0.25">
      <c r="A410" s="8" t="s">
        <v>175</v>
      </c>
      <c r="B410" s="4" t="s">
        <v>717</v>
      </c>
      <c r="C410" s="4">
        <v>23</v>
      </c>
    </row>
    <row r="411" spans="1:3" x14ac:dyDescent="0.25">
      <c r="A411" s="8" t="s">
        <v>205</v>
      </c>
      <c r="B411" s="4" t="s">
        <v>722</v>
      </c>
      <c r="C411" s="4">
        <v>46</v>
      </c>
    </row>
    <row r="412" spans="1:3" x14ac:dyDescent="0.25">
      <c r="A412" s="8" t="s">
        <v>250</v>
      </c>
      <c r="B412" s="4" t="s">
        <v>716</v>
      </c>
      <c r="C412" s="4">
        <v>57</v>
      </c>
    </row>
    <row r="413" spans="1:3" x14ac:dyDescent="0.25">
      <c r="A413" s="8" t="s">
        <v>205</v>
      </c>
      <c r="B413" s="4" t="s">
        <v>103</v>
      </c>
      <c r="C413" s="4">
        <v>39</v>
      </c>
    </row>
    <row r="414" spans="1:3" x14ac:dyDescent="0.25">
      <c r="A414" s="8" t="s">
        <v>216</v>
      </c>
      <c r="B414" s="4" t="s">
        <v>727</v>
      </c>
      <c r="C414" s="4">
        <v>13</v>
      </c>
    </row>
    <row r="415" spans="1:3" x14ac:dyDescent="0.25">
      <c r="A415" s="8" t="s">
        <v>203</v>
      </c>
      <c r="B415" s="4" t="s">
        <v>102</v>
      </c>
      <c r="C415" s="4">
        <v>22</v>
      </c>
    </row>
    <row r="416" spans="1:3" x14ac:dyDescent="0.25">
      <c r="A416" s="8" t="s">
        <v>186</v>
      </c>
      <c r="B416" s="4" t="s">
        <v>710</v>
      </c>
      <c r="C416" s="4">
        <v>42</v>
      </c>
    </row>
    <row r="417" spans="1:3" x14ac:dyDescent="0.25">
      <c r="A417" s="8" t="s">
        <v>115</v>
      </c>
      <c r="B417" s="4" t="s">
        <v>723</v>
      </c>
      <c r="C417" s="4">
        <v>19</v>
      </c>
    </row>
    <row r="418" spans="1:3" x14ac:dyDescent="0.25">
      <c r="A418" s="8" t="s">
        <v>113</v>
      </c>
      <c r="B418" s="4" t="s">
        <v>725</v>
      </c>
      <c r="C418" s="4">
        <v>35</v>
      </c>
    </row>
    <row r="419" spans="1:3" x14ac:dyDescent="0.25">
      <c r="A419" s="8" t="s">
        <v>247</v>
      </c>
      <c r="B419" s="4" t="s">
        <v>716</v>
      </c>
      <c r="C419" s="4">
        <v>34</v>
      </c>
    </row>
    <row r="420" spans="1:3" x14ac:dyDescent="0.25">
      <c r="A420" s="8" t="s">
        <v>173</v>
      </c>
      <c r="B420" s="4" t="s">
        <v>102</v>
      </c>
      <c r="C420" s="4">
        <v>56</v>
      </c>
    </row>
    <row r="421" spans="1:3" x14ac:dyDescent="0.25">
      <c r="A421" s="8" t="s">
        <v>200</v>
      </c>
      <c r="B421" s="4" t="s">
        <v>724</v>
      </c>
      <c r="C421" s="4">
        <v>26</v>
      </c>
    </row>
    <row r="422" spans="1:3" x14ac:dyDescent="0.25">
      <c r="A422" s="8" t="s">
        <v>217</v>
      </c>
      <c r="B422" s="4" t="s">
        <v>718</v>
      </c>
      <c r="C422" s="4">
        <v>27</v>
      </c>
    </row>
    <row r="423" spans="1:3" x14ac:dyDescent="0.25">
      <c r="A423" s="8" t="s">
        <v>156</v>
      </c>
      <c r="B423" s="4" t="s">
        <v>716</v>
      </c>
      <c r="C423" s="4">
        <v>54</v>
      </c>
    </row>
    <row r="424" spans="1:3" x14ac:dyDescent="0.25">
      <c r="A424" s="8" t="s">
        <v>212</v>
      </c>
      <c r="B424" s="4" t="s">
        <v>101</v>
      </c>
      <c r="C424" s="4">
        <v>27</v>
      </c>
    </row>
    <row r="425" spans="1:3" x14ac:dyDescent="0.25">
      <c r="A425" s="8" t="s">
        <v>208</v>
      </c>
      <c r="B425" s="4" t="s">
        <v>714</v>
      </c>
      <c r="C425" s="4">
        <v>13</v>
      </c>
    </row>
    <row r="426" spans="1:3" x14ac:dyDescent="0.25">
      <c r="A426" s="8" t="s">
        <v>179</v>
      </c>
      <c r="B426" s="4" t="s">
        <v>714</v>
      </c>
      <c r="C426" s="4">
        <v>52</v>
      </c>
    </row>
    <row r="427" spans="1:3" x14ac:dyDescent="0.25">
      <c r="A427" s="8" t="s">
        <v>193</v>
      </c>
      <c r="B427" s="4" t="s">
        <v>715</v>
      </c>
      <c r="C427" s="4">
        <v>34</v>
      </c>
    </row>
    <row r="428" spans="1:3" x14ac:dyDescent="0.25">
      <c r="A428" s="8" t="s">
        <v>210</v>
      </c>
      <c r="B428" s="4" t="s">
        <v>714</v>
      </c>
      <c r="C428" s="4">
        <v>26</v>
      </c>
    </row>
    <row r="429" spans="1:3" x14ac:dyDescent="0.25">
      <c r="A429" s="8" t="s">
        <v>192</v>
      </c>
      <c r="B429" s="4" t="s">
        <v>718</v>
      </c>
      <c r="C429" s="4">
        <v>15</v>
      </c>
    </row>
    <row r="430" spans="1:3" x14ac:dyDescent="0.25">
      <c r="A430" s="8" t="s">
        <v>247</v>
      </c>
      <c r="B430" s="4" t="s">
        <v>725</v>
      </c>
      <c r="C430" s="4">
        <v>29</v>
      </c>
    </row>
    <row r="431" spans="1:3" x14ac:dyDescent="0.25">
      <c r="A431" s="8" t="s">
        <v>136</v>
      </c>
      <c r="B431" s="4" t="s">
        <v>710</v>
      </c>
      <c r="C431" s="4">
        <v>58</v>
      </c>
    </row>
    <row r="432" spans="1:3" x14ac:dyDescent="0.25">
      <c r="A432" s="8" t="s">
        <v>151</v>
      </c>
      <c r="B432" s="4" t="s">
        <v>723</v>
      </c>
      <c r="C432" s="4">
        <v>12</v>
      </c>
    </row>
    <row r="433" spans="1:3" x14ac:dyDescent="0.25">
      <c r="A433" s="8" t="s">
        <v>184</v>
      </c>
      <c r="B433" s="4" t="s">
        <v>716</v>
      </c>
      <c r="C433" s="4">
        <v>46</v>
      </c>
    </row>
    <row r="434" spans="1:3" x14ac:dyDescent="0.25">
      <c r="A434" s="8" t="s">
        <v>159</v>
      </c>
      <c r="B434" s="4" t="s">
        <v>717</v>
      </c>
      <c r="C434" s="4">
        <v>50</v>
      </c>
    </row>
    <row r="435" spans="1:3" x14ac:dyDescent="0.25">
      <c r="A435" s="8" t="s">
        <v>139</v>
      </c>
      <c r="B435" s="4" t="s">
        <v>725</v>
      </c>
      <c r="C435" s="4">
        <v>31</v>
      </c>
    </row>
    <row r="436" spans="1:3" x14ac:dyDescent="0.25">
      <c r="A436" s="8" t="s">
        <v>170</v>
      </c>
      <c r="B436" s="4" t="s">
        <v>726</v>
      </c>
      <c r="C436" s="4">
        <v>17</v>
      </c>
    </row>
    <row r="437" spans="1:3" x14ac:dyDescent="0.25">
      <c r="A437" s="8" t="s">
        <v>227</v>
      </c>
      <c r="B437" s="4" t="s">
        <v>715</v>
      </c>
      <c r="C437" s="4">
        <v>27</v>
      </c>
    </row>
    <row r="438" spans="1:3" x14ac:dyDescent="0.25">
      <c r="A438" s="8" t="s">
        <v>137</v>
      </c>
      <c r="B438" s="4" t="s">
        <v>711</v>
      </c>
      <c r="C438" s="4">
        <v>26</v>
      </c>
    </row>
    <row r="439" spans="1:3" x14ac:dyDescent="0.25">
      <c r="A439" s="8" t="s">
        <v>123</v>
      </c>
      <c r="B439" s="4" t="s">
        <v>729</v>
      </c>
      <c r="C439" s="4">
        <v>27</v>
      </c>
    </row>
    <row r="440" spans="1:3" x14ac:dyDescent="0.25">
      <c r="A440" s="8" t="s">
        <v>191</v>
      </c>
      <c r="B440" s="4" t="s">
        <v>722</v>
      </c>
      <c r="C440" s="4">
        <v>18</v>
      </c>
    </row>
    <row r="441" spans="1:3" x14ac:dyDescent="0.25">
      <c r="A441" s="8" t="s">
        <v>174</v>
      </c>
      <c r="B441" s="4" t="s">
        <v>99</v>
      </c>
      <c r="C441" s="4">
        <v>36</v>
      </c>
    </row>
    <row r="442" spans="1:3" x14ac:dyDescent="0.25">
      <c r="A442" s="8" t="s">
        <v>113</v>
      </c>
      <c r="B442" s="4" t="s">
        <v>718</v>
      </c>
      <c r="C442" s="4">
        <v>16</v>
      </c>
    </row>
    <row r="443" spans="1:3" x14ac:dyDescent="0.25">
      <c r="A443" s="8" t="s">
        <v>245</v>
      </c>
      <c r="B443" s="4" t="s">
        <v>724</v>
      </c>
      <c r="C443" s="4">
        <v>51</v>
      </c>
    </row>
    <row r="444" spans="1:3" x14ac:dyDescent="0.25">
      <c r="A444" s="8" t="s">
        <v>109</v>
      </c>
      <c r="B444" s="4" t="s">
        <v>102</v>
      </c>
      <c r="C444" s="4">
        <v>39</v>
      </c>
    </row>
    <row r="445" spans="1:3" x14ac:dyDescent="0.25">
      <c r="A445" s="8" t="s">
        <v>158</v>
      </c>
      <c r="B445" s="4" t="s">
        <v>715</v>
      </c>
      <c r="C445" s="4">
        <v>27</v>
      </c>
    </row>
    <row r="446" spans="1:3" x14ac:dyDescent="0.25">
      <c r="A446" s="8" t="s">
        <v>234</v>
      </c>
      <c r="B446" s="4" t="s">
        <v>725</v>
      </c>
      <c r="C446" s="4">
        <v>13</v>
      </c>
    </row>
    <row r="447" spans="1:3" x14ac:dyDescent="0.25">
      <c r="A447" s="8" t="s">
        <v>227</v>
      </c>
      <c r="B447" s="4" t="s">
        <v>99</v>
      </c>
      <c r="C447" s="4">
        <v>50</v>
      </c>
    </row>
    <row r="448" spans="1:3" x14ac:dyDescent="0.25">
      <c r="A448" s="8" t="s">
        <v>204</v>
      </c>
      <c r="B448" s="4" t="s">
        <v>724</v>
      </c>
      <c r="C448" s="4">
        <v>17</v>
      </c>
    </row>
    <row r="449" spans="1:3" x14ac:dyDescent="0.25">
      <c r="A449" s="8" t="s">
        <v>251</v>
      </c>
      <c r="B449" s="4" t="s">
        <v>103</v>
      </c>
      <c r="C449" s="4">
        <v>50</v>
      </c>
    </row>
    <row r="450" spans="1:3" x14ac:dyDescent="0.25">
      <c r="A450" s="8" t="s">
        <v>110</v>
      </c>
      <c r="B450" s="4" t="s">
        <v>102</v>
      </c>
      <c r="C450" s="4">
        <v>23</v>
      </c>
    </row>
    <row r="451" spans="1:3" x14ac:dyDescent="0.25">
      <c r="A451" s="8" t="s">
        <v>224</v>
      </c>
      <c r="B451" s="4" t="s">
        <v>726</v>
      </c>
      <c r="C451" s="4">
        <v>14</v>
      </c>
    </row>
    <row r="452" spans="1:3" x14ac:dyDescent="0.25">
      <c r="A452" s="8" t="s">
        <v>185</v>
      </c>
      <c r="B452" s="4" t="s">
        <v>102</v>
      </c>
      <c r="C452" s="4">
        <v>35</v>
      </c>
    </row>
    <row r="453" spans="1:3" x14ac:dyDescent="0.25">
      <c r="A453" s="8" t="s">
        <v>246</v>
      </c>
      <c r="B453" s="4" t="s">
        <v>722</v>
      </c>
      <c r="C453" s="4">
        <v>51</v>
      </c>
    </row>
    <row r="454" spans="1:3" x14ac:dyDescent="0.25">
      <c r="A454" s="8" t="s">
        <v>226</v>
      </c>
      <c r="B454" s="4" t="s">
        <v>721</v>
      </c>
      <c r="C454" s="4">
        <v>24</v>
      </c>
    </row>
    <row r="455" spans="1:3" x14ac:dyDescent="0.25">
      <c r="A455" s="8" t="s">
        <v>159</v>
      </c>
      <c r="B455" s="4" t="s">
        <v>724</v>
      </c>
      <c r="C455" s="4">
        <v>12</v>
      </c>
    </row>
    <row r="456" spans="1:3" x14ac:dyDescent="0.25">
      <c r="A456" s="8" t="s">
        <v>214</v>
      </c>
      <c r="B456" s="4" t="s">
        <v>100</v>
      </c>
      <c r="C456" s="4">
        <v>11</v>
      </c>
    </row>
    <row r="457" spans="1:3" x14ac:dyDescent="0.25">
      <c r="A457" s="8" t="s">
        <v>122</v>
      </c>
      <c r="B457" s="4" t="s">
        <v>725</v>
      </c>
      <c r="C457" s="4">
        <v>50</v>
      </c>
    </row>
    <row r="458" spans="1:3" x14ac:dyDescent="0.25">
      <c r="A458" s="8" t="s">
        <v>139</v>
      </c>
      <c r="B458" s="4" t="s">
        <v>711</v>
      </c>
      <c r="C458" s="4">
        <v>55</v>
      </c>
    </row>
    <row r="459" spans="1:3" x14ac:dyDescent="0.25">
      <c r="A459" s="8" t="s">
        <v>172</v>
      </c>
      <c r="B459" s="4" t="s">
        <v>103</v>
      </c>
      <c r="C459" s="4">
        <v>18</v>
      </c>
    </row>
    <row r="460" spans="1:3" x14ac:dyDescent="0.25">
      <c r="A460" s="8" t="s">
        <v>252</v>
      </c>
      <c r="B460" s="4" t="s">
        <v>102</v>
      </c>
      <c r="C460" s="4">
        <v>22</v>
      </c>
    </row>
    <row r="461" spans="1:3" x14ac:dyDescent="0.25">
      <c r="A461" s="8" t="s">
        <v>136</v>
      </c>
      <c r="B461" s="4" t="s">
        <v>721</v>
      </c>
      <c r="C461" s="4">
        <v>16</v>
      </c>
    </row>
    <row r="462" spans="1:3" x14ac:dyDescent="0.25">
      <c r="A462" s="8" t="s">
        <v>194</v>
      </c>
      <c r="B462" s="4" t="s">
        <v>101</v>
      </c>
      <c r="C462" s="4">
        <v>15</v>
      </c>
    </row>
    <row r="463" spans="1:3" x14ac:dyDescent="0.25">
      <c r="A463" s="8" t="s">
        <v>181</v>
      </c>
      <c r="B463" s="4" t="s">
        <v>714</v>
      </c>
      <c r="C463" s="4">
        <v>45</v>
      </c>
    </row>
    <row r="464" spans="1:3" x14ac:dyDescent="0.25">
      <c r="A464" s="8" t="s">
        <v>120</v>
      </c>
      <c r="B464" s="4" t="s">
        <v>721</v>
      </c>
      <c r="C464" s="4">
        <v>17</v>
      </c>
    </row>
    <row r="465" spans="1:3" x14ac:dyDescent="0.25">
      <c r="A465" s="8" t="s">
        <v>251</v>
      </c>
      <c r="B465" s="4" t="s">
        <v>728</v>
      </c>
      <c r="C465" s="4">
        <v>18</v>
      </c>
    </row>
    <row r="466" spans="1:3" x14ac:dyDescent="0.25">
      <c r="A466" s="8" t="s">
        <v>245</v>
      </c>
      <c r="B466" s="4" t="s">
        <v>724</v>
      </c>
      <c r="C466" s="4">
        <v>37</v>
      </c>
    </row>
    <row r="467" spans="1:3" x14ac:dyDescent="0.25">
      <c r="A467" s="8" t="s">
        <v>136</v>
      </c>
      <c r="B467" s="4" t="s">
        <v>728</v>
      </c>
      <c r="C467" s="4">
        <v>34</v>
      </c>
    </row>
    <row r="468" spans="1:3" x14ac:dyDescent="0.25">
      <c r="A468" s="8" t="s">
        <v>253</v>
      </c>
      <c r="B468" s="4" t="s">
        <v>102</v>
      </c>
      <c r="C468" s="4">
        <v>19</v>
      </c>
    </row>
    <row r="469" spans="1:3" x14ac:dyDescent="0.25">
      <c r="A469" s="8" t="s">
        <v>191</v>
      </c>
      <c r="B469" s="4" t="s">
        <v>727</v>
      </c>
      <c r="C469" s="4">
        <v>53</v>
      </c>
    </row>
    <row r="470" spans="1:3" x14ac:dyDescent="0.25">
      <c r="A470" s="8" t="s">
        <v>228</v>
      </c>
      <c r="B470" s="4" t="s">
        <v>102</v>
      </c>
      <c r="C470" s="4">
        <v>28</v>
      </c>
    </row>
    <row r="471" spans="1:3" x14ac:dyDescent="0.25">
      <c r="A471" s="8" t="s">
        <v>164</v>
      </c>
      <c r="B471" s="4" t="s">
        <v>715</v>
      </c>
      <c r="C471" s="4">
        <v>38</v>
      </c>
    </row>
    <row r="472" spans="1:3" x14ac:dyDescent="0.25">
      <c r="A472" s="8" t="s">
        <v>254</v>
      </c>
      <c r="B472" s="4" t="s">
        <v>711</v>
      </c>
      <c r="C472" s="4">
        <v>52</v>
      </c>
    </row>
    <row r="473" spans="1:3" x14ac:dyDescent="0.25">
      <c r="A473" s="8" t="s">
        <v>177</v>
      </c>
      <c r="B473" s="4" t="s">
        <v>100</v>
      </c>
      <c r="C473" s="4">
        <v>52</v>
      </c>
    </row>
    <row r="474" spans="1:3" x14ac:dyDescent="0.25">
      <c r="A474" s="8" t="s">
        <v>136</v>
      </c>
      <c r="B474" s="4" t="s">
        <v>712</v>
      </c>
      <c r="C474" s="4">
        <v>13</v>
      </c>
    </row>
    <row r="475" spans="1:3" x14ac:dyDescent="0.25">
      <c r="A475" s="8" t="s">
        <v>227</v>
      </c>
      <c r="B475" s="4" t="s">
        <v>713</v>
      </c>
      <c r="C475" s="4">
        <v>31</v>
      </c>
    </row>
    <row r="476" spans="1:3" x14ac:dyDescent="0.25">
      <c r="A476" s="8" t="s">
        <v>211</v>
      </c>
      <c r="B476" s="4" t="s">
        <v>713</v>
      </c>
      <c r="C476" s="4">
        <v>47</v>
      </c>
    </row>
    <row r="477" spans="1:3" x14ac:dyDescent="0.25">
      <c r="A477" s="8" t="s">
        <v>154</v>
      </c>
      <c r="B477" s="4" t="s">
        <v>99</v>
      </c>
      <c r="C477" s="4">
        <v>39</v>
      </c>
    </row>
    <row r="478" spans="1:3" x14ac:dyDescent="0.25">
      <c r="A478" s="8" t="s">
        <v>192</v>
      </c>
      <c r="B478" s="4" t="s">
        <v>711</v>
      </c>
      <c r="C478" s="4">
        <v>20</v>
      </c>
    </row>
    <row r="479" spans="1:3" x14ac:dyDescent="0.25">
      <c r="A479" s="8" t="s">
        <v>135</v>
      </c>
      <c r="B479" s="4" t="s">
        <v>715</v>
      </c>
      <c r="C479" s="4">
        <v>23</v>
      </c>
    </row>
    <row r="480" spans="1:3" x14ac:dyDescent="0.25">
      <c r="A480" s="8" t="s">
        <v>135</v>
      </c>
      <c r="B480" s="4" t="s">
        <v>724</v>
      </c>
      <c r="C480" s="4">
        <v>14</v>
      </c>
    </row>
    <row r="481" spans="1:3" x14ac:dyDescent="0.25">
      <c r="A481" s="8" t="s">
        <v>187</v>
      </c>
      <c r="B481" s="4" t="s">
        <v>715</v>
      </c>
      <c r="C481" s="4">
        <v>20</v>
      </c>
    </row>
    <row r="482" spans="1:3" x14ac:dyDescent="0.25">
      <c r="A482" s="8" t="s">
        <v>195</v>
      </c>
      <c r="B482" s="4" t="s">
        <v>721</v>
      </c>
      <c r="C482" s="4">
        <v>16</v>
      </c>
    </row>
    <row r="483" spans="1:3" x14ac:dyDescent="0.25">
      <c r="A483" s="8" t="s">
        <v>221</v>
      </c>
      <c r="B483" s="4" t="s">
        <v>719</v>
      </c>
      <c r="C483" s="4">
        <v>22</v>
      </c>
    </row>
    <row r="484" spans="1:3" x14ac:dyDescent="0.25">
      <c r="A484" s="8" t="s">
        <v>164</v>
      </c>
      <c r="B484" s="4" t="s">
        <v>728</v>
      </c>
      <c r="C484" s="4">
        <v>46</v>
      </c>
    </row>
    <row r="485" spans="1:3" x14ac:dyDescent="0.25">
      <c r="A485" s="8" t="s">
        <v>187</v>
      </c>
      <c r="B485" s="4" t="s">
        <v>726</v>
      </c>
      <c r="C485" s="4">
        <v>34</v>
      </c>
    </row>
    <row r="486" spans="1:3" x14ac:dyDescent="0.25">
      <c r="A486" s="8" t="s">
        <v>121</v>
      </c>
      <c r="B486" s="4" t="s">
        <v>99</v>
      </c>
      <c r="C486" s="4">
        <v>50</v>
      </c>
    </row>
    <row r="487" spans="1:3" x14ac:dyDescent="0.25">
      <c r="A487" s="8" t="s">
        <v>139</v>
      </c>
      <c r="B487" s="4" t="s">
        <v>726</v>
      </c>
      <c r="C487" s="4">
        <v>53</v>
      </c>
    </row>
    <row r="488" spans="1:3" x14ac:dyDescent="0.25">
      <c r="A488" s="8" t="s">
        <v>189</v>
      </c>
      <c r="B488" s="4" t="s">
        <v>713</v>
      </c>
      <c r="C488" s="4">
        <v>32</v>
      </c>
    </row>
    <row r="489" spans="1:3" x14ac:dyDescent="0.25">
      <c r="A489" s="8" t="s">
        <v>118</v>
      </c>
      <c r="B489" s="4" t="s">
        <v>723</v>
      </c>
      <c r="C489" s="4">
        <v>16</v>
      </c>
    </row>
    <row r="490" spans="1:3" x14ac:dyDescent="0.25">
      <c r="A490" s="8" t="s">
        <v>227</v>
      </c>
      <c r="B490" s="4" t="s">
        <v>718</v>
      </c>
      <c r="C490" s="4">
        <v>46</v>
      </c>
    </row>
    <row r="491" spans="1:3" x14ac:dyDescent="0.25">
      <c r="A491" s="8" t="s">
        <v>223</v>
      </c>
      <c r="B491" s="4" t="s">
        <v>102</v>
      </c>
      <c r="C491" s="4">
        <v>28</v>
      </c>
    </row>
    <row r="492" spans="1:3" x14ac:dyDescent="0.25">
      <c r="A492" s="8" t="s">
        <v>171</v>
      </c>
      <c r="B492" s="4" t="s">
        <v>721</v>
      </c>
      <c r="C492" s="4">
        <v>19</v>
      </c>
    </row>
    <row r="493" spans="1:3" x14ac:dyDescent="0.25">
      <c r="A493" s="8" t="s">
        <v>177</v>
      </c>
      <c r="B493" s="4" t="s">
        <v>722</v>
      </c>
      <c r="C493" s="4">
        <v>55</v>
      </c>
    </row>
    <row r="494" spans="1:3" x14ac:dyDescent="0.25">
      <c r="A494" s="8" t="s">
        <v>215</v>
      </c>
      <c r="B494" s="4" t="s">
        <v>722</v>
      </c>
      <c r="C494" s="4">
        <v>22</v>
      </c>
    </row>
    <row r="495" spans="1:3" x14ac:dyDescent="0.25">
      <c r="A495" s="8" t="s">
        <v>200</v>
      </c>
      <c r="B495" s="4" t="s">
        <v>719</v>
      </c>
      <c r="C495" s="4">
        <v>31</v>
      </c>
    </row>
    <row r="496" spans="1:3" x14ac:dyDescent="0.25">
      <c r="A496" s="8" t="s">
        <v>162</v>
      </c>
      <c r="B496" s="4" t="s">
        <v>723</v>
      </c>
      <c r="C496" s="4">
        <v>21</v>
      </c>
    </row>
    <row r="497" spans="1:3" x14ac:dyDescent="0.25">
      <c r="A497" s="8" t="s">
        <v>115</v>
      </c>
      <c r="B497" s="4" t="s">
        <v>721</v>
      </c>
      <c r="C497" s="4">
        <v>37</v>
      </c>
    </row>
    <row r="498" spans="1:3" x14ac:dyDescent="0.25">
      <c r="A498" s="8" t="s">
        <v>215</v>
      </c>
      <c r="B498" s="4" t="s">
        <v>724</v>
      </c>
      <c r="C498" s="4">
        <v>44</v>
      </c>
    </row>
    <row r="499" spans="1:3" x14ac:dyDescent="0.25">
      <c r="A499" s="8" t="s">
        <v>172</v>
      </c>
      <c r="B499" s="4" t="s">
        <v>720</v>
      </c>
      <c r="C499" s="4">
        <v>49</v>
      </c>
    </row>
    <row r="500" spans="1:3" x14ac:dyDescent="0.25">
      <c r="A500" s="8" t="s">
        <v>134</v>
      </c>
      <c r="B500" s="4" t="s">
        <v>710</v>
      </c>
      <c r="C500" s="4">
        <v>39</v>
      </c>
    </row>
    <row r="501" spans="1:3" x14ac:dyDescent="0.25">
      <c r="A501" s="8" t="s">
        <v>193</v>
      </c>
      <c r="B501" s="4" t="s">
        <v>728</v>
      </c>
      <c r="C501" s="4">
        <v>23</v>
      </c>
    </row>
    <row r="502" spans="1:3" x14ac:dyDescent="0.25">
      <c r="A502" s="8" t="s">
        <v>239</v>
      </c>
      <c r="B502" s="4" t="s">
        <v>719</v>
      </c>
      <c r="C502" s="4">
        <v>32</v>
      </c>
    </row>
    <row r="503" spans="1:3" x14ac:dyDescent="0.25">
      <c r="A503" s="8" t="s">
        <v>125</v>
      </c>
      <c r="B503" s="4" t="s">
        <v>715</v>
      </c>
      <c r="C503" s="4">
        <v>27</v>
      </c>
    </row>
    <row r="504" spans="1:3" x14ac:dyDescent="0.25">
      <c r="A504" s="8" t="s">
        <v>148</v>
      </c>
      <c r="B504" s="4" t="s">
        <v>718</v>
      </c>
      <c r="C504" s="4">
        <v>35</v>
      </c>
    </row>
    <row r="505" spans="1:3" x14ac:dyDescent="0.25">
      <c r="A505" s="8" t="s">
        <v>249</v>
      </c>
      <c r="B505" s="4" t="s">
        <v>718</v>
      </c>
      <c r="C505" s="4">
        <v>36</v>
      </c>
    </row>
    <row r="506" spans="1:3" x14ac:dyDescent="0.25">
      <c r="A506" s="8" t="s">
        <v>145</v>
      </c>
      <c r="B506" s="4" t="s">
        <v>722</v>
      </c>
      <c r="C506" s="4">
        <v>15</v>
      </c>
    </row>
    <row r="507" spans="1:3" x14ac:dyDescent="0.25">
      <c r="A507" s="8" t="s">
        <v>242</v>
      </c>
      <c r="B507" s="4" t="s">
        <v>725</v>
      </c>
      <c r="C507" s="4">
        <v>24</v>
      </c>
    </row>
    <row r="508" spans="1:3" x14ac:dyDescent="0.25">
      <c r="A508" s="8" t="s">
        <v>115</v>
      </c>
      <c r="B508" s="4" t="s">
        <v>723</v>
      </c>
      <c r="C508" s="4">
        <v>29</v>
      </c>
    </row>
    <row r="509" spans="1:3" x14ac:dyDescent="0.25">
      <c r="A509" s="8" t="s">
        <v>168</v>
      </c>
      <c r="B509" s="4" t="s">
        <v>711</v>
      </c>
      <c r="C509" s="4">
        <v>42</v>
      </c>
    </row>
    <row r="510" spans="1:3" x14ac:dyDescent="0.25">
      <c r="A510" s="8" t="s">
        <v>231</v>
      </c>
      <c r="B510" s="4" t="s">
        <v>712</v>
      </c>
      <c r="C510" s="4">
        <v>56</v>
      </c>
    </row>
    <row r="511" spans="1:3" x14ac:dyDescent="0.25">
      <c r="A511" s="8" t="s">
        <v>194</v>
      </c>
      <c r="B511" s="4" t="s">
        <v>722</v>
      </c>
      <c r="C511" s="4">
        <v>39</v>
      </c>
    </row>
    <row r="512" spans="1:3" x14ac:dyDescent="0.25">
      <c r="A512" s="8" t="s">
        <v>177</v>
      </c>
      <c r="B512" s="4" t="s">
        <v>103</v>
      </c>
      <c r="C512" s="4">
        <v>28</v>
      </c>
    </row>
    <row r="513" spans="1:3" x14ac:dyDescent="0.25">
      <c r="A513" s="8" t="s">
        <v>195</v>
      </c>
      <c r="B513" s="4" t="s">
        <v>723</v>
      </c>
      <c r="C513" s="4">
        <v>23</v>
      </c>
    </row>
    <row r="514" spans="1:3" x14ac:dyDescent="0.25">
      <c r="A514" s="8" t="s">
        <v>232</v>
      </c>
      <c r="B514" s="4" t="s">
        <v>720</v>
      </c>
      <c r="C514" s="4">
        <v>47</v>
      </c>
    </row>
    <row r="515" spans="1:3" x14ac:dyDescent="0.25">
      <c r="A515" s="8" t="s">
        <v>128</v>
      </c>
      <c r="B515" s="4" t="s">
        <v>710</v>
      </c>
      <c r="C515" s="4">
        <v>16</v>
      </c>
    </row>
    <row r="516" spans="1:3" x14ac:dyDescent="0.25">
      <c r="A516" s="8" t="s">
        <v>134</v>
      </c>
      <c r="B516" s="4" t="s">
        <v>720</v>
      </c>
      <c r="C516" s="4">
        <v>57</v>
      </c>
    </row>
    <row r="517" spans="1:3" x14ac:dyDescent="0.25">
      <c r="A517" s="8" t="s">
        <v>109</v>
      </c>
      <c r="B517" s="4" t="s">
        <v>715</v>
      </c>
      <c r="C517" s="4">
        <v>25</v>
      </c>
    </row>
    <row r="518" spans="1:3" x14ac:dyDescent="0.25">
      <c r="A518" s="8" t="s">
        <v>173</v>
      </c>
      <c r="B518" s="4" t="s">
        <v>710</v>
      </c>
      <c r="C518" s="4">
        <v>49</v>
      </c>
    </row>
    <row r="519" spans="1:3" x14ac:dyDescent="0.25">
      <c r="A519" s="8" t="s">
        <v>114</v>
      </c>
      <c r="B519" s="4" t="s">
        <v>721</v>
      </c>
      <c r="C519" s="4">
        <v>18</v>
      </c>
    </row>
    <row r="520" spans="1:3" x14ac:dyDescent="0.25">
      <c r="A520" s="8" t="s">
        <v>135</v>
      </c>
      <c r="B520" s="4" t="s">
        <v>715</v>
      </c>
      <c r="C520" s="4">
        <v>22</v>
      </c>
    </row>
    <row r="521" spans="1:3" x14ac:dyDescent="0.25">
      <c r="A521" s="8" t="s">
        <v>252</v>
      </c>
      <c r="B521" s="4" t="s">
        <v>716</v>
      </c>
      <c r="C521" s="4">
        <v>52</v>
      </c>
    </row>
    <row r="522" spans="1:3" x14ac:dyDescent="0.25">
      <c r="A522" s="8" t="s">
        <v>135</v>
      </c>
      <c r="B522" s="4" t="s">
        <v>716</v>
      </c>
      <c r="C522" s="4">
        <v>13</v>
      </c>
    </row>
    <row r="523" spans="1:3" x14ac:dyDescent="0.25">
      <c r="A523" s="8" t="s">
        <v>126</v>
      </c>
      <c r="B523" s="4" t="s">
        <v>711</v>
      </c>
      <c r="C523" s="4">
        <v>49</v>
      </c>
    </row>
    <row r="524" spans="1:3" x14ac:dyDescent="0.25">
      <c r="A524" s="8" t="s">
        <v>234</v>
      </c>
      <c r="B524" s="4" t="s">
        <v>103</v>
      </c>
      <c r="C524" s="4">
        <v>15</v>
      </c>
    </row>
    <row r="525" spans="1:3" x14ac:dyDescent="0.25">
      <c r="A525" s="8" t="s">
        <v>193</v>
      </c>
      <c r="B525" s="4" t="s">
        <v>710</v>
      </c>
      <c r="C525" s="4">
        <v>39</v>
      </c>
    </row>
    <row r="526" spans="1:3" x14ac:dyDescent="0.25">
      <c r="A526" s="8" t="s">
        <v>120</v>
      </c>
      <c r="B526" s="4" t="s">
        <v>728</v>
      </c>
      <c r="C526" s="4">
        <v>36</v>
      </c>
    </row>
    <row r="527" spans="1:3" x14ac:dyDescent="0.25">
      <c r="A527" s="8" t="s">
        <v>224</v>
      </c>
      <c r="B527" s="4" t="s">
        <v>725</v>
      </c>
      <c r="C527" s="4">
        <v>17</v>
      </c>
    </row>
    <row r="528" spans="1:3" x14ac:dyDescent="0.25">
      <c r="A528" s="8" t="s">
        <v>216</v>
      </c>
      <c r="B528" s="4" t="s">
        <v>102</v>
      </c>
      <c r="C528" s="4">
        <v>41</v>
      </c>
    </row>
    <row r="529" spans="1:3" x14ac:dyDescent="0.25">
      <c r="A529" s="8" t="s">
        <v>228</v>
      </c>
      <c r="B529" s="4" t="s">
        <v>720</v>
      </c>
      <c r="C529" s="4">
        <v>54</v>
      </c>
    </row>
    <row r="530" spans="1:3" x14ac:dyDescent="0.25">
      <c r="A530" s="8" t="s">
        <v>173</v>
      </c>
      <c r="B530" s="4" t="s">
        <v>728</v>
      </c>
      <c r="C530" s="4">
        <v>45</v>
      </c>
    </row>
    <row r="531" spans="1:3" x14ac:dyDescent="0.25">
      <c r="A531" s="8" t="s">
        <v>239</v>
      </c>
      <c r="B531" s="4" t="s">
        <v>718</v>
      </c>
      <c r="C531" s="4">
        <v>55</v>
      </c>
    </row>
    <row r="532" spans="1:3" x14ac:dyDescent="0.25">
      <c r="A532" s="8" t="s">
        <v>221</v>
      </c>
      <c r="B532" s="4" t="s">
        <v>722</v>
      </c>
      <c r="C532" s="4">
        <v>26</v>
      </c>
    </row>
    <row r="533" spans="1:3" x14ac:dyDescent="0.25">
      <c r="A533" s="8" t="s">
        <v>174</v>
      </c>
      <c r="B533" s="4" t="s">
        <v>101</v>
      </c>
      <c r="C533" s="4">
        <v>28</v>
      </c>
    </row>
    <row r="534" spans="1:3" x14ac:dyDescent="0.25">
      <c r="A534" s="8" t="s">
        <v>129</v>
      </c>
      <c r="B534" s="4" t="s">
        <v>722</v>
      </c>
      <c r="C534" s="4">
        <v>43</v>
      </c>
    </row>
    <row r="535" spans="1:3" x14ac:dyDescent="0.25">
      <c r="A535" s="8" t="s">
        <v>197</v>
      </c>
      <c r="B535" s="4" t="s">
        <v>725</v>
      </c>
      <c r="C535" s="4">
        <v>30</v>
      </c>
    </row>
    <row r="536" spans="1:3" x14ac:dyDescent="0.25">
      <c r="A536" s="8" t="s">
        <v>192</v>
      </c>
      <c r="B536" s="4" t="s">
        <v>711</v>
      </c>
      <c r="C536" s="4">
        <v>36</v>
      </c>
    </row>
    <row r="537" spans="1:3" x14ac:dyDescent="0.25">
      <c r="A537" s="8" t="s">
        <v>151</v>
      </c>
      <c r="B537" s="4" t="s">
        <v>721</v>
      </c>
      <c r="C537" s="4">
        <v>46</v>
      </c>
    </row>
    <row r="538" spans="1:3" x14ac:dyDescent="0.25">
      <c r="A538" s="8" t="s">
        <v>153</v>
      </c>
      <c r="B538" s="4" t="s">
        <v>728</v>
      </c>
      <c r="C538" s="4">
        <v>39</v>
      </c>
    </row>
    <row r="539" spans="1:3" x14ac:dyDescent="0.25">
      <c r="A539" s="8" t="s">
        <v>174</v>
      </c>
      <c r="B539" s="4" t="s">
        <v>102</v>
      </c>
      <c r="C539" s="4">
        <v>16</v>
      </c>
    </row>
    <row r="540" spans="1:3" x14ac:dyDescent="0.25">
      <c r="A540" s="8" t="s">
        <v>246</v>
      </c>
      <c r="B540" s="4" t="s">
        <v>717</v>
      </c>
      <c r="C540" s="4">
        <v>55</v>
      </c>
    </row>
    <row r="541" spans="1:3" x14ac:dyDescent="0.25">
      <c r="A541" s="8" t="s">
        <v>223</v>
      </c>
      <c r="B541" s="4" t="s">
        <v>715</v>
      </c>
      <c r="C541" s="4">
        <v>19</v>
      </c>
    </row>
    <row r="542" spans="1:3" x14ac:dyDescent="0.25">
      <c r="A542" s="8" t="s">
        <v>125</v>
      </c>
      <c r="B542" s="4" t="s">
        <v>101</v>
      </c>
      <c r="C542" s="4">
        <v>25</v>
      </c>
    </row>
    <row r="543" spans="1:3" x14ac:dyDescent="0.25">
      <c r="A543" s="8" t="s">
        <v>255</v>
      </c>
      <c r="B543" s="4" t="s">
        <v>724</v>
      </c>
      <c r="C543" s="4">
        <v>27</v>
      </c>
    </row>
    <row r="544" spans="1:3" x14ac:dyDescent="0.25">
      <c r="A544" s="8" t="s">
        <v>256</v>
      </c>
      <c r="B544" s="4" t="s">
        <v>723</v>
      </c>
      <c r="C544" s="4">
        <v>29</v>
      </c>
    </row>
    <row r="545" spans="1:3" x14ac:dyDescent="0.25">
      <c r="A545" s="8" t="s">
        <v>149</v>
      </c>
      <c r="B545" s="4" t="s">
        <v>715</v>
      </c>
      <c r="C545" s="4">
        <v>56</v>
      </c>
    </row>
    <row r="546" spans="1:3" x14ac:dyDescent="0.25">
      <c r="A546" s="8" t="s">
        <v>191</v>
      </c>
      <c r="B546" s="4" t="s">
        <v>103</v>
      </c>
      <c r="C546" s="4">
        <v>15</v>
      </c>
    </row>
    <row r="547" spans="1:3" x14ac:dyDescent="0.25">
      <c r="A547" s="8" t="s">
        <v>191</v>
      </c>
      <c r="B547" s="4" t="s">
        <v>721</v>
      </c>
      <c r="C547" s="4">
        <v>16</v>
      </c>
    </row>
    <row r="548" spans="1:3" x14ac:dyDescent="0.25">
      <c r="A548" s="8" t="s">
        <v>152</v>
      </c>
      <c r="B548" s="4" t="s">
        <v>722</v>
      </c>
      <c r="C548" s="4">
        <v>51</v>
      </c>
    </row>
    <row r="549" spans="1:3" x14ac:dyDescent="0.25">
      <c r="A549" s="8" t="s">
        <v>159</v>
      </c>
      <c r="B549" s="4" t="s">
        <v>727</v>
      </c>
      <c r="C549" s="4">
        <v>59</v>
      </c>
    </row>
    <row r="550" spans="1:3" x14ac:dyDescent="0.25">
      <c r="A550" s="8" t="s">
        <v>175</v>
      </c>
      <c r="B550" s="4" t="s">
        <v>728</v>
      </c>
      <c r="C550" s="4">
        <v>40</v>
      </c>
    </row>
    <row r="551" spans="1:3" x14ac:dyDescent="0.25">
      <c r="A551" s="8" t="s">
        <v>244</v>
      </c>
      <c r="B551" s="4" t="s">
        <v>722</v>
      </c>
      <c r="C551" s="4">
        <v>39</v>
      </c>
    </row>
    <row r="552" spans="1:3" x14ac:dyDescent="0.25">
      <c r="A552" s="8" t="s">
        <v>230</v>
      </c>
      <c r="B552" s="4" t="s">
        <v>720</v>
      </c>
      <c r="C552" s="4">
        <v>38</v>
      </c>
    </row>
    <row r="553" spans="1:3" x14ac:dyDescent="0.25">
      <c r="A553" s="8" t="s">
        <v>242</v>
      </c>
      <c r="B553" s="4" t="s">
        <v>99</v>
      </c>
      <c r="C553" s="4">
        <v>23</v>
      </c>
    </row>
    <row r="554" spans="1:3" x14ac:dyDescent="0.25">
      <c r="A554" s="8" t="s">
        <v>238</v>
      </c>
      <c r="B554" s="4" t="s">
        <v>717</v>
      </c>
      <c r="C554" s="4">
        <v>48</v>
      </c>
    </row>
    <row r="555" spans="1:3" x14ac:dyDescent="0.25">
      <c r="A555" s="8" t="s">
        <v>245</v>
      </c>
      <c r="B555" s="4" t="s">
        <v>721</v>
      </c>
      <c r="C555" s="4">
        <v>39</v>
      </c>
    </row>
    <row r="556" spans="1:3" x14ac:dyDescent="0.25">
      <c r="A556" s="8" t="s">
        <v>160</v>
      </c>
      <c r="B556" s="4" t="s">
        <v>711</v>
      </c>
      <c r="C556" s="4">
        <v>47</v>
      </c>
    </row>
    <row r="557" spans="1:3" x14ac:dyDescent="0.25">
      <c r="A557" s="8" t="s">
        <v>205</v>
      </c>
      <c r="B557" s="4" t="s">
        <v>100</v>
      </c>
      <c r="C557" s="4">
        <v>43</v>
      </c>
    </row>
    <row r="558" spans="1:3" x14ac:dyDescent="0.25">
      <c r="A558" s="8" t="s">
        <v>140</v>
      </c>
      <c r="B558" s="4" t="s">
        <v>726</v>
      </c>
      <c r="C558" s="4">
        <v>14</v>
      </c>
    </row>
    <row r="559" spans="1:3" x14ac:dyDescent="0.25">
      <c r="A559" s="8" t="s">
        <v>163</v>
      </c>
      <c r="B559" s="4" t="s">
        <v>710</v>
      </c>
      <c r="C559" s="4">
        <v>40</v>
      </c>
    </row>
    <row r="560" spans="1:3" x14ac:dyDescent="0.25">
      <c r="A560" s="8" t="s">
        <v>192</v>
      </c>
      <c r="B560" s="4" t="s">
        <v>718</v>
      </c>
      <c r="C560" s="4">
        <v>17</v>
      </c>
    </row>
    <row r="561" spans="1:3" x14ac:dyDescent="0.25">
      <c r="A561" s="8" t="s">
        <v>122</v>
      </c>
      <c r="B561" s="4" t="s">
        <v>727</v>
      </c>
      <c r="C561" s="4">
        <v>12</v>
      </c>
    </row>
    <row r="562" spans="1:3" x14ac:dyDescent="0.25">
      <c r="A562" s="8" t="s">
        <v>115</v>
      </c>
      <c r="B562" s="4" t="s">
        <v>101</v>
      </c>
      <c r="C562" s="4">
        <v>56</v>
      </c>
    </row>
    <row r="563" spans="1:3" x14ac:dyDescent="0.25">
      <c r="A563" s="8" t="s">
        <v>213</v>
      </c>
      <c r="B563" s="4" t="s">
        <v>726</v>
      </c>
      <c r="C563" s="4">
        <v>12</v>
      </c>
    </row>
    <row r="564" spans="1:3" x14ac:dyDescent="0.25">
      <c r="A564" s="8" t="s">
        <v>207</v>
      </c>
      <c r="B564" s="4" t="s">
        <v>715</v>
      </c>
      <c r="C564" s="4">
        <v>21</v>
      </c>
    </row>
    <row r="565" spans="1:3" x14ac:dyDescent="0.25">
      <c r="A565" s="8" t="s">
        <v>145</v>
      </c>
      <c r="B565" s="4" t="s">
        <v>715</v>
      </c>
      <c r="C565" s="4">
        <v>39</v>
      </c>
    </row>
    <row r="566" spans="1:3" x14ac:dyDescent="0.25">
      <c r="A566" s="8" t="s">
        <v>231</v>
      </c>
      <c r="B566" s="4" t="s">
        <v>724</v>
      </c>
      <c r="C566" s="4">
        <v>29</v>
      </c>
    </row>
    <row r="567" spans="1:3" x14ac:dyDescent="0.25">
      <c r="A567" s="8" t="s">
        <v>233</v>
      </c>
      <c r="B567" s="4" t="s">
        <v>723</v>
      </c>
      <c r="C567" s="4">
        <v>32</v>
      </c>
    </row>
    <row r="568" spans="1:3" x14ac:dyDescent="0.25">
      <c r="A568" s="8" t="s">
        <v>148</v>
      </c>
      <c r="B568" s="4" t="s">
        <v>101</v>
      </c>
      <c r="C568" s="4">
        <v>52</v>
      </c>
    </row>
    <row r="569" spans="1:3" x14ac:dyDescent="0.25">
      <c r="A569" s="8" t="s">
        <v>196</v>
      </c>
      <c r="B569" s="4" t="s">
        <v>101</v>
      </c>
      <c r="C569" s="4">
        <v>15</v>
      </c>
    </row>
    <row r="570" spans="1:3" x14ac:dyDescent="0.25">
      <c r="A570" s="8" t="s">
        <v>189</v>
      </c>
      <c r="B570" s="4" t="s">
        <v>103</v>
      </c>
      <c r="C570" s="4">
        <v>22</v>
      </c>
    </row>
    <row r="571" spans="1:3" x14ac:dyDescent="0.25">
      <c r="A571" s="8" t="s">
        <v>200</v>
      </c>
      <c r="B571" s="4" t="s">
        <v>720</v>
      </c>
      <c r="C571" s="4">
        <v>53</v>
      </c>
    </row>
    <row r="572" spans="1:3" x14ac:dyDescent="0.25">
      <c r="A572" s="8" t="s">
        <v>251</v>
      </c>
      <c r="B572" s="4" t="s">
        <v>713</v>
      </c>
      <c r="C572" s="4">
        <v>37</v>
      </c>
    </row>
    <row r="573" spans="1:3" x14ac:dyDescent="0.25">
      <c r="A573" s="8" t="s">
        <v>240</v>
      </c>
      <c r="B573" s="4" t="s">
        <v>102</v>
      </c>
      <c r="C573" s="4">
        <v>43</v>
      </c>
    </row>
    <row r="574" spans="1:3" x14ac:dyDescent="0.25">
      <c r="A574" s="8" t="s">
        <v>162</v>
      </c>
      <c r="B574" s="4" t="s">
        <v>101</v>
      </c>
      <c r="C574" s="4">
        <v>10</v>
      </c>
    </row>
    <row r="575" spans="1:3" x14ac:dyDescent="0.25">
      <c r="A575" s="8" t="s">
        <v>212</v>
      </c>
      <c r="B575" s="4" t="s">
        <v>724</v>
      </c>
      <c r="C575" s="4">
        <v>27</v>
      </c>
    </row>
    <row r="576" spans="1:3" x14ac:dyDescent="0.25">
      <c r="A576" s="8" t="s">
        <v>205</v>
      </c>
      <c r="B576" s="4" t="s">
        <v>100</v>
      </c>
      <c r="C576" s="4">
        <v>22</v>
      </c>
    </row>
    <row r="577" spans="1:3" x14ac:dyDescent="0.25">
      <c r="A577" s="8" t="s">
        <v>236</v>
      </c>
      <c r="B577" s="4" t="s">
        <v>716</v>
      </c>
      <c r="C577" s="4">
        <v>17</v>
      </c>
    </row>
    <row r="578" spans="1:3" x14ac:dyDescent="0.25">
      <c r="A578" s="8" t="s">
        <v>121</v>
      </c>
      <c r="B578" s="4" t="s">
        <v>101</v>
      </c>
      <c r="C578" s="4">
        <v>31</v>
      </c>
    </row>
    <row r="579" spans="1:3" x14ac:dyDescent="0.25">
      <c r="A579" s="8" t="s">
        <v>117</v>
      </c>
      <c r="B579" s="4" t="s">
        <v>714</v>
      </c>
      <c r="C579" s="4">
        <v>49</v>
      </c>
    </row>
    <row r="580" spans="1:3" x14ac:dyDescent="0.25">
      <c r="A580" s="8" t="s">
        <v>257</v>
      </c>
      <c r="B580" s="4" t="s">
        <v>727</v>
      </c>
      <c r="C580" s="4">
        <v>48</v>
      </c>
    </row>
    <row r="581" spans="1:3" x14ac:dyDescent="0.25">
      <c r="A581" s="8" t="s">
        <v>253</v>
      </c>
      <c r="B581" s="4" t="s">
        <v>711</v>
      </c>
      <c r="C581" s="4">
        <v>55</v>
      </c>
    </row>
    <row r="582" spans="1:3" x14ac:dyDescent="0.25">
      <c r="A582" s="8" t="s">
        <v>169</v>
      </c>
      <c r="B582" s="4" t="s">
        <v>721</v>
      </c>
      <c r="C582" s="4">
        <v>26</v>
      </c>
    </row>
    <row r="583" spans="1:3" x14ac:dyDescent="0.25">
      <c r="A583" s="8" t="s">
        <v>200</v>
      </c>
      <c r="B583" s="4" t="s">
        <v>722</v>
      </c>
      <c r="C583" s="4">
        <v>47</v>
      </c>
    </row>
    <row r="584" spans="1:3" x14ac:dyDescent="0.25">
      <c r="A584" s="8" t="s">
        <v>146</v>
      </c>
      <c r="B584" s="4" t="s">
        <v>716</v>
      </c>
      <c r="C584" s="4">
        <v>14</v>
      </c>
    </row>
    <row r="585" spans="1:3" x14ac:dyDescent="0.25">
      <c r="A585" s="8" t="s">
        <v>178</v>
      </c>
      <c r="B585" s="4" t="s">
        <v>101</v>
      </c>
      <c r="C585" s="4">
        <v>40</v>
      </c>
    </row>
    <row r="586" spans="1:3" x14ac:dyDescent="0.25">
      <c r="A586" s="8" t="s">
        <v>160</v>
      </c>
      <c r="B586" s="4" t="s">
        <v>103</v>
      </c>
      <c r="C586" s="4">
        <v>23</v>
      </c>
    </row>
    <row r="587" spans="1:3" x14ac:dyDescent="0.25">
      <c r="A587" s="8" t="s">
        <v>123</v>
      </c>
      <c r="B587" s="4" t="s">
        <v>721</v>
      </c>
      <c r="C587" s="4">
        <v>51</v>
      </c>
    </row>
    <row r="588" spans="1:3" x14ac:dyDescent="0.25">
      <c r="A588" s="8" t="s">
        <v>207</v>
      </c>
      <c r="B588" s="4" t="s">
        <v>719</v>
      </c>
      <c r="C588" s="4">
        <v>24</v>
      </c>
    </row>
    <row r="589" spans="1:3" x14ac:dyDescent="0.25">
      <c r="A589" s="8" t="s">
        <v>233</v>
      </c>
      <c r="B589" s="4" t="s">
        <v>101</v>
      </c>
      <c r="C589" s="4">
        <v>56</v>
      </c>
    </row>
    <row r="590" spans="1:3" x14ac:dyDescent="0.25">
      <c r="A590" s="8" t="s">
        <v>151</v>
      </c>
      <c r="B590" s="4" t="s">
        <v>724</v>
      </c>
      <c r="C590" s="4">
        <v>21</v>
      </c>
    </row>
    <row r="591" spans="1:3" x14ac:dyDescent="0.25">
      <c r="A591" s="8" t="s">
        <v>192</v>
      </c>
      <c r="B591" s="4" t="s">
        <v>716</v>
      </c>
      <c r="C591" s="4">
        <v>19</v>
      </c>
    </row>
    <row r="592" spans="1:3" x14ac:dyDescent="0.25">
      <c r="A592" s="8" t="s">
        <v>246</v>
      </c>
      <c r="B592" s="4" t="s">
        <v>725</v>
      </c>
      <c r="C592" s="4">
        <v>39</v>
      </c>
    </row>
    <row r="593" spans="1:3" x14ac:dyDescent="0.25">
      <c r="A593" s="8" t="s">
        <v>238</v>
      </c>
      <c r="B593" s="4" t="s">
        <v>720</v>
      </c>
      <c r="C593" s="4">
        <v>34</v>
      </c>
    </row>
    <row r="594" spans="1:3" x14ac:dyDescent="0.25">
      <c r="A594" s="8" t="s">
        <v>158</v>
      </c>
      <c r="B594" s="4" t="s">
        <v>103</v>
      </c>
      <c r="C594" s="4">
        <v>42</v>
      </c>
    </row>
    <row r="595" spans="1:3" x14ac:dyDescent="0.25">
      <c r="A595" s="8" t="s">
        <v>194</v>
      </c>
      <c r="B595" s="4" t="s">
        <v>712</v>
      </c>
      <c r="C595" s="4">
        <v>21</v>
      </c>
    </row>
    <row r="596" spans="1:3" x14ac:dyDescent="0.25">
      <c r="A596" s="8" t="s">
        <v>184</v>
      </c>
      <c r="B596" s="4" t="s">
        <v>723</v>
      </c>
      <c r="C596" s="4">
        <v>10</v>
      </c>
    </row>
    <row r="597" spans="1:3" x14ac:dyDescent="0.25">
      <c r="A597" s="8" t="s">
        <v>251</v>
      </c>
      <c r="B597" s="4" t="s">
        <v>711</v>
      </c>
      <c r="C597" s="4">
        <v>57</v>
      </c>
    </row>
    <row r="598" spans="1:3" x14ac:dyDescent="0.25">
      <c r="A598" s="8" t="s">
        <v>221</v>
      </c>
      <c r="B598" s="4" t="s">
        <v>727</v>
      </c>
      <c r="C598" s="4">
        <v>38</v>
      </c>
    </row>
    <row r="599" spans="1:3" x14ac:dyDescent="0.25">
      <c r="A599" s="8" t="s">
        <v>132</v>
      </c>
      <c r="B599" s="4" t="s">
        <v>101</v>
      </c>
      <c r="C599" s="4">
        <v>39</v>
      </c>
    </row>
    <row r="600" spans="1:3" x14ac:dyDescent="0.25">
      <c r="A600" s="8" t="s">
        <v>248</v>
      </c>
      <c r="B600" s="4" t="s">
        <v>726</v>
      </c>
      <c r="C600" s="4">
        <v>57</v>
      </c>
    </row>
    <row r="601" spans="1:3" x14ac:dyDescent="0.25">
      <c r="A601" s="8" t="s">
        <v>202</v>
      </c>
      <c r="B601" s="4" t="s">
        <v>100</v>
      </c>
      <c r="C601" s="4">
        <v>15</v>
      </c>
    </row>
    <row r="602" spans="1:3" x14ac:dyDescent="0.25">
      <c r="A602" s="8" t="s">
        <v>242</v>
      </c>
      <c r="B602" s="4" t="s">
        <v>99</v>
      </c>
      <c r="C602" s="4">
        <v>36</v>
      </c>
    </row>
    <row r="603" spans="1:3" x14ac:dyDescent="0.25">
      <c r="A603" s="8" t="s">
        <v>135</v>
      </c>
      <c r="B603" s="4" t="s">
        <v>716</v>
      </c>
      <c r="C603" s="4">
        <v>50</v>
      </c>
    </row>
    <row r="604" spans="1:3" x14ac:dyDescent="0.25">
      <c r="A604" s="8" t="s">
        <v>111</v>
      </c>
      <c r="B604" s="4" t="s">
        <v>726</v>
      </c>
      <c r="C604" s="4">
        <v>36</v>
      </c>
    </row>
    <row r="605" spans="1:3" x14ac:dyDescent="0.25">
      <c r="A605" s="8" t="s">
        <v>139</v>
      </c>
      <c r="B605" s="4" t="s">
        <v>726</v>
      </c>
      <c r="C605" s="4">
        <v>36</v>
      </c>
    </row>
    <row r="606" spans="1:3" x14ac:dyDescent="0.25">
      <c r="A606" s="8" t="s">
        <v>154</v>
      </c>
      <c r="B606" s="4" t="s">
        <v>718</v>
      </c>
      <c r="C606" s="4">
        <v>51</v>
      </c>
    </row>
    <row r="607" spans="1:3" x14ac:dyDescent="0.25">
      <c r="A607" s="8" t="s">
        <v>172</v>
      </c>
      <c r="B607" s="4" t="s">
        <v>102</v>
      </c>
      <c r="C607" s="4">
        <v>37</v>
      </c>
    </row>
    <row r="608" spans="1:3" x14ac:dyDescent="0.25">
      <c r="A608" s="8" t="s">
        <v>164</v>
      </c>
      <c r="B608" s="4" t="s">
        <v>102</v>
      </c>
      <c r="C608" s="4">
        <v>46</v>
      </c>
    </row>
    <row r="609" spans="1:3" x14ac:dyDescent="0.25">
      <c r="A609" s="8" t="s">
        <v>179</v>
      </c>
      <c r="B609" s="4" t="s">
        <v>102</v>
      </c>
      <c r="C609" s="4">
        <v>29</v>
      </c>
    </row>
    <row r="610" spans="1:3" x14ac:dyDescent="0.25">
      <c r="A610" s="8" t="s">
        <v>154</v>
      </c>
      <c r="B610" s="4" t="s">
        <v>723</v>
      </c>
      <c r="C610" s="4">
        <v>31</v>
      </c>
    </row>
    <row r="611" spans="1:3" x14ac:dyDescent="0.25">
      <c r="A611" s="8" t="s">
        <v>148</v>
      </c>
      <c r="B611" s="4" t="s">
        <v>102</v>
      </c>
      <c r="C611" s="4">
        <v>10</v>
      </c>
    </row>
    <row r="612" spans="1:3" x14ac:dyDescent="0.25">
      <c r="A612" s="8" t="s">
        <v>250</v>
      </c>
      <c r="B612" s="4" t="s">
        <v>719</v>
      </c>
      <c r="C612" s="4">
        <v>54</v>
      </c>
    </row>
    <row r="613" spans="1:3" x14ac:dyDescent="0.25">
      <c r="A613" s="8" t="s">
        <v>249</v>
      </c>
      <c r="B613" s="4" t="s">
        <v>716</v>
      </c>
      <c r="C613" s="4">
        <v>23</v>
      </c>
    </row>
    <row r="614" spans="1:3" x14ac:dyDescent="0.25">
      <c r="A614" s="8" t="s">
        <v>240</v>
      </c>
      <c r="B614" s="4" t="s">
        <v>712</v>
      </c>
      <c r="C614" s="4">
        <v>28</v>
      </c>
    </row>
    <row r="615" spans="1:3" x14ac:dyDescent="0.25">
      <c r="A615" s="8" t="s">
        <v>128</v>
      </c>
      <c r="B615" s="4" t="s">
        <v>725</v>
      </c>
      <c r="C615" s="4">
        <v>32</v>
      </c>
    </row>
    <row r="616" spans="1:3" x14ac:dyDescent="0.25">
      <c r="A616" s="8" t="s">
        <v>232</v>
      </c>
      <c r="B616" s="4" t="s">
        <v>716</v>
      </c>
      <c r="C616" s="4">
        <v>17</v>
      </c>
    </row>
    <row r="617" spans="1:3" x14ac:dyDescent="0.25">
      <c r="A617" s="8" t="s">
        <v>236</v>
      </c>
      <c r="B617" s="4" t="s">
        <v>722</v>
      </c>
      <c r="C617" s="4">
        <v>46</v>
      </c>
    </row>
    <row r="618" spans="1:3" x14ac:dyDescent="0.25">
      <c r="A618" s="8" t="s">
        <v>130</v>
      </c>
      <c r="B618" s="4" t="s">
        <v>729</v>
      </c>
      <c r="C618" s="4">
        <v>22</v>
      </c>
    </row>
    <row r="619" spans="1:3" x14ac:dyDescent="0.25">
      <c r="A619" s="8" t="s">
        <v>197</v>
      </c>
      <c r="B619" s="4" t="s">
        <v>718</v>
      </c>
      <c r="C619" s="4">
        <v>57</v>
      </c>
    </row>
    <row r="620" spans="1:3" x14ac:dyDescent="0.25">
      <c r="A620" s="8" t="s">
        <v>146</v>
      </c>
      <c r="B620" s="4" t="s">
        <v>101</v>
      </c>
      <c r="C620" s="4">
        <v>25</v>
      </c>
    </row>
    <row r="621" spans="1:3" x14ac:dyDescent="0.25">
      <c r="A621" s="8" t="s">
        <v>111</v>
      </c>
      <c r="B621" s="4" t="s">
        <v>718</v>
      </c>
      <c r="C621" s="4">
        <v>41</v>
      </c>
    </row>
    <row r="622" spans="1:3" x14ac:dyDescent="0.25">
      <c r="A622" s="8" t="s">
        <v>227</v>
      </c>
      <c r="B622" s="4" t="s">
        <v>720</v>
      </c>
      <c r="C622" s="4">
        <v>20</v>
      </c>
    </row>
    <row r="623" spans="1:3" x14ac:dyDescent="0.25">
      <c r="A623" s="8" t="s">
        <v>130</v>
      </c>
      <c r="B623" s="4" t="s">
        <v>724</v>
      </c>
      <c r="C623" s="4">
        <v>35</v>
      </c>
    </row>
    <row r="624" spans="1:3" x14ac:dyDescent="0.25">
      <c r="A624" s="8" t="s">
        <v>142</v>
      </c>
      <c r="B624" s="4" t="s">
        <v>710</v>
      </c>
      <c r="C624" s="4">
        <v>28</v>
      </c>
    </row>
    <row r="625" spans="1:3" x14ac:dyDescent="0.25">
      <c r="A625" s="8" t="s">
        <v>234</v>
      </c>
      <c r="B625" s="4" t="s">
        <v>99</v>
      </c>
      <c r="C625" s="4">
        <v>52</v>
      </c>
    </row>
    <row r="626" spans="1:3" x14ac:dyDescent="0.25">
      <c r="A626" s="8" t="s">
        <v>153</v>
      </c>
      <c r="B626" s="4" t="s">
        <v>725</v>
      </c>
      <c r="C626" s="4">
        <v>31</v>
      </c>
    </row>
    <row r="627" spans="1:3" x14ac:dyDescent="0.25">
      <c r="A627" s="8" t="s">
        <v>237</v>
      </c>
      <c r="B627" s="4" t="s">
        <v>723</v>
      </c>
      <c r="C627" s="4">
        <v>27</v>
      </c>
    </row>
    <row r="628" spans="1:3" x14ac:dyDescent="0.25">
      <c r="A628" s="8" t="s">
        <v>144</v>
      </c>
      <c r="B628" s="4" t="s">
        <v>100</v>
      </c>
      <c r="C628" s="4">
        <v>22</v>
      </c>
    </row>
    <row r="629" spans="1:3" x14ac:dyDescent="0.25">
      <c r="A629" s="8" t="s">
        <v>251</v>
      </c>
      <c r="B629" s="4" t="s">
        <v>102</v>
      </c>
      <c r="C629" s="4">
        <v>21</v>
      </c>
    </row>
    <row r="630" spans="1:3" x14ac:dyDescent="0.25">
      <c r="A630" s="8" t="s">
        <v>136</v>
      </c>
      <c r="B630" s="4" t="s">
        <v>714</v>
      </c>
      <c r="C630" s="4">
        <v>26</v>
      </c>
    </row>
    <row r="631" spans="1:3" x14ac:dyDescent="0.25">
      <c r="A631" s="8" t="s">
        <v>151</v>
      </c>
      <c r="B631" s="4" t="s">
        <v>725</v>
      </c>
      <c r="C631" s="4">
        <v>58</v>
      </c>
    </row>
    <row r="632" spans="1:3" x14ac:dyDescent="0.25">
      <c r="A632" s="8" t="s">
        <v>222</v>
      </c>
      <c r="B632" s="4" t="s">
        <v>718</v>
      </c>
      <c r="C632" s="4">
        <v>10</v>
      </c>
    </row>
    <row r="633" spans="1:3" x14ac:dyDescent="0.25">
      <c r="A633" s="8" t="s">
        <v>173</v>
      </c>
      <c r="B633" s="4" t="s">
        <v>710</v>
      </c>
      <c r="C633" s="4">
        <v>19</v>
      </c>
    </row>
    <row r="634" spans="1:3" x14ac:dyDescent="0.25">
      <c r="A634" s="8" t="s">
        <v>135</v>
      </c>
      <c r="B634" s="4" t="s">
        <v>720</v>
      </c>
      <c r="C634" s="4">
        <v>43</v>
      </c>
    </row>
    <row r="635" spans="1:3" x14ac:dyDescent="0.25">
      <c r="A635" s="8" t="s">
        <v>117</v>
      </c>
      <c r="B635" s="4" t="s">
        <v>722</v>
      </c>
      <c r="C635" s="4">
        <v>51</v>
      </c>
    </row>
    <row r="636" spans="1:3" x14ac:dyDescent="0.25">
      <c r="A636" s="8" t="s">
        <v>117</v>
      </c>
      <c r="B636" s="4" t="s">
        <v>717</v>
      </c>
      <c r="C636" s="4">
        <v>35</v>
      </c>
    </row>
    <row r="637" spans="1:3" x14ac:dyDescent="0.25">
      <c r="A637" s="8" t="s">
        <v>169</v>
      </c>
      <c r="B637" s="4" t="s">
        <v>721</v>
      </c>
      <c r="C637" s="4">
        <v>25</v>
      </c>
    </row>
    <row r="638" spans="1:3" x14ac:dyDescent="0.25">
      <c r="A638" s="8" t="s">
        <v>201</v>
      </c>
      <c r="B638" s="4" t="s">
        <v>713</v>
      </c>
      <c r="C638" s="4">
        <v>27</v>
      </c>
    </row>
    <row r="639" spans="1:3" x14ac:dyDescent="0.25">
      <c r="A639" s="8" t="s">
        <v>252</v>
      </c>
      <c r="B639" s="4" t="s">
        <v>716</v>
      </c>
      <c r="C639" s="4">
        <v>44</v>
      </c>
    </row>
    <row r="640" spans="1:3" x14ac:dyDescent="0.25">
      <c r="A640" s="8" t="s">
        <v>177</v>
      </c>
      <c r="B640" s="4" t="s">
        <v>723</v>
      </c>
      <c r="C640" s="4">
        <v>43</v>
      </c>
    </row>
    <row r="641" spans="1:3" x14ac:dyDescent="0.25">
      <c r="A641" s="8" t="s">
        <v>181</v>
      </c>
      <c r="B641" s="4" t="s">
        <v>723</v>
      </c>
      <c r="C641" s="4">
        <v>53</v>
      </c>
    </row>
    <row r="642" spans="1:3" x14ac:dyDescent="0.25">
      <c r="A642" s="8" t="s">
        <v>196</v>
      </c>
      <c r="B642" s="4" t="s">
        <v>728</v>
      </c>
      <c r="C642" s="4">
        <v>18</v>
      </c>
    </row>
    <row r="643" spans="1:3" x14ac:dyDescent="0.25">
      <c r="A643" s="8" t="s">
        <v>254</v>
      </c>
      <c r="B643" s="4" t="s">
        <v>712</v>
      </c>
      <c r="C643" s="4">
        <v>47</v>
      </c>
    </row>
    <row r="644" spans="1:3" x14ac:dyDescent="0.25">
      <c r="A644" s="8" t="s">
        <v>175</v>
      </c>
      <c r="B644" s="4" t="s">
        <v>723</v>
      </c>
      <c r="C644" s="4">
        <v>42</v>
      </c>
    </row>
    <row r="645" spans="1:3" x14ac:dyDescent="0.25">
      <c r="A645" s="8" t="s">
        <v>256</v>
      </c>
      <c r="B645" s="4" t="s">
        <v>725</v>
      </c>
      <c r="C645" s="4">
        <v>49</v>
      </c>
    </row>
    <row r="646" spans="1:3" x14ac:dyDescent="0.25">
      <c r="A646" s="8" t="s">
        <v>210</v>
      </c>
      <c r="B646" s="4" t="s">
        <v>99</v>
      </c>
      <c r="C646" s="4">
        <v>37</v>
      </c>
    </row>
    <row r="647" spans="1:3" x14ac:dyDescent="0.25">
      <c r="A647" s="8" t="s">
        <v>171</v>
      </c>
      <c r="B647" s="4" t="s">
        <v>724</v>
      </c>
      <c r="C647" s="4">
        <v>13</v>
      </c>
    </row>
    <row r="648" spans="1:3" x14ac:dyDescent="0.25">
      <c r="A648" s="8" t="s">
        <v>221</v>
      </c>
      <c r="B648" s="4" t="s">
        <v>720</v>
      </c>
      <c r="C648" s="4">
        <v>11</v>
      </c>
    </row>
    <row r="649" spans="1:3" x14ac:dyDescent="0.25">
      <c r="A649" s="8" t="s">
        <v>163</v>
      </c>
      <c r="B649" s="4" t="s">
        <v>720</v>
      </c>
      <c r="C649" s="4">
        <v>49</v>
      </c>
    </row>
    <row r="650" spans="1:3" x14ac:dyDescent="0.25">
      <c r="A650" s="8" t="s">
        <v>187</v>
      </c>
      <c r="B650" s="4" t="s">
        <v>716</v>
      </c>
      <c r="C650" s="4">
        <v>11</v>
      </c>
    </row>
    <row r="651" spans="1:3" x14ac:dyDescent="0.25">
      <c r="A651" s="8" t="s">
        <v>190</v>
      </c>
      <c r="B651" s="4" t="s">
        <v>100</v>
      </c>
      <c r="C651" s="4">
        <v>24</v>
      </c>
    </row>
    <row r="652" spans="1:3" x14ac:dyDescent="0.25">
      <c r="A652" s="8" t="s">
        <v>231</v>
      </c>
      <c r="B652" s="4" t="s">
        <v>720</v>
      </c>
      <c r="C652" s="4">
        <v>57</v>
      </c>
    </row>
    <row r="653" spans="1:3" x14ac:dyDescent="0.25">
      <c r="A653" s="8" t="s">
        <v>241</v>
      </c>
      <c r="B653" s="4" t="s">
        <v>100</v>
      </c>
      <c r="C653" s="4">
        <v>30</v>
      </c>
    </row>
    <row r="654" spans="1:3" x14ac:dyDescent="0.25">
      <c r="A654" s="8" t="s">
        <v>171</v>
      </c>
      <c r="B654" s="4" t="s">
        <v>718</v>
      </c>
      <c r="C654" s="4">
        <v>19</v>
      </c>
    </row>
    <row r="655" spans="1:3" x14ac:dyDescent="0.25">
      <c r="A655" s="8" t="s">
        <v>237</v>
      </c>
      <c r="B655" s="4" t="s">
        <v>710</v>
      </c>
      <c r="C655" s="4">
        <v>47</v>
      </c>
    </row>
    <row r="656" spans="1:3" x14ac:dyDescent="0.25">
      <c r="A656" s="8" t="s">
        <v>250</v>
      </c>
      <c r="B656" s="4" t="s">
        <v>723</v>
      </c>
      <c r="C656" s="4">
        <v>41</v>
      </c>
    </row>
    <row r="657" spans="1:3" x14ac:dyDescent="0.25">
      <c r="A657" s="8" t="s">
        <v>232</v>
      </c>
      <c r="B657" s="4" t="s">
        <v>724</v>
      </c>
      <c r="C657" s="4">
        <v>43</v>
      </c>
    </row>
    <row r="658" spans="1:3" x14ac:dyDescent="0.25">
      <c r="A658" s="8" t="s">
        <v>139</v>
      </c>
      <c r="B658" s="4" t="s">
        <v>712</v>
      </c>
      <c r="C658" s="4">
        <v>11</v>
      </c>
    </row>
    <row r="659" spans="1:3" x14ac:dyDescent="0.25">
      <c r="A659" s="8" t="s">
        <v>111</v>
      </c>
      <c r="B659" s="4" t="s">
        <v>719</v>
      </c>
      <c r="C659" s="4">
        <v>46</v>
      </c>
    </row>
    <row r="660" spans="1:3" x14ac:dyDescent="0.25">
      <c r="A660" s="8" t="s">
        <v>243</v>
      </c>
      <c r="B660" s="4" t="s">
        <v>100</v>
      </c>
      <c r="C660" s="4">
        <v>32</v>
      </c>
    </row>
    <row r="661" spans="1:3" x14ac:dyDescent="0.25">
      <c r="A661" s="8" t="s">
        <v>179</v>
      </c>
      <c r="B661" s="4" t="s">
        <v>725</v>
      </c>
      <c r="C661" s="4">
        <v>12</v>
      </c>
    </row>
    <row r="662" spans="1:3" x14ac:dyDescent="0.25">
      <c r="A662" s="8" t="s">
        <v>140</v>
      </c>
      <c r="B662" s="4" t="s">
        <v>710</v>
      </c>
      <c r="C662" s="4">
        <v>49</v>
      </c>
    </row>
    <row r="663" spans="1:3" x14ac:dyDescent="0.25">
      <c r="A663" s="8" t="s">
        <v>133</v>
      </c>
      <c r="B663" s="4" t="s">
        <v>713</v>
      </c>
      <c r="C663" s="4">
        <v>54</v>
      </c>
    </row>
    <row r="664" spans="1:3" x14ac:dyDescent="0.25">
      <c r="A664" s="8" t="s">
        <v>182</v>
      </c>
      <c r="B664" s="4" t="s">
        <v>100</v>
      </c>
      <c r="C664" s="4">
        <v>19</v>
      </c>
    </row>
    <row r="665" spans="1:3" x14ac:dyDescent="0.25">
      <c r="A665" s="8" t="s">
        <v>195</v>
      </c>
      <c r="B665" s="4" t="s">
        <v>726</v>
      </c>
      <c r="C665" s="4">
        <v>39</v>
      </c>
    </row>
    <row r="666" spans="1:3" x14ac:dyDescent="0.25">
      <c r="A666" s="8" t="s">
        <v>183</v>
      </c>
      <c r="B666" s="4" t="s">
        <v>727</v>
      </c>
      <c r="C666" s="4">
        <v>28</v>
      </c>
    </row>
    <row r="667" spans="1:3" x14ac:dyDescent="0.25">
      <c r="A667" s="8" t="s">
        <v>142</v>
      </c>
      <c r="B667" s="4" t="s">
        <v>721</v>
      </c>
      <c r="C667" s="4">
        <v>28</v>
      </c>
    </row>
    <row r="668" spans="1:3" x14ac:dyDescent="0.25">
      <c r="A668" s="8" t="s">
        <v>214</v>
      </c>
      <c r="B668" s="4" t="s">
        <v>724</v>
      </c>
      <c r="C668" s="4">
        <v>54</v>
      </c>
    </row>
    <row r="669" spans="1:3" x14ac:dyDescent="0.25">
      <c r="A669" s="8" t="s">
        <v>234</v>
      </c>
      <c r="B669" s="4" t="s">
        <v>717</v>
      </c>
      <c r="C669" s="4">
        <v>55</v>
      </c>
    </row>
    <row r="670" spans="1:3" x14ac:dyDescent="0.25">
      <c r="A670" s="8" t="s">
        <v>168</v>
      </c>
      <c r="B670" s="4" t="s">
        <v>716</v>
      </c>
      <c r="C670" s="4">
        <v>44</v>
      </c>
    </row>
    <row r="671" spans="1:3" x14ac:dyDescent="0.25">
      <c r="A671" s="8" t="s">
        <v>125</v>
      </c>
      <c r="B671" s="4" t="s">
        <v>727</v>
      </c>
      <c r="C671" s="4">
        <v>15</v>
      </c>
    </row>
    <row r="672" spans="1:3" x14ac:dyDescent="0.25">
      <c r="A672" s="8" t="s">
        <v>144</v>
      </c>
      <c r="B672" s="4" t="s">
        <v>719</v>
      </c>
      <c r="C672" s="4">
        <v>14</v>
      </c>
    </row>
    <row r="673" spans="1:3" x14ac:dyDescent="0.25">
      <c r="A673" s="8" t="s">
        <v>229</v>
      </c>
      <c r="B673" s="4" t="s">
        <v>727</v>
      </c>
      <c r="C673" s="4">
        <v>32</v>
      </c>
    </row>
    <row r="674" spans="1:3" x14ac:dyDescent="0.25">
      <c r="A674" s="8" t="s">
        <v>220</v>
      </c>
      <c r="B674" s="4" t="s">
        <v>728</v>
      </c>
      <c r="C674" s="4">
        <v>42</v>
      </c>
    </row>
    <row r="675" spans="1:3" x14ac:dyDescent="0.25">
      <c r="A675" s="8" t="s">
        <v>191</v>
      </c>
      <c r="B675" s="4" t="s">
        <v>722</v>
      </c>
      <c r="C675" s="4">
        <v>34</v>
      </c>
    </row>
    <row r="676" spans="1:3" x14ac:dyDescent="0.25">
      <c r="A676" s="8" t="s">
        <v>246</v>
      </c>
      <c r="B676" s="4" t="s">
        <v>725</v>
      </c>
      <c r="C676" s="4">
        <v>22</v>
      </c>
    </row>
    <row r="677" spans="1:3" x14ac:dyDescent="0.25">
      <c r="A677" s="8" t="s">
        <v>197</v>
      </c>
      <c r="B677" s="4" t="s">
        <v>729</v>
      </c>
      <c r="C677" s="4">
        <v>15</v>
      </c>
    </row>
    <row r="678" spans="1:3" x14ac:dyDescent="0.25">
      <c r="A678" s="8" t="s">
        <v>125</v>
      </c>
      <c r="B678" s="4" t="s">
        <v>721</v>
      </c>
      <c r="C678" s="4">
        <v>57</v>
      </c>
    </row>
    <row r="679" spans="1:3" x14ac:dyDescent="0.25">
      <c r="A679" s="8" t="s">
        <v>210</v>
      </c>
      <c r="B679" s="4" t="s">
        <v>725</v>
      </c>
      <c r="C679" s="4">
        <v>32</v>
      </c>
    </row>
    <row r="680" spans="1:3" x14ac:dyDescent="0.25">
      <c r="A680" s="8" t="s">
        <v>235</v>
      </c>
      <c r="B680" s="4" t="s">
        <v>710</v>
      </c>
      <c r="C680" s="4">
        <v>31</v>
      </c>
    </row>
    <row r="681" spans="1:3" x14ac:dyDescent="0.25">
      <c r="A681" s="8" t="s">
        <v>232</v>
      </c>
      <c r="B681" s="4" t="s">
        <v>716</v>
      </c>
      <c r="C681" s="4">
        <v>33</v>
      </c>
    </row>
    <row r="682" spans="1:3" x14ac:dyDescent="0.25">
      <c r="A682" s="8" t="s">
        <v>138</v>
      </c>
      <c r="B682" s="4" t="s">
        <v>712</v>
      </c>
      <c r="C682" s="4">
        <v>11</v>
      </c>
    </row>
    <row r="683" spans="1:3" x14ac:dyDescent="0.25">
      <c r="A683" s="8" t="s">
        <v>168</v>
      </c>
      <c r="B683" s="4" t="s">
        <v>715</v>
      </c>
      <c r="C683" s="4">
        <v>30</v>
      </c>
    </row>
    <row r="684" spans="1:3" x14ac:dyDescent="0.25">
      <c r="A684" s="8" t="s">
        <v>185</v>
      </c>
      <c r="B684" s="4" t="s">
        <v>726</v>
      </c>
      <c r="C684" s="4">
        <v>25</v>
      </c>
    </row>
    <row r="685" spans="1:3" x14ac:dyDescent="0.25">
      <c r="A685" s="8" t="s">
        <v>214</v>
      </c>
      <c r="B685" s="4" t="s">
        <v>100</v>
      </c>
      <c r="C685" s="4">
        <v>21</v>
      </c>
    </row>
    <row r="686" spans="1:3" x14ac:dyDescent="0.25">
      <c r="A686" s="8" t="s">
        <v>251</v>
      </c>
      <c r="B686" s="4" t="s">
        <v>101</v>
      </c>
      <c r="C686" s="4">
        <v>50</v>
      </c>
    </row>
    <row r="687" spans="1:3" x14ac:dyDescent="0.25">
      <c r="A687" s="8" t="s">
        <v>248</v>
      </c>
      <c r="B687" s="4" t="s">
        <v>719</v>
      </c>
      <c r="C687" s="4">
        <v>40</v>
      </c>
    </row>
    <row r="688" spans="1:3" x14ac:dyDescent="0.25">
      <c r="A688" s="8" t="s">
        <v>158</v>
      </c>
      <c r="B688" s="4" t="s">
        <v>721</v>
      </c>
      <c r="C688" s="4">
        <v>27</v>
      </c>
    </row>
    <row r="689" spans="1:3" x14ac:dyDescent="0.25">
      <c r="A689" s="8" t="s">
        <v>177</v>
      </c>
      <c r="B689" s="4" t="s">
        <v>103</v>
      </c>
      <c r="C689" s="4">
        <v>48</v>
      </c>
    </row>
    <row r="690" spans="1:3" x14ac:dyDescent="0.25">
      <c r="A690" s="8" t="s">
        <v>202</v>
      </c>
      <c r="B690" s="4" t="s">
        <v>722</v>
      </c>
      <c r="C690" s="4">
        <v>44</v>
      </c>
    </row>
    <row r="691" spans="1:3" x14ac:dyDescent="0.25">
      <c r="A691" s="8" t="s">
        <v>242</v>
      </c>
      <c r="B691" s="4" t="s">
        <v>715</v>
      </c>
      <c r="C691" s="4">
        <v>11</v>
      </c>
    </row>
    <row r="692" spans="1:3" x14ac:dyDescent="0.25">
      <c r="A692" s="8" t="s">
        <v>109</v>
      </c>
      <c r="B692" s="4" t="s">
        <v>720</v>
      </c>
      <c r="C692" s="4">
        <v>44</v>
      </c>
    </row>
    <row r="693" spans="1:3" x14ac:dyDescent="0.25">
      <c r="A693" s="8" t="s">
        <v>234</v>
      </c>
      <c r="B693" s="4" t="s">
        <v>714</v>
      </c>
      <c r="C693" s="4">
        <v>53</v>
      </c>
    </row>
    <row r="694" spans="1:3" x14ac:dyDescent="0.25">
      <c r="A694" s="8" t="s">
        <v>140</v>
      </c>
      <c r="B694" s="4" t="s">
        <v>722</v>
      </c>
      <c r="C694" s="4">
        <v>26</v>
      </c>
    </row>
    <row r="695" spans="1:3" x14ac:dyDescent="0.25">
      <c r="A695" s="8" t="s">
        <v>138</v>
      </c>
      <c r="B695" s="4" t="s">
        <v>725</v>
      </c>
      <c r="C695" s="4">
        <v>55</v>
      </c>
    </row>
    <row r="696" spans="1:3" x14ac:dyDescent="0.25">
      <c r="A696" s="8" t="s">
        <v>256</v>
      </c>
      <c r="B696" s="4" t="s">
        <v>101</v>
      </c>
      <c r="C696" s="4">
        <v>58</v>
      </c>
    </row>
    <row r="697" spans="1:3" x14ac:dyDescent="0.25">
      <c r="A697" s="8" t="s">
        <v>189</v>
      </c>
      <c r="B697" s="4" t="s">
        <v>725</v>
      </c>
      <c r="C697" s="4">
        <v>50</v>
      </c>
    </row>
    <row r="698" spans="1:3" x14ac:dyDescent="0.25">
      <c r="A698" s="8" t="s">
        <v>174</v>
      </c>
      <c r="B698" s="4" t="s">
        <v>723</v>
      </c>
      <c r="C698" s="4">
        <v>44</v>
      </c>
    </row>
    <row r="699" spans="1:3" x14ac:dyDescent="0.25">
      <c r="A699" s="8" t="s">
        <v>215</v>
      </c>
      <c r="B699" s="4" t="s">
        <v>727</v>
      </c>
      <c r="C699" s="4">
        <v>33</v>
      </c>
    </row>
    <row r="700" spans="1:3" x14ac:dyDescent="0.25">
      <c r="A700" s="8" t="s">
        <v>210</v>
      </c>
      <c r="B700" s="4" t="s">
        <v>713</v>
      </c>
      <c r="C700" s="4">
        <v>19</v>
      </c>
    </row>
    <row r="701" spans="1:3" x14ac:dyDescent="0.25">
      <c r="A701" s="8" t="s">
        <v>143</v>
      </c>
      <c r="B701" s="4" t="s">
        <v>100</v>
      </c>
      <c r="C701" s="4">
        <v>13</v>
      </c>
    </row>
    <row r="702" spans="1:3" x14ac:dyDescent="0.25">
      <c r="A702" s="8" t="s">
        <v>143</v>
      </c>
      <c r="B702" s="4" t="s">
        <v>723</v>
      </c>
      <c r="C702" s="4">
        <v>44</v>
      </c>
    </row>
    <row r="703" spans="1:3" x14ac:dyDescent="0.25">
      <c r="A703" s="8" t="s">
        <v>224</v>
      </c>
      <c r="B703" s="4" t="s">
        <v>101</v>
      </c>
      <c r="C703" s="4">
        <v>26</v>
      </c>
    </row>
    <row r="704" spans="1:3" x14ac:dyDescent="0.25">
      <c r="A704" s="8" t="s">
        <v>136</v>
      </c>
      <c r="B704" s="4" t="s">
        <v>723</v>
      </c>
      <c r="C704" s="4">
        <v>44</v>
      </c>
    </row>
    <row r="705" spans="1:3" x14ac:dyDescent="0.25">
      <c r="A705" s="8" t="s">
        <v>128</v>
      </c>
      <c r="B705" s="4" t="s">
        <v>711</v>
      </c>
      <c r="C705" s="4">
        <v>59</v>
      </c>
    </row>
    <row r="706" spans="1:3" x14ac:dyDescent="0.25">
      <c r="A706" s="8" t="s">
        <v>126</v>
      </c>
      <c r="B706" s="4" t="s">
        <v>712</v>
      </c>
      <c r="C706" s="4">
        <v>14</v>
      </c>
    </row>
    <row r="707" spans="1:3" x14ac:dyDescent="0.25">
      <c r="A707" s="8" t="s">
        <v>151</v>
      </c>
      <c r="B707" s="4" t="s">
        <v>103</v>
      </c>
      <c r="C707" s="4">
        <v>30</v>
      </c>
    </row>
    <row r="708" spans="1:3" x14ac:dyDescent="0.25">
      <c r="A708" s="8" t="s">
        <v>183</v>
      </c>
      <c r="B708" s="4" t="s">
        <v>728</v>
      </c>
      <c r="C708" s="4">
        <v>42</v>
      </c>
    </row>
    <row r="709" spans="1:3" x14ac:dyDescent="0.25">
      <c r="A709" s="8" t="s">
        <v>144</v>
      </c>
      <c r="B709" s="4" t="s">
        <v>728</v>
      </c>
      <c r="C709" s="4">
        <v>46</v>
      </c>
    </row>
    <row r="710" spans="1:3" x14ac:dyDescent="0.25">
      <c r="A710" s="8" t="s">
        <v>200</v>
      </c>
      <c r="B710" s="4" t="s">
        <v>724</v>
      </c>
      <c r="C710" s="4">
        <v>58</v>
      </c>
    </row>
    <row r="711" spans="1:3" x14ac:dyDescent="0.25">
      <c r="A711" s="8" t="s">
        <v>148</v>
      </c>
      <c r="B711" s="4" t="s">
        <v>712</v>
      </c>
      <c r="C711" s="4">
        <v>36</v>
      </c>
    </row>
    <row r="712" spans="1:3" x14ac:dyDescent="0.25">
      <c r="A712" s="8" t="s">
        <v>122</v>
      </c>
      <c r="B712" s="4" t="s">
        <v>711</v>
      </c>
      <c r="C712" s="4">
        <v>30</v>
      </c>
    </row>
    <row r="713" spans="1:3" x14ac:dyDescent="0.25">
      <c r="A713" s="8" t="s">
        <v>237</v>
      </c>
      <c r="B713" s="4" t="s">
        <v>719</v>
      </c>
      <c r="C713" s="4">
        <v>13</v>
      </c>
    </row>
    <row r="714" spans="1:3" x14ac:dyDescent="0.25">
      <c r="A714" s="8" t="s">
        <v>147</v>
      </c>
      <c r="B714" s="4" t="s">
        <v>99</v>
      </c>
      <c r="C714" s="4">
        <v>30</v>
      </c>
    </row>
    <row r="715" spans="1:3" x14ac:dyDescent="0.25">
      <c r="A715" s="8" t="s">
        <v>144</v>
      </c>
      <c r="B715" s="4" t="s">
        <v>711</v>
      </c>
      <c r="C715" s="4">
        <v>30</v>
      </c>
    </row>
    <row r="716" spans="1:3" x14ac:dyDescent="0.25">
      <c r="A716" s="8" t="s">
        <v>124</v>
      </c>
      <c r="B716" s="4" t="s">
        <v>718</v>
      </c>
      <c r="C716" s="4">
        <v>55</v>
      </c>
    </row>
    <row r="717" spans="1:3" x14ac:dyDescent="0.25">
      <c r="A717" s="8" t="s">
        <v>229</v>
      </c>
      <c r="B717" s="4" t="s">
        <v>724</v>
      </c>
      <c r="C717" s="4">
        <v>51</v>
      </c>
    </row>
    <row r="718" spans="1:3" x14ac:dyDescent="0.25">
      <c r="A718" s="8" t="s">
        <v>169</v>
      </c>
      <c r="B718" s="4" t="s">
        <v>102</v>
      </c>
      <c r="C718" s="4">
        <v>18</v>
      </c>
    </row>
    <row r="719" spans="1:3" x14ac:dyDescent="0.25">
      <c r="A719" s="8" t="s">
        <v>257</v>
      </c>
      <c r="B719" s="4" t="s">
        <v>722</v>
      </c>
      <c r="C719" s="4">
        <v>51</v>
      </c>
    </row>
    <row r="720" spans="1:3" x14ac:dyDescent="0.25">
      <c r="A720" s="8" t="s">
        <v>193</v>
      </c>
      <c r="B720" s="4" t="s">
        <v>100</v>
      </c>
      <c r="C720" s="4">
        <v>57</v>
      </c>
    </row>
    <row r="721" spans="1:3" x14ac:dyDescent="0.25">
      <c r="A721" s="8" t="s">
        <v>158</v>
      </c>
      <c r="B721" s="4" t="s">
        <v>725</v>
      </c>
      <c r="C721" s="4">
        <v>51</v>
      </c>
    </row>
    <row r="722" spans="1:3" x14ac:dyDescent="0.25">
      <c r="A722" s="8" t="s">
        <v>181</v>
      </c>
      <c r="B722" s="4" t="s">
        <v>715</v>
      </c>
      <c r="C722" s="4">
        <v>42</v>
      </c>
    </row>
    <row r="723" spans="1:3" x14ac:dyDescent="0.25">
      <c r="A723" s="8" t="s">
        <v>110</v>
      </c>
      <c r="B723" s="4" t="s">
        <v>718</v>
      </c>
      <c r="C723" s="4">
        <v>32</v>
      </c>
    </row>
    <row r="724" spans="1:3" x14ac:dyDescent="0.25">
      <c r="A724" s="8" t="s">
        <v>249</v>
      </c>
      <c r="B724" s="4" t="s">
        <v>724</v>
      </c>
      <c r="C724" s="4">
        <v>18</v>
      </c>
    </row>
    <row r="725" spans="1:3" x14ac:dyDescent="0.25">
      <c r="A725" s="8" t="s">
        <v>203</v>
      </c>
      <c r="B725" s="4" t="s">
        <v>722</v>
      </c>
      <c r="C725" s="4">
        <v>27</v>
      </c>
    </row>
    <row r="726" spans="1:3" x14ac:dyDescent="0.25">
      <c r="A726" s="8" t="s">
        <v>113</v>
      </c>
      <c r="B726" s="4" t="s">
        <v>722</v>
      </c>
      <c r="C726" s="4">
        <v>41</v>
      </c>
    </row>
    <row r="727" spans="1:3" x14ac:dyDescent="0.25">
      <c r="A727" s="8" t="s">
        <v>157</v>
      </c>
      <c r="B727" s="4" t="s">
        <v>100</v>
      </c>
      <c r="C727" s="4">
        <v>57</v>
      </c>
    </row>
    <row r="728" spans="1:3" x14ac:dyDescent="0.25">
      <c r="A728" s="8" t="s">
        <v>241</v>
      </c>
      <c r="B728" s="4" t="s">
        <v>726</v>
      </c>
      <c r="C728" s="4">
        <v>43</v>
      </c>
    </row>
    <row r="729" spans="1:3" x14ac:dyDescent="0.25">
      <c r="A729" s="8" t="s">
        <v>158</v>
      </c>
      <c r="B729" s="4" t="s">
        <v>721</v>
      </c>
      <c r="C729" s="4">
        <v>29</v>
      </c>
    </row>
    <row r="730" spans="1:3" x14ac:dyDescent="0.25">
      <c r="A730" s="8" t="s">
        <v>112</v>
      </c>
      <c r="B730" s="4" t="s">
        <v>710</v>
      </c>
      <c r="C730" s="4">
        <v>11</v>
      </c>
    </row>
    <row r="731" spans="1:3" x14ac:dyDescent="0.25">
      <c r="A731" s="8" t="s">
        <v>190</v>
      </c>
      <c r="B731" s="4" t="s">
        <v>717</v>
      </c>
      <c r="C731" s="4">
        <v>36</v>
      </c>
    </row>
    <row r="732" spans="1:3" x14ac:dyDescent="0.25">
      <c r="A732" s="8" t="s">
        <v>131</v>
      </c>
      <c r="B732" s="4" t="s">
        <v>726</v>
      </c>
      <c r="C732" s="4">
        <v>56</v>
      </c>
    </row>
    <row r="733" spans="1:3" x14ac:dyDescent="0.25">
      <c r="A733" s="8" t="s">
        <v>154</v>
      </c>
      <c r="B733" s="4" t="s">
        <v>710</v>
      </c>
      <c r="C733" s="4">
        <v>52</v>
      </c>
    </row>
    <row r="734" spans="1:3" x14ac:dyDescent="0.25">
      <c r="A734" s="8" t="s">
        <v>149</v>
      </c>
      <c r="B734" s="4" t="s">
        <v>720</v>
      </c>
      <c r="C734" s="4">
        <v>45</v>
      </c>
    </row>
    <row r="735" spans="1:3" x14ac:dyDescent="0.25">
      <c r="A735" s="8" t="s">
        <v>257</v>
      </c>
      <c r="B735" s="4" t="s">
        <v>720</v>
      </c>
      <c r="C735" s="4">
        <v>12</v>
      </c>
    </row>
    <row r="736" spans="1:3" x14ac:dyDescent="0.25">
      <c r="A736" s="8" t="s">
        <v>254</v>
      </c>
      <c r="B736" s="4" t="s">
        <v>103</v>
      </c>
      <c r="C736" s="4">
        <v>38</v>
      </c>
    </row>
    <row r="737" spans="1:3" x14ac:dyDescent="0.25">
      <c r="A737" s="8" t="s">
        <v>132</v>
      </c>
      <c r="B737" s="4" t="s">
        <v>716</v>
      </c>
      <c r="C737" s="4">
        <v>27</v>
      </c>
    </row>
    <row r="738" spans="1:3" x14ac:dyDescent="0.25">
      <c r="A738" s="8" t="s">
        <v>225</v>
      </c>
      <c r="B738" s="4" t="s">
        <v>727</v>
      </c>
      <c r="C738" s="4">
        <v>52</v>
      </c>
    </row>
    <row r="739" spans="1:3" x14ac:dyDescent="0.25">
      <c r="A739" s="8" t="s">
        <v>211</v>
      </c>
      <c r="B739" s="4" t="s">
        <v>722</v>
      </c>
      <c r="C739" s="4">
        <v>31</v>
      </c>
    </row>
    <row r="740" spans="1:3" x14ac:dyDescent="0.25">
      <c r="A740" s="8" t="s">
        <v>226</v>
      </c>
      <c r="B740" s="4" t="s">
        <v>102</v>
      </c>
      <c r="C740" s="4">
        <v>59</v>
      </c>
    </row>
    <row r="741" spans="1:3" x14ac:dyDescent="0.25">
      <c r="A741" s="8" t="s">
        <v>147</v>
      </c>
      <c r="B741" s="4" t="s">
        <v>710</v>
      </c>
      <c r="C741" s="4">
        <v>32</v>
      </c>
    </row>
    <row r="742" spans="1:3" x14ac:dyDescent="0.25">
      <c r="A742" s="8" t="s">
        <v>190</v>
      </c>
      <c r="B742" s="4" t="s">
        <v>720</v>
      </c>
      <c r="C742" s="4">
        <v>41</v>
      </c>
    </row>
    <row r="743" spans="1:3" x14ac:dyDescent="0.25">
      <c r="A743" s="8" t="s">
        <v>117</v>
      </c>
      <c r="B743" s="4" t="s">
        <v>725</v>
      </c>
      <c r="C743" s="4">
        <v>26</v>
      </c>
    </row>
    <row r="744" spans="1:3" x14ac:dyDescent="0.25">
      <c r="A744" s="8" t="s">
        <v>230</v>
      </c>
      <c r="B744" s="4" t="s">
        <v>726</v>
      </c>
      <c r="C744" s="4">
        <v>14</v>
      </c>
    </row>
    <row r="745" spans="1:3" x14ac:dyDescent="0.25">
      <c r="A745" s="8" t="s">
        <v>140</v>
      </c>
      <c r="B745" s="4" t="s">
        <v>727</v>
      </c>
      <c r="C745" s="4">
        <v>32</v>
      </c>
    </row>
    <row r="746" spans="1:3" x14ac:dyDescent="0.25">
      <c r="A746" s="8" t="s">
        <v>152</v>
      </c>
      <c r="B746" s="4" t="s">
        <v>714</v>
      </c>
      <c r="C746" s="4">
        <v>53</v>
      </c>
    </row>
    <row r="747" spans="1:3" x14ac:dyDescent="0.25">
      <c r="A747" s="8" t="s">
        <v>237</v>
      </c>
      <c r="B747" s="4" t="s">
        <v>716</v>
      </c>
      <c r="C747" s="4">
        <v>22</v>
      </c>
    </row>
    <row r="748" spans="1:3" x14ac:dyDescent="0.25">
      <c r="A748" s="8" t="s">
        <v>165</v>
      </c>
      <c r="B748" s="4" t="s">
        <v>718</v>
      </c>
      <c r="C748" s="4">
        <v>18</v>
      </c>
    </row>
    <row r="749" spans="1:3" x14ac:dyDescent="0.25">
      <c r="A749" s="8" t="s">
        <v>239</v>
      </c>
      <c r="B749" s="4" t="s">
        <v>714</v>
      </c>
      <c r="C749" s="4">
        <v>30</v>
      </c>
    </row>
    <row r="750" spans="1:3" x14ac:dyDescent="0.25">
      <c r="A750" s="8" t="s">
        <v>207</v>
      </c>
      <c r="B750" s="4" t="s">
        <v>727</v>
      </c>
      <c r="C750" s="4">
        <v>51</v>
      </c>
    </row>
    <row r="751" spans="1:3" x14ac:dyDescent="0.25">
      <c r="A751" s="8" t="s">
        <v>221</v>
      </c>
      <c r="B751" s="4" t="s">
        <v>726</v>
      </c>
      <c r="C751" s="4">
        <v>54</v>
      </c>
    </row>
    <row r="752" spans="1:3" x14ac:dyDescent="0.25">
      <c r="A752" s="8" t="s">
        <v>225</v>
      </c>
      <c r="B752" s="4" t="s">
        <v>99</v>
      </c>
      <c r="C752" s="4">
        <v>54</v>
      </c>
    </row>
    <row r="753" spans="1:3" x14ac:dyDescent="0.25">
      <c r="A753" s="8" t="s">
        <v>221</v>
      </c>
      <c r="B753" s="4" t="s">
        <v>729</v>
      </c>
      <c r="C753" s="4">
        <v>39</v>
      </c>
    </row>
    <row r="754" spans="1:3" x14ac:dyDescent="0.25">
      <c r="A754" s="8" t="s">
        <v>200</v>
      </c>
      <c r="B754" s="4" t="s">
        <v>725</v>
      </c>
      <c r="C754" s="4">
        <v>16</v>
      </c>
    </row>
    <row r="755" spans="1:3" x14ac:dyDescent="0.25">
      <c r="A755" s="8" t="s">
        <v>258</v>
      </c>
      <c r="B755" s="4" t="s">
        <v>100</v>
      </c>
      <c r="C755" s="4">
        <v>54</v>
      </c>
    </row>
    <row r="756" spans="1:3" x14ac:dyDescent="0.25">
      <c r="A756" s="8" t="s">
        <v>251</v>
      </c>
      <c r="B756" s="4" t="s">
        <v>102</v>
      </c>
      <c r="C756" s="4">
        <v>36</v>
      </c>
    </row>
    <row r="757" spans="1:3" x14ac:dyDescent="0.25">
      <c r="A757" s="8" t="s">
        <v>193</v>
      </c>
      <c r="B757" s="4" t="s">
        <v>99</v>
      </c>
      <c r="C757" s="4">
        <v>50</v>
      </c>
    </row>
    <row r="758" spans="1:3" x14ac:dyDescent="0.25">
      <c r="A758" s="8" t="s">
        <v>218</v>
      </c>
      <c r="B758" s="4" t="s">
        <v>717</v>
      </c>
      <c r="C758" s="4">
        <v>31</v>
      </c>
    </row>
    <row r="759" spans="1:3" x14ac:dyDescent="0.25">
      <c r="A759" s="8" t="s">
        <v>140</v>
      </c>
      <c r="B759" s="4" t="s">
        <v>717</v>
      </c>
      <c r="C759" s="4">
        <v>19</v>
      </c>
    </row>
    <row r="760" spans="1:3" x14ac:dyDescent="0.25">
      <c r="A760" s="8" t="s">
        <v>165</v>
      </c>
      <c r="B760" s="4" t="s">
        <v>102</v>
      </c>
      <c r="C760" s="4">
        <v>47</v>
      </c>
    </row>
    <row r="761" spans="1:3" x14ac:dyDescent="0.25">
      <c r="A761" s="8" t="s">
        <v>138</v>
      </c>
      <c r="B761" s="4" t="s">
        <v>723</v>
      </c>
      <c r="C761" s="4">
        <v>59</v>
      </c>
    </row>
    <row r="762" spans="1:3" x14ac:dyDescent="0.25">
      <c r="A762" s="8" t="s">
        <v>152</v>
      </c>
      <c r="B762" s="4" t="s">
        <v>721</v>
      </c>
      <c r="C762" s="4">
        <v>54</v>
      </c>
    </row>
    <row r="763" spans="1:3" x14ac:dyDescent="0.25">
      <c r="A763" s="8" t="s">
        <v>129</v>
      </c>
      <c r="B763" s="4" t="s">
        <v>100</v>
      </c>
      <c r="C763" s="4">
        <v>21</v>
      </c>
    </row>
    <row r="764" spans="1:3" x14ac:dyDescent="0.25">
      <c r="A764" s="8" t="s">
        <v>146</v>
      </c>
      <c r="B764" s="4" t="s">
        <v>103</v>
      </c>
      <c r="C764" s="4">
        <v>26</v>
      </c>
    </row>
    <row r="765" spans="1:3" x14ac:dyDescent="0.25">
      <c r="A765" s="8" t="s">
        <v>192</v>
      </c>
      <c r="B765" s="4" t="s">
        <v>103</v>
      </c>
      <c r="C765" s="4">
        <v>49</v>
      </c>
    </row>
    <row r="766" spans="1:3" x14ac:dyDescent="0.25">
      <c r="A766" s="8" t="s">
        <v>145</v>
      </c>
      <c r="B766" s="4" t="s">
        <v>714</v>
      </c>
      <c r="C766" s="4">
        <v>55</v>
      </c>
    </row>
    <row r="767" spans="1:3" x14ac:dyDescent="0.25">
      <c r="A767" s="8" t="s">
        <v>174</v>
      </c>
      <c r="B767" s="4" t="s">
        <v>718</v>
      </c>
      <c r="C767" s="4">
        <v>10</v>
      </c>
    </row>
    <row r="768" spans="1:3" x14ac:dyDescent="0.25">
      <c r="A768" s="8" t="s">
        <v>182</v>
      </c>
      <c r="B768" s="4" t="s">
        <v>714</v>
      </c>
      <c r="C768" s="4">
        <v>36</v>
      </c>
    </row>
    <row r="769" spans="1:3" x14ac:dyDescent="0.25">
      <c r="A769" s="8" t="s">
        <v>128</v>
      </c>
      <c r="B769" s="4" t="s">
        <v>712</v>
      </c>
      <c r="C769" s="4">
        <v>32</v>
      </c>
    </row>
    <row r="770" spans="1:3" x14ac:dyDescent="0.25">
      <c r="A770" s="8" t="s">
        <v>109</v>
      </c>
      <c r="B770" s="4" t="s">
        <v>717</v>
      </c>
      <c r="C770" s="4">
        <v>18</v>
      </c>
    </row>
    <row r="771" spans="1:3" x14ac:dyDescent="0.25">
      <c r="A771" s="8" t="s">
        <v>240</v>
      </c>
      <c r="B771" s="4" t="s">
        <v>713</v>
      </c>
      <c r="C771" s="4">
        <v>21</v>
      </c>
    </row>
    <row r="772" spans="1:3" x14ac:dyDescent="0.25">
      <c r="A772" s="8" t="s">
        <v>176</v>
      </c>
      <c r="B772" s="4" t="s">
        <v>716</v>
      </c>
      <c r="C772" s="4">
        <v>53</v>
      </c>
    </row>
    <row r="773" spans="1:3" x14ac:dyDescent="0.25">
      <c r="A773" s="8" t="s">
        <v>159</v>
      </c>
      <c r="B773" s="4" t="s">
        <v>726</v>
      </c>
      <c r="C773" s="4">
        <v>56</v>
      </c>
    </row>
    <row r="774" spans="1:3" x14ac:dyDescent="0.25">
      <c r="A774" s="8" t="s">
        <v>121</v>
      </c>
      <c r="B774" s="4" t="s">
        <v>102</v>
      </c>
      <c r="C774" s="4">
        <v>38</v>
      </c>
    </row>
    <row r="775" spans="1:3" x14ac:dyDescent="0.25">
      <c r="A775" s="8" t="s">
        <v>234</v>
      </c>
      <c r="B775" s="4" t="s">
        <v>99</v>
      </c>
      <c r="C775" s="4">
        <v>25</v>
      </c>
    </row>
    <row r="776" spans="1:3" x14ac:dyDescent="0.25">
      <c r="A776" s="8" t="s">
        <v>204</v>
      </c>
      <c r="B776" s="4" t="s">
        <v>729</v>
      </c>
      <c r="C776" s="4">
        <v>13</v>
      </c>
    </row>
    <row r="777" spans="1:3" x14ac:dyDescent="0.25">
      <c r="A777" s="8" t="s">
        <v>258</v>
      </c>
      <c r="B777" s="4" t="s">
        <v>99</v>
      </c>
      <c r="C777" s="4">
        <v>38</v>
      </c>
    </row>
    <row r="778" spans="1:3" x14ac:dyDescent="0.25">
      <c r="A778" s="8" t="s">
        <v>165</v>
      </c>
      <c r="B778" s="4" t="s">
        <v>103</v>
      </c>
      <c r="C778" s="4">
        <v>34</v>
      </c>
    </row>
    <row r="779" spans="1:3" x14ac:dyDescent="0.25">
      <c r="A779" s="8" t="s">
        <v>222</v>
      </c>
      <c r="B779" s="4" t="s">
        <v>101</v>
      </c>
      <c r="C779" s="4">
        <v>12</v>
      </c>
    </row>
    <row r="780" spans="1:3" x14ac:dyDescent="0.25">
      <c r="A780" s="8" t="s">
        <v>249</v>
      </c>
      <c r="B780" s="4" t="s">
        <v>717</v>
      </c>
      <c r="C780" s="4">
        <v>35</v>
      </c>
    </row>
    <row r="781" spans="1:3" x14ac:dyDescent="0.25">
      <c r="A781" s="8" t="s">
        <v>224</v>
      </c>
      <c r="B781" s="4" t="s">
        <v>728</v>
      </c>
      <c r="C781" s="4">
        <v>30</v>
      </c>
    </row>
    <row r="782" spans="1:3" x14ac:dyDescent="0.25">
      <c r="A782" s="8" t="s">
        <v>232</v>
      </c>
      <c r="B782" s="4" t="s">
        <v>723</v>
      </c>
      <c r="C782" s="4">
        <v>43</v>
      </c>
    </row>
    <row r="783" spans="1:3" x14ac:dyDescent="0.25">
      <c r="A783" s="8" t="s">
        <v>210</v>
      </c>
      <c r="B783" s="4" t="s">
        <v>713</v>
      </c>
      <c r="C783" s="4">
        <v>36</v>
      </c>
    </row>
    <row r="784" spans="1:3" x14ac:dyDescent="0.25">
      <c r="A784" s="8" t="s">
        <v>121</v>
      </c>
      <c r="B784" s="4" t="s">
        <v>720</v>
      </c>
      <c r="C784" s="4">
        <v>15</v>
      </c>
    </row>
    <row r="785" spans="1:3" x14ac:dyDescent="0.25">
      <c r="A785" s="8" t="s">
        <v>188</v>
      </c>
      <c r="B785" s="4" t="s">
        <v>724</v>
      </c>
      <c r="C785" s="4">
        <v>16</v>
      </c>
    </row>
    <row r="786" spans="1:3" x14ac:dyDescent="0.25">
      <c r="A786" s="8" t="s">
        <v>198</v>
      </c>
      <c r="B786" s="4" t="s">
        <v>715</v>
      </c>
      <c r="C786" s="4">
        <v>39</v>
      </c>
    </row>
    <row r="787" spans="1:3" x14ac:dyDescent="0.25">
      <c r="A787" s="8" t="s">
        <v>138</v>
      </c>
      <c r="B787" s="4" t="s">
        <v>724</v>
      </c>
      <c r="C787" s="4">
        <v>28</v>
      </c>
    </row>
    <row r="788" spans="1:3" x14ac:dyDescent="0.25">
      <c r="A788" s="8" t="s">
        <v>162</v>
      </c>
      <c r="B788" s="4" t="s">
        <v>728</v>
      </c>
      <c r="C788" s="4">
        <v>45</v>
      </c>
    </row>
    <row r="789" spans="1:3" x14ac:dyDescent="0.25">
      <c r="A789" s="8" t="s">
        <v>110</v>
      </c>
      <c r="B789" s="4" t="s">
        <v>712</v>
      </c>
      <c r="C789" s="4">
        <v>51</v>
      </c>
    </row>
    <row r="790" spans="1:3" x14ac:dyDescent="0.25">
      <c r="A790" s="8" t="s">
        <v>179</v>
      </c>
      <c r="B790" s="4" t="s">
        <v>103</v>
      </c>
      <c r="C790" s="4">
        <v>50</v>
      </c>
    </row>
    <row r="791" spans="1:3" x14ac:dyDescent="0.25">
      <c r="A791" s="8" t="s">
        <v>217</v>
      </c>
      <c r="B791" s="4" t="s">
        <v>713</v>
      </c>
      <c r="C791" s="4">
        <v>50</v>
      </c>
    </row>
    <row r="792" spans="1:3" x14ac:dyDescent="0.25">
      <c r="A792" s="8" t="s">
        <v>221</v>
      </c>
      <c r="B792" s="4" t="s">
        <v>102</v>
      </c>
      <c r="C792" s="4">
        <v>14</v>
      </c>
    </row>
    <row r="793" spans="1:3" x14ac:dyDescent="0.25">
      <c r="A793" s="8" t="s">
        <v>207</v>
      </c>
      <c r="B793" s="4" t="s">
        <v>719</v>
      </c>
      <c r="C793" s="4">
        <v>49</v>
      </c>
    </row>
    <row r="794" spans="1:3" x14ac:dyDescent="0.25">
      <c r="A794" s="8" t="s">
        <v>192</v>
      </c>
      <c r="B794" s="4" t="s">
        <v>725</v>
      </c>
      <c r="C794" s="4">
        <v>23</v>
      </c>
    </row>
    <row r="795" spans="1:3" x14ac:dyDescent="0.25">
      <c r="A795" s="8" t="s">
        <v>237</v>
      </c>
      <c r="B795" s="4" t="s">
        <v>102</v>
      </c>
      <c r="C795" s="4">
        <v>35</v>
      </c>
    </row>
    <row r="796" spans="1:3" x14ac:dyDescent="0.25">
      <c r="A796" s="8" t="s">
        <v>145</v>
      </c>
      <c r="B796" s="4" t="s">
        <v>723</v>
      </c>
      <c r="C796" s="4">
        <v>42</v>
      </c>
    </row>
    <row r="797" spans="1:3" x14ac:dyDescent="0.25">
      <c r="A797" s="8" t="s">
        <v>144</v>
      </c>
      <c r="B797" s="4" t="s">
        <v>727</v>
      </c>
      <c r="C797" s="4">
        <v>58</v>
      </c>
    </row>
    <row r="798" spans="1:3" x14ac:dyDescent="0.25">
      <c r="A798" s="8" t="s">
        <v>237</v>
      </c>
      <c r="B798" s="4" t="s">
        <v>716</v>
      </c>
      <c r="C798" s="4">
        <v>18</v>
      </c>
    </row>
    <row r="799" spans="1:3" x14ac:dyDescent="0.25">
      <c r="A799" s="8" t="s">
        <v>153</v>
      </c>
      <c r="B799" s="4" t="s">
        <v>102</v>
      </c>
      <c r="C799" s="4">
        <v>46</v>
      </c>
    </row>
    <row r="800" spans="1:3" x14ac:dyDescent="0.25">
      <c r="A800" s="8" t="s">
        <v>228</v>
      </c>
      <c r="B800" s="4" t="s">
        <v>722</v>
      </c>
      <c r="C800" s="4">
        <v>25</v>
      </c>
    </row>
    <row r="801" spans="1:3" x14ac:dyDescent="0.25">
      <c r="A801" s="8" t="s">
        <v>176</v>
      </c>
      <c r="B801" s="4" t="s">
        <v>100</v>
      </c>
      <c r="C801" s="4">
        <v>15</v>
      </c>
    </row>
    <row r="802" spans="1:3" x14ac:dyDescent="0.25">
      <c r="A802" s="8" t="s">
        <v>223</v>
      </c>
      <c r="B802" s="4" t="s">
        <v>724</v>
      </c>
      <c r="C802" s="4">
        <v>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2:J18"/>
  <sheetViews>
    <sheetView zoomScaleNormal="100" workbookViewId="0">
      <selection activeCell="B3" sqref="B3:B9"/>
    </sheetView>
  </sheetViews>
  <sheetFormatPr defaultRowHeight="15" x14ac:dyDescent="0.25"/>
  <cols>
    <col min="2" max="2" width="13.42578125" customWidth="1"/>
    <col min="3" max="3" width="55" customWidth="1"/>
    <col min="4" max="5" width="9.42578125" customWidth="1"/>
    <col min="8" max="10" width="9.85546875" customWidth="1"/>
  </cols>
  <sheetData>
    <row r="2" spans="2:10" x14ac:dyDescent="0.25">
      <c r="B2" s="11" t="s">
        <v>734</v>
      </c>
      <c r="C2" s="11" t="s">
        <v>735</v>
      </c>
      <c r="D2" s="11" t="s">
        <v>736</v>
      </c>
      <c r="E2" s="11"/>
      <c r="G2" s="4"/>
      <c r="H2" s="27" t="s">
        <v>737</v>
      </c>
      <c r="I2" s="27" t="s">
        <v>738</v>
      </c>
      <c r="J2" s="27" t="s">
        <v>739</v>
      </c>
    </row>
    <row r="3" spans="2:10" x14ac:dyDescent="0.25">
      <c r="B3" s="13" t="e">
        <v>#DIV/0!</v>
      </c>
      <c r="C3" s="16" t="s">
        <v>55</v>
      </c>
      <c r="D3" s="22" t="e">
        <f>100/0</f>
        <v>#DIV/0!</v>
      </c>
      <c r="E3" s="22" t="e">
        <f>100/INDEX(H3:J7,MATCH("P3",G3:G7,0),MATCH("Mar",H2:J2,0))</f>
        <v>#DIV/0!</v>
      </c>
      <c r="G3" s="27" t="s">
        <v>740</v>
      </c>
      <c r="H3" s="4">
        <v>103</v>
      </c>
      <c r="I3" s="4">
        <v>62</v>
      </c>
      <c r="J3" s="4">
        <v>80</v>
      </c>
    </row>
    <row r="4" spans="2:10" ht="26.25" x14ac:dyDescent="0.25">
      <c r="B4" s="13" t="e">
        <v>#REF!</v>
      </c>
      <c r="C4" s="15" t="s">
        <v>56</v>
      </c>
      <c r="D4" s="22">
        <f>A18</f>
        <v>16</v>
      </c>
      <c r="E4" s="22">
        <f>A1</f>
        <v>0</v>
      </c>
      <c r="G4" s="27" t="s">
        <v>741</v>
      </c>
      <c r="H4" s="4">
        <v>118</v>
      </c>
      <c r="I4" s="4">
        <v>93</v>
      </c>
      <c r="J4" s="4">
        <v>75</v>
      </c>
    </row>
    <row r="5" spans="2:10" ht="26.25" x14ac:dyDescent="0.25">
      <c r="B5" s="13" t="e">
        <v>#NAME?</v>
      </c>
      <c r="C5" s="15" t="s">
        <v>57</v>
      </c>
      <c r="D5" s="22" t="e">
        <f ca="1">aveage(H3:H7)</f>
        <v>#NAME?</v>
      </c>
      <c r="E5" s="22" t="e">
        <f>INDEX(H3:J7,0,MATCH(Jan,H2:J2,0))</f>
        <v>#NAME?</v>
      </c>
      <c r="G5" s="27" t="s">
        <v>742</v>
      </c>
      <c r="H5" s="4">
        <v>111</v>
      </c>
      <c r="I5" s="4">
        <v>102</v>
      </c>
      <c r="J5" s="4"/>
    </row>
    <row r="6" spans="2:10" x14ac:dyDescent="0.25">
      <c r="B6" s="13" t="e">
        <v>#N/A</v>
      </c>
      <c r="C6" s="15" t="s">
        <v>58</v>
      </c>
      <c r="D6" s="22" t="e">
        <f>VLOOKUP("P7",G3:J7,2,0)</f>
        <v>#N/A</v>
      </c>
      <c r="E6" s="22" t="e">
        <f>MATCH("P1 ",G3:G7,0)</f>
        <v>#N/A</v>
      </c>
      <c r="G6" s="27" t="s">
        <v>743</v>
      </c>
      <c r="H6" s="4">
        <v>34</v>
      </c>
      <c r="I6" s="4">
        <v>57</v>
      </c>
      <c r="J6" s="4">
        <v>35</v>
      </c>
    </row>
    <row r="7" spans="2:10" ht="26.25" x14ac:dyDescent="0.25">
      <c r="B7" s="13" t="e">
        <v>#VALUE!</v>
      </c>
      <c r="C7" s="15" t="s">
        <v>59</v>
      </c>
      <c r="D7" s="22" t="e">
        <f>"Red"^2</f>
        <v>#VALUE!</v>
      </c>
      <c r="E7" s="22" t="e">
        <f>MATCH("P1",G3:G7,"Red")</f>
        <v>#VALUE!</v>
      </c>
      <c r="G7" s="27" t="s">
        <v>744</v>
      </c>
      <c r="H7" s="4">
        <v>51</v>
      </c>
      <c r="I7" s="4">
        <v>88</v>
      </c>
      <c r="J7" s="4">
        <v>65</v>
      </c>
    </row>
    <row r="8" spans="2:10" x14ac:dyDescent="0.25">
      <c r="B8" s="15" t="e">
        <v>#NULL!</v>
      </c>
      <c r="C8" s="16" t="s">
        <v>60</v>
      </c>
      <c r="D8" s="22">
        <f>H5:J5 I3:I7</f>
        <v>102</v>
      </c>
      <c r="E8" s="22" t="e">
        <f>H3:H7 J3:J7</f>
        <v>#NULL!</v>
      </c>
    </row>
    <row r="9" spans="2:10" ht="39" x14ac:dyDescent="0.25">
      <c r="B9" s="13" t="e">
        <v>#NUM!</v>
      </c>
      <c r="C9" s="15" t="s">
        <v>61</v>
      </c>
      <c r="D9" s="22" t="e">
        <f>9E+99^3000</f>
        <v>#NUM!</v>
      </c>
      <c r="E9" s="22" t="e">
        <f>-9E+99^3000</f>
        <v>#NUM!</v>
      </c>
      <c r="G9" s="11" t="s">
        <v>746</v>
      </c>
      <c r="H9" s="11" t="s">
        <v>747</v>
      </c>
      <c r="J9" s="11" t="s">
        <v>737</v>
      </c>
    </row>
    <row r="10" spans="2:10" ht="26.25" x14ac:dyDescent="0.25">
      <c r="B10" s="13" t="s">
        <v>63</v>
      </c>
      <c r="C10" s="15" t="s">
        <v>64</v>
      </c>
      <c r="D10" s="30">
        <f t="shared" ref="D10" si="0">100000000</f>
        <v>100000000</v>
      </c>
      <c r="E10" s="31">
        <f>H10-G10</f>
        <v>-0.125</v>
      </c>
      <c r="G10" s="32">
        <v>0.875</v>
      </c>
      <c r="H10" s="32">
        <v>0.75</v>
      </c>
      <c r="J10" s="4">
        <v>3</v>
      </c>
    </row>
    <row r="11" spans="2:10" ht="26.25" x14ac:dyDescent="0.25">
      <c r="B11" s="15" t="s">
        <v>65</v>
      </c>
      <c r="C11" s="16" t="s">
        <v>66</v>
      </c>
      <c r="D11" s="22" t="s">
        <v>748</v>
      </c>
      <c r="E11" s="22">
        <f>ROWS(E$11:E11)</f>
        <v>1</v>
      </c>
      <c r="J11" s="4">
        <v>4</v>
      </c>
    </row>
    <row r="12" spans="2:10" x14ac:dyDescent="0.25">
      <c r="J12" s="4">
        <v>5</v>
      </c>
    </row>
    <row r="13" spans="2:10" x14ac:dyDescent="0.25">
      <c r="I13" s="11" t="s">
        <v>82</v>
      </c>
      <c r="J13" s="4"/>
    </row>
    <row r="17" spans="1:1" x14ac:dyDescent="0.25">
      <c r="A17" s="18" t="s">
        <v>745</v>
      </c>
    </row>
    <row r="18" spans="1:1" x14ac:dyDescent="0.25">
      <c r="A18" s="4">
        <v>16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I13"/>
  <sheetViews>
    <sheetView zoomScale="115" zoomScaleNormal="115" workbookViewId="0">
      <selection activeCell="C3" sqref="C3"/>
    </sheetView>
  </sheetViews>
  <sheetFormatPr defaultRowHeight="15" x14ac:dyDescent="0.25"/>
  <cols>
    <col min="1" max="1" width="13.42578125" customWidth="1"/>
    <col min="2" max="2" width="55" customWidth="1"/>
    <col min="3" max="3" width="18.28515625" customWidth="1"/>
    <col min="4" max="4" width="9.42578125" customWidth="1"/>
    <col min="7" max="9" width="9.85546875" customWidth="1"/>
  </cols>
  <sheetData>
    <row r="2" spans="1:9" x14ac:dyDescent="0.25">
      <c r="A2" s="11" t="s">
        <v>734</v>
      </c>
      <c r="B2" s="11" t="s">
        <v>735</v>
      </c>
      <c r="C2" s="11" t="s">
        <v>736</v>
      </c>
      <c r="D2" s="11"/>
      <c r="F2" s="4"/>
      <c r="G2" s="27" t="s">
        <v>737</v>
      </c>
      <c r="H2" s="27" t="s">
        <v>738</v>
      </c>
      <c r="I2" s="27" t="s">
        <v>739</v>
      </c>
    </row>
    <row r="3" spans="1:9" x14ac:dyDescent="0.25">
      <c r="A3" s="13" t="e">
        <v>#DIV/0!</v>
      </c>
      <c r="B3" s="16" t="s">
        <v>55</v>
      </c>
      <c r="C3" s="22" t="e">
        <f>100/0</f>
        <v>#DIV/0!</v>
      </c>
      <c r="D3" s="22" t="e">
        <f>100/INDEX(G3:I7,MATCH("P3",F3:F7,0),MATCH("Mar",G2:I2,0))</f>
        <v>#DIV/0!</v>
      </c>
      <c r="F3" s="27" t="s">
        <v>740</v>
      </c>
      <c r="G3" s="4">
        <v>103</v>
      </c>
      <c r="H3" s="4">
        <v>62</v>
      </c>
      <c r="I3" s="4">
        <v>80</v>
      </c>
    </row>
    <row r="4" spans="1:9" ht="26.25" x14ac:dyDescent="0.25">
      <c r="A4" s="13" t="e">
        <v>#REF!</v>
      </c>
      <c r="B4" s="15" t="s">
        <v>56</v>
      </c>
      <c r="C4" s="22" t="e">
        <f>#REF!</f>
        <v>#REF!</v>
      </c>
      <c r="D4" s="22" t="e">
        <f>#REF!</f>
        <v>#REF!</v>
      </c>
      <c r="F4" s="27" t="s">
        <v>741</v>
      </c>
      <c r="G4" s="4">
        <v>118</v>
      </c>
      <c r="H4" s="4">
        <v>93</v>
      </c>
      <c r="I4" s="4">
        <v>75</v>
      </c>
    </row>
    <row r="5" spans="1:9" ht="26.25" x14ac:dyDescent="0.25">
      <c r="A5" s="13" t="e">
        <v>#NAME?</v>
      </c>
      <c r="B5" s="15" t="s">
        <v>57</v>
      </c>
      <c r="C5" s="22">
        <f>AVERAGE(G3:G7)</f>
        <v>83.4</v>
      </c>
      <c r="D5" s="22">
        <f>INDEX(G3:I7,0,MATCH("Jan",G2:I2,0))</f>
        <v>111</v>
      </c>
      <c r="F5" s="27" t="s">
        <v>742</v>
      </c>
      <c r="G5" s="4">
        <v>111</v>
      </c>
      <c r="H5" s="4">
        <v>102</v>
      </c>
      <c r="I5" s="4"/>
    </row>
    <row r="6" spans="1:9" x14ac:dyDescent="0.25">
      <c r="A6" s="13" t="e">
        <v>#N/A</v>
      </c>
      <c r="B6" s="15" t="s">
        <v>58</v>
      </c>
      <c r="C6" s="22" t="e">
        <f>VLOOKUP("P7",F3:I7,2,0)</f>
        <v>#N/A</v>
      </c>
      <c r="D6" s="22" t="e">
        <f>MATCH("P1 ",F3:F7,0)</f>
        <v>#N/A</v>
      </c>
      <c r="F6" s="27" t="s">
        <v>743</v>
      </c>
      <c r="G6" s="4">
        <v>34</v>
      </c>
      <c r="H6" s="4">
        <v>57</v>
      </c>
      <c r="I6" s="4">
        <v>35</v>
      </c>
    </row>
    <row r="7" spans="1:9" ht="26.25" x14ac:dyDescent="0.25">
      <c r="A7" s="13" t="e">
        <v>#VALUE!</v>
      </c>
      <c r="B7" s="15" t="s">
        <v>59</v>
      </c>
      <c r="C7" s="22" t="e">
        <f>"Red"^2</f>
        <v>#VALUE!</v>
      </c>
      <c r="D7" s="22" t="e">
        <f>MATCH("P1",F3:F7,"Red")</f>
        <v>#VALUE!</v>
      </c>
      <c r="F7" s="27" t="s">
        <v>744</v>
      </c>
      <c r="G7" s="4">
        <v>51</v>
      </c>
      <c r="H7" s="4">
        <v>88</v>
      </c>
      <c r="I7" s="4">
        <v>65</v>
      </c>
    </row>
    <row r="8" spans="1:9" x14ac:dyDescent="0.25">
      <c r="A8" s="15" t="e">
        <v>#NULL!</v>
      </c>
      <c r="B8" s="16" t="s">
        <v>60</v>
      </c>
      <c r="C8" s="22">
        <f>G5:I5 H3:H7</f>
        <v>102</v>
      </c>
      <c r="D8" s="22" t="e">
        <f>G3:G7 I3:I7</f>
        <v>#NULL!</v>
      </c>
    </row>
    <row r="9" spans="1:9" ht="39" x14ac:dyDescent="0.25">
      <c r="A9" s="13" t="e">
        <v>#NUM!</v>
      </c>
      <c r="B9" s="15" t="s">
        <v>61</v>
      </c>
      <c r="C9" s="22" t="e">
        <f>9E+99^3000</f>
        <v>#NUM!</v>
      </c>
      <c r="D9" s="22" t="e">
        <f>-9E+99^3000</f>
        <v>#NUM!</v>
      </c>
      <c r="F9" s="11" t="s">
        <v>746</v>
      </c>
      <c r="G9" s="11" t="s">
        <v>747</v>
      </c>
      <c r="I9" s="11" t="s">
        <v>737</v>
      </c>
    </row>
    <row r="10" spans="1:9" ht="26.25" x14ac:dyDescent="0.25">
      <c r="A10" s="13" t="s">
        <v>63</v>
      </c>
      <c r="B10" s="15" t="s">
        <v>64</v>
      </c>
      <c r="C10" s="30">
        <f t="shared" ref="C10" si="0">100000000</f>
        <v>100000000</v>
      </c>
      <c r="D10" s="31">
        <f>G10-F10</f>
        <v>-0.125</v>
      </c>
      <c r="F10" s="32">
        <v>0.875</v>
      </c>
      <c r="G10" s="32">
        <v>0.75</v>
      </c>
      <c r="I10" s="4">
        <v>3</v>
      </c>
    </row>
    <row r="11" spans="1:9" ht="26.25" x14ac:dyDescent="0.25">
      <c r="A11" s="15" t="s">
        <v>65</v>
      </c>
      <c r="B11" s="16" t="s">
        <v>66</v>
      </c>
      <c r="C11" s="22" t="s">
        <v>753</v>
      </c>
      <c r="D11" s="22">
        <f>ROWS(D$11:D11)</f>
        <v>1</v>
      </c>
      <c r="I11" s="4">
        <v>4</v>
      </c>
    </row>
    <row r="12" spans="1:9" x14ac:dyDescent="0.25">
      <c r="I12" s="4">
        <v>5</v>
      </c>
    </row>
    <row r="13" spans="1:9" x14ac:dyDescent="0.25">
      <c r="H13" s="11" t="s">
        <v>82</v>
      </c>
      <c r="I13" s="4">
        <f ca="1">SUM(I9:I13)</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M98"/>
  <sheetViews>
    <sheetView topLeftCell="A37" workbookViewId="0">
      <selection activeCell="A46" sqref="A46:XFD50"/>
    </sheetView>
  </sheetViews>
  <sheetFormatPr defaultRowHeight="15" x14ac:dyDescent="0.25"/>
  <cols>
    <col min="1" max="1" width="11.85546875" customWidth="1"/>
    <col min="2" max="4" width="13.42578125" customWidth="1"/>
    <col min="5" max="5" width="16" customWidth="1"/>
    <col min="7" max="10" width="17.140625" customWidth="1"/>
  </cols>
  <sheetData>
    <row r="1" spans="1:13" x14ac:dyDescent="0.25">
      <c r="A1" s="45" t="s">
        <v>50</v>
      </c>
      <c r="B1" s="34"/>
      <c r="C1" s="34"/>
      <c r="D1" s="34"/>
      <c r="E1" s="34"/>
      <c r="F1" s="34"/>
      <c r="G1" s="34"/>
      <c r="H1" s="34"/>
      <c r="I1" s="34"/>
      <c r="J1" s="34"/>
      <c r="K1" s="34"/>
      <c r="L1" s="34"/>
      <c r="M1" s="35"/>
    </row>
    <row r="2" spans="1:13" x14ac:dyDescent="0.25">
      <c r="A2" s="44" t="s">
        <v>49</v>
      </c>
      <c r="B2" s="36"/>
      <c r="C2" s="36"/>
      <c r="D2" s="36"/>
      <c r="E2" s="36"/>
      <c r="F2" s="36"/>
      <c r="G2" s="36"/>
      <c r="H2" s="36"/>
      <c r="I2" s="36"/>
      <c r="J2" s="36"/>
      <c r="K2" s="36"/>
      <c r="L2" s="36"/>
      <c r="M2" s="37"/>
    </row>
    <row r="3" spans="1:13" x14ac:dyDescent="0.25">
      <c r="A3" s="38" t="s">
        <v>51</v>
      </c>
      <c r="B3" s="36"/>
      <c r="C3" s="36"/>
      <c r="D3" s="36"/>
      <c r="E3" s="36"/>
      <c r="F3" s="36"/>
      <c r="G3" s="36"/>
      <c r="H3" s="36"/>
      <c r="I3" s="36"/>
      <c r="J3" s="36"/>
      <c r="K3" s="36"/>
      <c r="L3" s="36"/>
      <c r="M3" s="37"/>
    </row>
    <row r="4" spans="1:13" x14ac:dyDescent="0.25">
      <c r="A4" s="44" t="s">
        <v>6</v>
      </c>
      <c r="B4" s="36"/>
      <c r="C4" s="36"/>
      <c r="D4" s="36"/>
      <c r="E4" s="36"/>
      <c r="F4" s="36"/>
      <c r="G4" s="36"/>
      <c r="H4" s="36"/>
      <c r="I4" s="36"/>
      <c r="J4" s="36"/>
      <c r="K4" s="36"/>
      <c r="L4" s="36"/>
      <c r="M4" s="37"/>
    </row>
    <row r="5" spans="1:13" x14ac:dyDescent="0.25">
      <c r="A5" s="44" t="s">
        <v>7</v>
      </c>
      <c r="B5" s="36"/>
      <c r="C5" s="36"/>
      <c r="D5" s="36"/>
      <c r="E5" s="36"/>
      <c r="F5" s="36"/>
      <c r="G5" s="36"/>
      <c r="H5" s="36"/>
      <c r="I5" s="36"/>
      <c r="J5" s="36"/>
      <c r="K5" s="36"/>
      <c r="L5" s="36"/>
      <c r="M5" s="37"/>
    </row>
    <row r="6" spans="1:13" x14ac:dyDescent="0.25">
      <c r="A6" s="44" t="s">
        <v>8</v>
      </c>
      <c r="B6" s="36"/>
      <c r="C6" s="36"/>
      <c r="D6" s="36"/>
      <c r="E6" s="36"/>
      <c r="F6" s="36"/>
      <c r="G6" s="36"/>
      <c r="H6" s="36"/>
      <c r="I6" s="36"/>
      <c r="J6" s="36"/>
      <c r="K6" s="36"/>
      <c r="L6" s="36"/>
      <c r="M6" s="37"/>
    </row>
    <row r="7" spans="1:13" x14ac:dyDescent="0.25">
      <c r="A7" s="39" t="s">
        <v>9</v>
      </c>
      <c r="B7" s="36"/>
      <c r="C7" s="36"/>
      <c r="D7" s="36"/>
      <c r="E7" s="36"/>
      <c r="F7" s="36"/>
      <c r="G7" s="36"/>
      <c r="H7" s="36"/>
      <c r="I7" s="36"/>
      <c r="J7" s="36"/>
      <c r="K7" s="36"/>
      <c r="L7" s="36"/>
      <c r="M7" s="37"/>
    </row>
    <row r="8" spans="1:13" x14ac:dyDescent="0.25">
      <c r="A8" s="39" t="s">
        <v>10</v>
      </c>
      <c r="B8" s="36"/>
      <c r="C8" s="36"/>
      <c r="D8" s="36"/>
      <c r="E8" s="36"/>
      <c r="F8" s="36"/>
      <c r="G8" s="36"/>
      <c r="H8" s="36"/>
      <c r="I8" s="36"/>
      <c r="J8" s="36"/>
      <c r="K8" s="36"/>
      <c r="L8" s="36"/>
      <c r="M8" s="37"/>
    </row>
    <row r="9" spans="1:13" x14ac:dyDescent="0.25">
      <c r="A9" s="39" t="s">
        <v>11</v>
      </c>
      <c r="B9" s="36"/>
      <c r="C9" s="36"/>
      <c r="D9" s="36"/>
      <c r="E9" s="36"/>
      <c r="F9" s="36"/>
      <c r="G9" s="36"/>
      <c r="H9" s="36"/>
      <c r="I9" s="36"/>
      <c r="J9" s="36"/>
      <c r="K9" s="36"/>
      <c r="L9" s="36"/>
      <c r="M9" s="37"/>
    </row>
    <row r="10" spans="1:13" x14ac:dyDescent="0.25">
      <c r="A10" s="39" t="s">
        <v>12</v>
      </c>
      <c r="B10" s="36"/>
      <c r="C10" s="36"/>
      <c r="D10" s="36"/>
      <c r="E10" s="36"/>
      <c r="F10" s="36"/>
      <c r="G10" s="36"/>
      <c r="H10" s="36"/>
      <c r="I10" s="36"/>
      <c r="J10" s="36"/>
      <c r="K10" s="36"/>
      <c r="L10" s="36"/>
      <c r="M10" s="37"/>
    </row>
    <row r="11" spans="1:13" x14ac:dyDescent="0.25">
      <c r="A11" s="39" t="s">
        <v>13</v>
      </c>
      <c r="B11" s="36"/>
      <c r="C11" s="36"/>
      <c r="D11" s="36"/>
      <c r="E11" s="36"/>
      <c r="F11" s="36"/>
      <c r="G11" s="36"/>
      <c r="H11" s="36"/>
      <c r="I11" s="36"/>
      <c r="J11" s="36"/>
      <c r="K11" s="36"/>
      <c r="L11" s="36"/>
      <c r="M11" s="37"/>
    </row>
    <row r="12" spans="1:13" x14ac:dyDescent="0.25">
      <c r="A12" s="39" t="s">
        <v>14</v>
      </c>
      <c r="B12" s="36"/>
      <c r="C12" s="36"/>
      <c r="D12" s="36"/>
      <c r="E12" s="36"/>
      <c r="F12" s="36"/>
      <c r="G12" s="36"/>
      <c r="H12" s="36"/>
      <c r="I12" s="36"/>
      <c r="J12" s="36"/>
      <c r="K12" s="36"/>
      <c r="L12" s="36"/>
      <c r="M12" s="37"/>
    </row>
    <row r="13" spans="1:13" x14ac:dyDescent="0.25">
      <c r="A13" s="39" t="s">
        <v>15</v>
      </c>
      <c r="B13" s="36"/>
      <c r="C13" s="36"/>
      <c r="D13" s="36"/>
      <c r="E13" s="36"/>
      <c r="F13" s="36"/>
      <c r="G13" s="36"/>
      <c r="H13" s="36"/>
      <c r="I13" s="36"/>
      <c r="J13" s="36"/>
      <c r="K13" s="36"/>
      <c r="L13" s="36"/>
      <c r="M13" s="37"/>
    </row>
    <row r="14" spans="1:13" x14ac:dyDescent="0.25">
      <c r="A14" s="44" t="s">
        <v>16</v>
      </c>
      <c r="B14" s="36"/>
      <c r="C14" s="36"/>
      <c r="D14" s="36"/>
      <c r="E14" s="36"/>
      <c r="F14" s="36"/>
      <c r="G14" s="36"/>
      <c r="H14" s="36"/>
      <c r="I14" s="36"/>
      <c r="J14" s="36"/>
      <c r="K14" s="36"/>
      <c r="L14" s="36"/>
      <c r="M14" s="37"/>
    </row>
    <row r="15" spans="1:13" x14ac:dyDescent="0.25">
      <c r="A15" s="39" t="s">
        <v>17</v>
      </c>
      <c r="B15" s="36"/>
      <c r="C15" s="36"/>
      <c r="D15" s="36"/>
      <c r="E15" s="36"/>
      <c r="F15" s="36"/>
      <c r="G15" s="36"/>
      <c r="H15" s="36"/>
      <c r="I15" s="36"/>
      <c r="J15" s="36"/>
      <c r="K15" s="36"/>
      <c r="L15" s="36"/>
      <c r="M15" s="37"/>
    </row>
    <row r="16" spans="1:13" x14ac:dyDescent="0.25">
      <c r="A16" s="44" t="s">
        <v>18</v>
      </c>
      <c r="B16" s="36"/>
      <c r="C16" s="36"/>
      <c r="D16" s="36"/>
      <c r="E16" s="36"/>
      <c r="F16" s="36"/>
      <c r="G16" s="36"/>
      <c r="H16" s="36"/>
      <c r="I16" s="36"/>
      <c r="J16" s="36"/>
      <c r="K16" s="36"/>
      <c r="L16" s="36"/>
      <c r="M16" s="37"/>
    </row>
    <row r="17" spans="1:13" x14ac:dyDescent="0.25">
      <c r="A17" s="39" t="s">
        <v>19</v>
      </c>
      <c r="B17" s="36"/>
      <c r="C17" s="36"/>
      <c r="D17" s="36"/>
      <c r="E17" s="36"/>
      <c r="F17" s="36"/>
      <c r="G17" s="36"/>
      <c r="H17" s="36"/>
      <c r="I17" s="36"/>
      <c r="J17" s="36"/>
      <c r="K17" s="36"/>
      <c r="L17" s="36"/>
      <c r="M17" s="37"/>
    </row>
    <row r="18" spans="1:13" x14ac:dyDescent="0.25">
      <c r="A18" s="39" t="s">
        <v>20</v>
      </c>
      <c r="B18" s="36"/>
      <c r="C18" s="36"/>
      <c r="D18" s="36"/>
      <c r="E18" s="36"/>
      <c r="F18" s="36"/>
      <c r="G18" s="36"/>
      <c r="H18" s="36"/>
      <c r="I18" s="36"/>
      <c r="J18" s="36"/>
      <c r="K18" s="36"/>
      <c r="L18" s="36"/>
      <c r="M18" s="37"/>
    </row>
    <row r="19" spans="1:13" x14ac:dyDescent="0.25">
      <c r="A19" s="39" t="s">
        <v>21</v>
      </c>
      <c r="B19" s="36"/>
      <c r="C19" s="36"/>
      <c r="D19" s="36"/>
      <c r="E19" s="36"/>
      <c r="F19" s="36"/>
      <c r="G19" s="36"/>
      <c r="H19" s="36"/>
      <c r="I19" s="36"/>
      <c r="J19" s="36"/>
      <c r="K19" s="36"/>
      <c r="L19" s="36"/>
      <c r="M19" s="37"/>
    </row>
    <row r="20" spans="1:13" x14ac:dyDescent="0.25">
      <c r="A20" s="39"/>
      <c r="B20" s="36"/>
      <c r="C20" s="36"/>
      <c r="D20" s="36"/>
      <c r="E20" s="36"/>
      <c r="F20" s="36"/>
      <c r="G20" s="36"/>
      <c r="H20" s="36"/>
      <c r="I20" s="36"/>
      <c r="J20" s="36"/>
      <c r="K20" s="36"/>
      <c r="L20" s="36"/>
      <c r="M20" s="37"/>
    </row>
    <row r="21" spans="1:13" x14ac:dyDescent="0.25">
      <c r="A21" s="39"/>
      <c r="B21" s="36"/>
      <c r="C21" s="36"/>
      <c r="D21" s="36"/>
      <c r="E21" s="36"/>
      <c r="F21" s="36"/>
      <c r="G21" s="36"/>
      <c r="H21" s="36"/>
      <c r="I21" s="36"/>
      <c r="J21" s="36"/>
      <c r="K21" s="36"/>
      <c r="L21" s="36"/>
      <c r="M21" s="37"/>
    </row>
    <row r="22" spans="1:13" x14ac:dyDescent="0.25">
      <c r="A22" s="39"/>
      <c r="B22" s="36"/>
      <c r="C22" s="36"/>
      <c r="D22" s="36"/>
      <c r="E22" s="36"/>
      <c r="F22" s="36"/>
      <c r="G22" s="36"/>
      <c r="H22" s="36"/>
      <c r="I22" s="36"/>
      <c r="J22" s="36"/>
      <c r="K22" s="36"/>
      <c r="L22" s="36"/>
      <c r="M22" s="37"/>
    </row>
    <row r="23" spans="1:13" x14ac:dyDescent="0.25">
      <c r="A23" s="40"/>
      <c r="B23" s="41"/>
      <c r="C23" s="41"/>
      <c r="D23" s="41"/>
      <c r="E23" s="41"/>
      <c r="F23" s="41"/>
      <c r="G23" s="41"/>
      <c r="H23" s="41"/>
      <c r="I23" s="41"/>
      <c r="J23" s="41"/>
      <c r="K23" s="41"/>
      <c r="L23" s="41"/>
      <c r="M23" s="42"/>
    </row>
    <row r="25" spans="1:13" ht="21" x14ac:dyDescent="0.25">
      <c r="A25" s="46" t="s">
        <v>772</v>
      </c>
    </row>
    <row r="26" spans="1:13" ht="21" x14ac:dyDescent="0.35">
      <c r="A26" s="47" t="s">
        <v>773</v>
      </c>
    </row>
    <row r="27" spans="1:13" x14ac:dyDescent="0.25">
      <c r="G27" s="43"/>
    </row>
    <row r="28" spans="1:13" x14ac:dyDescent="0.25">
      <c r="A28" t="s">
        <v>770</v>
      </c>
      <c r="G28" s="43"/>
      <c r="H28" s="43"/>
    </row>
    <row r="29" spans="1:13" x14ac:dyDescent="0.25">
      <c r="A29" t="s">
        <v>771</v>
      </c>
      <c r="H29" s="43"/>
    </row>
    <row r="30" spans="1:13" x14ac:dyDescent="0.25">
      <c r="A30" s="2" t="s">
        <v>8</v>
      </c>
      <c r="G30" s="43"/>
    </row>
    <row r="31" spans="1:13" x14ac:dyDescent="0.25">
      <c r="A31" s="1" t="s">
        <v>9</v>
      </c>
      <c r="G31" s="43"/>
    </row>
    <row r="32" spans="1:13" x14ac:dyDescent="0.25">
      <c r="A32" s="2" t="s">
        <v>16</v>
      </c>
    </row>
    <row r="33" spans="1:6" x14ac:dyDescent="0.25">
      <c r="A33" s="1" t="s">
        <v>17</v>
      </c>
    </row>
    <row r="34" spans="1:6" x14ac:dyDescent="0.25">
      <c r="A34" s="2" t="s">
        <v>18</v>
      </c>
    </row>
    <row r="35" spans="1:6" x14ac:dyDescent="0.25">
      <c r="A35" s="1" t="s">
        <v>19</v>
      </c>
    </row>
    <row r="36" spans="1:6" x14ac:dyDescent="0.25">
      <c r="A36" s="2" t="s">
        <v>49</v>
      </c>
    </row>
    <row r="37" spans="1:6" x14ac:dyDescent="0.25">
      <c r="A37" s="1" t="s">
        <v>51</v>
      </c>
    </row>
    <row r="38" spans="1:6" x14ac:dyDescent="0.25">
      <c r="A38" s="2" t="s">
        <v>6</v>
      </c>
    </row>
    <row r="39" spans="1:6" x14ac:dyDescent="0.25">
      <c r="A39" s="3" t="s">
        <v>22</v>
      </c>
      <c r="B39" s="4">
        <v>1</v>
      </c>
      <c r="C39" s="4">
        <v>6</v>
      </c>
      <c r="D39" s="4">
        <v>1</v>
      </c>
      <c r="F39">
        <v>50</v>
      </c>
    </row>
    <row r="40" spans="1:6" x14ac:dyDescent="0.25">
      <c r="A40" s="3" t="s">
        <v>23</v>
      </c>
      <c r="B40" s="4">
        <v>5</v>
      </c>
      <c r="C40" s="4">
        <v>15</v>
      </c>
      <c r="D40" s="4">
        <v>10</v>
      </c>
    </row>
    <row r="41" spans="1:6" x14ac:dyDescent="0.25">
      <c r="A41" s="4"/>
      <c r="B41" s="5" t="s">
        <v>24</v>
      </c>
      <c r="C41" s="5" t="s">
        <v>25</v>
      </c>
      <c r="D41" s="5" t="s">
        <v>26</v>
      </c>
    </row>
    <row r="42" spans="1:6" x14ac:dyDescent="0.25">
      <c r="A42" s="5" t="s">
        <v>27</v>
      </c>
      <c r="B42" s="4">
        <v>6</v>
      </c>
      <c r="C42" s="4">
        <v>7</v>
      </c>
      <c r="D42" s="4">
        <v>9</v>
      </c>
    </row>
    <row r="46" spans="1:6" x14ac:dyDescent="0.25">
      <c r="A46" s="2" t="s">
        <v>8</v>
      </c>
    </row>
    <row r="47" spans="1:6" x14ac:dyDescent="0.25">
      <c r="A47" s="1" t="s">
        <v>10</v>
      </c>
    </row>
    <row r="48" spans="1:6" x14ac:dyDescent="0.25">
      <c r="A48" s="2" t="s">
        <v>18</v>
      </c>
    </row>
    <row r="49" spans="1:10" x14ac:dyDescent="0.25">
      <c r="A49" s="1" t="s">
        <v>20</v>
      </c>
    </row>
    <row r="50" spans="1:10" x14ac:dyDescent="0.25">
      <c r="A50" s="5" t="s">
        <v>28</v>
      </c>
      <c r="B50" s="4" t="s">
        <v>29</v>
      </c>
    </row>
    <row r="51" spans="1:10" x14ac:dyDescent="0.25">
      <c r="A51" s="5" t="s">
        <v>30</v>
      </c>
      <c r="B51" s="4"/>
      <c r="D51" t="s">
        <v>776</v>
      </c>
    </row>
    <row r="54" spans="1:10" x14ac:dyDescent="0.25">
      <c r="A54" s="2" t="s">
        <v>8</v>
      </c>
    </row>
    <row r="55" spans="1:10" x14ac:dyDescent="0.25">
      <c r="A55" s="1" t="s">
        <v>11</v>
      </c>
    </row>
    <row r="56" spans="1:10" ht="30" x14ac:dyDescent="0.25">
      <c r="C56" s="2" t="s">
        <v>31</v>
      </c>
      <c r="D56" s="2" t="s">
        <v>32</v>
      </c>
      <c r="E56" s="6" t="s">
        <v>33</v>
      </c>
    </row>
    <row r="57" spans="1:10" x14ac:dyDescent="0.25">
      <c r="A57" s="48" t="s">
        <v>34</v>
      </c>
      <c r="C57" s="5" t="s">
        <v>34</v>
      </c>
      <c r="D57" s="5" t="s">
        <v>34</v>
      </c>
      <c r="E57" s="5" t="s">
        <v>34</v>
      </c>
      <c r="G57" t="s">
        <v>754</v>
      </c>
    </row>
    <row r="58" spans="1:10" x14ac:dyDescent="0.25">
      <c r="A58" s="49" t="s">
        <v>35</v>
      </c>
      <c r="C58" s="4"/>
      <c r="D58" s="4"/>
      <c r="E58" s="4"/>
      <c r="G58" s="2" t="s">
        <v>755</v>
      </c>
      <c r="H58" s="2" t="s">
        <v>756</v>
      </c>
      <c r="I58" s="2" t="s">
        <v>757</v>
      </c>
      <c r="J58" s="2" t="s">
        <v>758</v>
      </c>
    </row>
    <row r="59" spans="1:10" x14ac:dyDescent="0.25">
      <c r="A59" s="50" t="s">
        <v>36</v>
      </c>
      <c r="G59" t="s">
        <v>37</v>
      </c>
      <c r="H59" t="s">
        <v>760</v>
      </c>
      <c r="I59" t="s">
        <v>35</v>
      </c>
      <c r="J59" t="s">
        <v>764</v>
      </c>
    </row>
    <row r="60" spans="1:10" x14ac:dyDescent="0.25">
      <c r="A60" s="49" t="s">
        <v>37</v>
      </c>
      <c r="C60" s="5" t="s">
        <v>38</v>
      </c>
      <c r="D60" s="7"/>
      <c r="G60" t="s">
        <v>39</v>
      </c>
      <c r="H60" t="s">
        <v>761</v>
      </c>
      <c r="I60" t="s">
        <v>762</v>
      </c>
      <c r="J60" t="s">
        <v>765</v>
      </c>
    </row>
    <row r="61" spans="1:10" x14ac:dyDescent="0.25">
      <c r="A61" s="51" t="s">
        <v>39</v>
      </c>
      <c r="C61" s="4"/>
      <c r="G61" t="s">
        <v>759</v>
      </c>
      <c r="I61" t="s">
        <v>763</v>
      </c>
      <c r="J61" t="s">
        <v>766</v>
      </c>
    </row>
    <row r="62" spans="1:10" x14ac:dyDescent="0.25">
      <c r="J62" t="s">
        <v>767</v>
      </c>
    </row>
    <row r="63" spans="1:10" x14ac:dyDescent="0.25">
      <c r="A63" s="56"/>
      <c r="G63" s="27" t="s">
        <v>768</v>
      </c>
      <c r="H63" s="27" t="s">
        <v>769</v>
      </c>
    </row>
    <row r="64" spans="1:10" x14ac:dyDescent="0.25">
      <c r="G64" s="4"/>
      <c r="H64" s="4"/>
    </row>
    <row r="66" spans="2:7" x14ac:dyDescent="0.25">
      <c r="B66" s="2" t="s">
        <v>8</v>
      </c>
      <c r="G66" t="s">
        <v>779</v>
      </c>
    </row>
    <row r="67" spans="2:7" x14ac:dyDescent="0.25">
      <c r="B67" s="1" t="s">
        <v>12</v>
      </c>
      <c r="G67" t="s">
        <v>780</v>
      </c>
    </row>
    <row r="68" spans="2:7" x14ac:dyDescent="0.25">
      <c r="B68" s="1" t="s">
        <v>13</v>
      </c>
    </row>
    <row r="69" spans="2:7" x14ac:dyDescent="0.25">
      <c r="B69" s="1" t="s">
        <v>14</v>
      </c>
    </row>
    <row r="70" spans="2:7" x14ac:dyDescent="0.25">
      <c r="B70" s="3" t="s">
        <v>40</v>
      </c>
      <c r="C70" s="8">
        <v>41640</v>
      </c>
      <c r="D70" s="8">
        <f>C71+1</f>
        <v>41671</v>
      </c>
      <c r="E70" s="8">
        <f>D71+1</f>
        <v>41699</v>
      </c>
    </row>
    <row r="71" spans="2:7" x14ac:dyDescent="0.25">
      <c r="B71" s="3" t="s">
        <v>41</v>
      </c>
      <c r="C71" s="8">
        <f>EOMONTH(C70,0)</f>
        <v>41670</v>
      </c>
      <c r="D71" s="8">
        <f t="shared" ref="D71:E71" si="0">EOMONTH(D70,0)</f>
        <v>41698</v>
      </c>
      <c r="E71" s="8">
        <f t="shared" si="0"/>
        <v>41729</v>
      </c>
    </row>
    <row r="72" spans="2:7" x14ac:dyDescent="0.25">
      <c r="B72" s="4"/>
      <c r="C72" s="9">
        <f t="shared" ref="C72:E72" si="1">C70</f>
        <v>41640</v>
      </c>
      <c r="D72" s="9">
        <f t="shared" si="1"/>
        <v>41671</v>
      </c>
      <c r="E72" s="9">
        <f t="shared" si="1"/>
        <v>41699</v>
      </c>
    </row>
    <row r="73" spans="2:7" x14ac:dyDescent="0.25">
      <c r="B73" s="5" t="s">
        <v>42</v>
      </c>
      <c r="C73" s="8"/>
      <c r="D73" s="4"/>
      <c r="E73" s="4"/>
    </row>
    <row r="74" spans="2:7" x14ac:dyDescent="0.25">
      <c r="B74" s="5" t="s">
        <v>43</v>
      </c>
      <c r="C74" s="32"/>
      <c r="D74" s="4"/>
      <c r="E74" s="4"/>
    </row>
    <row r="75" spans="2:7" x14ac:dyDescent="0.25">
      <c r="B75" s="5" t="s">
        <v>44</v>
      </c>
      <c r="C75" s="4"/>
      <c r="D75" s="4"/>
      <c r="E75" s="4"/>
    </row>
    <row r="78" spans="2:7" x14ac:dyDescent="0.25">
      <c r="B78" s="2" t="s">
        <v>8</v>
      </c>
    </row>
    <row r="79" spans="2:7" x14ac:dyDescent="0.25">
      <c r="B79" s="1" t="s">
        <v>15</v>
      </c>
    </row>
    <row r="80" spans="2:7" x14ac:dyDescent="0.25">
      <c r="B80" s="5" t="s">
        <v>34</v>
      </c>
      <c r="C80" s="5" t="s">
        <v>30</v>
      </c>
      <c r="D80" s="5" t="s">
        <v>45</v>
      </c>
    </row>
    <row r="81" spans="2:4" x14ac:dyDescent="0.25">
      <c r="B81" s="4" t="s">
        <v>35</v>
      </c>
      <c r="C81" s="4">
        <v>9.5</v>
      </c>
      <c r="D81" s="4"/>
    </row>
    <row r="82" spans="2:4" x14ac:dyDescent="0.25">
      <c r="B82" s="4" t="s">
        <v>36</v>
      </c>
      <c r="C82" s="4">
        <v>7.15</v>
      </c>
      <c r="D82" s="4"/>
    </row>
    <row r="83" spans="2:4" x14ac:dyDescent="0.25">
      <c r="B83" s="4" t="s">
        <v>37</v>
      </c>
      <c r="C83" s="4">
        <v>13.35</v>
      </c>
      <c r="D83" s="4"/>
    </row>
    <row r="84" spans="2:4" x14ac:dyDescent="0.25">
      <c r="B84" s="4" t="s">
        <v>39</v>
      </c>
      <c r="C84" s="4">
        <v>11.75</v>
      </c>
      <c r="D84" s="4"/>
    </row>
    <row r="86" spans="2:4" x14ac:dyDescent="0.25">
      <c r="B86" s="5" t="s">
        <v>34</v>
      </c>
      <c r="D86" t="s">
        <v>777</v>
      </c>
    </row>
    <row r="87" spans="2:4" x14ac:dyDescent="0.25">
      <c r="B87" s="4" t="s">
        <v>35</v>
      </c>
    </row>
    <row r="88" spans="2:4" x14ac:dyDescent="0.25">
      <c r="B88" s="4" t="s">
        <v>36</v>
      </c>
    </row>
    <row r="89" spans="2:4" x14ac:dyDescent="0.25">
      <c r="B89" s="4" t="s">
        <v>37</v>
      </c>
    </row>
    <row r="90" spans="2:4" x14ac:dyDescent="0.25">
      <c r="B90" s="4" t="s">
        <v>39</v>
      </c>
    </row>
    <row r="91" spans="2:4" x14ac:dyDescent="0.25">
      <c r="B91" s="4"/>
    </row>
    <row r="92" spans="2:4" x14ac:dyDescent="0.25">
      <c r="B92" s="4"/>
    </row>
    <row r="93" spans="2:4" x14ac:dyDescent="0.25">
      <c r="B93" s="4"/>
    </row>
    <row r="94" spans="2:4" x14ac:dyDescent="0.25">
      <c r="B94" s="4"/>
    </row>
    <row r="96" spans="2:4" x14ac:dyDescent="0.25">
      <c r="B96" t="s">
        <v>46</v>
      </c>
    </row>
    <row r="97" spans="2:2" x14ac:dyDescent="0.25">
      <c r="B97" s="10" t="s">
        <v>47</v>
      </c>
    </row>
    <row r="98" spans="2:2" x14ac:dyDescent="0.25">
      <c r="B98" s="10" t="s">
        <v>48</v>
      </c>
    </row>
  </sheetData>
  <dataValidations count="1">
    <dataValidation type="whole" allowBlank="1" showInputMessage="1" showErrorMessage="1" promptTitle="Whole Numbers" prompt="Whole Numbers Between Limits" sqref="B42:D42">
      <formula1>B39</formula1>
      <formula2>B40</formula2>
    </dataValidation>
  </dataValidations>
  <hyperlinks>
    <hyperlink ref="B97" r:id="rId1"/>
    <hyperlink ref="B98" r:id="rId2"/>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98"/>
  <sheetViews>
    <sheetView topLeftCell="A28" zoomScale="85" zoomScaleNormal="85" workbookViewId="0">
      <selection activeCell="H27" sqref="H27"/>
    </sheetView>
  </sheetViews>
  <sheetFormatPr defaultRowHeight="15" x14ac:dyDescent="0.25"/>
  <cols>
    <col min="1" max="1" width="11.85546875" customWidth="1"/>
    <col min="2" max="4" width="13.42578125" customWidth="1"/>
    <col min="5" max="5" width="16" customWidth="1"/>
    <col min="7" max="10" width="17.140625" customWidth="1"/>
  </cols>
  <sheetData>
    <row r="1" spans="1:13" x14ac:dyDescent="0.25">
      <c r="A1" s="45" t="s">
        <v>50</v>
      </c>
      <c r="B1" s="34"/>
      <c r="C1" s="34"/>
      <c r="D1" s="34"/>
      <c r="E1" s="34"/>
      <c r="F1" s="34"/>
      <c r="G1" s="34"/>
      <c r="H1" s="34"/>
      <c r="I1" s="34"/>
      <c r="J1" s="34"/>
      <c r="K1" s="34"/>
      <c r="L1" s="34"/>
      <c r="M1" s="35"/>
    </row>
    <row r="2" spans="1:13" x14ac:dyDescent="0.25">
      <c r="A2" s="44" t="s">
        <v>49</v>
      </c>
      <c r="B2" s="36"/>
      <c r="C2" s="36"/>
      <c r="D2" s="36"/>
      <c r="E2" s="36"/>
      <c r="F2" s="36"/>
      <c r="G2" s="36"/>
      <c r="H2" s="36"/>
      <c r="I2" s="36"/>
      <c r="J2" s="36"/>
      <c r="K2" s="36"/>
      <c r="L2" s="36"/>
      <c r="M2" s="37"/>
    </row>
    <row r="3" spans="1:13" x14ac:dyDescent="0.25">
      <c r="A3" s="38" t="s">
        <v>51</v>
      </c>
      <c r="B3" s="36"/>
      <c r="C3" s="36"/>
      <c r="D3" s="36"/>
      <c r="E3" s="36"/>
      <c r="F3" s="36"/>
      <c r="G3" s="36"/>
      <c r="H3" s="36"/>
      <c r="I3" s="36"/>
      <c r="J3" s="36"/>
      <c r="K3" s="36"/>
      <c r="L3" s="36"/>
      <c r="M3" s="37"/>
    </row>
    <row r="4" spans="1:13" x14ac:dyDescent="0.25">
      <c r="A4" s="44" t="s">
        <v>6</v>
      </c>
      <c r="B4" s="36"/>
      <c r="C4" s="36"/>
      <c r="D4" s="36"/>
      <c r="E4" s="36"/>
      <c r="F4" s="36"/>
      <c r="G4" s="36"/>
      <c r="H4" s="36"/>
      <c r="I4" s="36"/>
      <c r="J4" s="36"/>
      <c r="K4" s="36"/>
      <c r="L4" s="36"/>
      <c r="M4" s="37"/>
    </row>
    <row r="5" spans="1:13" x14ac:dyDescent="0.25">
      <c r="A5" s="44" t="s">
        <v>7</v>
      </c>
      <c r="B5" s="36"/>
      <c r="C5" s="36"/>
      <c r="D5" s="36"/>
      <c r="E5" s="36"/>
      <c r="F5" s="36"/>
      <c r="G5" s="36"/>
      <c r="H5" s="36"/>
      <c r="I5" s="36"/>
      <c r="J5" s="36"/>
      <c r="K5" s="36"/>
      <c r="L5" s="36"/>
      <c r="M5" s="37"/>
    </row>
    <row r="6" spans="1:13" x14ac:dyDescent="0.25">
      <c r="A6" s="44" t="s">
        <v>8</v>
      </c>
      <c r="B6" s="36"/>
      <c r="C6" s="36"/>
      <c r="D6" s="36"/>
      <c r="E6" s="36"/>
      <c r="F6" s="36"/>
      <c r="G6" s="36"/>
      <c r="H6" s="36"/>
      <c r="I6" s="36"/>
      <c r="J6" s="36"/>
      <c r="K6" s="36"/>
      <c r="L6" s="36"/>
      <c r="M6" s="37"/>
    </row>
    <row r="7" spans="1:13" x14ac:dyDescent="0.25">
      <c r="A7" s="39" t="s">
        <v>9</v>
      </c>
      <c r="B7" s="36"/>
      <c r="C7" s="36"/>
      <c r="D7" s="36"/>
      <c r="E7" s="36"/>
      <c r="F7" s="36"/>
      <c r="G7" s="36"/>
      <c r="H7" s="36"/>
      <c r="I7" s="36"/>
      <c r="J7" s="36"/>
      <c r="K7" s="36"/>
      <c r="L7" s="36"/>
      <c r="M7" s="37"/>
    </row>
    <row r="8" spans="1:13" x14ac:dyDescent="0.25">
      <c r="A8" s="39" t="s">
        <v>10</v>
      </c>
      <c r="B8" s="36"/>
      <c r="C8" s="36"/>
      <c r="D8" s="36"/>
      <c r="E8" s="36"/>
      <c r="F8" s="36"/>
      <c r="G8" s="36"/>
      <c r="H8" s="36"/>
      <c r="I8" s="36"/>
      <c r="J8" s="36"/>
      <c r="K8" s="36"/>
      <c r="L8" s="36"/>
      <c r="M8" s="37"/>
    </row>
    <row r="9" spans="1:13" x14ac:dyDescent="0.25">
      <c r="A9" s="39" t="s">
        <v>11</v>
      </c>
      <c r="B9" s="36"/>
      <c r="C9" s="36"/>
      <c r="D9" s="36"/>
      <c r="E9" s="36"/>
      <c r="F9" s="36"/>
      <c r="G9" s="36"/>
      <c r="H9" s="36"/>
      <c r="I9" s="36"/>
      <c r="J9" s="36"/>
      <c r="K9" s="36"/>
      <c r="L9" s="36"/>
      <c r="M9" s="37"/>
    </row>
    <row r="10" spans="1:13" x14ac:dyDescent="0.25">
      <c r="A10" s="39" t="s">
        <v>12</v>
      </c>
      <c r="B10" s="36"/>
      <c r="C10" s="36"/>
      <c r="D10" s="36"/>
      <c r="E10" s="36"/>
      <c r="F10" s="36"/>
      <c r="G10" s="36"/>
      <c r="H10" s="36"/>
      <c r="I10" s="36"/>
      <c r="J10" s="36"/>
      <c r="K10" s="36"/>
      <c r="L10" s="36"/>
      <c r="M10" s="37"/>
    </row>
    <row r="11" spans="1:13" x14ac:dyDescent="0.25">
      <c r="A11" s="39" t="s">
        <v>13</v>
      </c>
      <c r="B11" s="36"/>
      <c r="C11" s="36"/>
      <c r="D11" s="36"/>
      <c r="E11" s="36"/>
      <c r="F11" s="36"/>
      <c r="G11" s="36"/>
      <c r="H11" s="36"/>
      <c r="I11" s="36"/>
      <c r="J11" s="36"/>
      <c r="K11" s="36"/>
      <c r="L11" s="36"/>
      <c r="M11" s="37"/>
    </row>
    <row r="12" spans="1:13" x14ac:dyDescent="0.25">
      <c r="A12" s="39" t="s">
        <v>14</v>
      </c>
      <c r="B12" s="36"/>
      <c r="C12" s="36"/>
      <c r="D12" s="36"/>
      <c r="E12" s="36"/>
      <c r="F12" s="36"/>
      <c r="G12" s="36"/>
      <c r="H12" s="36"/>
      <c r="I12" s="36"/>
      <c r="J12" s="36"/>
      <c r="K12" s="36"/>
      <c r="L12" s="36"/>
      <c r="M12" s="37"/>
    </row>
    <row r="13" spans="1:13" x14ac:dyDescent="0.25">
      <c r="A13" s="39" t="s">
        <v>15</v>
      </c>
      <c r="B13" s="36"/>
      <c r="C13" s="36"/>
      <c r="D13" s="36"/>
      <c r="E13" s="36"/>
      <c r="F13" s="36"/>
      <c r="G13" s="36"/>
      <c r="H13" s="36"/>
      <c r="I13" s="36"/>
      <c r="J13" s="36"/>
      <c r="K13" s="36"/>
      <c r="L13" s="36"/>
      <c r="M13" s="37"/>
    </row>
    <row r="14" spans="1:13" x14ac:dyDescent="0.25">
      <c r="A14" s="44" t="s">
        <v>16</v>
      </c>
      <c r="B14" s="36"/>
      <c r="C14" s="36"/>
      <c r="D14" s="36"/>
      <c r="E14" s="36"/>
      <c r="F14" s="36"/>
      <c r="G14" s="36"/>
      <c r="H14" s="36"/>
      <c r="I14" s="36"/>
      <c r="J14" s="36"/>
      <c r="K14" s="36"/>
      <c r="L14" s="36"/>
      <c r="M14" s="37"/>
    </row>
    <row r="15" spans="1:13" x14ac:dyDescent="0.25">
      <c r="A15" s="39" t="s">
        <v>17</v>
      </c>
      <c r="B15" s="36"/>
      <c r="C15" s="36"/>
      <c r="D15" s="36"/>
      <c r="E15" s="36"/>
      <c r="F15" s="36"/>
      <c r="G15" s="36"/>
      <c r="H15" s="36"/>
      <c r="I15" s="36"/>
      <c r="J15" s="36"/>
      <c r="K15" s="36"/>
      <c r="L15" s="36"/>
      <c r="M15" s="37"/>
    </row>
    <row r="16" spans="1:13" x14ac:dyDescent="0.25">
      <c r="A16" s="44" t="s">
        <v>18</v>
      </c>
      <c r="B16" s="36"/>
      <c r="C16" s="36"/>
      <c r="D16" s="36"/>
      <c r="E16" s="36"/>
      <c r="F16" s="36"/>
      <c r="G16" s="36"/>
      <c r="H16" s="36"/>
      <c r="I16" s="36"/>
      <c r="J16" s="36"/>
      <c r="K16" s="36"/>
      <c r="L16" s="36"/>
      <c r="M16" s="37"/>
    </row>
    <row r="17" spans="1:13" x14ac:dyDescent="0.25">
      <c r="A17" s="39" t="s">
        <v>19</v>
      </c>
      <c r="B17" s="36"/>
      <c r="C17" s="36"/>
      <c r="D17" s="36"/>
      <c r="E17" s="36"/>
      <c r="F17" s="36"/>
      <c r="G17" s="36"/>
      <c r="H17" s="36"/>
      <c r="I17" s="36"/>
      <c r="J17" s="36"/>
      <c r="K17" s="36"/>
      <c r="L17" s="36"/>
      <c r="M17" s="37"/>
    </row>
    <row r="18" spans="1:13" x14ac:dyDescent="0.25">
      <c r="A18" s="39" t="s">
        <v>20</v>
      </c>
      <c r="B18" s="36"/>
      <c r="C18" s="36"/>
      <c r="D18" s="36"/>
      <c r="E18" s="36"/>
      <c r="F18" s="36"/>
      <c r="G18" s="36"/>
      <c r="H18" s="36"/>
      <c r="I18" s="36"/>
      <c r="J18" s="36"/>
      <c r="K18" s="36"/>
      <c r="L18" s="36"/>
      <c r="M18" s="37"/>
    </row>
    <row r="19" spans="1:13" x14ac:dyDescent="0.25">
      <c r="A19" s="39" t="s">
        <v>21</v>
      </c>
      <c r="B19" s="36"/>
      <c r="C19" s="36"/>
      <c r="D19" s="36"/>
      <c r="E19" s="36"/>
      <c r="F19" s="36"/>
      <c r="G19" s="36"/>
      <c r="H19" s="36"/>
      <c r="I19" s="36"/>
      <c r="J19" s="36"/>
      <c r="K19" s="36"/>
      <c r="L19" s="36"/>
      <c r="M19" s="37"/>
    </row>
    <row r="20" spans="1:13" x14ac:dyDescent="0.25">
      <c r="A20" s="39"/>
      <c r="B20" s="36"/>
      <c r="C20" s="36"/>
      <c r="D20" s="36"/>
      <c r="E20" s="36"/>
      <c r="F20" s="36"/>
      <c r="G20" s="36"/>
      <c r="H20" s="36"/>
      <c r="I20" s="36"/>
      <c r="J20" s="36"/>
      <c r="K20" s="36"/>
      <c r="L20" s="36"/>
      <c r="M20" s="37"/>
    </row>
    <row r="21" spans="1:13" x14ac:dyDescent="0.25">
      <c r="A21" s="39"/>
      <c r="B21" s="36"/>
      <c r="C21" s="36"/>
      <c r="D21" s="36"/>
      <c r="E21" s="36"/>
      <c r="F21" s="36"/>
      <c r="G21" s="36"/>
      <c r="H21" s="36"/>
      <c r="I21" s="36"/>
      <c r="J21" s="36"/>
      <c r="K21" s="36"/>
      <c r="L21" s="36"/>
      <c r="M21" s="37"/>
    </row>
    <row r="22" spans="1:13" x14ac:dyDescent="0.25">
      <c r="A22" s="39"/>
      <c r="B22" s="36"/>
      <c r="C22" s="36"/>
      <c r="D22" s="36"/>
      <c r="E22" s="36"/>
      <c r="F22" s="36"/>
      <c r="G22" s="36"/>
      <c r="H22" s="36"/>
      <c r="I22" s="36"/>
      <c r="J22" s="36"/>
      <c r="K22" s="36"/>
      <c r="L22" s="36"/>
      <c r="M22" s="37"/>
    </row>
    <row r="23" spans="1:13" x14ac:dyDescent="0.25">
      <c r="A23" s="40"/>
      <c r="B23" s="41"/>
      <c r="C23" s="41"/>
      <c r="D23" s="41"/>
      <c r="E23" s="41"/>
      <c r="F23" s="41"/>
      <c r="G23" s="41"/>
      <c r="H23" s="41"/>
      <c r="I23" s="41"/>
      <c r="J23" s="41"/>
      <c r="K23" s="41"/>
      <c r="L23" s="41"/>
      <c r="M23" s="42"/>
    </row>
    <row r="25" spans="1:13" ht="21" x14ac:dyDescent="0.25">
      <c r="A25" s="46" t="s">
        <v>772</v>
      </c>
    </row>
    <row r="26" spans="1:13" ht="21" x14ac:dyDescent="0.35">
      <c r="A26" s="47" t="s">
        <v>773</v>
      </c>
    </row>
    <row r="27" spans="1:13" x14ac:dyDescent="0.25">
      <c r="G27" s="43"/>
    </row>
    <row r="28" spans="1:13" x14ac:dyDescent="0.25">
      <c r="A28" t="s">
        <v>770</v>
      </c>
      <c r="G28" s="43"/>
      <c r="H28" s="43"/>
    </row>
    <row r="29" spans="1:13" x14ac:dyDescent="0.25">
      <c r="A29" t="s">
        <v>771</v>
      </c>
      <c r="H29" s="43"/>
    </row>
    <row r="30" spans="1:13" x14ac:dyDescent="0.25">
      <c r="A30" s="2" t="s">
        <v>8</v>
      </c>
      <c r="G30" s="43"/>
    </row>
    <row r="31" spans="1:13" x14ac:dyDescent="0.25">
      <c r="A31" s="1" t="s">
        <v>9</v>
      </c>
      <c r="G31" s="43"/>
    </row>
    <row r="32" spans="1:13" x14ac:dyDescent="0.25">
      <c r="A32" s="2" t="s">
        <v>16</v>
      </c>
    </row>
    <row r="33" spans="1:6" x14ac:dyDescent="0.25">
      <c r="A33" s="1" t="s">
        <v>17</v>
      </c>
    </row>
    <row r="34" spans="1:6" x14ac:dyDescent="0.25">
      <c r="A34" s="2" t="s">
        <v>18</v>
      </c>
    </row>
    <row r="35" spans="1:6" x14ac:dyDescent="0.25">
      <c r="A35" s="1" t="s">
        <v>19</v>
      </c>
    </row>
    <row r="36" spans="1:6" x14ac:dyDescent="0.25">
      <c r="A36" s="2" t="s">
        <v>49</v>
      </c>
    </row>
    <row r="37" spans="1:6" x14ac:dyDescent="0.25">
      <c r="A37" s="1" t="s">
        <v>51</v>
      </c>
    </row>
    <row r="38" spans="1:6" x14ac:dyDescent="0.25">
      <c r="A38" s="2" t="s">
        <v>6</v>
      </c>
    </row>
    <row r="39" spans="1:6" x14ac:dyDescent="0.25">
      <c r="A39" s="3" t="s">
        <v>22</v>
      </c>
      <c r="B39" s="4">
        <v>1</v>
      </c>
      <c r="C39" s="4">
        <v>6</v>
      </c>
      <c r="D39" s="4">
        <v>1</v>
      </c>
      <c r="F39">
        <v>50</v>
      </c>
    </row>
    <row r="40" spans="1:6" x14ac:dyDescent="0.25">
      <c r="A40" s="3" t="s">
        <v>23</v>
      </c>
      <c r="B40" s="4">
        <v>5</v>
      </c>
      <c r="C40" s="4">
        <v>15</v>
      </c>
      <c r="D40" s="4">
        <v>10</v>
      </c>
    </row>
    <row r="41" spans="1:6" x14ac:dyDescent="0.25">
      <c r="A41" s="4"/>
      <c r="B41" s="5" t="s">
        <v>24</v>
      </c>
      <c r="C41" s="5" t="s">
        <v>25</v>
      </c>
      <c r="D41" s="5" t="s">
        <v>26</v>
      </c>
    </row>
    <row r="42" spans="1:6" x14ac:dyDescent="0.25">
      <c r="A42" s="5" t="s">
        <v>27</v>
      </c>
      <c r="B42" s="4">
        <v>5</v>
      </c>
      <c r="C42" s="4">
        <v>6</v>
      </c>
      <c r="D42" s="4"/>
    </row>
    <row r="46" spans="1:6" x14ac:dyDescent="0.25">
      <c r="A46" s="2" t="s">
        <v>8</v>
      </c>
    </row>
    <row r="47" spans="1:6" x14ac:dyDescent="0.25">
      <c r="A47" s="1" t="s">
        <v>10</v>
      </c>
    </row>
    <row r="48" spans="1:6" x14ac:dyDescent="0.25">
      <c r="A48" s="2" t="s">
        <v>18</v>
      </c>
    </row>
    <row r="49" spans="1:10" x14ac:dyDescent="0.25">
      <c r="A49" s="1" t="s">
        <v>20</v>
      </c>
    </row>
    <row r="50" spans="1:10" x14ac:dyDescent="0.25">
      <c r="A50" s="5" t="s">
        <v>28</v>
      </c>
      <c r="B50" s="4" t="s">
        <v>29</v>
      </c>
    </row>
    <row r="51" spans="1:10" x14ac:dyDescent="0.25">
      <c r="A51" s="5" t="s">
        <v>30</v>
      </c>
      <c r="B51" s="4">
        <v>19.510000000000002</v>
      </c>
      <c r="D51" t="s">
        <v>776</v>
      </c>
    </row>
    <row r="52" spans="1:10" x14ac:dyDescent="0.25">
      <c r="C52" t="s">
        <v>30</v>
      </c>
      <c r="D52">
        <v>19.510000000000002</v>
      </c>
    </row>
    <row r="54" spans="1:10" x14ac:dyDescent="0.25">
      <c r="A54" s="2" t="s">
        <v>8</v>
      </c>
    </row>
    <row r="55" spans="1:10" x14ac:dyDescent="0.25">
      <c r="A55" s="1" t="s">
        <v>11</v>
      </c>
    </row>
    <row r="56" spans="1:10" ht="30" x14ac:dyDescent="0.25">
      <c r="C56" s="2" t="s">
        <v>31</v>
      </c>
      <c r="D56" s="2" t="s">
        <v>32</v>
      </c>
      <c r="E56" s="6" t="s">
        <v>33</v>
      </c>
    </row>
    <row r="57" spans="1:10" x14ac:dyDescent="0.25">
      <c r="A57" s="55" t="s">
        <v>34</v>
      </c>
      <c r="C57" s="5" t="s">
        <v>34</v>
      </c>
      <c r="D57" s="5" t="s">
        <v>34</v>
      </c>
      <c r="E57" s="5" t="s">
        <v>34</v>
      </c>
      <c r="G57" t="s">
        <v>754</v>
      </c>
    </row>
    <row r="58" spans="1:10" x14ac:dyDescent="0.25">
      <c r="A58" s="54" t="s">
        <v>35</v>
      </c>
      <c r="C58" s="4" t="s">
        <v>778</v>
      </c>
      <c r="D58" s="4" t="s">
        <v>778</v>
      </c>
      <c r="E58" s="4" t="s">
        <v>37</v>
      </c>
      <c r="G58" s="2" t="s">
        <v>782</v>
      </c>
      <c r="H58" s="2" t="s">
        <v>783</v>
      </c>
      <c r="I58" s="2" t="s">
        <v>784</v>
      </c>
      <c r="J58" s="2" t="s">
        <v>785</v>
      </c>
    </row>
    <row r="59" spans="1:10" x14ac:dyDescent="0.25">
      <c r="A59" s="53" t="s">
        <v>36</v>
      </c>
      <c r="G59" t="s">
        <v>37</v>
      </c>
      <c r="H59" t="s">
        <v>760</v>
      </c>
      <c r="I59" t="s">
        <v>35</v>
      </c>
      <c r="J59" t="s">
        <v>764</v>
      </c>
    </row>
    <row r="60" spans="1:10" x14ac:dyDescent="0.25">
      <c r="A60" s="54" t="s">
        <v>37</v>
      </c>
      <c r="C60" s="5" t="s">
        <v>38</v>
      </c>
      <c r="D60" s="7"/>
      <c r="G60" t="s">
        <v>39</v>
      </c>
      <c r="H60" t="s">
        <v>761</v>
      </c>
      <c r="I60" t="s">
        <v>762</v>
      </c>
      <c r="J60" t="s">
        <v>765</v>
      </c>
    </row>
    <row r="61" spans="1:10" x14ac:dyDescent="0.25">
      <c r="A61" s="52" t="s">
        <v>39</v>
      </c>
      <c r="C61" s="4" t="s">
        <v>774</v>
      </c>
      <c r="G61" t="s">
        <v>759</v>
      </c>
      <c r="I61" t="s">
        <v>763</v>
      </c>
      <c r="J61" t="s">
        <v>766</v>
      </c>
    </row>
    <row r="62" spans="1:10" x14ac:dyDescent="0.25">
      <c r="A62" s="56" t="s">
        <v>778</v>
      </c>
      <c r="J62" t="s">
        <v>767</v>
      </c>
    </row>
    <row r="63" spans="1:10" x14ac:dyDescent="0.25">
      <c r="A63" s="56"/>
      <c r="G63" s="27" t="s">
        <v>768</v>
      </c>
      <c r="H63" s="27" t="s">
        <v>769</v>
      </c>
    </row>
    <row r="64" spans="1:10" x14ac:dyDescent="0.25">
      <c r="G64" s="4" t="s">
        <v>785</v>
      </c>
      <c r="H64" s="4" t="s">
        <v>766</v>
      </c>
    </row>
    <row r="66" spans="2:7" x14ac:dyDescent="0.25">
      <c r="B66" s="2" t="s">
        <v>8</v>
      </c>
      <c r="G66" t="s">
        <v>779</v>
      </c>
    </row>
    <row r="67" spans="2:7" x14ac:dyDescent="0.25">
      <c r="B67" s="1" t="s">
        <v>12</v>
      </c>
      <c r="G67" t="s">
        <v>780</v>
      </c>
    </row>
    <row r="68" spans="2:7" x14ac:dyDescent="0.25">
      <c r="B68" s="1" t="s">
        <v>13</v>
      </c>
    </row>
    <row r="69" spans="2:7" x14ac:dyDescent="0.25">
      <c r="B69" s="1" t="s">
        <v>14</v>
      </c>
    </row>
    <row r="70" spans="2:7" x14ac:dyDescent="0.25">
      <c r="B70" s="3" t="s">
        <v>40</v>
      </c>
      <c r="C70" s="8">
        <v>41640</v>
      </c>
      <c r="D70" s="8">
        <f>C71+1</f>
        <v>41671</v>
      </c>
      <c r="E70" s="8">
        <f>D71+1</f>
        <v>41699</v>
      </c>
    </row>
    <row r="71" spans="2:7" x14ac:dyDescent="0.25">
      <c r="B71" s="3" t="s">
        <v>41</v>
      </c>
      <c r="C71" s="8">
        <f>EOMONTH(C70,0)</f>
        <v>41670</v>
      </c>
      <c r="D71" s="8">
        <f t="shared" ref="D71:E71" si="0">EOMONTH(D70,0)</f>
        <v>41698</v>
      </c>
      <c r="E71" s="8">
        <f t="shared" si="0"/>
        <v>41729</v>
      </c>
    </row>
    <row r="72" spans="2:7" x14ac:dyDescent="0.25">
      <c r="B72" s="4"/>
      <c r="C72" s="9">
        <f t="shared" ref="C72:E72" si="1">C70</f>
        <v>41640</v>
      </c>
      <c r="D72" s="9">
        <f t="shared" si="1"/>
        <v>41671</v>
      </c>
      <c r="E72" s="9">
        <f t="shared" si="1"/>
        <v>41699</v>
      </c>
    </row>
    <row r="73" spans="2:7" x14ac:dyDescent="0.25">
      <c r="B73" s="5" t="s">
        <v>42</v>
      </c>
      <c r="C73" s="8">
        <v>41644</v>
      </c>
      <c r="D73" s="4"/>
      <c r="E73" s="4"/>
    </row>
    <row r="74" spans="2:7" x14ac:dyDescent="0.25">
      <c r="B74" s="5" t="s">
        <v>43</v>
      </c>
      <c r="C74" s="32">
        <v>0.33402777777777781</v>
      </c>
      <c r="D74" s="4"/>
      <c r="E74" s="4"/>
    </row>
    <row r="75" spans="2:7" x14ac:dyDescent="0.25">
      <c r="B75" s="5" t="s">
        <v>44</v>
      </c>
      <c r="C75" s="4" t="s">
        <v>775</v>
      </c>
      <c r="D75" s="4"/>
      <c r="E75" s="4"/>
    </row>
    <row r="78" spans="2:7" x14ac:dyDescent="0.25">
      <c r="B78" s="2" t="s">
        <v>8</v>
      </c>
    </row>
    <row r="79" spans="2:7" x14ac:dyDescent="0.25">
      <c r="B79" s="1" t="s">
        <v>15</v>
      </c>
    </row>
    <row r="80" spans="2:7" x14ac:dyDescent="0.25">
      <c r="B80" s="5" t="s">
        <v>34</v>
      </c>
      <c r="C80" s="5" t="s">
        <v>30</v>
      </c>
      <c r="D80" s="5" t="s">
        <v>45</v>
      </c>
    </row>
    <row r="81" spans="2:5" x14ac:dyDescent="0.25">
      <c r="B81" s="4" t="s">
        <v>35</v>
      </c>
      <c r="C81" s="4">
        <v>9.5</v>
      </c>
      <c r="D81" s="4">
        <v>19</v>
      </c>
    </row>
    <row r="82" spans="2:5" x14ac:dyDescent="0.25">
      <c r="B82" s="4" t="s">
        <v>36</v>
      </c>
      <c r="C82" s="4">
        <v>7.15</v>
      </c>
      <c r="D82" s="4">
        <v>14</v>
      </c>
    </row>
    <row r="83" spans="2:5" x14ac:dyDescent="0.25">
      <c r="B83" s="4" t="s">
        <v>37</v>
      </c>
      <c r="C83" s="4">
        <v>13.35</v>
      </c>
      <c r="D83" s="4"/>
    </row>
    <row r="84" spans="2:5" x14ac:dyDescent="0.25">
      <c r="B84" s="4" t="s">
        <v>39</v>
      </c>
      <c r="C84" s="4">
        <v>11.75</v>
      </c>
      <c r="D84" s="4"/>
    </row>
    <row r="86" spans="2:5" x14ac:dyDescent="0.25">
      <c r="B86" s="5" t="s">
        <v>34</v>
      </c>
      <c r="D86" t="s">
        <v>777</v>
      </c>
    </row>
    <row r="87" spans="2:5" x14ac:dyDescent="0.25">
      <c r="B87" s="4" t="s">
        <v>35</v>
      </c>
      <c r="E87" t="b">
        <f>COUNTIF($B$87:B87,B87)&lt;2</f>
        <v>1</v>
      </c>
    </row>
    <row r="88" spans="2:5" x14ac:dyDescent="0.25">
      <c r="B88" s="4" t="s">
        <v>36</v>
      </c>
      <c r="E88" t="b">
        <f>COUNTIF($B$87:B88,B88)&lt;2</f>
        <v>1</v>
      </c>
    </row>
    <row r="89" spans="2:5" x14ac:dyDescent="0.25">
      <c r="B89" s="4" t="s">
        <v>37</v>
      </c>
      <c r="E89" t="b">
        <f>COUNTIF($B$87:B89,B89)&lt;2</f>
        <v>1</v>
      </c>
    </row>
    <row r="90" spans="2:5" x14ac:dyDescent="0.25">
      <c r="B90" s="4" t="s">
        <v>39</v>
      </c>
      <c r="E90" t="b">
        <f>COUNTIF($B$87:B90,B90)&lt;2</f>
        <v>1</v>
      </c>
    </row>
    <row r="91" spans="2:5" x14ac:dyDescent="0.25">
      <c r="B91" s="4" t="s">
        <v>781</v>
      </c>
      <c r="E91" t="b">
        <f>COUNTIF($B$87:B91,B91)&lt;2</f>
        <v>1</v>
      </c>
    </row>
    <row r="92" spans="2:5" x14ac:dyDescent="0.25">
      <c r="B92" s="4"/>
      <c r="E92" t="b">
        <f>COUNTIF($B$87:B92,B92)&lt;2</f>
        <v>1</v>
      </c>
    </row>
    <row r="93" spans="2:5" x14ac:dyDescent="0.25">
      <c r="B93" s="4"/>
      <c r="E93" t="b">
        <f>COUNTIF($B$87:B93,B93)&lt;2</f>
        <v>1</v>
      </c>
    </row>
    <row r="94" spans="2:5" x14ac:dyDescent="0.25">
      <c r="B94" s="4"/>
      <c r="E94" t="b">
        <f>COUNTIF($B$87:B94,B94)&lt;2</f>
        <v>1</v>
      </c>
    </row>
    <row r="96" spans="2:5" x14ac:dyDescent="0.25">
      <c r="B96" t="s">
        <v>46</v>
      </c>
    </row>
    <row r="97" spans="2:2" x14ac:dyDescent="0.25">
      <c r="B97" s="10" t="s">
        <v>47</v>
      </c>
    </row>
    <row r="98" spans="2:2" x14ac:dyDescent="0.25">
      <c r="B98" s="10" t="s">
        <v>48</v>
      </c>
    </row>
  </sheetData>
  <dataValidations count="15">
    <dataValidation type="whole" allowBlank="1" showInputMessage="1" showErrorMessage="1" errorTitle="Whole Numbers Only" error="Please Enter a Whole Number Between the Limits" promptTitle="Whole Numbers" prompt="Whole Numbers between the limits" sqref="B42:D42">
      <formula1>B39</formula1>
      <formula2>B40</formula2>
    </dataValidation>
    <dataValidation type="decimal" errorStyle="warning" operator="lessThanOrEqual" allowBlank="1" showInputMessage="1" showErrorMessage="1" errorTitle="&lt;= 19.50" error="Please enter a number less than or equal to 19.50" sqref="B51">
      <formula1>19.5</formula1>
    </dataValidation>
    <dataValidation type="list" allowBlank="1" showInputMessage="1" showErrorMessage="1" sqref="D58">
      <formula1>Products</formula1>
    </dataValidation>
    <dataValidation type="list" allowBlank="1" showInputMessage="1" showErrorMessage="1" sqref="E58">
      <formula1>INDIRECT("ProductNamesANSWER[Products]")</formula1>
    </dataValidation>
    <dataValidation type="decimal" errorStyle="information" operator="lessThanOrEqual" allowBlank="1" showInputMessage="1" showErrorMessage="1" errorTitle="It should be 19.5 or less" sqref="D52">
      <formula1>19.5</formula1>
    </dataValidation>
    <dataValidation type="list" allowBlank="1" showInputMessage="1" showErrorMessage="1" sqref="C58">
      <formula1>$A$58:$A$62</formula1>
    </dataValidation>
    <dataValidation allowBlank="1" showInputMessage="1" showErrorMessage="1" sqref="A57:A64"/>
    <dataValidation type="list" allowBlank="1" showInputMessage="1" showErrorMessage="1" sqref="C61">
      <formula1>"Wholesale,Resale"</formula1>
    </dataValidation>
    <dataValidation type="list" allowBlank="1" showInputMessage="1" showErrorMessage="1" sqref="G64">
      <formula1>TypeANSWER</formula1>
    </dataValidation>
    <dataValidation type="list" allowBlank="1" showInputMessage="1" showErrorMessage="1" sqref="H64">
      <formula1>INDIRECT($G$64)</formula1>
    </dataValidation>
    <dataValidation type="date" allowBlank="1" showInputMessage="1" showErrorMessage="1" sqref="C73:E73">
      <formula1>C70</formula1>
      <formula2>C71</formula2>
    </dataValidation>
    <dataValidation type="time" operator="greaterThanOrEqual" allowBlank="1" showInputMessage="1" showErrorMessage="1" sqref="C74:E74">
      <formula1>0.333333333333333</formula1>
    </dataValidation>
    <dataValidation type="textLength" operator="lessThanOrEqual" allowBlank="1" showInputMessage="1" showErrorMessage="1" sqref="C75">
      <formula1>25</formula1>
    </dataValidation>
    <dataValidation type="custom" allowBlank="1" showInputMessage="1" showErrorMessage="1" sqref="D81:D84">
      <formula1>D81&lt;=C81*2</formula1>
    </dataValidation>
    <dataValidation type="custom" allowBlank="1" showInputMessage="1" showErrorMessage="1" errorTitle="No Dups" error="No Dups" sqref="B87:B94">
      <formula1>COUNTIF($B$87:B87,B87)&lt;2</formula1>
    </dataValidation>
  </dataValidations>
  <hyperlinks>
    <hyperlink ref="B97" r:id="rId1"/>
    <hyperlink ref="B98" r:id="rId2"/>
  </hyperlinks>
  <pageMargins left="0.7" right="0.7" top="0.75" bottom="0.75" header="0.3" footer="0.3"/>
  <pageSetup orientation="portrait"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H129"/>
  <sheetViews>
    <sheetView workbookViewId="0">
      <selection activeCell="B10" sqref="B10"/>
    </sheetView>
  </sheetViews>
  <sheetFormatPr defaultRowHeight="15" x14ac:dyDescent="0.25"/>
  <cols>
    <col min="1" max="1" width="21.28515625" customWidth="1"/>
    <col min="2" max="2" width="20.28515625" customWidth="1"/>
    <col min="3" max="3" width="21.5703125" customWidth="1"/>
    <col min="4" max="4" width="12.28515625" customWidth="1"/>
    <col min="5" max="5" width="17.7109375" bestFit="1" customWidth="1"/>
    <col min="6" max="6" width="18.28515625" bestFit="1" customWidth="1"/>
    <col min="7" max="7" width="16.85546875" customWidth="1"/>
    <col min="9" max="9" width="17.7109375" bestFit="1" customWidth="1"/>
  </cols>
  <sheetData>
    <row r="1" spans="1:7" ht="23.25" x14ac:dyDescent="0.35">
      <c r="A1" s="129" t="s">
        <v>1153</v>
      </c>
    </row>
    <row r="2" spans="1:7" ht="23.25" x14ac:dyDescent="0.35">
      <c r="A2" s="129" t="s">
        <v>1154</v>
      </c>
    </row>
    <row r="3" spans="1:7" x14ac:dyDescent="0.25">
      <c r="A3" t="s">
        <v>967</v>
      </c>
    </row>
    <row r="4" spans="1:7" x14ac:dyDescent="0.25">
      <c r="A4" t="s">
        <v>1152</v>
      </c>
    </row>
    <row r="5" spans="1:7" x14ac:dyDescent="0.25">
      <c r="A5" t="s">
        <v>968</v>
      </c>
    </row>
    <row r="6" spans="1:7" x14ac:dyDescent="0.25">
      <c r="A6" t="s">
        <v>969</v>
      </c>
    </row>
    <row r="7" spans="1:7" x14ac:dyDescent="0.25">
      <c r="A7" t="s">
        <v>970</v>
      </c>
    </row>
    <row r="9" spans="1:7" x14ac:dyDescent="0.25">
      <c r="A9" s="5" t="s">
        <v>971</v>
      </c>
      <c r="B9" s="5" t="s">
        <v>972</v>
      </c>
      <c r="C9" s="5" t="s">
        <v>973</v>
      </c>
      <c r="D9" s="5" t="s">
        <v>974</v>
      </c>
      <c r="E9" s="5" t="s">
        <v>975</v>
      </c>
      <c r="F9" s="5" t="s">
        <v>976</v>
      </c>
      <c r="G9" s="5" t="s">
        <v>977</v>
      </c>
    </row>
    <row r="10" spans="1:7" x14ac:dyDescent="0.25">
      <c r="A10" s="4" t="s">
        <v>1155</v>
      </c>
      <c r="B10" s="4"/>
      <c r="C10" s="4"/>
      <c r="D10" s="4"/>
      <c r="E10" s="4"/>
      <c r="F10" s="4"/>
      <c r="G10" s="4"/>
    </row>
    <row r="11" spans="1:7" x14ac:dyDescent="0.25">
      <c r="A11" s="4" t="s">
        <v>1156</v>
      </c>
      <c r="B11" s="4"/>
      <c r="C11" s="4"/>
      <c r="D11" s="4"/>
      <c r="E11" s="4"/>
      <c r="F11" s="4"/>
      <c r="G11" s="4"/>
    </row>
    <row r="12" spans="1:7" x14ac:dyDescent="0.25">
      <c r="A12" s="4" t="s">
        <v>1061</v>
      </c>
      <c r="B12" s="4"/>
      <c r="C12" s="4"/>
      <c r="D12" s="4"/>
      <c r="E12" s="4"/>
      <c r="F12" s="4"/>
      <c r="G12" s="4"/>
    </row>
    <row r="13" spans="1:7" x14ac:dyDescent="0.25">
      <c r="A13" s="4" t="s">
        <v>1062</v>
      </c>
      <c r="B13" s="4"/>
      <c r="C13" s="4"/>
      <c r="D13" s="4"/>
      <c r="E13" s="4"/>
      <c r="F13" s="4"/>
      <c r="G13" s="4"/>
    </row>
    <row r="14" spans="1:7" x14ac:dyDescent="0.25">
      <c r="A14" s="4" t="s">
        <v>1063</v>
      </c>
      <c r="B14" s="4"/>
      <c r="C14" s="4"/>
      <c r="D14" s="4"/>
      <c r="E14" s="4"/>
      <c r="F14" s="4"/>
      <c r="G14" s="4"/>
    </row>
    <row r="15" spans="1:7" x14ac:dyDescent="0.25">
      <c r="A15" s="4" t="s">
        <v>1064</v>
      </c>
      <c r="B15" s="4"/>
      <c r="C15" s="4"/>
      <c r="D15" s="4"/>
      <c r="E15" s="4"/>
      <c r="F15" s="4"/>
      <c r="G15" s="4"/>
    </row>
    <row r="16" spans="1:7" x14ac:dyDescent="0.25">
      <c r="A16" s="4" t="s">
        <v>1065</v>
      </c>
      <c r="B16" s="4"/>
      <c r="C16" s="4"/>
      <c r="D16" s="4"/>
      <c r="E16" s="4"/>
      <c r="F16" s="4"/>
      <c r="G16" s="4"/>
    </row>
    <row r="17" spans="1:7" x14ac:dyDescent="0.25">
      <c r="A17" s="4" t="s">
        <v>1066</v>
      </c>
      <c r="B17" s="4"/>
      <c r="C17" s="4"/>
      <c r="D17" s="4"/>
      <c r="E17" s="4"/>
      <c r="F17" s="4"/>
      <c r="G17" s="4"/>
    </row>
    <row r="18" spans="1:7" x14ac:dyDescent="0.25">
      <c r="A18" s="4" t="s">
        <v>1067</v>
      </c>
      <c r="B18" s="4"/>
      <c r="C18" s="4"/>
      <c r="D18" s="4"/>
      <c r="E18" s="4"/>
      <c r="F18" s="4"/>
      <c r="G18" s="4"/>
    </row>
    <row r="19" spans="1:7" x14ac:dyDescent="0.25">
      <c r="A19" s="4" t="s">
        <v>1068</v>
      </c>
      <c r="B19" s="4"/>
      <c r="C19" s="4"/>
      <c r="D19" s="4"/>
      <c r="E19" s="4"/>
      <c r="F19" s="4"/>
      <c r="G19" s="4"/>
    </row>
    <row r="21" spans="1:7" x14ac:dyDescent="0.25">
      <c r="A21" s="5" t="s">
        <v>972</v>
      </c>
      <c r="B21" s="5" t="s">
        <v>973</v>
      </c>
      <c r="C21" s="5" t="s">
        <v>986</v>
      </c>
    </row>
    <row r="22" spans="1:7" x14ac:dyDescent="0.25">
      <c r="A22" s="4" t="s">
        <v>1120</v>
      </c>
      <c r="B22" s="4" t="s">
        <v>1157</v>
      </c>
      <c r="C22" s="4"/>
    </row>
    <row r="23" spans="1:7" x14ac:dyDescent="0.25">
      <c r="A23" s="4" t="s">
        <v>96</v>
      </c>
      <c r="B23" s="4" t="s">
        <v>1158</v>
      </c>
      <c r="C23" s="4"/>
    </row>
    <row r="24" spans="1:7" x14ac:dyDescent="0.25">
      <c r="A24" s="4" t="s">
        <v>987</v>
      </c>
      <c r="B24" s="4" t="s">
        <v>988</v>
      </c>
      <c r="C24" s="4"/>
    </row>
    <row r="25" spans="1:7" x14ac:dyDescent="0.25">
      <c r="A25" s="4" t="s">
        <v>792</v>
      </c>
      <c r="B25" s="4" t="s">
        <v>989</v>
      </c>
      <c r="C25" s="4"/>
    </row>
    <row r="26" spans="1:7" x14ac:dyDescent="0.25">
      <c r="A26" s="4" t="s">
        <v>990</v>
      </c>
      <c r="B26" s="4" t="s">
        <v>991</v>
      </c>
      <c r="C26" s="4"/>
    </row>
    <row r="27" spans="1:7" x14ac:dyDescent="0.25">
      <c r="A27" s="4" t="s">
        <v>793</v>
      </c>
      <c r="B27" s="4" t="s">
        <v>992</v>
      </c>
      <c r="C27" s="4"/>
    </row>
    <row r="28" spans="1:7" x14ac:dyDescent="0.25">
      <c r="A28" s="4" t="s">
        <v>993</v>
      </c>
      <c r="B28" s="4" t="s">
        <v>994</v>
      </c>
      <c r="C28" s="4"/>
    </row>
    <row r="29" spans="1:7" x14ac:dyDescent="0.25">
      <c r="A29" s="4" t="s">
        <v>987</v>
      </c>
      <c r="B29" s="4" t="s">
        <v>995</v>
      </c>
      <c r="C29" s="4"/>
    </row>
    <row r="30" spans="1:7" x14ac:dyDescent="0.25">
      <c r="A30" s="4" t="s">
        <v>996</v>
      </c>
      <c r="B30" s="4" t="s">
        <v>997</v>
      </c>
      <c r="C30" s="4"/>
    </row>
    <row r="31" spans="1:7" x14ac:dyDescent="0.25">
      <c r="A31" s="4" t="s">
        <v>998</v>
      </c>
      <c r="B31" s="4" t="s">
        <v>999</v>
      </c>
      <c r="C31" s="4"/>
    </row>
    <row r="33" spans="1:5" x14ac:dyDescent="0.25">
      <c r="A33" s="5" t="s">
        <v>971</v>
      </c>
      <c r="B33" s="5" t="s">
        <v>972</v>
      </c>
      <c r="D33" t="s">
        <v>1009</v>
      </c>
    </row>
    <row r="34" spans="1:5" x14ac:dyDescent="0.25">
      <c r="A34" s="4" t="s">
        <v>1161</v>
      </c>
      <c r="B34" s="4"/>
      <c r="D34" t="s">
        <v>1010</v>
      </c>
    </row>
    <row r="35" spans="1:5" x14ac:dyDescent="0.25">
      <c r="A35" s="4" t="s">
        <v>1160</v>
      </c>
      <c r="B35" s="4"/>
    </row>
    <row r="36" spans="1:5" x14ac:dyDescent="0.25">
      <c r="A36" s="4"/>
      <c r="B36" s="4"/>
    </row>
    <row r="37" spans="1:5" x14ac:dyDescent="0.25">
      <c r="A37" s="4" t="s">
        <v>979</v>
      </c>
      <c r="B37" s="4"/>
    </row>
    <row r="38" spans="1:5" x14ac:dyDescent="0.25">
      <c r="A38" s="4" t="s">
        <v>980</v>
      </c>
      <c r="B38" s="4"/>
    </row>
    <row r="39" spans="1:5" x14ac:dyDescent="0.25">
      <c r="A39" s="4"/>
      <c r="B39" s="4"/>
    </row>
    <row r="40" spans="1:5" x14ac:dyDescent="0.25">
      <c r="A40" s="4" t="s">
        <v>982</v>
      </c>
      <c r="B40" s="4"/>
    </row>
    <row r="41" spans="1:5" x14ac:dyDescent="0.25">
      <c r="A41" s="4"/>
      <c r="B41" s="4"/>
    </row>
    <row r="42" spans="1:5" x14ac:dyDescent="0.25">
      <c r="A42" s="4" t="s">
        <v>984</v>
      </c>
      <c r="B42" s="4"/>
    </row>
    <row r="43" spans="1:5" x14ac:dyDescent="0.25">
      <c r="A43" s="4" t="s">
        <v>985</v>
      </c>
      <c r="B43" s="4"/>
    </row>
    <row r="45" spans="1:5" x14ac:dyDescent="0.25">
      <c r="A45" s="67" t="s">
        <v>972</v>
      </c>
      <c r="B45" s="67" t="s">
        <v>973</v>
      </c>
      <c r="C45" s="67" t="s">
        <v>1011</v>
      </c>
      <c r="E45" t="s">
        <v>1012</v>
      </c>
    </row>
    <row r="46" spans="1:5" x14ac:dyDescent="0.25">
      <c r="A46" s="4" t="s">
        <v>1120</v>
      </c>
      <c r="B46" s="4" t="s">
        <v>1157</v>
      </c>
      <c r="C46" s="4"/>
      <c r="E46" t="s">
        <v>1162</v>
      </c>
    </row>
    <row r="47" spans="1:5" x14ac:dyDescent="0.25">
      <c r="A47" s="4" t="s">
        <v>96</v>
      </c>
      <c r="B47" s="4" t="s">
        <v>1158</v>
      </c>
      <c r="C47" s="4"/>
      <c r="E47" t="s">
        <v>1013</v>
      </c>
    </row>
    <row r="48" spans="1:5" x14ac:dyDescent="0.25">
      <c r="A48" s="4" t="s">
        <v>987</v>
      </c>
      <c r="B48" s="4" t="s">
        <v>988</v>
      </c>
      <c r="C48" s="4"/>
    </row>
    <row r="49" spans="1:5" x14ac:dyDescent="0.25">
      <c r="A49" s="4" t="s">
        <v>792</v>
      </c>
      <c r="B49" s="4"/>
      <c r="C49" s="4"/>
      <c r="E49" t="s">
        <v>1163</v>
      </c>
    </row>
    <row r="50" spans="1:5" x14ac:dyDescent="0.25">
      <c r="A50" s="4" t="s">
        <v>990</v>
      </c>
      <c r="B50" s="4" t="s">
        <v>991</v>
      </c>
      <c r="C50" s="4"/>
      <c r="E50" t="s">
        <v>1014</v>
      </c>
    </row>
    <row r="51" spans="1:5" x14ac:dyDescent="0.25">
      <c r="A51" s="4" t="s">
        <v>793</v>
      </c>
      <c r="B51" s="4" t="s">
        <v>992</v>
      </c>
      <c r="C51" s="4"/>
    </row>
    <row r="52" spans="1:5" x14ac:dyDescent="0.25">
      <c r="A52" s="4" t="s">
        <v>993</v>
      </c>
      <c r="B52" s="4" t="s">
        <v>994</v>
      </c>
      <c r="C52" s="4"/>
    </row>
    <row r="53" spans="1:5" x14ac:dyDescent="0.25">
      <c r="A53" s="4" t="s">
        <v>987</v>
      </c>
      <c r="B53" s="4"/>
      <c r="C53" s="4"/>
    </row>
    <row r="54" spans="1:5" x14ac:dyDescent="0.25">
      <c r="A54" s="4" t="s">
        <v>996</v>
      </c>
      <c r="B54" s="4" t="s">
        <v>997</v>
      </c>
      <c r="C54" s="4"/>
    </row>
    <row r="55" spans="1:5" x14ac:dyDescent="0.25">
      <c r="A55" s="4" t="s">
        <v>998</v>
      </c>
      <c r="B55" s="4" t="s">
        <v>999</v>
      </c>
      <c r="C55" s="4"/>
    </row>
    <row r="57" spans="1:5" x14ac:dyDescent="0.25">
      <c r="A57" s="67" t="s">
        <v>809</v>
      </c>
      <c r="B57" s="67" t="s">
        <v>1000</v>
      </c>
      <c r="D57" t="s">
        <v>1015</v>
      </c>
    </row>
    <row r="58" spans="1:5" x14ac:dyDescent="0.25">
      <c r="A58" s="4" t="s">
        <v>1159</v>
      </c>
      <c r="B58" s="4"/>
    </row>
    <row r="59" spans="1:5" x14ac:dyDescent="0.25">
      <c r="A59" s="4" t="s">
        <v>1160</v>
      </c>
      <c r="B59" s="4"/>
      <c r="D59" t="s">
        <v>1164</v>
      </c>
    </row>
    <row r="60" spans="1:5" x14ac:dyDescent="0.25">
      <c r="A60" s="4" t="s">
        <v>1001</v>
      </c>
      <c r="B60" s="4"/>
    </row>
    <row r="61" spans="1:5" x14ac:dyDescent="0.25">
      <c r="A61" s="4" t="s">
        <v>1002</v>
      </c>
      <c r="B61" s="4"/>
      <c r="D61" t="s">
        <v>1016</v>
      </c>
    </row>
    <row r="62" spans="1:5" x14ac:dyDescent="0.25">
      <c r="A62" s="4" t="s">
        <v>1003</v>
      </c>
      <c r="B62" s="4"/>
    </row>
    <row r="63" spans="1:5" x14ac:dyDescent="0.25">
      <c r="A63" s="4" t="s">
        <v>1004</v>
      </c>
      <c r="B63" s="4"/>
      <c r="D63" t="s">
        <v>1165</v>
      </c>
    </row>
    <row r="64" spans="1:5" x14ac:dyDescent="0.25">
      <c r="A64" s="4" t="s">
        <v>1005</v>
      </c>
      <c r="B64" s="4"/>
    </row>
    <row r="65" spans="1:8" x14ac:dyDescent="0.25">
      <c r="A65" s="4" t="s">
        <v>1006</v>
      </c>
      <c r="B65" s="4"/>
    </row>
    <row r="66" spans="1:8" x14ac:dyDescent="0.25">
      <c r="A66" s="4" t="s">
        <v>1007</v>
      </c>
      <c r="B66" s="4"/>
    </row>
    <row r="67" spans="1:8" x14ac:dyDescent="0.25">
      <c r="A67" s="4" t="s">
        <v>1008</v>
      </c>
      <c r="B67" s="4"/>
    </row>
    <row r="69" spans="1:8" x14ac:dyDescent="0.25">
      <c r="A69" s="67" t="s">
        <v>42</v>
      </c>
      <c r="B69" s="67" t="s">
        <v>1017</v>
      </c>
      <c r="C69" s="67" t="s">
        <v>1018</v>
      </c>
      <c r="D69" s="67" t="s">
        <v>1019</v>
      </c>
      <c r="F69" s="67" t="s">
        <v>42</v>
      </c>
      <c r="G69" s="67" t="s">
        <v>1018</v>
      </c>
      <c r="H69" s="67" t="s">
        <v>1019</v>
      </c>
    </row>
    <row r="70" spans="1:8" x14ac:dyDescent="0.25">
      <c r="A70" s="8">
        <v>41114</v>
      </c>
      <c r="B70" s="90"/>
      <c r="C70" s="90"/>
      <c r="D70" s="90"/>
      <c r="F70" s="130">
        <v>41114</v>
      </c>
      <c r="G70" s="4"/>
      <c r="H70" s="4"/>
    </row>
    <row r="71" spans="1:8" x14ac:dyDescent="0.25">
      <c r="A71" s="8">
        <v>41115</v>
      </c>
      <c r="B71" s="90"/>
      <c r="C71" s="90"/>
      <c r="D71" s="90"/>
      <c r="F71" s="130">
        <v>41115</v>
      </c>
      <c r="G71" s="4"/>
      <c r="H71" s="4"/>
    </row>
    <row r="72" spans="1:8" x14ac:dyDescent="0.25">
      <c r="A72" s="8">
        <v>41116</v>
      </c>
      <c r="B72" s="90"/>
      <c r="C72" s="90"/>
      <c r="D72" s="90"/>
      <c r="F72" s="130">
        <v>41116</v>
      </c>
      <c r="G72" s="4"/>
      <c r="H72" s="4"/>
    </row>
    <row r="73" spans="1:8" x14ac:dyDescent="0.25">
      <c r="A73" s="8">
        <v>41117</v>
      </c>
      <c r="B73" s="90"/>
      <c r="C73" s="90"/>
      <c r="D73" s="90"/>
      <c r="F73" s="130">
        <v>41117</v>
      </c>
      <c r="G73" s="4"/>
      <c r="H73" s="4"/>
    </row>
    <row r="74" spans="1:8" x14ac:dyDescent="0.25">
      <c r="A74" s="8">
        <v>41483</v>
      </c>
      <c r="B74" s="90"/>
      <c r="C74" s="90"/>
      <c r="D74" s="90"/>
      <c r="F74" s="130">
        <v>41483</v>
      </c>
      <c r="G74" s="4"/>
      <c r="H74" s="4"/>
    </row>
    <row r="75" spans="1:8" x14ac:dyDescent="0.25">
      <c r="A75" s="8">
        <v>41484</v>
      </c>
      <c r="B75" s="90"/>
      <c r="C75" s="90"/>
      <c r="D75" s="90"/>
      <c r="F75" s="130">
        <v>41484</v>
      </c>
      <c r="G75" s="4"/>
      <c r="H75" s="4"/>
    </row>
    <row r="76" spans="1:8" x14ac:dyDescent="0.25">
      <c r="A76" s="8">
        <v>41485</v>
      </c>
      <c r="B76" s="90"/>
      <c r="C76" s="90"/>
      <c r="D76" s="90"/>
      <c r="F76" s="130">
        <v>41485</v>
      </c>
      <c r="G76" s="4"/>
      <c r="H76" s="4"/>
    </row>
    <row r="77" spans="1:8" x14ac:dyDescent="0.25">
      <c r="A77" s="8">
        <v>41486</v>
      </c>
      <c r="B77" s="90"/>
      <c r="C77" s="90"/>
      <c r="D77" s="90"/>
      <c r="F77" s="130">
        <v>41486</v>
      </c>
      <c r="G77" s="4"/>
      <c r="H77" s="4"/>
    </row>
    <row r="78" spans="1:8" x14ac:dyDescent="0.25">
      <c r="A78" s="8">
        <v>41487</v>
      </c>
      <c r="B78" s="90"/>
      <c r="C78" s="90"/>
      <c r="D78" s="90"/>
      <c r="F78" s="130">
        <v>41487</v>
      </c>
      <c r="G78" s="4"/>
      <c r="H78" s="4"/>
    </row>
    <row r="79" spans="1:8" x14ac:dyDescent="0.25">
      <c r="A79" s="8">
        <v>41488</v>
      </c>
      <c r="B79" s="90"/>
      <c r="C79" s="90"/>
      <c r="D79" s="90"/>
      <c r="F79" s="130">
        <v>41488</v>
      </c>
      <c r="G79" s="4"/>
      <c r="H79" s="4"/>
    </row>
    <row r="81" spans="1:7" x14ac:dyDescent="0.25">
      <c r="A81" s="67" t="s">
        <v>91</v>
      </c>
      <c r="B81" s="67" t="s">
        <v>1020</v>
      </c>
      <c r="D81" s="67" t="s">
        <v>91</v>
      </c>
      <c r="E81" s="67" t="s">
        <v>1021</v>
      </c>
    </row>
    <row r="82" spans="1:7" x14ac:dyDescent="0.25">
      <c r="A82" s="4">
        <v>20010714</v>
      </c>
      <c r="B82" s="90"/>
      <c r="D82" s="4">
        <v>20010714</v>
      </c>
      <c r="E82" s="90"/>
      <c r="G82" s="2" t="s">
        <v>1022</v>
      </c>
    </row>
    <row r="83" spans="1:7" x14ac:dyDescent="0.25">
      <c r="A83" s="4">
        <v>20040410</v>
      </c>
      <c r="B83" s="90"/>
      <c r="D83" s="4">
        <v>20040410</v>
      </c>
      <c r="E83" s="90"/>
      <c r="G83" s="2" t="s">
        <v>1023</v>
      </c>
    </row>
    <row r="84" spans="1:7" x14ac:dyDescent="0.25">
      <c r="A84" s="4">
        <v>20091115</v>
      </c>
      <c r="B84" s="90"/>
      <c r="D84" s="4">
        <v>20091115</v>
      </c>
      <c r="E84" s="90"/>
      <c r="G84" t="s">
        <v>1234</v>
      </c>
    </row>
    <row r="85" spans="1:7" x14ac:dyDescent="0.25">
      <c r="A85" s="4">
        <v>20000610</v>
      </c>
      <c r="B85" s="90"/>
      <c r="D85" s="4">
        <v>20000610</v>
      </c>
      <c r="E85" s="90"/>
      <c r="G85" s="2" t="s">
        <v>1235</v>
      </c>
    </row>
    <row r="86" spans="1:7" x14ac:dyDescent="0.25">
      <c r="A86" s="4">
        <v>20080401</v>
      </c>
      <c r="B86" s="90"/>
      <c r="D86" s="4">
        <v>20080401</v>
      </c>
      <c r="E86" s="90"/>
    </row>
    <row r="87" spans="1:7" x14ac:dyDescent="0.25">
      <c r="A87" s="4">
        <v>20100717</v>
      </c>
      <c r="B87" s="90"/>
      <c r="D87" s="4">
        <v>20100717</v>
      </c>
      <c r="E87" s="90"/>
    </row>
    <row r="89" spans="1:7" x14ac:dyDescent="0.25">
      <c r="A89" s="26" t="s">
        <v>1024</v>
      </c>
      <c r="B89" s="26" t="s">
        <v>976</v>
      </c>
      <c r="D89" s="5" t="s">
        <v>1032</v>
      </c>
      <c r="E89" s="26" t="s">
        <v>976</v>
      </c>
    </row>
    <row r="90" spans="1:7" x14ac:dyDescent="0.25">
      <c r="A90" s="4">
        <v>2065874545</v>
      </c>
      <c r="B90" s="4"/>
      <c r="D90" s="4">
        <v>880712259</v>
      </c>
      <c r="E90" s="4"/>
    </row>
    <row r="91" spans="1:7" x14ac:dyDescent="0.25">
      <c r="A91" s="4">
        <v>2536987455</v>
      </c>
      <c r="B91" s="4"/>
      <c r="D91" s="4">
        <v>880709467</v>
      </c>
      <c r="E91" s="4"/>
    </row>
    <row r="92" spans="1:7" x14ac:dyDescent="0.25">
      <c r="A92" s="4">
        <v>2159874439</v>
      </c>
      <c r="B92" s="4"/>
      <c r="D92" s="4">
        <v>880527987</v>
      </c>
      <c r="E92" s="4"/>
    </row>
    <row r="93" spans="1:7" x14ac:dyDescent="0.25">
      <c r="A93" s="4">
        <v>4156559933</v>
      </c>
      <c r="B93" s="4"/>
      <c r="D93" s="4">
        <v>998613133</v>
      </c>
      <c r="E93" s="4"/>
    </row>
    <row r="94" spans="1:7" x14ac:dyDescent="0.25">
      <c r="A94" s="4">
        <v>5105557845</v>
      </c>
      <c r="B94" s="4"/>
      <c r="D94" s="4">
        <v>880945725</v>
      </c>
      <c r="E94" s="4"/>
    </row>
    <row r="96" spans="1:7" x14ac:dyDescent="0.25">
      <c r="A96" s="67" t="s">
        <v>93</v>
      </c>
      <c r="B96" s="67" t="s">
        <v>1025</v>
      </c>
      <c r="C96" s="67" t="s">
        <v>1026</v>
      </c>
      <c r="D96" s="67" t="s">
        <v>1027</v>
      </c>
    </row>
    <row r="97" spans="1:4" x14ac:dyDescent="0.25">
      <c r="A97" s="57">
        <v>97.65</v>
      </c>
      <c r="B97" s="90"/>
      <c r="C97" s="90"/>
      <c r="D97" s="90"/>
    </row>
    <row r="98" spans="1:4" x14ac:dyDescent="0.25">
      <c r="A98" s="57">
        <v>51.04</v>
      </c>
      <c r="B98" s="90"/>
      <c r="C98" s="90"/>
      <c r="D98" s="90"/>
    </row>
    <row r="99" spans="1:4" x14ac:dyDescent="0.25">
      <c r="A99" s="57">
        <v>21.96</v>
      </c>
      <c r="B99" s="90"/>
      <c r="C99" s="90"/>
      <c r="D99" s="90"/>
    </row>
    <row r="100" spans="1:4" x14ac:dyDescent="0.25">
      <c r="A100" s="57">
        <v>50.6</v>
      </c>
      <c r="B100" s="90"/>
      <c r="C100" s="90"/>
      <c r="D100" s="90"/>
    </row>
    <row r="101" spans="1:4" x14ac:dyDescent="0.25">
      <c r="A101" s="57">
        <v>35.74</v>
      </c>
      <c r="B101" s="90"/>
      <c r="C101" s="90"/>
      <c r="D101" s="90"/>
    </row>
    <row r="102" spans="1:4" x14ac:dyDescent="0.25">
      <c r="A102" s="57">
        <v>12.33</v>
      </c>
      <c r="B102" s="90"/>
      <c r="C102" s="90"/>
      <c r="D102" s="90"/>
    </row>
    <row r="103" spans="1:4" x14ac:dyDescent="0.25">
      <c r="A103" s="57">
        <v>74.209999999999994</v>
      </c>
      <c r="B103" s="90"/>
      <c r="C103" s="90"/>
      <c r="D103" s="90"/>
    </row>
    <row r="104" spans="1:4" x14ac:dyDescent="0.25">
      <c r="A104" s="57">
        <v>49.34</v>
      </c>
      <c r="B104" s="90"/>
      <c r="C104" s="90"/>
      <c r="D104" s="90"/>
    </row>
    <row r="105" spans="1:4" x14ac:dyDescent="0.25">
      <c r="A105" s="57">
        <v>65.56</v>
      </c>
      <c r="B105" s="90"/>
      <c r="C105" s="90"/>
      <c r="D105" s="90"/>
    </row>
    <row r="106" spans="1:4" x14ac:dyDescent="0.25">
      <c r="A106" s="57">
        <v>31.2</v>
      </c>
      <c r="B106" s="90"/>
      <c r="C106" s="90"/>
      <c r="D106" s="90"/>
    </row>
    <row r="108" spans="1:4" x14ac:dyDescent="0.25">
      <c r="A108" s="67" t="s">
        <v>43</v>
      </c>
      <c r="B108" s="67" t="s">
        <v>1028</v>
      </c>
      <c r="C108" s="67" t="s">
        <v>1029</v>
      </c>
    </row>
    <row r="109" spans="1:4" x14ac:dyDescent="0.25">
      <c r="A109" s="91">
        <v>0.05</v>
      </c>
      <c r="B109" s="90"/>
      <c r="C109" s="90"/>
    </row>
    <row r="110" spans="1:4" x14ac:dyDescent="0.25">
      <c r="A110" s="91">
        <v>0.17916666666666667</v>
      </c>
      <c r="B110" s="90"/>
      <c r="C110" s="90"/>
    </row>
    <row r="111" spans="1:4" x14ac:dyDescent="0.25">
      <c r="A111" s="91">
        <v>0.78749999999999998</v>
      </c>
      <c r="B111" s="90"/>
      <c r="C111" s="90"/>
    </row>
    <row r="112" spans="1:4" x14ac:dyDescent="0.25">
      <c r="A112" s="91">
        <v>0.46250000000000002</v>
      </c>
      <c r="B112" s="90"/>
      <c r="C112" s="90"/>
    </row>
    <row r="113" spans="1:6" x14ac:dyDescent="0.25">
      <c r="A113" s="91">
        <v>0.38333333333333336</v>
      </c>
      <c r="B113" s="90"/>
      <c r="C113" s="90"/>
      <c r="F113" t="s">
        <v>1030</v>
      </c>
    </row>
    <row r="114" spans="1:6" x14ac:dyDescent="0.25">
      <c r="A114" s="91">
        <v>0.73750000000000004</v>
      </c>
      <c r="B114" s="90"/>
      <c r="C114" s="90"/>
      <c r="F114" t="s">
        <v>1031</v>
      </c>
    </row>
    <row r="115" spans="1:6" x14ac:dyDescent="0.25">
      <c r="A115" s="91">
        <v>1</v>
      </c>
      <c r="B115" s="90"/>
      <c r="C115" s="90"/>
    </row>
    <row r="116" spans="1:6" x14ac:dyDescent="0.25">
      <c r="A116" s="91">
        <v>0.96250000000000002</v>
      </c>
      <c r="B116" s="90"/>
      <c r="C116" s="90"/>
    </row>
    <row r="117" spans="1:6" x14ac:dyDescent="0.25">
      <c r="A117" s="91">
        <v>0.16666666666666666</v>
      </c>
      <c r="B117" s="90"/>
      <c r="C117" s="90"/>
    </row>
    <row r="118" spans="1:6" x14ac:dyDescent="0.25">
      <c r="A118" s="91">
        <v>0.39166666666666666</v>
      </c>
      <c r="B118" s="90"/>
      <c r="C118" s="90"/>
    </row>
    <row r="119" spans="1:6" x14ac:dyDescent="0.25">
      <c r="A119" s="92"/>
    </row>
    <row r="120" spans="1:6" x14ac:dyDescent="0.25">
      <c r="A120" s="5" t="s">
        <v>1033</v>
      </c>
      <c r="B120" s="5" t="s">
        <v>1034</v>
      </c>
    </row>
    <row r="121" spans="1:6" x14ac:dyDescent="0.25">
      <c r="A121" s="4" t="s">
        <v>1035</v>
      </c>
      <c r="B121" s="4"/>
    </row>
    <row r="122" spans="1:6" x14ac:dyDescent="0.25">
      <c r="A122" s="4" t="s">
        <v>1036</v>
      </c>
      <c r="B122" s="4"/>
    </row>
    <row r="123" spans="1:6" x14ac:dyDescent="0.25">
      <c r="A123" s="4" t="s">
        <v>1037</v>
      </c>
      <c r="B123" s="4"/>
    </row>
    <row r="124" spans="1:6" x14ac:dyDescent="0.25">
      <c r="A124" s="4" t="s">
        <v>1038</v>
      </c>
      <c r="B124" s="4"/>
    </row>
    <row r="125" spans="1:6" x14ac:dyDescent="0.25">
      <c r="A125" s="4" t="s">
        <v>1039</v>
      </c>
      <c r="B125" s="4"/>
    </row>
    <row r="126" spans="1:6" x14ac:dyDescent="0.25">
      <c r="A126" s="4" t="s">
        <v>1040</v>
      </c>
      <c r="B126" s="4"/>
    </row>
    <row r="127" spans="1:6" x14ac:dyDescent="0.25">
      <c r="A127" s="4" t="s">
        <v>1041</v>
      </c>
      <c r="B127" s="4"/>
    </row>
    <row r="129" spans="4:4" ht="15.75" x14ac:dyDescent="0.25">
      <c r="D129" s="9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H129"/>
  <sheetViews>
    <sheetView workbookViewId="0">
      <selection activeCell="B10" sqref="B10"/>
    </sheetView>
  </sheetViews>
  <sheetFormatPr defaultRowHeight="15" x14ac:dyDescent="0.25"/>
  <cols>
    <col min="1" max="1" width="21.28515625" customWidth="1"/>
    <col min="2" max="2" width="20.28515625" customWidth="1"/>
    <col min="3" max="3" width="21.5703125" customWidth="1"/>
    <col min="4" max="4" width="12.28515625" customWidth="1"/>
    <col min="5" max="5" width="17.7109375" bestFit="1" customWidth="1"/>
    <col min="6" max="6" width="18.28515625" bestFit="1" customWidth="1"/>
    <col min="7" max="7" width="16.85546875" customWidth="1"/>
    <col min="9" max="9" width="17.7109375" bestFit="1" customWidth="1"/>
  </cols>
  <sheetData>
    <row r="1" spans="1:7" x14ac:dyDescent="0.25">
      <c r="A1" s="129" t="s">
        <v>1153</v>
      </c>
    </row>
    <row r="2" spans="1:7" x14ac:dyDescent="0.25">
      <c r="A2" s="129" t="s">
        <v>1154</v>
      </c>
    </row>
    <row r="3" spans="1:7" x14ac:dyDescent="0.25">
      <c r="A3" t="s">
        <v>967</v>
      </c>
    </row>
    <row r="4" spans="1:7" x14ac:dyDescent="0.25">
      <c r="A4" t="s">
        <v>1152</v>
      </c>
    </row>
    <row r="5" spans="1:7" x14ac:dyDescent="0.25">
      <c r="A5" t="s">
        <v>968</v>
      </c>
    </row>
    <row r="6" spans="1:7" x14ac:dyDescent="0.25">
      <c r="A6" t="s">
        <v>969</v>
      </c>
    </row>
    <row r="7" spans="1:7" x14ac:dyDescent="0.25">
      <c r="A7" t="s">
        <v>970</v>
      </c>
    </row>
    <row r="9" spans="1:7" x14ac:dyDescent="0.25">
      <c r="A9" s="5" t="s">
        <v>971</v>
      </c>
      <c r="B9" s="5" t="s">
        <v>972</v>
      </c>
      <c r="C9" s="5" t="s">
        <v>973</v>
      </c>
      <c r="D9" s="5" t="s">
        <v>974</v>
      </c>
      <c r="E9" s="5" t="s">
        <v>975</v>
      </c>
      <c r="F9" s="5" t="s">
        <v>976</v>
      </c>
      <c r="G9" s="5" t="s">
        <v>977</v>
      </c>
    </row>
    <row r="10" spans="1:7" x14ac:dyDescent="0.25">
      <c r="A10" s="4" t="s">
        <v>1155</v>
      </c>
      <c r="B10" s="4" t="s">
        <v>1166</v>
      </c>
      <c r="C10" s="4" t="s">
        <v>1175</v>
      </c>
      <c r="D10" s="4" t="s">
        <v>1185</v>
      </c>
      <c r="E10" s="4" t="s">
        <v>1194</v>
      </c>
      <c r="F10" s="4" t="s">
        <v>1204</v>
      </c>
      <c r="G10" s="4" t="s">
        <v>1161</v>
      </c>
    </row>
    <row r="11" spans="1:7" x14ac:dyDescent="0.25">
      <c r="A11" s="4" t="s">
        <v>1156</v>
      </c>
      <c r="B11" s="4" t="s">
        <v>1167</v>
      </c>
      <c r="C11" s="4" t="s">
        <v>1176</v>
      </c>
      <c r="D11" s="4" t="s">
        <v>1186</v>
      </c>
      <c r="E11" s="4" t="s">
        <v>1195</v>
      </c>
      <c r="F11" s="4" t="s">
        <v>1205</v>
      </c>
      <c r="G11" s="4" t="s">
        <v>1160</v>
      </c>
    </row>
    <row r="12" spans="1:7" x14ac:dyDescent="0.25">
      <c r="A12" s="4" t="s">
        <v>1061</v>
      </c>
      <c r="B12" s="4" t="s">
        <v>1168</v>
      </c>
      <c r="C12" s="4" t="s">
        <v>1177</v>
      </c>
      <c r="D12" s="4" t="s">
        <v>1187</v>
      </c>
      <c r="E12" s="4" t="s">
        <v>1196</v>
      </c>
      <c r="F12" s="4" t="s">
        <v>1206</v>
      </c>
      <c r="G12" s="4" t="s">
        <v>978</v>
      </c>
    </row>
    <row r="13" spans="1:7" x14ac:dyDescent="0.25">
      <c r="A13" s="4" t="s">
        <v>1062</v>
      </c>
      <c r="B13" s="4" t="s">
        <v>1169</v>
      </c>
      <c r="C13" s="4" t="s">
        <v>1178</v>
      </c>
      <c r="D13" s="4" t="s">
        <v>1188</v>
      </c>
      <c r="E13" s="4" t="s">
        <v>1197</v>
      </c>
      <c r="F13" s="4" t="s">
        <v>1207</v>
      </c>
      <c r="G13" s="4" t="s">
        <v>979</v>
      </c>
    </row>
    <row r="14" spans="1:7" x14ac:dyDescent="0.25">
      <c r="A14" s="4" t="s">
        <v>1063</v>
      </c>
      <c r="B14" s="4" t="s">
        <v>1170</v>
      </c>
      <c r="C14" s="4" t="s">
        <v>1179</v>
      </c>
      <c r="D14" s="4" t="s">
        <v>1189</v>
      </c>
      <c r="E14" s="4" t="s">
        <v>1198</v>
      </c>
      <c r="F14" s="4" t="s">
        <v>1208</v>
      </c>
      <c r="G14" s="4" t="s">
        <v>980</v>
      </c>
    </row>
    <row r="15" spans="1:7" x14ac:dyDescent="0.25">
      <c r="A15" s="4" t="s">
        <v>1064</v>
      </c>
      <c r="B15" s="4" t="s">
        <v>1171</v>
      </c>
      <c r="C15" s="4" t="s">
        <v>1180</v>
      </c>
      <c r="D15" s="4" t="s">
        <v>1190</v>
      </c>
      <c r="E15" s="4" t="s">
        <v>1199</v>
      </c>
      <c r="F15" s="4" t="s">
        <v>1209</v>
      </c>
      <c r="G15" s="4" t="s">
        <v>981</v>
      </c>
    </row>
    <row r="16" spans="1:7" x14ac:dyDescent="0.25">
      <c r="A16" s="4" t="s">
        <v>1065</v>
      </c>
      <c r="B16" s="4" t="s">
        <v>1172</v>
      </c>
      <c r="C16" s="4" t="s">
        <v>1181</v>
      </c>
      <c r="D16" s="4" t="s">
        <v>1191</v>
      </c>
      <c r="E16" s="4" t="s">
        <v>1200</v>
      </c>
      <c r="F16" s="4" t="s">
        <v>1210</v>
      </c>
      <c r="G16" s="4" t="s">
        <v>982</v>
      </c>
    </row>
    <row r="17" spans="1:7" x14ac:dyDescent="0.25">
      <c r="A17" s="4" t="s">
        <v>1066</v>
      </c>
      <c r="B17" s="4" t="s">
        <v>1168</v>
      </c>
      <c r="C17" s="4" t="s">
        <v>1182</v>
      </c>
      <c r="D17" s="4" t="s">
        <v>1187</v>
      </c>
      <c r="E17" s="4" t="s">
        <v>1201</v>
      </c>
      <c r="F17" s="4" t="s">
        <v>1211</v>
      </c>
      <c r="G17" s="4" t="s">
        <v>983</v>
      </c>
    </row>
    <row r="18" spans="1:7" x14ac:dyDescent="0.25">
      <c r="A18" s="4" t="s">
        <v>1067</v>
      </c>
      <c r="B18" s="4" t="s">
        <v>1173</v>
      </c>
      <c r="C18" s="4" t="s">
        <v>1183</v>
      </c>
      <c r="D18" s="4" t="s">
        <v>1192</v>
      </c>
      <c r="E18" s="4" t="s">
        <v>1202</v>
      </c>
      <c r="F18" s="4" t="s">
        <v>1212</v>
      </c>
      <c r="G18" s="4" t="s">
        <v>984</v>
      </c>
    </row>
    <row r="19" spans="1:7" x14ac:dyDescent="0.25">
      <c r="A19" s="4" t="s">
        <v>1068</v>
      </c>
      <c r="B19" s="4" t="s">
        <v>1174</v>
      </c>
      <c r="C19" s="4" t="s">
        <v>1184</v>
      </c>
      <c r="D19" s="4" t="s">
        <v>1193</v>
      </c>
      <c r="E19" s="4" t="s">
        <v>1203</v>
      </c>
      <c r="F19" s="4" t="s">
        <v>1213</v>
      </c>
      <c r="G19" s="4" t="s">
        <v>985</v>
      </c>
    </row>
    <row r="21" spans="1:7" x14ac:dyDescent="0.25">
      <c r="A21" s="5" t="s">
        <v>972</v>
      </c>
      <c r="B21" s="5" t="s">
        <v>973</v>
      </c>
      <c r="C21" s="5" t="s">
        <v>986</v>
      </c>
    </row>
    <row r="22" spans="1:7" x14ac:dyDescent="0.25">
      <c r="A22" s="4" t="s">
        <v>1120</v>
      </c>
      <c r="B22" s="4" t="s">
        <v>1157</v>
      </c>
      <c r="C22" s="4" t="s">
        <v>1161</v>
      </c>
    </row>
    <row r="23" spans="1:7" x14ac:dyDescent="0.25">
      <c r="A23" s="4" t="s">
        <v>96</v>
      </c>
      <c r="B23" s="4" t="s">
        <v>1158</v>
      </c>
      <c r="C23" s="4" t="s">
        <v>1160</v>
      </c>
    </row>
    <row r="24" spans="1:7" x14ac:dyDescent="0.25">
      <c r="A24" s="4" t="s">
        <v>987</v>
      </c>
      <c r="B24" s="4" t="s">
        <v>988</v>
      </c>
      <c r="C24" s="4" t="s">
        <v>978</v>
      </c>
    </row>
    <row r="25" spans="1:7" x14ac:dyDescent="0.25">
      <c r="A25" s="4" t="s">
        <v>792</v>
      </c>
      <c r="B25" s="4" t="s">
        <v>989</v>
      </c>
      <c r="C25" s="4" t="s">
        <v>979</v>
      </c>
    </row>
    <row r="26" spans="1:7" x14ac:dyDescent="0.25">
      <c r="A26" s="4" t="s">
        <v>990</v>
      </c>
      <c r="B26" s="4" t="s">
        <v>991</v>
      </c>
      <c r="C26" s="4" t="s">
        <v>980</v>
      </c>
    </row>
    <row r="27" spans="1:7" x14ac:dyDescent="0.25">
      <c r="A27" s="4" t="s">
        <v>793</v>
      </c>
      <c r="B27" s="4" t="s">
        <v>992</v>
      </c>
      <c r="C27" s="4" t="s">
        <v>981</v>
      </c>
    </row>
    <row r="28" spans="1:7" x14ac:dyDescent="0.25">
      <c r="A28" s="4" t="s">
        <v>993</v>
      </c>
      <c r="B28" s="4" t="s">
        <v>994</v>
      </c>
      <c r="C28" s="4" t="s">
        <v>982</v>
      </c>
    </row>
    <row r="29" spans="1:7" x14ac:dyDescent="0.25">
      <c r="A29" s="4" t="s">
        <v>987</v>
      </c>
      <c r="B29" s="4" t="s">
        <v>995</v>
      </c>
      <c r="C29" s="4" t="s">
        <v>983</v>
      </c>
    </row>
    <row r="30" spans="1:7" x14ac:dyDescent="0.25">
      <c r="A30" s="4" t="s">
        <v>996</v>
      </c>
      <c r="B30" s="4" t="s">
        <v>997</v>
      </c>
      <c r="C30" s="4" t="s">
        <v>984</v>
      </c>
    </row>
    <row r="31" spans="1:7" x14ac:dyDescent="0.25">
      <c r="A31" s="4" t="s">
        <v>998</v>
      </c>
      <c r="B31" s="4" t="s">
        <v>999</v>
      </c>
      <c r="C31" s="4" t="s">
        <v>985</v>
      </c>
    </row>
    <row r="33" spans="1:5" x14ac:dyDescent="0.25">
      <c r="A33" s="5" t="s">
        <v>971</v>
      </c>
      <c r="B33" s="5" t="s">
        <v>972</v>
      </c>
      <c r="D33" t="s">
        <v>1009</v>
      </c>
    </row>
    <row r="34" spans="1:5" x14ac:dyDescent="0.25">
      <c r="A34" s="4" t="s">
        <v>1161</v>
      </c>
      <c r="B34" s="4" t="s">
        <v>1120</v>
      </c>
      <c r="D34" t="s">
        <v>1010</v>
      </c>
    </row>
    <row r="35" spans="1:5" x14ac:dyDescent="0.25">
      <c r="A35" s="4" t="s">
        <v>1160</v>
      </c>
      <c r="B35" s="4" t="s">
        <v>96</v>
      </c>
    </row>
    <row r="36" spans="1:5" x14ac:dyDescent="0.25">
      <c r="A36" s="4"/>
      <c r="B36" s="4"/>
    </row>
    <row r="37" spans="1:5" x14ac:dyDescent="0.25">
      <c r="A37" s="4" t="s">
        <v>979</v>
      </c>
      <c r="B37" s="4" t="s">
        <v>792</v>
      </c>
    </row>
    <row r="38" spans="1:5" x14ac:dyDescent="0.25">
      <c r="A38" s="4" t="s">
        <v>980</v>
      </c>
      <c r="B38" s="4" t="s">
        <v>990</v>
      </c>
    </row>
    <row r="39" spans="1:5" x14ac:dyDescent="0.25">
      <c r="A39" s="4"/>
      <c r="B39" s="4"/>
    </row>
    <row r="40" spans="1:5" x14ac:dyDescent="0.25">
      <c r="A40" s="4" t="s">
        <v>982</v>
      </c>
      <c r="B40" s="4" t="s">
        <v>993</v>
      </c>
    </row>
    <row r="41" spans="1:5" x14ac:dyDescent="0.25">
      <c r="A41" s="4"/>
      <c r="B41" s="4"/>
    </row>
    <row r="42" spans="1:5" x14ac:dyDescent="0.25">
      <c r="A42" s="4" t="s">
        <v>984</v>
      </c>
      <c r="B42" s="4" t="s">
        <v>996</v>
      </c>
    </row>
    <row r="43" spans="1:5" x14ac:dyDescent="0.25">
      <c r="A43" s="4" t="s">
        <v>985</v>
      </c>
      <c r="B43" s="4" t="s">
        <v>998</v>
      </c>
    </row>
    <row r="45" spans="1:5" x14ac:dyDescent="0.25">
      <c r="A45" s="67" t="s">
        <v>972</v>
      </c>
      <c r="B45" s="67" t="s">
        <v>973</v>
      </c>
      <c r="C45" s="67" t="s">
        <v>1011</v>
      </c>
      <c r="E45" t="s">
        <v>1012</v>
      </c>
    </row>
    <row r="46" spans="1:5" x14ac:dyDescent="0.25">
      <c r="A46" s="4" t="s">
        <v>1120</v>
      </c>
      <c r="B46" s="4" t="s">
        <v>1157</v>
      </c>
      <c r="C46" s="4" t="s">
        <v>1226</v>
      </c>
      <c r="E46" t="s">
        <v>1162</v>
      </c>
    </row>
    <row r="47" spans="1:5" x14ac:dyDescent="0.25">
      <c r="A47" s="4" t="s">
        <v>96</v>
      </c>
      <c r="B47" s="4" t="s">
        <v>1158</v>
      </c>
      <c r="C47" s="4" t="s">
        <v>1227</v>
      </c>
      <c r="E47" t="s">
        <v>1013</v>
      </c>
    </row>
    <row r="48" spans="1:5" x14ac:dyDescent="0.25">
      <c r="A48" s="4" t="s">
        <v>987</v>
      </c>
      <c r="B48" s="4" t="s">
        <v>988</v>
      </c>
      <c r="C48" s="4" t="s">
        <v>1228</v>
      </c>
    </row>
    <row r="49" spans="1:5" x14ac:dyDescent="0.25">
      <c r="A49" s="4" t="s">
        <v>792</v>
      </c>
      <c r="B49" s="4"/>
      <c r="C49" s="4" t="s">
        <v>792</v>
      </c>
      <c r="E49" t="s">
        <v>1163</v>
      </c>
    </row>
    <row r="50" spans="1:5" x14ac:dyDescent="0.25">
      <c r="A50" s="4" t="s">
        <v>990</v>
      </c>
      <c r="B50" s="4" t="s">
        <v>991</v>
      </c>
      <c r="C50" s="4" t="s">
        <v>1229</v>
      </c>
      <c r="E50" t="s">
        <v>1014</v>
      </c>
    </row>
    <row r="51" spans="1:5" x14ac:dyDescent="0.25">
      <c r="A51" s="4" t="s">
        <v>793</v>
      </c>
      <c r="B51" s="4" t="s">
        <v>992</v>
      </c>
      <c r="C51" s="4" t="s">
        <v>1230</v>
      </c>
    </row>
    <row r="52" spans="1:5" x14ac:dyDescent="0.25">
      <c r="A52" s="4" t="s">
        <v>993</v>
      </c>
      <c r="B52" s="4" t="s">
        <v>994</v>
      </c>
      <c r="C52" s="4" t="s">
        <v>1231</v>
      </c>
    </row>
    <row r="53" spans="1:5" x14ac:dyDescent="0.25">
      <c r="A53" s="4" t="s">
        <v>987</v>
      </c>
      <c r="B53" s="4"/>
      <c r="C53" s="4" t="s">
        <v>987</v>
      </c>
    </row>
    <row r="54" spans="1:5" x14ac:dyDescent="0.25">
      <c r="A54" s="4" t="s">
        <v>996</v>
      </c>
      <c r="B54" s="4" t="s">
        <v>997</v>
      </c>
      <c r="C54" s="4" t="s">
        <v>1232</v>
      </c>
    </row>
    <row r="55" spans="1:5" x14ac:dyDescent="0.25">
      <c r="A55" s="4" t="s">
        <v>998</v>
      </c>
      <c r="B55" s="4" t="s">
        <v>999</v>
      </c>
      <c r="C55" s="4" t="s">
        <v>1233</v>
      </c>
    </row>
    <row r="57" spans="1:5" x14ac:dyDescent="0.25">
      <c r="A57" s="67" t="s">
        <v>809</v>
      </c>
      <c r="B57" s="67" t="s">
        <v>1000</v>
      </c>
      <c r="D57" t="s">
        <v>1015</v>
      </c>
    </row>
    <row r="58" spans="1:5" x14ac:dyDescent="0.25">
      <c r="A58" s="4" t="s">
        <v>1159</v>
      </c>
      <c r="B58" s="4" t="s">
        <v>1214</v>
      </c>
    </row>
    <row r="59" spans="1:5" x14ac:dyDescent="0.25">
      <c r="A59" s="4" t="s">
        <v>1160</v>
      </c>
      <c r="B59" s="4" t="s">
        <v>96</v>
      </c>
      <c r="D59" t="s">
        <v>1164</v>
      </c>
    </row>
    <row r="60" spans="1:5" x14ac:dyDescent="0.25">
      <c r="A60" s="4" t="s">
        <v>1001</v>
      </c>
      <c r="B60" s="4" t="s">
        <v>1215</v>
      </c>
    </row>
    <row r="61" spans="1:5" x14ac:dyDescent="0.25">
      <c r="A61" s="4" t="s">
        <v>1002</v>
      </c>
      <c r="B61" s="4" t="s">
        <v>94</v>
      </c>
      <c r="D61" t="s">
        <v>1016</v>
      </c>
    </row>
    <row r="62" spans="1:5" x14ac:dyDescent="0.25">
      <c r="A62" s="4" t="s">
        <v>1003</v>
      </c>
      <c r="B62" s="4" t="s">
        <v>1216</v>
      </c>
    </row>
    <row r="63" spans="1:5" x14ac:dyDescent="0.25">
      <c r="A63" s="4" t="s">
        <v>1004</v>
      </c>
      <c r="B63" s="4" t="s">
        <v>1219</v>
      </c>
      <c r="D63" t="s">
        <v>1165</v>
      </c>
    </row>
    <row r="64" spans="1:5" x14ac:dyDescent="0.25">
      <c r="A64" s="4" t="s">
        <v>1005</v>
      </c>
      <c r="B64" s="4" t="s">
        <v>1220</v>
      </c>
    </row>
    <row r="65" spans="1:8" x14ac:dyDescent="0.25">
      <c r="A65" s="4" t="s">
        <v>1006</v>
      </c>
      <c r="B65" s="4" t="s">
        <v>1217</v>
      </c>
    </row>
    <row r="66" spans="1:8" x14ac:dyDescent="0.25">
      <c r="A66" s="4" t="s">
        <v>1007</v>
      </c>
      <c r="B66" s="4" t="s">
        <v>1218</v>
      </c>
    </row>
    <row r="67" spans="1:8" x14ac:dyDescent="0.25">
      <c r="A67" s="4" t="s">
        <v>1008</v>
      </c>
      <c r="B67" s="4" t="s">
        <v>1131</v>
      </c>
    </row>
    <row r="69" spans="1:8" x14ac:dyDescent="0.25">
      <c r="A69" s="67" t="s">
        <v>42</v>
      </c>
      <c r="B69" s="67" t="s">
        <v>1017</v>
      </c>
      <c r="C69" s="67" t="s">
        <v>1018</v>
      </c>
      <c r="D69" s="67" t="s">
        <v>1019</v>
      </c>
      <c r="F69" s="67" t="s">
        <v>42</v>
      </c>
      <c r="G69" s="67" t="s">
        <v>1018</v>
      </c>
      <c r="H69" s="67" t="s">
        <v>1019</v>
      </c>
    </row>
    <row r="70" spans="1:8" x14ac:dyDescent="0.25">
      <c r="A70" s="8">
        <v>41114</v>
      </c>
      <c r="B70" s="90">
        <v>2012</v>
      </c>
      <c r="C70" s="90">
        <v>24</v>
      </c>
      <c r="D70" s="90">
        <v>7</v>
      </c>
      <c r="F70" s="130">
        <v>41114</v>
      </c>
      <c r="G70" s="4">
        <v>24</v>
      </c>
      <c r="H70" s="4">
        <v>7</v>
      </c>
    </row>
    <row r="71" spans="1:8" x14ac:dyDescent="0.25">
      <c r="A71" s="8">
        <v>41115</v>
      </c>
      <c r="B71" s="90">
        <v>2012</v>
      </c>
      <c r="C71" s="90">
        <v>25</v>
      </c>
      <c r="D71" s="90">
        <v>7</v>
      </c>
      <c r="F71" s="130">
        <v>41115</v>
      </c>
      <c r="G71" s="4">
        <v>25</v>
      </c>
      <c r="H71" s="4">
        <v>7</v>
      </c>
    </row>
    <row r="72" spans="1:8" x14ac:dyDescent="0.25">
      <c r="A72" s="8">
        <v>41116</v>
      </c>
      <c r="B72" s="90">
        <v>2012</v>
      </c>
      <c r="C72" s="90">
        <v>26</v>
      </c>
      <c r="D72" s="90">
        <v>7</v>
      </c>
      <c r="F72" s="130">
        <v>41116</v>
      </c>
      <c r="G72" s="4">
        <v>26</v>
      </c>
      <c r="H72" s="4">
        <v>7</v>
      </c>
    </row>
    <row r="73" spans="1:8" x14ac:dyDescent="0.25">
      <c r="A73" s="8">
        <v>41117</v>
      </c>
      <c r="B73" s="90">
        <v>2012</v>
      </c>
      <c r="C73" s="90">
        <v>27</v>
      </c>
      <c r="D73" s="90">
        <v>7</v>
      </c>
      <c r="F73" s="130">
        <v>41117</v>
      </c>
      <c r="G73" s="4">
        <v>27</v>
      </c>
      <c r="H73" s="4">
        <v>7</v>
      </c>
    </row>
    <row r="74" spans="1:8" x14ac:dyDescent="0.25">
      <c r="A74" s="8">
        <v>41483</v>
      </c>
      <c r="B74" s="90">
        <v>2013</v>
      </c>
      <c r="C74" s="90">
        <v>28</v>
      </c>
      <c r="D74" s="90">
        <v>7</v>
      </c>
      <c r="F74" s="130">
        <v>41483</v>
      </c>
      <c r="G74" s="4">
        <v>28</v>
      </c>
      <c r="H74" s="4">
        <v>7</v>
      </c>
    </row>
    <row r="75" spans="1:8" x14ac:dyDescent="0.25">
      <c r="A75" s="8">
        <v>41484</v>
      </c>
      <c r="B75" s="90">
        <v>2013</v>
      </c>
      <c r="C75" s="90">
        <v>29</v>
      </c>
      <c r="D75" s="90">
        <v>7</v>
      </c>
      <c r="F75" s="130">
        <v>41484</v>
      </c>
      <c r="G75" s="4">
        <v>29</v>
      </c>
      <c r="H75" s="4">
        <v>7</v>
      </c>
    </row>
    <row r="76" spans="1:8" x14ac:dyDescent="0.25">
      <c r="A76" s="8">
        <v>41485</v>
      </c>
      <c r="B76" s="90">
        <v>2013</v>
      </c>
      <c r="C76" s="90">
        <v>30</v>
      </c>
      <c r="D76" s="90">
        <v>7</v>
      </c>
      <c r="F76" s="130">
        <v>41485</v>
      </c>
      <c r="G76" s="4">
        <v>30</v>
      </c>
      <c r="H76" s="4">
        <v>7</v>
      </c>
    </row>
    <row r="77" spans="1:8" x14ac:dyDescent="0.25">
      <c r="A77" s="8">
        <v>41486</v>
      </c>
      <c r="B77" s="90">
        <v>2013</v>
      </c>
      <c r="C77" s="90">
        <v>31</v>
      </c>
      <c r="D77" s="90">
        <v>7</v>
      </c>
      <c r="F77" s="130">
        <v>41486</v>
      </c>
      <c r="G77" s="4">
        <v>31</v>
      </c>
      <c r="H77" s="4">
        <v>7</v>
      </c>
    </row>
    <row r="78" spans="1:8" x14ac:dyDescent="0.25">
      <c r="A78" s="8">
        <v>41487</v>
      </c>
      <c r="B78" s="90">
        <v>2013</v>
      </c>
      <c r="C78" s="90">
        <v>1</v>
      </c>
      <c r="D78" s="90">
        <v>8</v>
      </c>
      <c r="F78" s="130">
        <v>41487</v>
      </c>
      <c r="G78" s="4">
        <v>1</v>
      </c>
      <c r="H78" s="4">
        <v>8</v>
      </c>
    </row>
    <row r="79" spans="1:8" x14ac:dyDescent="0.25">
      <c r="A79" s="8">
        <v>41488</v>
      </c>
      <c r="B79" s="90">
        <v>2013</v>
      </c>
      <c r="C79" s="90">
        <v>2</v>
      </c>
      <c r="D79" s="90">
        <v>8</v>
      </c>
      <c r="F79" s="130">
        <v>41488</v>
      </c>
      <c r="G79" s="4">
        <v>2</v>
      </c>
      <c r="H79" s="4">
        <v>8</v>
      </c>
    </row>
    <row r="81" spans="1:7" x14ac:dyDescent="0.25">
      <c r="A81" s="67" t="s">
        <v>91</v>
      </c>
      <c r="B81" s="67" t="s">
        <v>1020</v>
      </c>
      <c r="D81" s="67" t="s">
        <v>91</v>
      </c>
      <c r="E81" s="67" t="s">
        <v>1021</v>
      </c>
    </row>
    <row r="82" spans="1:7" x14ac:dyDescent="0.25">
      <c r="A82" s="4">
        <v>20010714</v>
      </c>
      <c r="B82" s="8">
        <v>37086</v>
      </c>
      <c r="D82" s="4">
        <v>20010714</v>
      </c>
      <c r="E82" s="130">
        <v>37086</v>
      </c>
      <c r="G82" s="2" t="s">
        <v>1022</v>
      </c>
    </row>
    <row r="83" spans="1:7" x14ac:dyDescent="0.25">
      <c r="A83" s="4">
        <v>20040410</v>
      </c>
      <c r="B83" s="8">
        <v>38178</v>
      </c>
      <c r="D83" s="4">
        <v>20040410</v>
      </c>
      <c r="E83" s="130">
        <v>38087</v>
      </c>
      <c r="G83" s="2" t="s">
        <v>1023</v>
      </c>
    </row>
    <row r="84" spans="1:7" x14ac:dyDescent="0.25">
      <c r="A84" s="4">
        <v>20091115</v>
      </c>
      <c r="B84" s="8">
        <v>40009</v>
      </c>
      <c r="D84" s="4">
        <v>20091115</v>
      </c>
      <c r="E84" s="130">
        <v>40132</v>
      </c>
      <c r="G84" t="s">
        <v>1234</v>
      </c>
    </row>
    <row r="85" spans="1:7" x14ac:dyDescent="0.25">
      <c r="A85" s="4">
        <v>20000610</v>
      </c>
      <c r="B85" s="8">
        <v>36717</v>
      </c>
      <c r="D85" s="4">
        <v>20000610</v>
      </c>
      <c r="E85" s="130">
        <v>36687</v>
      </c>
      <c r="G85" s="2" t="s">
        <v>1235</v>
      </c>
    </row>
    <row r="86" spans="1:7" x14ac:dyDescent="0.25">
      <c r="A86" s="4">
        <v>20080401</v>
      </c>
      <c r="B86" s="8">
        <v>39630</v>
      </c>
      <c r="D86" s="4">
        <v>20080401</v>
      </c>
      <c r="E86" s="130">
        <v>39539</v>
      </c>
    </row>
    <row r="87" spans="1:7" x14ac:dyDescent="0.25">
      <c r="A87" s="4">
        <v>20100717</v>
      </c>
      <c r="B87" s="8">
        <v>40376</v>
      </c>
      <c r="D87" s="4">
        <v>20100717</v>
      </c>
      <c r="E87" s="130">
        <v>40376</v>
      </c>
    </row>
    <row r="89" spans="1:7" x14ac:dyDescent="0.25">
      <c r="A89" s="26" t="s">
        <v>1024</v>
      </c>
      <c r="B89" s="26" t="s">
        <v>976</v>
      </c>
      <c r="D89" s="5" t="s">
        <v>1032</v>
      </c>
      <c r="E89" s="26" t="s">
        <v>976</v>
      </c>
    </row>
    <row r="90" spans="1:7" x14ac:dyDescent="0.25">
      <c r="A90" s="4">
        <v>2065874545</v>
      </c>
      <c r="B90" s="4" t="s">
        <v>1236</v>
      </c>
      <c r="D90" s="4">
        <v>880712259</v>
      </c>
      <c r="E90" s="4" t="s">
        <v>1241</v>
      </c>
    </row>
    <row r="91" spans="1:7" x14ac:dyDescent="0.25">
      <c r="A91" s="4">
        <v>2536987455</v>
      </c>
      <c r="B91" s="4" t="s">
        <v>1237</v>
      </c>
      <c r="D91" s="4">
        <v>880709467</v>
      </c>
      <c r="E91" s="4" t="s">
        <v>1242</v>
      </c>
    </row>
    <row r="92" spans="1:7" x14ac:dyDescent="0.25">
      <c r="A92" s="4">
        <v>2159874439</v>
      </c>
      <c r="B92" s="4" t="s">
        <v>1238</v>
      </c>
      <c r="D92" s="4">
        <v>880527987</v>
      </c>
      <c r="E92" s="4" t="s">
        <v>1243</v>
      </c>
    </row>
    <row r="93" spans="1:7" x14ac:dyDescent="0.25">
      <c r="A93" s="4">
        <v>4156559933</v>
      </c>
      <c r="B93" s="4" t="s">
        <v>1239</v>
      </c>
      <c r="D93" s="4">
        <v>998613133</v>
      </c>
      <c r="E93" s="4" t="s">
        <v>1244</v>
      </c>
    </row>
    <row r="94" spans="1:7" x14ac:dyDescent="0.25">
      <c r="A94" s="4">
        <v>5105557845</v>
      </c>
      <c r="B94" s="4" t="s">
        <v>1240</v>
      </c>
      <c r="D94" s="4">
        <v>880945725</v>
      </c>
      <c r="E94" s="4" t="s">
        <v>1245</v>
      </c>
    </row>
    <row r="96" spans="1:7" x14ac:dyDescent="0.25">
      <c r="A96" s="67" t="s">
        <v>93</v>
      </c>
      <c r="B96" s="67" t="s">
        <v>1025</v>
      </c>
      <c r="C96" s="67" t="s">
        <v>1026</v>
      </c>
      <c r="D96" s="67" t="s">
        <v>1027</v>
      </c>
    </row>
    <row r="97" spans="1:4" x14ac:dyDescent="0.25">
      <c r="A97" s="57">
        <v>97.65</v>
      </c>
      <c r="B97" s="90">
        <v>0.65</v>
      </c>
      <c r="C97" s="90">
        <v>97</v>
      </c>
      <c r="D97" s="23">
        <v>97</v>
      </c>
    </row>
    <row r="98" spans="1:4" x14ac:dyDescent="0.25">
      <c r="A98" s="57">
        <v>51.04</v>
      </c>
      <c r="B98" s="90">
        <v>0.04</v>
      </c>
      <c r="C98" s="90">
        <v>51</v>
      </c>
      <c r="D98" s="23">
        <v>51</v>
      </c>
    </row>
    <row r="99" spans="1:4" x14ac:dyDescent="0.25">
      <c r="A99" s="57">
        <v>21.96</v>
      </c>
      <c r="B99" s="90">
        <v>0.96</v>
      </c>
      <c r="C99" s="90">
        <v>21</v>
      </c>
      <c r="D99" s="23">
        <v>21</v>
      </c>
    </row>
    <row r="100" spans="1:4" x14ac:dyDescent="0.25">
      <c r="A100" s="57">
        <v>50.6</v>
      </c>
      <c r="B100" s="90">
        <v>0.6</v>
      </c>
      <c r="C100" s="90">
        <v>50</v>
      </c>
      <c r="D100" s="23">
        <v>50</v>
      </c>
    </row>
    <row r="101" spans="1:4" x14ac:dyDescent="0.25">
      <c r="A101" s="57">
        <v>35.74</v>
      </c>
      <c r="B101" s="90">
        <v>0.74</v>
      </c>
      <c r="C101" s="90">
        <v>35</v>
      </c>
      <c r="D101" s="23">
        <v>35</v>
      </c>
    </row>
    <row r="102" spans="1:4" x14ac:dyDescent="0.25">
      <c r="A102" s="57">
        <v>12.33</v>
      </c>
      <c r="B102" s="90">
        <v>0.33</v>
      </c>
      <c r="C102" s="90">
        <v>12</v>
      </c>
      <c r="D102" s="23">
        <v>12</v>
      </c>
    </row>
    <row r="103" spans="1:4" x14ac:dyDescent="0.25">
      <c r="A103" s="57">
        <v>74.209999999999994</v>
      </c>
      <c r="B103" s="90">
        <v>0.21</v>
      </c>
      <c r="C103" s="90">
        <v>74</v>
      </c>
      <c r="D103" s="23">
        <v>74</v>
      </c>
    </row>
    <row r="104" spans="1:4" x14ac:dyDescent="0.25">
      <c r="A104" s="57">
        <v>49.34</v>
      </c>
      <c r="B104" s="90">
        <v>0.34</v>
      </c>
      <c r="C104" s="90">
        <v>49</v>
      </c>
      <c r="D104" s="23">
        <v>49</v>
      </c>
    </row>
    <row r="105" spans="1:4" x14ac:dyDescent="0.25">
      <c r="A105" s="57">
        <v>65.56</v>
      </c>
      <c r="B105" s="90">
        <v>0.56000000000000005</v>
      </c>
      <c r="C105" s="90">
        <v>65</v>
      </c>
      <c r="D105" s="23">
        <v>65</v>
      </c>
    </row>
    <row r="106" spans="1:4" x14ac:dyDescent="0.25">
      <c r="A106" s="57">
        <v>31.2</v>
      </c>
      <c r="B106" s="90">
        <v>0.2</v>
      </c>
      <c r="C106" s="90">
        <v>31</v>
      </c>
      <c r="D106" s="23">
        <v>31</v>
      </c>
    </row>
    <row r="108" spans="1:4" x14ac:dyDescent="0.25">
      <c r="A108" s="67" t="s">
        <v>43</v>
      </c>
      <c r="B108" s="67" t="s">
        <v>1028</v>
      </c>
      <c r="C108" s="67" t="s">
        <v>1029</v>
      </c>
    </row>
    <row r="109" spans="1:4" x14ac:dyDescent="0.25">
      <c r="A109" s="91">
        <v>0.05</v>
      </c>
      <c r="B109" s="90">
        <v>1</v>
      </c>
      <c r="C109" s="90">
        <v>12</v>
      </c>
    </row>
    <row r="110" spans="1:4" x14ac:dyDescent="0.25">
      <c r="A110" s="91">
        <v>0.17916666666666667</v>
      </c>
      <c r="B110" s="90">
        <v>4</v>
      </c>
      <c r="C110" s="90">
        <v>18</v>
      </c>
    </row>
    <row r="111" spans="1:4" x14ac:dyDescent="0.25">
      <c r="A111" s="91">
        <v>0.78749999999999998</v>
      </c>
      <c r="B111" s="90">
        <v>6</v>
      </c>
      <c r="C111" s="90">
        <v>54</v>
      </c>
    </row>
    <row r="112" spans="1:4" x14ac:dyDescent="0.25">
      <c r="A112" s="91">
        <v>0.46250000000000002</v>
      </c>
      <c r="B112" s="90">
        <v>11</v>
      </c>
      <c r="C112" s="90">
        <v>6</v>
      </c>
    </row>
    <row r="113" spans="1:6" x14ac:dyDescent="0.25">
      <c r="A113" s="91">
        <v>0.38333333333333336</v>
      </c>
      <c r="B113" s="90">
        <v>9</v>
      </c>
      <c r="C113" s="90">
        <v>12</v>
      </c>
      <c r="F113" t="s">
        <v>1030</v>
      </c>
    </row>
    <row r="114" spans="1:6" x14ac:dyDescent="0.25">
      <c r="A114" s="91">
        <v>0.73750000000000004</v>
      </c>
      <c r="B114" s="90">
        <v>5</v>
      </c>
      <c r="C114" s="90">
        <v>42</v>
      </c>
      <c r="F114" t="s">
        <v>1031</v>
      </c>
    </row>
    <row r="115" spans="1:6" x14ac:dyDescent="0.25">
      <c r="A115" s="91">
        <v>1</v>
      </c>
      <c r="B115" s="90">
        <v>12</v>
      </c>
      <c r="C115" s="90">
        <v>0</v>
      </c>
    </row>
    <row r="116" spans="1:6" x14ac:dyDescent="0.25">
      <c r="A116" s="91">
        <v>0.96250000000000002</v>
      </c>
      <c r="B116" s="90">
        <v>11</v>
      </c>
      <c r="C116" s="90">
        <v>6</v>
      </c>
    </row>
    <row r="117" spans="1:6" x14ac:dyDescent="0.25">
      <c r="A117" s="91">
        <v>0.16666666666666666</v>
      </c>
      <c r="B117" s="90">
        <v>4</v>
      </c>
      <c r="C117" s="90">
        <v>0</v>
      </c>
    </row>
    <row r="118" spans="1:6" x14ac:dyDescent="0.25">
      <c r="A118" s="91">
        <v>0.39166666666666666</v>
      </c>
      <c r="B118" s="90">
        <v>9</v>
      </c>
      <c r="C118" s="90">
        <v>24</v>
      </c>
    </row>
    <row r="119" spans="1:6" x14ac:dyDescent="0.25">
      <c r="A119" s="92"/>
    </row>
    <row r="120" spans="1:6" x14ac:dyDescent="0.25">
      <c r="A120" s="5" t="s">
        <v>1033</v>
      </c>
      <c r="B120" s="5" t="s">
        <v>1034</v>
      </c>
    </row>
    <row r="121" spans="1:6" x14ac:dyDescent="0.25">
      <c r="A121" s="4" t="s">
        <v>1035</v>
      </c>
      <c r="B121" s="4" t="s">
        <v>1221</v>
      </c>
    </row>
    <row r="122" spans="1:6" x14ac:dyDescent="0.25">
      <c r="A122" s="4" t="s">
        <v>1036</v>
      </c>
      <c r="B122" s="4" t="s">
        <v>1223</v>
      </c>
    </row>
    <row r="123" spans="1:6" x14ac:dyDescent="0.25">
      <c r="A123" s="4" t="s">
        <v>1037</v>
      </c>
      <c r="B123" s="4" t="s">
        <v>1222</v>
      </c>
    </row>
    <row r="124" spans="1:6" x14ac:dyDescent="0.25">
      <c r="A124" s="4" t="s">
        <v>1038</v>
      </c>
      <c r="B124" s="4" t="s">
        <v>1225</v>
      </c>
    </row>
    <row r="125" spans="1:6" x14ac:dyDescent="0.25">
      <c r="A125" s="4" t="s">
        <v>1039</v>
      </c>
      <c r="B125" s="4" t="s">
        <v>1222</v>
      </c>
    </row>
    <row r="126" spans="1:6" x14ac:dyDescent="0.25">
      <c r="A126" s="4" t="s">
        <v>1040</v>
      </c>
      <c r="B126" s="4" t="s">
        <v>1224</v>
      </c>
    </row>
    <row r="127" spans="1:6" x14ac:dyDescent="0.25">
      <c r="A127" s="4" t="s">
        <v>1041</v>
      </c>
      <c r="B127" s="4" t="s">
        <v>1225</v>
      </c>
    </row>
    <row r="129" spans="4:4" ht="15.75" x14ac:dyDescent="0.25">
      <c r="D129" s="9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F47"/>
  <sheetViews>
    <sheetView workbookViewId="0"/>
  </sheetViews>
  <sheetFormatPr defaultRowHeight="15" x14ac:dyDescent="0.25"/>
  <cols>
    <col min="1" max="1" width="30.42578125" customWidth="1"/>
    <col min="2" max="2" width="43.140625" customWidth="1"/>
    <col min="3" max="3" width="16.85546875" bestFit="1" customWidth="1"/>
    <col min="4" max="4" width="18.28515625" bestFit="1" customWidth="1"/>
    <col min="5" max="5" width="13.42578125" bestFit="1" customWidth="1"/>
    <col min="6" max="6" width="7.140625" bestFit="1" customWidth="1"/>
  </cols>
  <sheetData>
    <row r="1" spans="1:6" x14ac:dyDescent="0.25">
      <c r="A1" s="133" t="s">
        <v>1266</v>
      </c>
      <c r="B1" s="133" t="s">
        <v>1267</v>
      </c>
      <c r="C1" s="133" t="s">
        <v>1268</v>
      </c>
      <c r="D1" s="133" t="s">
        <v>1269</v>
      </c>
      <c r="E1" s="134"/>
      <c r="F1" s="134"/>
    </row>
    <row r="2" spans="1:6" ht="31.5" x14ac:dyDescent="0.35">
      <c r="A2" s="135" t="s">
        <v>1270</v>
      </c>
      <c r="B2" s="136" t="s">
        <v>1271</v>
      </c>
      <c r="C2" s="136">
        <v>12.77</v>
      </c>
      <c r="D2" s="137">
        <v>12.77</v>
      </c>
      <c r="E2" s="134"/>
      <c r="F2" s="134"/>
    </row>
    <row r="3" spans="1:6" ht="23.25" x14ac:dyDescent="0.35">
      <c r="A3" s="138"/>
      <c r="B3" s="136"/>
      <c r="C3" s="4">
        <v>5</v>
      </c>
      <c r="D3" s="137">
        <v>5</v>
      </c>
    </row>
    <row r="4" spans="1:6" ht="31.5" x14ac:dyDescent="0.35">
      <c r="A4" s="138">
        <v>0</v>
      </c>
      <c r="B4" s="136" t="s">
        <v>1272</v>
      </c>
      <c r="C4" s="136">
        <v>0.35</v>
      </c>
      <c r="D4" s="139">
        <v>0.35</v>
      </c>
    </row>
    <row r="5" spans="1:6" ht="23.25" x14ac:dyDescent="0.35">
      <c r="A5" s="138"/>
      <c r="B5" s="136"/>
      <c r="C5" s="4">
        <v>23</v>
      </c>
      <c r="D5" s="139">
        <v>23</v>
      </c>
    </row>
    <row r="6" spans="1:6" ht="23.25" x14ac:dyDescent="0.35">
      <c r="A6" s="138">
        <v>0</v>
      </c>
      <c r="B6" s="136" t="s">
        <v>1273</v>
      </c>
      <c r="C6" s="4">
        <v>345</v>
      </c>
      <c r="D6" s="140">
        <v>345</v>
      </c>
    </row>
    <row r="7" spans="1:6" ht="23.25" x14ac:dyDescent="0.35">
      <c r="A7" s="138">
        <v>0</v>
      </c>
      <c r="B7" s="136" t="s">
        <v>1274</v>
      </c>
      <c r="C7" s="141" t="s">
        <v>1275</v>
      </c>
      <c r="D7" s="142">
        <v>0.12548963258663501</v>
      </c>
    </row>
    <row r="8" spans="1:6" ht="61.5" x14ac:dyDescent="0.35">
      <c r="A8" s="138" t="s">
        <v>1276</v>
      </c>
      <c r="B8" s="136" t="s">
        <v>1277</v>
      </c>
      <c r="C8" s="136">
        <v>27.3</v>
      </c>
      <c r="D8" s="143">
        <v>27.3</v>
      </c>
    </row>
    <row r="9" spans="1:6" ht="23.25" x14ac:dyDescent="0.35">
      <c r="A9" s="138"/>
      <c r="B9" s="136"/>
      <c r="C9" s="4">
        <v>5.1319999999999997</v>
      </c>
      <c r="D9" s="143">
        <v>5.1319999999999997</v>
      </c>
    </row>
    <row r="10" spans="1:6" ht="23.25" x14ac:dyDescent="0.35">
      <c r="A10" s="138" t="s">
        <v>1276</v>
      </c>
      <c r="B10" s="136" t="s">
        <v>1278</v>
      </c>
      <c r="C10" s="136">
        <v>27.3</v>
      </c>
      <c r="D10" s="144">
        <v>27.3</v>
      </c>
    </row>
    <row r="11" spans="1:6" ht="23.25" x14ac:dyDescent="0.35">
      <c r="A11" s="138"/>
      <c r="B11" s="136"/>
      <c r="C11" s="4">
        <v>5.1319999999999997</v>
      </c>
      <c r="D11" s="144">
        <v>5.1319999999999997</v>
      </c>
    </row>
    <row r="12" spans="1:6" ht="31.5" x14ac:dyDescent="0.35">
      <c r="A12" s="138" t="s">
        <v>1279</v>
      </c>
      <c r="B12" s="136" t="s">
        <v>1280</v>
      </c>
      <c r="C12" s="145">
        <v>0.3</v>
      </c>
      <c r="D12" s="62">
        <v>0.3</v>
      </c>
    </row>
    <row r="13" spans="1:6" ht="31.5" x14ac:dyDescent="0.35">
      <c r="A13" s="138" t="s">
        <v>1281</v>
      </c>
      <c r="B13" s="136" t="s">
        <v>1282</v>
      </c>
      <c r="C13" s="4">
        <v>1000000</v>
      </c>
      <c r="D13" s="146">
        <v>1000000</v>
      </c>
    </row>
    <row r="14" spans="1:6" ht="23.25" x14ac:dyDescent="0.35">
      <c r="A14" s="138" t="s">
        <v>1281</v>
      </c>
      <c r="B14" s="136" t="s">
        <v>1283</v>
      </c>
      <c r="C14" s="4">
        <v>1000000</v>
      </c>
      <c r="D14" s="147">
        <v>1000000</v>
      </c>
    </row>
    <row r="15" spans="1:6" ht="46.5" x14ac:dyDescent="0.35">
      <c r="A15" s="138" t="s">
        <v>1284</v>
      </c>
      <c r="B15" s="136" t="s">
        <v>1285</v>
      </c>
      <c r="C15" s="4">
        <v>548</v>
      </c>
      <c r="D15" s="148">
        <v>548</v>
      </c>
    </row>
    <row r="16" spans="1:6" ht="31.5" x14ac:dyDescent="0.35">
      <c r="A16" s="138" t="s">
        <v>1284</v>
      </c>
      <c r="B16" s="136" t="s">
        <v>1286</v>
      </c>
      <c r="C16" s="4">
        <v>548</v>
      </c>
      <c r="D16" s="149">
        <v>548</v>
      </c>
    </row>
    <row r="17" spans="1:6" ht="61.5" x14ac:dyDescent="0.35">
      <c r="A17" s="138" t="s">
        <v>1287</v>
      </c>
      <c r="B17" s="136" t="s">
        <v>1288</v>
      </c>
      <c r="C17" s="4">
        <v>256.36</v>
      </c>
      <c r="D17" s="150">
        <v>256.36</v>
      </c>
    </row>
    <row r="18" spans="1:6" ht="31.5" x14ac:dyDescent="0.35">
      <c r="A18" s="138" t="s">
        <v>1287</v>
      </c>
      <c r="B18" s="136" t="s">
        <v>1289</v>
      </c>
      <c r="C18" s="4">
        <v>-256.36</v>
      </c>
      <c r="D18" s="150">
        <v>-256.36</v>
      </c>
    </row>
    <row r="19" spans="1:6" ht="31.5" x14ac:dyDescent="0.35">
      <c r="A19" s="138" t="s">
        <v>1287</v>
      </c>
      <c r="B19" s="136" t="s">
        <v>1289</v>
      </c>
      <c r="C19" s="4">
        <v>0</v>
      </c>
      <c r="D19" s="150">
        <v>0</v>
      </c>
    </row>
    <row r="20" spans="1:6" ht="23.25" x14ac:dyDescent="0.35">
      <c r="A20" s="138"/>
      <c r="B20" s="136"/>
      <c r="C20" s="4"/>
      <c r="D20" s="4"/>
    </row>
    <row r="21" spans="1:6" ht="23.25" x14ac:dyDescent="0.35">
      <c r="A21" s="151" t="s">
        <v>1290</v>
      </c>
      <c r="B21" s="136" t="s">
        <v>1291</v>
      </c>
      <c r="C21" s="127">
        <v>23</v>
      </c>
      <c r="D21" s="152">
        <v>23</v>
      </c>
    </row>
    <row r="22" spans="1:6" ht="23.25" x14ac:dyDescent="0.35">
      <c r="A22" s="151" t="s">
        <v>1290</v>
      </c>
      <c r="B22" s="136" t="s">
        <v>1292</v>
      </c>
      <c r="C22" s="4">
        <v>5</v>
      </c>
      <c r="D22" s="153">
        <v>5</v>
      </c>
    </row>
    <row r="23" spans="1:6" ht="23.25" x14ac:dyDescent="0.35">
      <c r="A23" s="151"/>
      <c r="B23" s="136"/>
      <c r="C23" s="4">
        <v>-10</v>
      </c>
      <c r="D23" s="153">
        <v>-10</v>
      </c>
    </row>
    <row r="24" spans="1:6" ht="76.5" x14ac:dyDescent="0.35">
      <c r="A24" s="151" t="s">
        <v>1293</v>
      </c>
      <c r="B24" s="136" t="s">
        <v>1294</v>
      </c>
      <c r="C24" s="4" t="s">
        <v>1295</v>
      </c>
      <c r="D24" s="154" t="s">
        <v>1295</v>
      </c>
    </row>
    <row r="25" spans="1:6" ht="31.5" x14ac:dyDescent="0.35">
      <c r="A25" s="151" t="s">
        <v>1293</v>
      </c>
      <c r="B25" s="136" t="s">
        <v>1296</v>
      </c>
      <c r="C25" s="4" t="s">
        <v>1295</v>
      </c>
      <c r="D25" s="155" t="s">
        <v>1295</v>
      </c>
    </row>
    <row r="26" spans="1:6" ht="46.5" x14ac:dyDescent="0.35">
      <c r="A26" s="151" t="s">
        <v>1293</v>
      </c>
      <c r="B26" s="136" t="s">
        <v>1297</v>
      </c>
      <c r="C26" s="4" t="s">
        <v>1043</v>
      </c>
      <c r="D26" s="156" t="s">
        <v>1043</v>
      </c>
    </row>
    <row r="27" spans="1:6" ht="46.5" x14ac:dyDescent="0.35">
      <c r="A27" s="151" t="s">
        <v>1293</v>
      </c>
      <c r="B27" s="136" t="s">
        <v>1298</v>
      </c>
      <c r="C27" s="4" t="s">
        <v>1043</v>
      </c>
      <c r="D27" s="150" t="s">
        <v>1043</v>
      </c>
    </row>
    <row r="28" spans="1:6" ht="23.25" x14ac:dyDescent="0.35">
      <c r="A28" s="151" t="s">
        <v>1299</v>
      </c>
      <c r="B28" s="136" t="s">
        <v>1300</v>
      </c>
      <c r="C28" s="8">
        <v>39082</v>
      </c>
      <c r="D28" s="157">
        <v>39082</v>
      </c>
    </row>
    <row r="29" spans="1:6" ht="23.25" x14ac:dyDescent="0.35">
      <c r="A29" s="151" t="s">
        <v>1301</v>
      </c>
      <c r="B29" s="136" t="s">
        <v>1302</v>
      </c>
      <c r="C29" s="8">
        <v>39082</v>
      </c>
      <c r="D29" s="158">
        <v>39082</v>
      </c>
    </row>
    <row r="30" spans="1:6" ht="23.25" x14ac:dyDescent="0.35">
      <c r="A30" s="151" t="s">
        <v>1303</v>
      </c>
      <c r="B30" s="136" t="s">
        <v>1304</v>
      </c>
      <c r="C30" s="8">
        <v>39082</v>
      </c>
      <c r="D30" s="159">
        <v>39082</v>
      </c>
    </row>
    <row r="31" spans="1:6" ht="23.25" x14ac:dyDescent="0.35">
      <c r="A31" s="151" t="s">
        <v>1299</v>
      </c>
      <c r="B31" s="136" t="s">
        <v>1305</v>
      </c>
      <c r="C31" s="8">
        <v>39082</v>
      </c>
      <c r="D31" s="160">
        <v>39082</v>
      </c>
    </row>
    <row r="32" spans="1:6" ht="23.25" x14ac:dyDescent="0.35">
      <c r="A32" s="151" t="s">
        <v>1301</v>
      </c>
      <c r="B32" s="136" t="s">
        <v>1306</v>
      </c>
      <c r="C32" s="8">
        <v>39082</v>
      </c>
      <c r="D32" s="161">
        <v>39082</v>
      </c>
      <c r="E32" t="s">
        <v>1307</v>
      </c>
      <c r="F32" s="92">
        <f>12*D32</f>
        <v>468984</v>
      </c>
    </row>
    <row r="33" spans="1:4" ht="23.25" x14ac:dyDescent="0.35">
      <c r="A33" s="151" t="s">
        <v>1303</v>
      </c>
      <c r="B33" s="136" t="s">
        <v>1308</v>
      </c>
      <c r="C33" s="8">
        <v>39082</v>
      </c>
      <c r="D33" s="162">
        <v>39082</v>
      </c>
    </row>
    <row r="34" spans="1:4" ht="23.25" x14ac:dyDescent="0.35">
      <c r="A34" s="138" t="s">
        <v>1309</v>
      </c>
      <c r="B34" s="4" t="s">
        <v>43</v>
      </c>
      <c r="C34" s="32">
        <v>0.33333333333333331</v>
      </c>
      <c r="D34" s="91">
        <f>C34</f>
        <v>0.33333333333333331</v>
      </c>
    </row>
    <row r="35" spans="1:4" ht="23.25" x14ac:dyDescent="0.35">
      <c r="A35" s="138" t="s">
        <v>1310</v>
      </c>
      <c r="B35" s="4" t="s">
        <v>1311</v>
      </c>
      <c r="C35" s="4">
        <v>2</v>
      </c>
      <c r="D35" s="94">
        <f>C35</f>
        <v>2</v>
      </c>
    </row>
    <row r="36" spans="1:4" ht="31.5" x14ac:dyDescent="0.35">
      <c r="A36" s="138" t="s">
        <v>1312</v>
      </c>
      <c r="B36" s="136" t="s">
        <v>1313</v>
      </c>
      <c r="C36" s="4"/>
      <c r="D36" s="4"/>
    </row>
    <row r="37" spans="1:4" ht="31.5" x14ac:dyDescent="0.35">
      <c r="A37" s="138" t="s">
        <v>1314</v>
      </c>
      <c r="B37" s="136" t="s">
        <v>1315</v>
      </c>
      <c r="C37" s="4"/>
      <c r="D37" s="4"/>
    </row>
    <row r="38" spans="1:4" ht="31.5" x14ac:dyDescent="0.35">
      <c r="A38" s="151" t="s">
        <v>1316</v>
      </c>
      <c r="B38" s="163" t="s">
        <v>1317</v>
      </c>
      <c r="C38" s="4">
        <v>65</v>
      </c>
      <c r="D38" s="164">
        <f>C38</f>
        <v>65</v>
      </c>
    </row>
    <row r="39" spans="1:4" x14ac:dyDescent="0.25">
      <c r="B39" s="206" t="s">
        <v>1470</v>
      </c>
    </row>
    <row r="40" spans="1:4" x14ac:dyDescent="0.25">
      <c r="B40" s="207" t="s">
        <v>1471</v>
      </c>
    </row>
    <row r="41" spans="1:4" x14ac:dyDescent="0.25">
      <c r="B41" s="208" t="s">
        <v>1472</v>
      </c>
    </row>
    <row r="42" spans="1:4" x14ac:dyDescent="0.25">
      <c r="B42" s="209" t="s">
        <v>1221</v>
      </c>
    </row>
    <row r="43" spans="1:4" x14ac:dyDescent="0.25">
      <c r="B43" s="210" t="s">
        <v>1223</v>
      </c>
    </row>
    <row r="44" spans="1:4" x14ac:dyDescent="0.25">
      <c r="B44" s="211" t="s">
        <v>1222</v>
      </c>
    </row>
    <row r="45" spans="1:4" x14ac:dyDescent="0.25">
      <c r="B45" s="212" t="s">
        <v>1473</v>
      </c>
    </row>
    <row r="46" spans="1:4" x14ac:dyDescent="0.25">
      <c r="B46" s="213" t="s">
        <v>1474</v>
      </c>
    </row>
    <row r="47" spans="1:4" x14ac:dyDescent="0.25">
      <c r="B47" s="214" t="s">
        <v>1475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F25"/>
  <sheetViews>
    <sheetView zoomScale="130" zoomScaleNormal="130" workbookViewId="0">
      <selection activeCell="B1" sqref="B1"/>
    </sheetView>
  </sheetViews>
  <sheetFormatPr defaultRowHeight="15" x14ac:dyDescent="0.25"/>
  <cols>
    <col min="1" max="1" width="62.7109375" customWidth="1"/>
    <col min="2" max="2" width="28.7109375" customWidth="1"/>
    <col min="3" max="3" width="2.140625" customWidth="1"/>
    <col min="4" max="4" width="18" customWidth="1"/>
  </cols>
  <sheetData>
    <row r="1" spans="1:4" x14ac:dyDescent="0.25">
      <c r="A1" s="27" t="s">
        <v>1320</v>
      </c>
      <c r="B1" s="8">
        <v>41585</v>
      </c>
      <c r="C1" s="4"/>
      <c r="D1" s="4" t="s">
        <v>1332</v>
      </c>
    </row>
    <row r="2" spans="1:4" x14ac:dyDescent="0.25">
      <c r="A2" s="18"/>
      <c r="B2" s="8">
        <v>41585</v>
      </c>
      <c r="C2" s="4"/>
      <c r="D2" s="4" t="s">
        <v>1333</v>
      </c>
    </row>
    <row r="3" spans="1:4" x14ac:dyDescent="0.25">
      <c r="A3" s="18"/>
      <c r="B3" s="8">
        <v>41585</v>
      </c>
      <c r="C3" s="4"/>
      <c r="D3" s="4" t="s">
        <v>1334</v>
      </c>
    </row>
    <row r="4" spans="1:4" x14ac:dyDescent="0.25">
      <c r="A4" s="27" t="s">
        <v>1321</v>
      </c>
      <c r="B4" s="32">
        <v>0.4145833333333333</v>
      </c>
      <c r="C4" s="4"/>
      <c r="D4" s="4" t="s">
        <v>1335</v>
      </c>
    </row>
    <row r="5" spans="1:4" x14ac:dyDescent="0.25">
      <c r="A5" s="27" t="s">
        <v>1346</v>
      </c>
      <c r="B5" s="32">
        <v>0.4145833333333333</v>
      </c>
      <c r="C5" s="4"/>
      <c r="D5" s="4" t="s">
        <v>1336</v>
      </c>
    </row>
    <row r="6" spans="1:4" x14ac:dyDescent="0.25">
      <c r="A6" s="27" t="s">
        <v>1322</v>
      </c>
      <c r="B6" s="32">
        <v>0.4145833333333333</v>
      </c>
      <c r="C6" s="4"/>
      <c r="D6" s="4" t="s">
        <v>1310</v>
      </c>
    </row>
    <row r="7" spans="1:4" x14ac:dyDescent="0.25">
      <c r="A7" s="27" t="s">
        <v>1323</v>
      </c>
      <c r="B7" s="90">
        <v>1.35</v>
      </c>
      <c r="C7" s="4"/>
      <c r="D7" s="4" t="s">
        <v>1318</v>
      </c>
    </row>
    <row r="8" spans="1:4" x14ac:dyDescent="0.25">
      <c r="A8" s="27" t="s">
        <v>1324</v>
      </c>
      <c r="B8" s="90">
        <v>1.35</v>
      </c>
      <c r="C8" s="4"/>
      <c r="D8" s="141" t="s">
        <v>1319</v>
      </c>
    </row>
    <row r="9" spans="1:4" x14ac:dyDescent="0.25">
      <c r="A9" s="18"/>
      <c r="B9" s="90">
        <v>1.35</v>
      </c>
      <c r="C9" s="4"/>
      <c r="D9" s="141" t="s">
        <v>1329</v>
      </c>
    </row>
    <row r="10" spans="1:4" x14ac:dyDescent="0.25">
      <c r="A10" s="27" t="s">
        <v>1342</v>
      </c>
      <c r="B10" s="90">
        <v>1000000</v>
      </c>
      <c r="C10" s="4"/>
      <c r="D10" s="141" t="s">
        <v>1343</v>
      </c>
    </row>
    <row r="11" spans="1:4" x14ac:dyDescent="0.25">
      <c r="A11" s="27" t="s">
        <v>1347</v>
      </c>
      <c r="B11" s="90">
        <v>1000000</v>
      </c>
      <c r="C11" s="4"/>
      <c r="D11" s="141" t="s">
        <v>1348</v>
      </c>
    </row>
    <row r="12" spans="1:4" x14ac:dyDescent="0.25">
      <c r="A12" s="18"/>
      <c r="B12" s="90">
        <v>1000000</v>
      </c>
      <c r="C12" s="4"/>
      <c r="D12" s="141" t="s">
        <v>1349</v>
      </c>
    </row>
    <row r="13" spans="1:4" x14ac:dyDescent="0.25">
      <c r="A13" s="27" t="s">
        <v>1344</v>
      </c>
      <c r="B13" s="90">
        <v>1000000</v>
      </c>
      <c r="C13" s="4"/>
      <c r="D13" s="141" t="s">
        <v>1350</v>
      </c>
    </row>
    <row r="14" spans="1:4" x14ac:dyDescent="0.25">
      <c r="A14" s="27" t="s">
        <v>1345</v>
      </c>
      <c r="B14" s="90">
        <v>1000000</v>
      </c>
      <c r="C14" s="4"/>
      <c r="D14" s="141"/>
    </row>
    <row r="15" spans="1:4" x14ac:dyDescent="0.25">
      <c r="A15" s="27" t="s">
        <v>1325</v>
      </c>
      <c r="B15" s="90">
        <v>0.35749999999999998</v>
      </c>
      <c r="C15" s="4"/>
      <c r="D15" s="141" t="s">
        <v>1326</v>
      </c>
    </row>
    <row r="16" spans="1:4" x14ac:dyDescent="0.25">
      <c r="A16" s="18"/>
      <c r="B16" s="90">
        <v>0.35749999999999998</v>
      </c>
      <c r="C16" s="4"/>
      <c r="D16" s="141" t="s">
        <v>1330</v>
      </c>
    </row>
    <row r="17" spans="1:6" x14ac:dyDescent="0.25">
      <c r="A17" s="27" t="s">
        <v>1327</v>
      </c>
      <c r="B17" s="90">
        <f t="shared" ref="B17:B18" si="0">13/15</f>
        <v>0.8666666666666667</v>
      </c>
      <c r="C17" s="4"/>
      <c r="D17" s="4" t="s">
        <v>1331</v>
      </c>
      <c r="F17" s="4"/>
    </row>
    <row r="18" spans="1:6" x14ac:dyDescent="0.25">
      <c r="A18" s="18"/>
      <c r="B18" s="90">
        <f t="shared" si="0"/>
        <v>0.8666666666666667</v>
      </c>
      <c r="C18" s="4"/>
      <c r="D18" s="4" t="s">
        <v>1328</v>
      </c>
      <c r="F18" s="4"/>
    </row>
    <row r="19" spans="1:6" x14ac:dyDescent="0.25">
      <c r="A19" s="27" t="s">
        <v>1337</v>
      </c>
      <c r="B19" s="90">
        <v>15.67</v>
      </c>
      <c r="C19" s="4"/>
      <c r="D19" s="4" t="s">
        <v>1338</v>
      </c>
    </row>
    <row r="20" spans="1:6" x14ac:dyDescent="0.25">
      <c r="A20" s="27" t="s">
        <v>1339</v>
      </c>
      <c r="B20" s="90">
        <v>15.67</v>
      </c>
      <c r="C20" s="4"/>
      <c r="D20" s="4" t="s">
        <v>1340</v>
      </c>
    </row>
    <row r="21" spans="1:6" x14ac:dyDescent="0.25">
      <c r="A21" s="27" t="s">
        <v>1341</v>
      </c>
      <c r="B21" s="90">
        <v>0</v>
      </c>
      <c r="C21" s="4"/>
      <c r="D21" s="4" t="s">
        <v>1353</v>
      </c>
    </row>
    <row r="22" spans="1:6" x14ac:dyDescent="0.25">
      <c r="A22" s="27" t="s">
        <v>1354</v>
      </c>
      <c r="B22" s="90">
        <v>2</v>
      </c>
      <c r="C22" s="4"/>
      <c r="D22" s="4" t="s">
        <v>1355</v>
      </c>
    </row>
    <row r="23" spans="1:6" x14ac:dyDescent="0.25">
      <c r="A23" s="27" t="s">
        <v>1351</v>
      </c>
      <c r="B23" s="90">
        <v>5</v>
      </c>
      <c r="C23" s="90"/>
      <c r="D23" s="90" t="s">
        <v>1352</v>
      </c>
    </row>
    <row r="24" spans="1:6" x14ac:dyDescent="0.25">
      <c r="A24" s="27" t="s">
        <v>1313</v>
      </c>
      <c r="B24" s="4"/>
      <c r="C24" s="4"/>
      <c r="D24" s="4"/>
    </row>
    <row r="25" spans="1:6" x14ac:dyDescent="0.25">
      <c r="A25" s="27" t="s">
        <v>1315</v>
      </c>
      <c r="B25" s="4"/>
      <c r="C25" s="4"/>
      <c r="D25"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25"/>
  <sheetViews>
    <sheetView zoomScale="130" zoomScaleNormal="130" workbookViewId="0">
      <selection activeCell="B1" sqref="B1"/>
    </sheetView>
  </sheetViews>
  <sheetFormatPr defaultRowHeight="15" x14ac:dyDescent="0.25"/>
  <cols>
    <col min="1" max="1" width="62.7109375" customWidth="1"/>
    <col min="2" max="2" width="28.7109375" customWidth="1"/>
    <col min="3" max="3" width="2.140625" customWidth="1"/>
    <col min="4" max="4" width="21.140625" customWidth="1"/>
  </cols>
  <sheetData>
    <row r="1" spans="1:5" x14ac:dyDescent="0.25">
      <c r="A1" s="27" t="s">
        <v>1320</v>
      </c>
      <c r="B1" s="8">
        <v>41585</v>
      </c>
      <c r="C1" s="4"/>
      <c r="D1" s="4" t="s">
        <v>1332</v>
      </c>
    </row>
    <row r="2" spans="1:5" x14ac:dyDescent="0.25">
      <c r="A2" s="18"/>
      <c r="B2" s="157">
        <v>41585</v>
      </c>
      <c r="C2" s="4"/>
      <c r="D2" s="4" t="s">
        <v>1333</v>
      </c>
    </row>
    <row r="3" spans="1:5" x14ac:dyDescent="0.25">
      <c r="A3" s="18"/>
      <c r="B3" s="166">
        <v>41585</v>
      </c>
      <c r="C3" s="4"/>
      <c r="D3" s="4" t="s">
        <v>1334</v>
      </c>
    </row>
    <row r="4" spans="1:5" x14ac:dyDescent="0.25">
      <c r="A4" s="27" t="s">
        <v>1321</v>
      </c>
      <c r="B4" s="32">
        <v>0.4145833333333333</v>
      </c>
      <c r="C4" s="4"/>
      <c r="D4" s="4" t="s">
        <v>1335</v>
      </c>
    </row>
    <row r="5" spans="1:5" x14ac:dyDescent="0.25">
      <c r="A5" s="27" t="s">
        <v>1346</v>
      </c>
      <c r="B5" s="165">
        <v>0.625</v>
      </c>
      <c r="C5" s="4"/>
      <c r="D5" s="4" t="s">
        <v>1336</v>
      </c>
    </row>
    <row r="6" spans="1:5" x14ac:dyDescent="0.25">
      <c r="A6" s="27" t="s">
        <v>1322</v>
      </c>
      <c r="B6" s="94">
        <v>1.5</v>
      </c>
      <c r="C6" s="4"/>
      <c r="D6" s="4" t="s">
        <v>1310</v>
      </c>
    </row>
    <row r="7" spans="1:5" x14ac:dyDescent="0.25">
      <c r="A7" s="27" t="s">
        <v>1323</v>
      </c>
      <c r="B7" s="215">
        <v>1.4</v>
      </c>
      <c r="C7" s="4"/>
      <c r="D7" s="4" t="s">
        <v>1318</v>
      </c>
    </row>
    <row r="8" spans="1:5" x14ac:dyDescent="0.25">
      <c r="A8" s="27" t="s">
        <v>1324</v>
      </c>
      <c r="B8" s="139">
        <v>1.4</v>
      </c>
      <c r="C8" s="4"/>
      <c r="D8" s="141" t="s">
        <v>1319</v>
      </c>
    </row>
    <row r="9" spans="1:5" x14ac:dyDescent="0.25">
      <c r="A9" s="18"/>
      <c r="B9" s="167">
        <v>1.35</v>
      </c>
      <c r="C9" s="4"/>
      <c r="D9" s="141" t="s">
        <v>1329</v>
      </c>
    </row>
    <row r="10" spans="1:5" x14ac:dyDescent="0.25">
      <c r="A10" s="27" t="s">
        <v>1342</v>
      </c>
      <c r="B10" s="168">
        <v>1000000000</v>
      </c>
      <c r="C10" s="4"/>
      <c r="D10" s="141" t="s">
        <v>1343</v>
      </c>
    </row>
    <row r="11" spans="1:5" x14ac:dyDescent="0.25">
      <c r="A11" s="27" t="s">
        <v>1347</v>
      </c>
      <c r="B11" s="169">
        <v>1000000</v>
      </c>
      <c r="C11" s="4"/>
      <c r="D11" s="141" t="s">
        <v>1348</v>
      </c>
    </row>
    <row r="12" spans="1:5" x14ac:dyDescent="0.25">
      <c r="A12" s="18"/>
      <c r="B12" s="170">
        <v>1000000</v>
      </c>
      <c r="C12" s="4"/>
      <c r="D12" s="141" t="s">
        <v>1349</v>
      </c>
    </row>
    <row r="13" spans="1:5" x14ac:dyDescent="0.25">
      <c r="A13" s="27" t="s">
        <v>1344</v>
      </c>
      <c r="B13" s="171">
        <v>1000000000</v>
      </c>
      <c r="C13" s="4"/>
      <c r="D13" s="141" t="s">
        <v>1350</v>
      </c>
    </row>
    <row r="14" spans="1:5" x14ac:dyDescent="0.25">
      <c r="A14" s="27" t="s">
        <v>1345</v>
      </c>
      <c r="B14" s="172">
        <v>1000000</v>
      </c>
      <c r="C14" s="4"/>
      <c r="D14" s="141"/>
      <c r="E14" s="216">
        <v>1000000</v>
      </c>
    </row>
    <row r="15" spans="1:5" x14ac:dyDescent="0.25">
      <c r="A15" s="27" t="s">
        <v>1325</v>
      </c>
      <c r="B15" s="62">
        <v>0.35749999999999998</v>
      </c>
      <c r="C15" s="4"/>
      <c r="D15" s="141" t="s">
        <v>1326</v>
      </c>
    </row>
    <row r="16" spans="1:5" x14ac:dyDescent="0.25">
      <c r="A16" s="18"/>
      <c r="B16" s="173">
        <v>0.35749999999999998</v>
      </c>
      <c r="C16" s="4"/>
      <c r="D16" s="141" t="s">
        <v>1330</v>
      </c>
    </row>
    <row r="17" spans="1:6" x14ac:dyDescent="0.25">
      <c r="A17" s="27" t="s">
        <v>1327</v>
      </c>
      <c r="B17" s="174">
        <f t="shared" ref="B17:B18" si="0">13/15</f>
        <v>0.8666666666666667</v>
      </c>
      <c r="C17" s="4"/>
      <c r="D17" s="4" t="s">
        <v>1331</v>
      </c>
      <c r="F17" s="4">
        <f>13/15</f>
        <v>0.8666666666666667</v>
      </c>
    </row>
    <row r="18" spans="1:6" x14ac:dyDescent="0.25">
      <c r="A18" s="18"/>
      <c r="B18" s="95">
        <f t="shared" si="0"/>
        <v>0.8666666666666667</v>
      </c>
      <c r="C18" s="4"/>
      <c r="D18" s="4" t="s">
        <v>1328</v>
      </c>
      <c r="F18" s="4">
        <f>7/8</f>
        <v>0.875</v>
      </c>
    </row>
    <row r="19" spans="1:6" x14ac:dyDescent="0.25">
      <c r="A19" s="27" t="s">
        <v>1337</v>
      </c>
      <c r="B19" s="175">
        <v>15.67</v>
      </c>
      <c r="C19" s="4"/>
      <c r="D19" s="4" t="s">
        <v>1338</v>
      </c>
    </row>
    <row r="20" spans="1:6" x14ac:dyDescent="0.25">
      <c r="A20" s="27" t="s">
        <v>1339</v>
      </c>
      <c r="B20" s="176">
        <v>15.67</v>
      </c>
      <c r="C20" s="4"/>
      <c r="D20" s="4" t="s">
        <v>1340</v>
      </c>
    </row>
    <row r="21" spans="1:6" x14ac:dyDescent="0.25">
      <c r="A21" s="27" t="s">
        <v>1341</v>
      </c>
      <c r="B21" s="217">
        <v>-56</v>
      </c>
      <c r="C21" s="4"/>
      <c r="D21" s="4" t="s">
        <v>1476</v>
      </c>
    </row>
    <row r="22" spans="1:6" x14ac:dyDescent="0.25">
      <c r="A22" s="27" t="s">
        <v>1354</v>
      </c>
      <c r="B22" s="218">
        <v>0</v>
      </c>
      <c r="C22" s="4"/>
      <c r="D22" s="4" t="s">
        <v>1477</v>
      </c>
    </row>
    <row r="23" spans="1:6" x14ac:dyDescent="0.25">
      <c r="A23" s="27" t="s">
        <v>1351</v>
      </c>
      <c r="B23" s="96">
        <v>5</v>
      </c>
      <c r="C23" s="90"/>
      <c r="D23" s="90" t="s">
        <v>1352</v>
      </c>
    </row>
    <row r="24" spans="1:6" x14ac:dyDescent="0.25">
      <c r="A24" s="27" t="s">
        <v>1313</v>
      </c>
      <c r="B24" s="4"/>
      <c r="C24" s="4"/>
      <c r="D24" s="4"/>
    </row>
    <row r="25" spans="1:6" x14ac:dyDescent="0.25">
      <c r="A25" s="27" t="s">
        <v>1315</v>
      </c>
      <c r="B25" s="4"/>
      <c r="C25" s="4"/>
      <c r="D25"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F84"/>
  <sheetViews>
    <sheetView zoomScale="130" zoomScaleNormal="130" workbookViewId="0">
      <selection activeCell="A2" sqref="A2"/>
    </sheetView>
  </sheetViews>
  <sheetFormatPr defaultRowHeight="15" x14ac:dyDescent="0.25"/>
  <cols>
    <col min="1" max="1" width="31" bestFit="1" customWidth="1"/>
    <col min="2" max="2" width="34.28515625" customWidth="1"/>
    <col min="3" max="3" width="14.7109375"/>
    <col min="4" max="4" width="28.7109375" customWidth="1"/>
    <col min="5" max="8" width="14.7109375"/>
  </cols>
  <sheetData>
    <row r="1" spans="1:4" ht="39" customHeight="1" x14ac:dyDescent="0.25">
      <c r="A1" s="221" t="s">
        <v>1044</v>
      </c>
      <c r="B1" s="222"/>
    </row>
    <row r="2" spans="1:4" x14ac:dyDescent="0.25">
      <c r="A2" s="177">
        <v>25</v>
      </c>
    </row>
    <row r="3" spans="1:4" x14ac:dyDescent="0.25">
      <c r="A3" s="5" t="s">
        <v>1045</v>
      </c>
      <c r="B3" s="5" t="s">
        <v>93</v>
      </c>
    </row>
    <row r="4" spans="1:4" x14ac:dyDescent="0.25">
      <c r="A4" s="4">
        <v>12</v>
      </c>
      <c r="B4" s="100"/>
    </row>
    <row r="5" spans="1:4" x14ac:dyDescent="0.25">
      <c r="A5" s="4">
        <v>15</v>
      </c>
      <c r="B5" s="100"/>
    </row>
    <row r="6" spans="1:4" x14ac:dyDescent="0.25">
      <c r="A6" s="4">
        <v>9</v>
      </c>
      <c r="B6" s="100"/>
    </row>
    <row r="7" spans="1:4" x14ac:dyDescent="0.25">
      <c r="A7" s="4">
        <v>25</v>
      </c>
      <c r="B7" s="100"/>
    </row>
    <row r="9" spans="1:4" ht="45" x14ac:dyDescent="0.25">
      <c r="A9" s="101" t="s">
        <v>1046</v>
      </c>
      <c r="B9" s="101"/>
    </row>
    <row r="10" spans="1:4" ht="30" x14ac:dyDescent="0.25">
      <c r="A10" s="102" t="s">
        <v>1047</v>
      </c>
      <c r="B10" s="98"/>
    </row>
    <row r="11" spans="1:4" x14ac:dyDescent="0.25">
      <c r="A11" s="32">
        <v>0.58333333333333337</v>
      </c>
      <c r="B11" s="103"/>
      <c r="D11" t="s">
        <v>1457</v>
      </c>
    </row>
    <row r="12" spans="1:4" ht="30" x14ac:dyDescent="0.25">
      <c r="A12" s="97" t="s">
        <v>1047</v>
      </c>
      <c r="B12" s="98"/>
    </row>
    <row r="13" spans="1:4" x14ac:dyDescent="0.25">
      <c r="A13" s="8">
        <v>40527</v>
      </c>
      <c r="B13" s="103"/>
      <c r="D13" t="s">
        <v>1459</v>
      </c>
    </row>
    <row r="14" spans="1:4" ht="30" x14ac:dyDescent="0.25">
      <c r="A14" s="102" t="s">
        <v>1047</v>
      </c>
      <c r="B14" s="98"/>
    </row>
    <row r="15" spans="1:4" x14ac:dyDescent="0.25">
      <c r="A15" s="62">
        <v>0.2555</v>
      </c>
      <c r="B15" s="103"/>
      <c r="D15" t="s">
        <v>1458</v>
      </c>
    </row>
    <row r="17" spans="1:4" x14ac:dyDescent="0.25">
      <c r="A17" s="2" t="s">
        <v>1051</v>
      </c>
    </row>
    <row r="18" spans="1:4" x14ac:dyDescent="0.25">
      <c r="A18" s="68" t="s">
        <v>1048</v>
      </c>
      <c r="B18" s="69"/>
      <c r="C18" s="69"/>
      <c r="D18" s="70"/>
    </row>
    <row r="19" spans="1:4" x14ac:dyDescent="0.25">
      <c r="A19" s="71" t="s">
        <v>1049</v>
      </c>
      <c r="B19" s="72"/>
      <c r="C19" s="72"/>
      <c r="D19" s="73"/>
    </row>
    <row r="20" spans="1:4" x14ac:dyDescent="0.25">
      <c r="A20" s="71" t="s">
        <v>1050</v>
      </c>
      <c r="B20" s="72"/>
      <c r="C20" s="72"/>
      <c r="D20" s="73"/>
    </row>
    <row r="21" spans="1:4" x14ac:dyDescent="0.25">
      <c r="A21" s="71" t="s">
        <v>1072</v>
      </c>
      <c r="B21" s="72"/>
      <c r="C21" s="72"/>
      <c r="D21" s="73"/>
    </row>
    <row r="22" spans="1:4" x14ac:dyDescent="0.25">
      <c r="A22" s="74" t="s">
        <v>1052</v>
      </c>
      <c r="B22" s="75"/>
      <c r="C22" s="75"/>
      <c r="D22" s="76"/>
    </row>
    <row r="24" spans="1:4" x14ac:dyDescent="0.25">
      <c r="A24" s="2" t="s">
        <v>1053</v>
      </c>
    </row>
    <row r="25" spans="1:4" x14ac:dyDescent="0.25">
      <c r="A25" s="68" t="s">
        <v>1054</v>
      </c>
      <c r="B25" s="69"/>
      <c r="C25" s="69"/>
      <c r="D25" s="70"/>
    </row>
    <row r="26" spans="1:4" x14ac:dyDescent="0.25">
      <c r="A26" s="71" t="s">
        <v>1055</v>
      </c>
      <c r="B26" s="72"/>
      <c r="C26" s="72"/>
      <c r="D26" s="73"/>
    </row>
    <row r="27" spans="1:4" x14ac:dyDescent="0.25">
      <c r="A27" s="71" t="s">
        <v>1071</v>
      </c>
      <c r="B27" s="72"/>
      <c r="C27" s="72"/>
      <c r="D27" s="73"/>
    </row>
    <row r="28" spans="1:4" x14ac:dyDescent="0.25">
      <c r="A28" s="71" t="s">
        <v>1057</v>
      </c>
      <c r="B28" s="72"/>
      <c r="C28" s="72"/>
      <c r="D28" s="73"/>
    </row>
    <row r="29" spans="1:4" x14ac:dyDescent="0.25">
      <c r="A29" s="71" t="s">
        <v>1058</v>
      </c>
      <c r="B29" s="72"/>
      <c r="C29" s="72"/>
      <c r="D29" s="73"/>
    </row>
    <row r="30" spans="1:4" x14ac:dyDescent="0.25">
      <c r="A30" s="74" t="s">
        <v>1056</v>
      </c>
      <c r="B30" s="75"/>
      <c r="C30" s="75"/>
      <c r="D30" s="76"/>
    </row>
    <row r="32" spans="1:4" x14ac:dyDescent="0.25">
      <c r="D32" s="5" t="s">
        <v>1074</v>
      </c>
    </row>
    <row r="33" spans="1:6" x14ac:dyDescent="0.25">
      <c r="D33" s="4" t="s">
        <v>1456</v>
      </c>
    </row>
    <row r="35" spans="1:6" x14ac:dyDescent="0.25">
      <c r="A35" s="11" t="s">
        <v>1075</v>
      </c>
      <c r="B35" s="11" t="s">
        <v>1455</v>
      </c>
      <c r="C35" s="11" t="s">
        <v>1069</v>
      </c>
      <c r="D35" s="11" t="s">
        <v>1070</v>
      </c>
      <c r="E35" s="11" t="s">
        <v>1073</v>
      </c>
      <c r="F35" s="11" t="s">
        <v>1069</v>
      </c>
    </row>
    <row r="36" spans="1:6" x14ac:dyDescent="0.25">
      <c r="A36" s="4" t="s">
        <v>1059</v>
      </c>
      <c r="B36" s="22"/>
      <c r="C36" s="22"/>
      <c r="D36" s="22"/>
      <c r="E36" s="22"/>
      <c r="F36" s="204"/>
    </row>
    <row r="37" spans="1:6" x14ac:dyDescent="0.25">
      <c r="A37" s="4" t="s">
        <v>1060</v>
      </c>
      <c r="B37" s="22"/>
      <c r="C37" s="22"/>
      <c r="D37" s="22"/>
      <c r="E37" s="22"/>
      <c r="F37" s="22"/>
    </row>
    <row r="38" spans="1:6" x14ac:dyDescent="0.25">
      <c r="A38" s="4" t="s">
        <v>1061</v>
      </c>
      <c r="B38" s="22"/>
      <c r="C38" s="22"/>
      <c r="D38" s="22"/>
      <c r="E38" s="22"/>
      <c r="F38" s="22"/>
    </row>
    <row r="39" spans="1:6" x14ac:dyDescent="0.25">
      <c r="A39" s="4" t="s">
        <v>1062</v>
      </c>
      <c r="B39" s="22"/>
      <c r="C39" s="22"/>
      <c r="D39" s="22"/>
      <c r="E39" s="22"/>
      <c r="F39" s="22"/>
    </row>
    <row r="40" spans="1:6" x14ac:dyDescent="0.25">
      <c r="A40" s="4" t="s">
        <v>1063</v>
      </c>
      <c r="B40" s="22"/>
      <c r="C40" s="22"/>
      <c r="D40" s="22"/>
      <c r="E40" s="22"/>
      <c r="F40" s="22"/>
    </row>
    <row r="41" spans="1:6" x14ac:dyDescent="0.25">
      <c r="A41" s="4" t="s">
        <v>1064</v>
      </c>
      <c r="B41" s="22"/>
      <c r="C41" s="22"/>
      <c r="D41" s="22"/>
      <c r="E41" s="22"/>
      <c r="F41" s="22"/>
    </row>
    <row r="42" spans="1:6" x14ac:dyDescent="0.25">
      <c r="A42" s="4" t="s">
        <v>1065</v>
      </c>
      <c r="B42" s="22"/>
      <c r="C42" s="22"/>
      <c r="D42" s="22"/>
      <c r="E42" s="22"/>
      <c r="F42" s="22"/>
    </row>
    <row r="43" spans="1:6" x14ac:dyDescent="0.25">
      <c r="A43" s="4" t="s">
        <v>1066</v>
      </c>
      <c r="B43" s="22"/>
      <c r="C43" s="22"/>
      <c r="D43" s="22"/>
      <c r="E43" s="22"/>
      <c r="F43" s="22"/>
    </row>
    <row r="44" spans="1:6" x14ac:dyDescent="0.25">
      <c r="A44" s="4" t="s">
        <v>1067</v>
      </c>
      <c r="B44" s="22"/>
      <c r="C44" s="22"/>
      <c r="D44" s="22"/>
      <c r="E44" s="22"/>
      <c r="F44" s="22"/>
    </row>
    <row r="45" spans="1:6" x14ac:dyDescent="0.25">
      <c r="A45" s="4" t="s">
        <v>1068</v>
      </c>
      <c r="B45" s="22"/>
      <c r="C45" s="22"/>
      <c r="D45" s="22"/>
      <c r="E45" s="22"/>
      <c r="F45" s="22"/>
    </row>
    <row r="48" spans="1:6" x14ac:dyDescent="0.25">
      <c r="A48" s="11" t="s">
        <v>1075</v>
      </c>
      <c r="B48" s="2" t="s">
        <v>1247</v>
      </c>
    </row>
    <row r="49" spans="1:5" x14ac:dyDescent="0.25">
      <c r="A49" s="4" t="s">
        <v>1059</v>
      </c>
    </row>
    <row r="50" spans="1:5" x14ac:dyDescent="0.25">
      <c r="A50" s="4" t="s">
        <v>1060</v>
      </c>
    </row>
    <row r="51" spans="1:5" x14ac:dyDescent="0.25">
      <c r="A51" s="4" t="s">
        <v>1061</v>
      </c>
    </row>
    <row r="52" spans="1:5" x14ac:dyDescent="0.25">
      <c r="A52" s="4" t="s">
        <v>1062</v>
      </c>
    </row>
    <row r="53" spans="1:5" x14ac:dyDescent="0.25">
      <c r="A53" s="4" t="s">
        <v>1063</v>
      </c>
    </row>
    <row r="54" spans="1:5" x14ac:dyDescent="0.25">
      <c r="A54" s="4" t="s">
        <v>1064</v>
      </c>
    </row>
    <row r="55" spans="1:5" x14ac:dyDescent="0.25">
      <c r="A55" s="4" t="s">
        <v>1065</v>
      </c>
    </row>
    <row r="56" spans="1:5" x14ac:dyDescent="0.25">
      <c r="A56" s="4" t="s">
        <v>1066</v>
      </c>
    </row>
    <row r="57" spans="1:5" x14ac:dyDescent="0.25">
      <c r="A57" s="4" t="s">
        <v>1067</v>
      </c>
    </row>
    <row r="58" spans="1:5" x14ac:dyDescent="0.25">
      <c r="A58" s="4" t="s">
        <v>1068</v>
      </c>
    </row>
    <row r="61" spans="1:5" x14ac:dyDescent="0.25">
      <c r="A61" s="11" t="s">
        <v>1264</v>
      </c>
      <c r="B61" s="2" t="s">
        <v>43</v>
      </c>
    </row>
    <row r="62" spans="1:5" x14ac:dyDescent="0.25">
      <c r="A62" s="4" t="s">
        <v>1248</v>
      </c>
      <c r="B62" s="131"/>
      <c r="D62" t="s">
        <v>1249</v>
      </c>
      <c r="E62" t="str">
        <f>D62&amp;" "&amp;D63&amp;" "&amp;D64&amp;" "&amp;D65&amp;" "&amp;D66</f>
        <v>\ backslash and then a single character inserts text into a number format</v>
      </c>
    </row>
    <row r="63" spans="1:5" x14ac:dyDescent="0.25">
      <c r="A63" s="4" t="s">
        <v>1250</v>
      </c>
      <c r="B63" s="131"/>
      <c r="D63" t="s">
        <v>1251</v>
      </c>
    </row>
    <row r="64" spans="1:5" x14ac:dyDescent="0.25">
      <c r="A64" s="4" t="s">
        <v>1252</v>
      </c>
      <c r="B64" s="131"/>
      <c r="D64" t="s">
        <v>1253</v>
      </c>
    </row>
    <row r="65" spans="1:4" x14ac:dyDescent="0.25">
      <c r="A65" s="4" t="s">
        <v>1254</v>
      </c>
      <c r="B65" s="131"/>
      <c r="D65" t="s">
        <v>1255</v>
      </c>
    </row>
    <row r="66" spans="1:4" x14ac:dyDescent="0.25">
      <c r="A66" s="4" t="s">
        <v>1256</v>
      </c>
      <c r="B66" s="131"/>
      <c r="D66" t="s">
        <v>1257</v>
      </c>
    </row>
    <row r="67" spans="1:4" x14ac:dyDescent="0.25">
      <c r="A67" s="4" t="s">
        <v>1258</v>
      </c>
      <c r="B67" s="131"/>
    </row>
    <row r="68" spans="1:4" x14ac:dyDescent="0.25">
      <c r="A68" s="4" t="s">
        <v>1259</v>
      </c>
      <c r="B68" s="131"/>
    </row>
    <row r="69" spans="1:4" x14ac:dyDescent="0.25">
      <c r="A69" s="4" t="s">
        <v>1260</v>
      </c>
      <c r="B69" s="131"/>
    </row>
    <row r="70" spans="1:4" x14ac:dyDescent="0.25">
      <c r="A70" s="4" t="s">
        <v>1261</v>
      </c>
      <c r="B70" s="131"/>
    </row>
    <row r="72" spans="1:4" x14ac:dyDescent="0.25">
      <c r="A72" s="132" t="s">
        <v>1262</v>
      </c>
    </row>
    <row r="73" spans="1:4" x14ac:dyDescent="0.25">
      <c r="A73" s="10" t="s">
        <v>1263</v>
      </c>
    </row>
    <row r="75" spans="1:4" x14ac:dyDescent="0.25">
      <c r="A75" s="11" t="s">
        <v>1264</v>
      </c>
      <c r="B75" s="2" t="s">
        <v>1265</v>
      </c>
    </row>
    <row r="76" spans="1:4" x14ac:dyDescent="0.25">
      <c r="A76" s="4" t="s">
        <v>1248</v>
      </c>
    </row>
    <row r="77" spans="1:4" x14ac:dyDescent="0.25">
      <c r="A77" s="4" t="s">
        <v>1250</v>
      </c>
    </row>
    <row r="78" spans="1:4" x14ac:dyDescent="0.25">
      <c r="A78" s="4" t="s">
        <v>1252</v>
      </c>
    </row>
    <row r="79" spans="1:4" x14ac:dyDescent="0.25">
      <c r="A79" s="4" t="s">
        <v>1254</v>
      </c>
    </row>
    <row r="80" spans="1:4" x14ac:dyDescent="0.25">
      <c r="A80" s="4" t="s">
        <v>1256</v>
      </c>
    </row>
    <row r="81" spans="1:1" x14ac:dyDescent="0.25">
      <c r="A81" s="4" t="s">
        <v>1258</v>
      </c>
    </row>
    <row r="82" spans="1:1" x14ac:dyDescent="0.25">
      <c r="A82" s="4" t="s">
        <v>1259</v>
      </c>
    </row>
    <row r="83" spans="1:1" x14ac:dyDescent="0.25">
      <c r="A83" s="4" t="s">
        <v>1260</v>
      </c>
    </row>
    <row r="84" spans="1:1" x14ac:dyDescent="0.25">
      <c r="A84" s="4" t="s">
        <v>1261</v>
      </c>
    </row>
  </sheetData>
  <mergeCells count="1">
    <mergeCell ref="A1:B1"/>
  </mergeCells>
  <hyperlinks>
    <hyperlink ref="A73" r:id="rId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84"/>
  <sheetViews>
    <sheetView zoomScale="130" zoomScaleNormal="130" workbookViewId="0">
      <selection activeCell="A2" sqref="A2"/>
    </sheetView>
  </sheetViews>
  <sheetFormatPr defaultRowHeight="15" x14ac:dyDescent="0.25"/>
  <cols>
    <col min="1" max="1" width="31" bestFit="1" customWidth="1"/>
    <col min="2" max="2" width="34.28515625" customWidth="1"/>
    <col min="3" max="3" width="13.140625" customWidth="1"/>
    <col min="4" max="4" width="28.7109375" customWidth="1"/>
    <col min="6" max="6" width="10.42578125" customWidth="1"/>
  </cols>
  <sheetData>
    <row r="1" spans="1:4" ht="39" customHeight="1" x14ac:dyDescent="0.25">
      <c r="A1" s="221" t="s">
        <v>1044</v>
      </c>
      <c r="B1" s="222"/>
    </row>
    <row r="2" spans="1:4" x14ac:dyDescent="0.25">
      <c r="A2" s="99">
        <v>25</v>
      </c>
    </row>
    <row r="3" spans="1:4" x14ac:dyDescent="0.25">
      <c r="A3" s="5" t="s">
        <v>1045</v>
      </c>
      <c r="B3" s="5" t="s">
        <v>93</v>
      </c>
    </row>
    <row r="4" spans="1:4" x14ac:dyDescent="0.25">
      <c r="A4" s="4">
        <v>12</v>
      </c>
      <c r="B4" s="100">
        <f>A4*A$2</f>
        <v>300</v>
      </c>
    </row>
    <row r="5" spans="1:4" x14ac:dyDescent="0.25">
      <c r="A5" s="4">
        <v>15</v>
      </c>
      <c r="B5" s="100">
        <f>A5*A$2</f>
        <v>375</v>
      </c>
    </row>
    <row r="6" spans="1:4" x14ac:dyDescent="0.25">
      <c r="A6" s="4">
        <v>9</v>
      </c>
      <c r="B6" s="100">
        <f>A6*A$2</f>
        <v>225</v>
      </c>
    </row>
    <row r="7" spans="1:4" x14ac:dyDescent="0.25">
      <c r="A7" s="4">
        <v>25</v>
      </c>
      <c r="B7" s="100">
        <f>A7*A$2</f>
        <v>625</v>
      </c>
    </row>
    <row r="9" spans="1:4" ht="45" x14ac:dyDescent="0.25">
      <c r="A9" s="101" t="s">
        <v>1046</v>
      </c>
      <c r="B9" s="101"/>
    </row>
    <row r="10" spans="1:4" ht="30" x14ac:dyDescent="0.25">
      <c r="A10" s="102" t="s">
        <v>1047</v>
      </c>
      <c r="B10" s="98"/>
    </row>
    <row r="11" spans="1:4" x14ac:dyDescent="0.25">
      <c r="A11" s="32">
        <v>0.58333333333333337</v>
      </c>
      <c r="B11" s="103" t="str">
        <f>"Your appointment time is "&amp;TEXT(A11,"hh:mm AM/PM")</f>
        <v>Your appointment time is 02:00 PM</v>
      </c>
      <c r="D11" t="s">
        <v>1457</v>
      </c>
    </row>
    <row r="12" spans="1:4" ht="30" x14ac:dyDescent="0.25">
      <c r="A12" s="97" t="s">
        <v>1047</v>
      </c>
      <c r="B12" s="98"/>
    </row>
    <row r="13" spans="1:4" x14ac:dyDescent="0.25">
      <c r="A13" s="8">
        <v>41585</v>
      </c>
      <c r="B13" s="103" t="str">
        <f>"The due date is "&amp;TEXT(A13,"m/d/yyyy")</f>
        <v>The due date is 11/7/2013</v>
      </c>
      <c r="D13" t="s">
        <v>1459</v>
      </c>
    </row>
    <row r="14" spans="1:4" ht="30" x14ac:dyDescent="0.25">
      <c r="A14" s="102" t="s">
        <v>1047</v>
      </c>
      <c r="B14" s="98"/>
    </row>
    <row r="15" spans="1:4" x14ac:dyDescent="0.25">
      <c r="A15" s="62">
        <v>3.5700000000000003E-2</v>
      </c>
      <c r="B15" s="103" t="str">
        <f>"The rate is "&amp;TEXT(A15,"0.00%")</f>
        <v>The rate is 3.57%</v>
      </c>
      <c r="D15" t="s">
        <v>1458</v>
      </c>
    </row>
    <row r="17" spans="1:4" x14ac:dyDescent="0.25">
      <c r="A17" s="2" t="s">
        <v>1051</v>
      </c>
    </row>
    <row r="18" spans="1:4" x14ac:dyDescent="0.25">
      <c r="A18" s="68" t="s">
        <v>1048</v>
      </c>
      <c r="B18" s="69"/>
      <c r="C18" s="69"/>
      <c r="D18" s="70"/>
    </row>
    <row r="19" spans="1:4" x14ac:dyDescent="0.25">
      <c r="A19" s="71" t="s">
        <v>1049</v>
      </c>
      <c r="B19" s="72"/>
      <c r="C19" s="72"/>
      <c r="D19" s="73"/>
    </row>
    <row r="20" spans="1:4" x14ac:dyDescent="0.25">
      <c r="A20" s="71" t="s">
        <v>1050</v>
      </c>
      <c r="B20" s="72"/>
      <c r="C20" s="72"/>
      <c r="D20" s="73"/>
    </row>
    <row r="21" spans="1:4" x14ac:dyDescent="0.25">
      <c r="A21" s="71" t="s">
        <v>1072</v>
      </c>
      <c r="B21" s="72"/>
      <c r="C21" s="72"/>
      <c r="D21" s="73"/>
    </row>
    <row r="22" spans="1:4" x14ac:dyDescent="0.25">
      <c r="A22" s="74" t="s">
        <v>1052</v>
      </c>
      <c r="B22" s="75"/>
      <c r="C22" s="75"/>
      <c r="D22" s="76"/>
    </row>
    <row r="24" spans="1:4" x14ac:dyDescent="0.25">
      <c r="A24" s="2" t="s">
        <v>1053</v>
      </c>
    </row>
    <row r="25" spans="1:4" x14ac:dyDescent="0.25">
      <c r="A25" s="68" t="s">
        <v>1054</v>
      </c>
      <c r="B25" s="69"/>
      <c r="C25" s="69"/>
      <c r="D25" s="70"/>
    </row>
    <row r="26" spans="1:4" x14ac:dyDescent="0.25">
      <c r="A26" s="71" t="s">
        <v>1055</v>
      </c>
      <c r="B26" s="72"/>
      <c r="C26" s="72"/>
      <c r="D26" s="73"/>
    </row>
    <row r="27" spans="1:4" x14ac:dyDescent="0.25">
      <c r="A27" s="71" t="s">
        <v>1071</v>
      </c>
      <c r="B27" s="72"/>
      <c r="C27" s="72"/>
      <c r="D27" s="73"/>
    </row>
    <row r="28" spans="1:4" x14ac:dyDescent="0.25">
      <c r="A28" s="71" t="s">
        <v>1057</v>
      </c>
      <c r="B28" s="72"/>
      <c r="C28" s="72"/>
      <c r="D28" s="73"/>
    </row>
    <row r="29" spans="1:4" x14ac:dyDescent="0.25">
      <c r="A29" s="71" t="s">
        <v>1058</v>
      </c>
      <c r="B29" s="72"/>
      <c r="C29" s="72"/>
      <c r="D29" s="73"/>
    </row>
    <row r="30" spans="1:4" x14ac:dyDescent="0.25">
      <c r="A30" s="74" t="s">
        <v>1056</v>
      </c>
      <c r="B30" s="75"/>
      <c r="C30" s="75"/>
      <c r="D30" s="76"/>
    </row>
    <row r="32" spans="1:4" x14ac:dyDescent="0.25">
      <c r="D32" s="5" t="s">
        <v>1074</v>
      </c>
    </row>
    <row r="33" spans="1:6" x14ac:dyDescent="0.25">
      <c r="D33" s="4" t="s">
        <v>1456</v>
      </c>
    </row>
    <row r="35" spans="1:6" x14ac:dyDescent="0.25">
      <c r="A35" s="11" t="s">
        <v>1075</v>
      </c>
      <c r="B35" s="11" t="s">
        <v>1455</v>
      </c>
      <c r="C35" s="11" t="s">
        <v>1069</v>
      </c>
      <c r="D35" s="11" t="s">
        <v>1070</v>
      </c>
      <c r="E35" s="11" t="s">
        <v>1073</v>
      </c>
      <c r="F35" s="11" t="s">
        <v>1069</v>
      </c>
    </row>
    <row r="36" spans="1:6" x14ac:dyDescent="0.25">
      <c r="A36" s="4" t="s">
        <v>1059</v>
      </c>
      <c r="B36" s="22" t="str">
        <f>LEFT(A36,SEARCH(" ",A36)-1)</f>
        <v>NEIL</v>
      </c>
      <c r="C36" s="22" t="str">
        <f>REPLACE(A36,1,SEARCH(" ",A36),"")</f>
        <v>LIEBER</v>
      </c>
      <c r="D36" s="22" t="str">
        <f>LOWER(LEFT(A36,1)&amp;REPLACE(A36,1,SEARCH(" ",A36),""))&amp;"@"&amp;$D$33</f>
        <v>nlieber@mdb.com</v>
      </c>
      <c r="E36" s="22">
        <f>LEN(B36)</f>
        <v>4</v>
      </c>
      <c r="F36" s="204" t="str">
        <f>SUBSTITUTE(A36,B36&amp;" ","")</f>
        <v>LIEBER</v>
      </c>
    </row>
    <row r="37" spans="1:6" x14ac:dyDescent="0.25">
      <c r="A37" s="4" t="s">
        <v>1060</v>
      </c>
      <c r="B37" s="22" t="str">
        <f t="shared" ref="B37:B45" si="0">LEFT(A37,SEARCH(" ",A37)-1)</f>
        <v>MAT</v>
      </c>
      <c r="C37" s="22" t="str">
        <f t="shared" ref="C37:C45" si="1">REPLACE(A37,1,SEARCH(" ",A37),"")</f>
        <v>PRISCO</v>
      </c>
      <c r="D37" s="22" t="str">
        <f t="shared" ref="D37:D45" si="2">LOWER(LEFT(A37,1)&amp;REPLACE(A37,1,SEARCH(" ",A37),""))&amp;"@"&amp;$D$33</f>
        <v>mprisco@mdb.com</v>
      </c>
      <c r="E37" s="22">
        <f t="shared" ref="E37:E45" si="3">LEN(B37)</f>
        <v>3</v>
      </c>
      <c r="F37" s="22" t="str">
        <f t="shared" ref="F37:F45" si="4">SUBSTITUTE(B37,A37&amp;" ","")</f>
        <v>MAT</v>
      </c>
    </row>
    <row r="38" spans="1:6" x14ac:dyDescent="0.25">
      <c r="A38" s="4" t="s">
        <v>1061</v>
      </c>
      <c r="B38" s="22" t="str">
        <f t="shared" si="0"/>
        <v>ALTHEA</v>
      </c>
      <c r="C38" s="22" t="str">
        <f t="shared" si="1"/>
        <v>BERTIN</v>
      </c>
      <c r="D38" s="22" t="str">
        <f t="shared" si="2"/>
        <v>abertin@mdb.com</v>
      </c>
      <c r="E38" s="22">
        <f t="shared" si="3"/>
        <v>6</v>
      </c>
      <c r="F38" s="22" t="str">
        <f t="shared" si="4"/>
        <v>ALTHEA</v>
      </c>
    </row>
    <row r="39" spans="1:6" x14ac:dyDescent="0.25">
      <c r="A39" s="4" t="s">
        <v>1062</v>
      </c>
      <c r="B39" s="22" t="str">
        <f t="shared" si="0"/>
        <v>KELLY</v>
      </c>
      <c r="C39" s="22" t="str">
        <f t="shared" si="1"/>
        <v>GAMBLIN</v>
      </c>
      <c r="D39" s="22" t="str">
        <f t="shared" si="2"/>
        <v>kgamblin@mdb.com</v>
      </c>
      <c r="E39" s="22">
        <f t="shared" si="3"/>
        <v>5</v>
      </c>
      <c r="F39" s="22" t="str">
        <f t="shared" si="4"/>
        <v>KELLY</v>
      </c>
    </row>
    <row r="40" spans="1:6" x14ac:dyDescent="0.25">
      <c r="A40" s="4" t="s">
        <v>1063</v>
      </c>
      <c r="B40" s="22" t="str">
        <f t="shared" si="0"/>
        <v>CHANDRA</v>
      </c>
      <c r="C40" s="22" t="str">
        <f t="shared" si="1"/>
        <v>VALENZULA</v>
      </c>
      <c r="D40" s="22" t="str">
        <f t="shared" si="2"/>
        <v>cvalenzula@mdb.com</v>
      </c>
      <c r="E40" s="22">
        <f t="shared" si="3"/>
        <v>7</v>
      </c>
      <c r="F40" s="22" t="str">
        <f t="shared" si="4"/>
        <v>CHANDRA</v>
      </c>
    </row>
    <row r="41" spans="1:6" x14ac:dyDescent="0.25">
      <c r="A41" s="4" t="s">
        <v>1064</v>
      </c>
      <c r="B41" s="22" t="str">
        <f t="shared" si="0"/>
        <v>CODY</v>
      </c>
      <c r="C41" s="22" t="str">
        <f t="shared" si="1"/>
        <v>CASTILLON</v>
      </c>
      <c r="D41" s="22" t="str">
        <f t="shared" si="2"/>
        <v>ccastillon@mdb.com</v>
      </c>
      <c r="E41" s="22">
        <f t="shared" si="3"/>
        <v>4</v>
      </c>
      <c r="F41" s="22" t="str">
        <f t="shared" si="4"/>
        <v>CODY</v>
      </c>
    </row>
    <row r="42" spans="1:6" x14ac:dyDescent="0.25">
      <c r="A42" s="4" t="s">
        <v>1065</v>
      </c>
      <c r="B42" s="22" t="str">
        <f t="shared" si="0"/>
        <v>TYRONE</v>
      </c>
      <c r="C42" s="22" t="str">
        <f t="shared" si="1"/>
        <v>BRAZIER</v>
      </c>
      <c r="D42" s="22" t="str">
        <f t="shared" si="2"/>
        <v>tbrazier@mdb.com</v>
      </c>
      <c r="E42" s="22">
        <f t="shared" si="3"/>
        <v>6</v>
      </c>
      <c r="F42" s="22" t="str">
        <f t="shared" si="4"/>
        <v>TYRONE</v>
      </c>
    </row>
    <row r="43" spans="1:6" x14ac:dyDescent="0.25">
      <c r="A43" s="4" t="s">
        <v>1066</v>
      </c>
      <c r="B43" s="22" t="str">
        <f t="shared" si="0"/>
        <v>ALTHEA</v>
      </c>
      <c r="C43" s="22" t="str">
        <f t="shared" si="1"/>
        <v>BUHL</v>
      </c>
      <c r="D43" s="22" t="str">
        <f t="shared" si="2"/>
        <v>abuhl@mdb.com</v>
      </c>
      <c r="E43" s="22">
        <f t="shared" si="3"/>
        <v>6</v>
      </c>
      <c r="F43" s="22" t="str">
        <f t="shared" si="4"/>
        <v>ALTHEA</v>
      </c>
    </row>
    <row r="44" spans="1:6" x14ac:dyDescent="0.25">
      <c r="A44" s="4" t="s">
        <v>1067</v>
      </c>
      <c r="B44" s="22" t="str">
        <f t="shared" si="0"/>
        <v>DOLLIE</v>
      </c>
      <c r="C44" s="22" t="str">
        <f t="shared" si="1"/>
        <v>MUNSEY</v>
      </c>
      <c r="D44" s="22" t="str">
        <f t="shared" si="2"/>
        <v>dmunsey@mdb.com</v>
      </c>
      <c r="E44" s="22">
        <f t="shared" si="3"/>
        <v>6</v>
      </c>
      <c r="F44" s="22" t="str">
        <f t="shared" si="4"/>
        <v>DOLLIE</v>
      </c>
    </row>
    <row r="45" spans="1:6" x14ac:dyDescent="0.25">
      <c r="A45" s="4" t="s">
        <v>1068</v>
      </c>
      <c r="B45" s="22" t="str">
        <f t="shared" si="0"/>
        <v>ALLYSON</v>
      </c>
      <c r="C45" s="22" t="str">
        <f t="shared" si="1"/>
        <v>PHOU</v>
      </c>
      <c r="D45" s="22" t="str">
        <f t="shared" si="2"/>
        <v>aphou@mdb.com</v>
      </c>
      <c r="E45" s="22">
        <f t="shared" si="3"/>
        <v>7</v>
      </c>
      <c r="F45" s="22" t="str">
        <f t="shared" si="4"/>
        <v>ALLYSON</v>
      </c>
    </row>
    <row r="48" spans="1:6" x14ac:dyDescent="0.25">
      <c r="A48" s="11" t="s">
        <v>1075</v>
      </c>
      <c r="B48" s="2" t="s">
        <v>1247</v>
      </c>
    </row>
    <row r="49" spans="1:5" x14ac:dyDescent="0.25">
      <c r="A49" s="4" t="s">
        <v>1059</v>
      </c>
      <c r="B49" t="s">
        <v>1460</v>
      </c>
    </row>
    <row r="50" spans="1:5" x14ac:dyDescent="0.25">
      <c r="A50" s="4" t="s">
        <v>1060</v>
      </c>
      <c r="B50" t="s">
        <v>1461</v>
      </c>
    </row>
    <row r="51" spans="1:5" x14ac:dyDescent="0.25">
      <c r="A51" s="4" t="s">
        <v>1061</v>
      </c>
      <c r="B51" t="s">
        <v>1462</v>
      </c>
    </row>
    <row r="52" spans="1:5" x14ac:dyDescent="0.25">
      <c r="A52" s="4" t="s">
        <v>1062</v>
      </c>
      <c r="B52" t="s">
        <v>1463</v>
      </c>
    </row>
    <row r="53" spans="1:5" x14ac:dyDescent="0.25">
      <c r="A53" s="4" t="s">
        <v>1063</v>
      </c>
      <c r="B53" t="s">
        <v>1464</v>
      </c>
    </row>
    <row r="54" spans="1:5" x14ac:dyDescent="0.25">
      <c r="A54" s="4" t="s">
        <v>1064</v>
      </c>
      <c r="B54" t="s">
        <v>1465</v>
      </c>
    </row>
    <row r="55" spans="1:5" x14ac:dyDescent="0.25">
      <c r="A55" s="4" t="s">
        <v>1065</v>
      </c>
      <c r="B55" t="s">
        <v>1466</v>
      </c>
    </row>
    <row r="56" spans="1:5" x14ac:dyDescent="0.25">
      <c r="A56" s="4" t="s">
        <v>1066</v>
      </c>
      <c r="B56" t="s">
        <v>1467</v>
      </c>
    </row>
    <row r="57" spans="1:5" x14ac:dyDescent="0.25">
      <c r="A57" s="4" t="s">
        <v>1067</v>
      </c>
      <c r="B57" t="s">
        <v>1468</v>
      </c>
    </row>
    <row r="58" spans="1:5" x14ac:dyDescent="0.25">
      <c r="A58" s="4" t="s">
        <v>1068</v>
      </c>
      <c r="B58" t="s">
        <v>1469</v>
      </c>
    </row>
    <row r="61" spans="1:5" x14ac:dyDescent="0.25">
      <c r="A61" s="11" t="s">
        <v>1264</v>
      </c>
      <c r="B61" s="2" t="s">
        <v>43</v>
      </c>
    </row>
    <row r="62" spans="1:5" x14ac:dyDescent="0.25">
      <c r="A62" s="4" t="s">
        <v>1248</v>
      </c>
      <c r="B62" s="131">
        <f>TEXT(A62,"0\:00")+0</f>
        <v>0.28125</v>
      </c>
      <c r="D62" t="s">
        <v>1249</v>
      </c>
      <c r="E62" t="str">
        <f>D62&amp;" "&amp;D63&amp;" "&amp;D64&amp;" "&amp;D65&amp;" "&amp;D66</f>
        <v>\ backslash and then a single character inserts text into a number format</v>
      </c>
    </row>
    <row r="63" spans="1:5" x14ac:dyDescent="0.25">
      <c r="A63" s="4" t="s">
        <v>1250</v>
      </c>
      <c r="B63" s="131">
        <f t="shared" ref="B63:B70" si="5">TEXT(A63,"0\:00")+0</f>
        <v>9.1666666666666674E-2</v>
      </c>
      <c r="D63" t="s">
        <v>1251</v>
      </c>
    </row>
    <row r="64" spans="1:5" x14ac:dyDescent="0.25">
      <c r="A64" s="4" t="s">
        <v>1252</v>
      </c>
      <c r="B64" s="131">
        <f t="shared" si="5"/>
        <v>0.52500000000000002</v>
      </c>
      <c r="D64" t="s">
        <v>1253</v>
      </c>
    </row>
    <row r="65" spans="1:4" x14ac:dyDescent="0.25">
      <c r="A65" s="4" t="s">
        <v>1254</v>
      </c>
      <c r="B65" s="131">
        <f t="shared" si="5"/>
        <v>0.63888888888888895</v>
      </c>
      <c r="D65" t="s">
        <v>1255</v>
      </c>
    </row>
    <row r="66" spans="1:4" x14ac:dyDescent="0.25">
      <c r="A66" s="4" t="s">
        <v>1256</v>
      </c>
      <c r="B66" s="131">
        <f t="shared" si="5"/>
        <v>0.3611111111111111</v>
      </c>
      <c r="D66" t="s">
        <v>1257</v>
      </c>
    </row>
    <row r="67" spans="1:4" x14ac:dyDescent="0.25">
      <c r="A67" s="4" t="s">
        <v>1258</v>
      </c>
      <c r="B67" s="131">
        <f t="shared" si="5"/>
        <v>0.21180555555555555</v>
      </c>
    </row>
    <row r="68" spans="1:4" x14ac:dyDescent="0.25">
      <c r="A68" s="4" t="s">
        <v>1259</v>
      </c>
      <c r="B68" s="131">
        <f t="shared" si="5"/>
        <v>0.27430555555555552</v>
      </c>
    </row>
    <row r="69" spans="1:4" x14ac:dyDescent="0.25">
      <c r="A69" s="4" t="s">
        <v>1260</v>
      </c>
      <c r="B69" s="131">
        <f t="shared" si="5"/>
        <v>0.3972222222222222</v>
      </c>
    </row>
    <row r="70" spans="1:4" x14ac:dyDescent="0.25">
      <c r="A70" s="4" t="s">
        <v>1261</v>
      </c>
      <c r="B70" s="131">
        <f t="shared" si="5"/>
        <v>0.14027777777777778</v>
      </c>
    </row>
    <row r="72" spans="1:4" x14ac:dyDescent="0.25">
      <c r="A72" s="132" t="s">
        <v>1262</v>
      </c>
    </row>
    <row r="73" spans="1:4" x14ac:dyDescent="0.25">
      <c r="A73" s="10" t="s">
        <v>1263</v>
      </c>
    </row>
    <row r="75" spans="1:4" x14ac:dyDescent="0.25">
      <c r="A75" s="11" t="s">
        <v>1264</v>
      </c>
      <c r="B75" s="2" t="s">
        <v>1265</v>
      </c>
    </row>
    <row r="76" spans="1:4" x14ac:dyDescent="0.25">
      <c r="A76" s="4" t="s">
        <v>1248</v>
      </c>
      <c r="B76" s="205">
        <v>0.28125</v>
      </c>
    </row>
    <row r="77" spans="1:4" x14ac:dyDescent="0.25">
      <c r="A77" s="4" t="s">
        <v>1250</v>
      </c>
      <c r="B77" s="205">
        <v>9.1666666666666674E-2</v>
      </c>
    </row>
    <row r="78" spans="1:4" x14ac:dyDescent="0.25">
      <c r="A78" s="4" t="s">
        <v>1252</v>
      </c>
      <c r="B78" s="205">
        <v>0.52500000000000002</v>
      </c>
    </row>
    <row r="79" spans="1:4" x14ac:dyDescent="0.25">
      <c r="A79" s="4" t="s">
        <v>1254</v>
      </c>
      <c r="B79" s="205">
        <v>0.63888888888888895</v>
      </c>
    </row>
    <row r="80" spans="1:4" x14ac:dyDescent="0.25">
      <c r="A80" s="4" t="s">
        <v>1256</v>
      </c>
      <c r="B80" s="205">
        <v>0.3611111111111111</v>
      </c>
    </row>
    <row r="81" spans="1:2" x14ac:dyDescent="0.25">
      <c r="A81" s="4" t="s">
        <v>1258</v>
      </c>
      <c r="B81" s="205">
        <v>0.21180555555555555</v>
      </c>
    </row>
    <row r="82" spans="1:2" x14ac:dyDescent="0.25">
      <c r="A82" s="4" t="s">
        <v>1259</v>
      </c>
      <c r="B82" s="205">
        <v>0.27430555555555552</v>
      </c>
    </row>
    <row r="83" spans="1:2" x14ac:dyDescent="0.25">
      <c r="A83" s="4" t="s">
        <v>1260</v>
      </c>
      <c r="B83" s="205">
        <v>0.3972222222222222</v>
      </c>
    </row>
    <row r="84" spans="1:2" x14ac:dyDescent="0.25">
      <c r="A84" s="4" t="s">
        <v>1261</v>
      </c>
      <c r="B84" s="205">
        <v>0.14027777777777778</v>
      </c>
    </row>
  </sheetData>
  <mergeCells count="1">
    <mergeCell ref="A1:B1"/>
  </mergeCells>
  <hyperlinks>
    <hyperlink ref="A73" r:id="rId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T60"/>
  <sheetViews>
    <sheetView zoomScale="115" zoomScaleNormal="115" workbookViewId="0">
      <selection activeCell="B13" sqref="B13"/>
    </sheetView>
  </sheetViews>
  <sheetFormatPr defaultRowHeight="15" x14ac:dyDescent="0.25"/>
  <cols>
    <col min="1" max="1" width="36.140625" customWidth="1"/>
    <col min="2" max="2" width="16.85546875" customWidth="1"/>
    <col min="7" max="7" width="9.7109375" customWidth="1"/>
    <col min="15" max="15" width="11.85546875" bestFit="1" customWidth="1"/>
    <col min="16" max="16" width="14" bestFit="1" customWidth="1"/>
    <col min="17" max="17" width="9" bestFit="1" customWidth="1"/>
    <col min="18" max="20" width="7.7109375" customWidth="1"/>
  </cols>
  <sheetData>
    <row r="1" spans="1:20" x14ac:dyDescent="0.25">
      <c r="A1" s="179" t="s">
        <v>1365</v>
      </c>
      <c r="B1" s="69"/>
      <c r="C1" s="69"/>
      <c r="D1" s="69"/>
      <c r="E1" s="69"/>
      <c r="F1" s="69"/>
      <c r="G1" s="70"/>
    </row>
    <row r="2" spans="1:20" x14ac:dyDescent="0.25">
      <c r="A2" s="71" t="s">
        <v>1359</v>
      </c>
      <c r="B2" s="72"/>
      <c r="C2" s="72"/>
      <c r="D2" s="72"/>
      <c r="E2" s="72"/>
      <c r="F2" s="72"/>
      <c r="G2" s="73"/>
    </row>
    <row r="3" spans="1:20" x14ac:dyDescent="0.25">
      <c r="A3" s="71" t="s">
        <v>1360</v>
      </c>
      <c r="B3" s="72"/>
      <c r="C3" s="72"/>
      <c r="D3" s="72"/>
      <c r="E3" s="72"/>
      <c r="F3" s="72"/>
      <c r="G3" s="73"/>
    </row>
    <row r="4" spans="1:20" x14ac:dyDescent="0.25">
      <c r="A4" s="71" t="s">
        <v>1356</v>
      </c>
      <c r="B4" s="72"/>
      <c r="C4" s="72"/>
      <c r="D4" s="72"/>
      <c r="E4" s="72"/>
      <c r="F4" s="72"/>
      <c r="G4" s="73"/>
    </row>
    <row r="5" spans="1:20" x14ac:dyDescent="0.25">
      <c r="A5" s="71" t="s">
        <v>1357</v>
      </c>
      <c r="B5" s="72"/>
      <c r="C5" s="72"/>
      <c r="D5" s="72"/>
      <c r="E5" s="72"/>
      <c r="F5" s="72"/>
      <c r="G5" s="73"/>
    </row>
    <row r="6" spans="1:20" x14ac:dyDescent="0.25">
      <c r="A6" s="71" t="s">
        <v>1358</v>
      </c>
      <c r="B6" s="72"/>
      <c r="C6" s="72"/>
      <c r="D6" s="72"/>
      <c r="E6" s="72"/>
      <c r="F6" s="72"/>
      <c r="G6" s="73"/>
    </row>
    <row r="7" spans="1:20" x14ac:dyDescent="0.25">
      <c r="A7" s="71" t="s">
        <v>1150</v>
      </c>
      <c r="B7" s="72"/>
      <c r="C7" s="72"/>
      <c r="D7" s="72"/>
      <c r="E7" s="72"/>
      <c r="F7" s="72"/>
      <c r="G7" s="73"/>
    </row>
    <row r="8" spans="1:20" x14ac:dyDescent="0.25">
      <c r="A8" s="71" t="s">
        <v>1147</v>
      </c>
      <c r="B8" s="72"/>
      <c r="C8" s="72"/>
      <c r="D8" s="72"/>
      <c r="E8" s="72"/>
      <c r="F8" s="72"/>
      <c r="G8" s="73"/>
    </row>
    <row r="9" spans="1:20" x14ac:dyDescent="0.25">
      <c r="A9" s="74" t="s">
        <v>1076</v>
      </c>
      <c r="B9" s="75"/>
      <c r="C9" s="75"/>
      <c r="D9" s="75"/>
      <c r="E9" s="75"/>
      <c r="F9" s="75"/>
      <c r="G9" s="76"/>
    </row>
    <row r="13" spans="1:20" ht="30" x14ac:dyDescent="0.25">
      <c r="A13" s="178" t="s">
        <v>1359</v>
      </c>
      <c r="B13" s="104"/>
    </row>
    <row r="14" spans="1:20" ht="30" x14ac:dyDescent="0.25">
      <c r="A14" s="178" t="s">
        <v>1360</v>
      </c>
      <c r="B14" s="105"/>
    </row>
    <row r="15" spans="1:20" ht="26.25" x14ac:dyDescent="0.25">
      <c r="O15" s="27" t="s">
        <v>42</v>
      </c>
      <c r="P15" s="27" t="s">
        <v>833</v>
      </c>
      <c r="Q15" s="27" t="s">
        <v>93</v>
      </c>
      <c r="R15" s="27" t="s">
        <v>1079</v>
      </c>
      <c r="S15" s="27" t="s">
        <v>1078</v>
      </c>
      <c r="T15" s="27" t="s">
        <v>1077</v>
      </c>
    </row>
    <row r="16" spans="1:20" x14ac:dyDescent="0.25">
      <c r="A16" s="2" t="s">
        <v>1356</v>
      </c>
      <c r="G16" t="s">
        <v>1362</v>
      </c>
      <c r="O16" s="8">
        <v>39815</v>
      </c>
      <c r="P16" s="4" t="s">
        <v>1082</v>
      </c>
      <c r="Q16" s="57">
        <f ca="1">INT(RAND()*500+200)</f>
        <v>379</v>
      </c>
      <c r="R16" s="22"/>
      <c r="S16" s="22"/>
      <c r="T16" s="22"/>
    </row>
    <row r="17" spans="1:20" x14ac:dyDescent="0.25">
      <c r="A17" s="2" t="s">
        <v>1357</v>
      </c>
      <c r="O17" s="8">
        <v>39856</v>
      </c>
      <c r="P17" s="4" t="s">
        <v>1083</v>
      </c>
      <c r="Q17" s="57">
        <f t="shared" ref="Q17:Q60" ca="1" si="0">INT(RAND()*500+200)</f>
        <v>417</v>
      </c>
      <c r="R17" s="22"/>
      <c r="S17" s="22"/>
      <c r="T17" s="22"/>
    </row>
    <row r="18" spans="1:20" x14ac:dyDescent="0.25">
      <c r="A18" s="2" t="s">
        <v>1358</v>
      </c>
      <c r="O18" s="8">
        <v>39873</v>
      </c>
      <c r="P18" s="4" t="s">
        <v>1084</v>
      </c>
      <c r="Q18" s="57">
        <f t="shared" ca="1" si="0"/>
        <v>447</v>
      </c>
      <c r="R18" s="22"/>
      <c r="S18" s="22"/>
      <c r="T18" s="22"/>
    </row>
    <row r="19" spans="1:20" x14ac:dyDescent="0.25">
      <c r="O19" s="8">
        <v>39923</v>
      </c>
      <c r="P19" s="4" t="s">
        <v>1085</v>
      </c>
      <c r="Q19" s="57">
        <f t="shared" ca="1" si="0"/>
        <v>215</v>
      </c>
      <c r="R19" s="22"/>
      <c r="S19" s="22"/>
      <c r="T19" s="22"/>
    </row>
    <row r="20" spans="1:20" x14ac:dyDescent="0.25">
      <c r="O20" s="8">
        <v>39934</v>
      </c>
      <c r="P20" s="4" t="s">
        <v>1086</v>
      </c>
      <c r="Q20" s="57">
        <f t="shared" ca="1" si="0"/>
        <v>206</v>
      </c>
      <c r="R20" s="22"/>
      <c r="S20" s="22"/>
      <c r="T20" s="22"/>
    </row>
    <row r="21" spans="1:20" x14ac:dyDescent="0.25">
      <c r="A21" s="121" t="s">
        <v>1150</v>
      </c>
      <c r="B21" s="122"/>
      <c r="C21" s="122"/>
      <c r="D21" s="122"/>
      <c r="E21" s="122"/>
      <c r="F21" s="122"/>
      <c r="G21" s="123"/>
      <c r="O21" s="8">
        <v>39965</v>
      </c>
      <c r="P21" s="4" t="s">
        <v>1087</v>
      </c>
      <c r="Q21" s="57">
        <f t="shared" ca="1" si="0"/>
        <v>592</v>
      </c>
      <c r="R21" s="22"/>
      <c r="S21" s="22"/>
      <c r="T21" s="22"/>
    </row>
    <row r="22" spans="1:20" x14ac:dyDescent="0.25">
      <c r="A22" s="4" t="s">
        <v>1148</v>
      </c>
      <c r="B22" s="8">
        <v>40910</v>
      </c>
      <c r="O22" s="8">
        <v>39995</v>
      </c>
      <c r="P22" s="4" t="s">
        <v>1088</v>
      </c>
      <c r="Q22" s="57">
        <f t="shared" ca="1" si="0"/>
        <v>486</v>
      </c>
      <c r="R22" s="22"/>
      <c r="S22" s="22"/>
      <c r="T22" s="22"/>
    </row>
    <row r="23" spans="1:20" x14ac:dyDescent="0.25">
      <c r="A23" s="4" t="s">
        <v>1151</v>
      </c>
      <c r="B23" s="126"/>
      <c r="D23" s="2" t="s">
        <v>1363</v>
      </c>
      <c r="O23" s="8">
        <v>40039</v>
      </c>
      <c r="P23" s="4" t="s">
        <v>1089</v>
      </c>
      <c r="Q23" s="57">
        <f t="shared" ca="1" si="0"/>
        <v>275</v>
      </c>
      <c r="R23" s="22"/>
      <c r="S23" s="22"/>
      <c r="T23" s="22"/>
    </row>
    <row r="24" spans="1:20" x14ac:dyDescent="0.25">
      <c r="O24" s="8">
        <v>40057</v>
      </c>
      <c r="P24" s="4" t="s">
        <v>1090</v>
      </c>
      <c r="Q24" s="57">
        <f t="shared" ca="1" si="0"/>
        <v>613</v>
      </c>
      <c r="R24" s="22"/>
      <c r="S24" s="22"/>
      <c r="T24" s="22"/>
    </row>
    <row r="25" spans="1:20" x14ac:dyDescent="0.25">
      <c r="A25" s="121" t="s">
        <v>1147</v>
      </c>
      <c r="B25" s="122"/>
      <c r="C25" s="122"/>
      <c r="D25" s="122"/>
      <c r="E25" s="122"/>
      <c r="F25" s="122"/>
      <c r="G25" s="123"/>
      <c r="O25" s="8">
        <v>40097</v>
      </c>
      <c r="P25" s="4" t="s">
        <v>1091</v>
      </c>
      <c r="Q25" s="57">
        <f t="shared" ca="1" si="0"/>
        <v>468</v>
      </c>
      <c r="R25" s="22"/>
      <c r="S25" s="22"/>
      <c r="T25" s="22"/>
    </row>
    <row r="26" spans="1:20" x14ac:dyDescent="0.25">
      <c r="A26" s="124" t="s">
        <v>1148</v>
      </c>
      <c r="B26" s="125">
        <v>40854</v>
      </c>
      <c r="O26" s="8">
        <v>40130</v>
      </c>
      <c r="P26" s="4" t="s">
        <v>1092</v>
      </c>
      <c r="Q26" s="57">
        <f t="shared" ca="1" si="0"/>
        <v>301</v>
      </c>
      <c r="R26" s="22"/>
      <c r="S26" s="22"/>
      <c r="T26" s="22"/>
    </row>
    <row r="27" spans="1:20" x14ac:dyDescent="0.25">
      <c r="A27" s="4" t="s">
        <v>1149</v>
      </c>
      <c r="B27" s="126"/>
      <c r="D27" s="2" t="s">
        <v>1364</v>
      </c>
      <c r="O27" s="8">
        <v>40148</v>
      </c>
      <c r="P27" s="4" t="s">
        <v>1093</v>
      </c>
      <c r="Q27" s="57">
        <f t="shared" ca="1" si="0"/>
        <v>542</v>
      </c>
      <c r="R27" s="22"/>
      <c r="S27" s="22"/>
      <c r="T27" s="22"/>
    </row>
    <row r="28" spans="1:20" x14ac:dyDescent="0.25">
      <c r="A28" s="4" t="s">
        <v>1149</v>
      </c>
      <c r="B28" s="126"/>
      <c r="D28" s="2" t="s">
        <v>1076</v>
      </c>
      <c r="O28" s="8">
        <v>40179</v>
      </c>
      <c r="P28" s="4" t="s">
        <v>1094</v>
      </c>
      <c r="Q28" s="57">
        <f t="shared" ca="1" si="0"/>
        <v>267</v>
      </c>
      <c r="R28" s="22"/>
      <c r="S28" s="22"/>
      <c r="T28" s="22"/>
    </row>
    <row r="29" spans="1:20" x14ac:dyDescent="0.25">
      <c r="O29" s="8">
        <v>40210</v>
      </c>
      <c r="P29" s="4" t="s">
        <v>1095</v>
      </c>
      <c r="Q29" s="57">
        <f t="shared" ca="1" si="0"/>
        <v>387</v>
      </c>
      <c r="R29" s="22"/>
      <c r="S29" s="22"/>
      <c r="T29" s="22"/>
    </row>
    <row r="30" spans="1:20" x14ac:dyDescent="0.25">
      <c r="A30" s="4" t="s">
        <v>1080</v>
      </c>
      <c r="B30" s="8">
        <v>40124</v>
      </c>
      <c r="O30" s="8">
        <v>40252</v>
      </c>
      <c r="P30" s="4" t="s">
        <v>1096</v>
      </c>
      <c r="Q30" s="57">
        <f t="shared" ca="1" si="0"/>
        <v>297</v>
      </c>
      <c r="R30" s="22"/>
      <c r="S30" s="22"/>
      <c r="T30" s="22"/>
    </row>
    <row r="31" spans="1:20" x14ac:dyDescent="0.25">
      <c r="A31" s="4" t="s">
        <v>1361</v>
      </c>
      <c r="B31" s="4">
        <v>5</v>
      </c>
      <c r="O31" s="8">
        <v>40269</v>
      </c>
      <c r="P31" s="4" t="s">
        <v>1097</v>
      </c>
      <c r="Q31" s="57">
        <f t="shared" ca="1" si="0"/>
        <v>454</v>
      </c>
      <c r="R31" s="22"/>
      <c r="S31" s="22"/>
      <c r="T31" s="22"/>
    </row>
    <row r="32" spans="1:20" x14ac:dyDescent="0.25">
      <c r="A32" s="4" t="s">
        <v>1081</v>
      </c>
      <c r="B32" s="104"/>
      <c r="O32" s="8">
        <v>40299</v>
      </c>
      <c r="P32" s="4" t="s">
        <v>1098</v>
      </c>
      <c r="Q32" s="57">
        <f t="shared" ca="1" si="0"/>
        <v>697</v>
      </c>
      <c r="R32" s="22"/>
      <c r="S32" s="22"/>
      <c r="T32" s="22"/>
    </row>
    <row r="33" spans="1:20" x14ac:dyDescent="0.25">
      <c r="A33" s="4" t="s">
        <v>1081</v>
      </c>
      <c r="B33" s="104"/>
      <c r="D33" s="2" t="s">
        <v>1076</v>
      </c>
      <c r="O33" s="8">
        <v>40330</v>
      </c>
      <c r="P33" s="4" t="s">
        <v>1099</v>
      </c>
      <c r="Q33" s="57">
        <f t="shared" ca="1" si="0"/>
        <v>227</v>
      </c>
      <c r="R33" s="22"/>
      <c r="S33" s="22"/>
      <c r="T33" s="22"/>
    </row>
    <row r="34" spans="1:20" x14ac:dyDescent="0.25">
      <c r="O34" s="8">
        <v>40360</v>
      </c>
      <c r="P34" s="4" t="s">
        <v>1100</v>
      </c>
      <c r="Q34" s="57">
        <f t="shared" ca="1" si="0"/>
        <v>320</v>
      </c>
      <c r="R34" s="22"/>
      <c r="S34" s="22"/>
      <c r="T34" s="22"/>
    </row>
    <row r="35" spans="1:20" x14ac:dyDescent="0.25">
      <c r="O35" s="8">
        <v>40404</v>
      </c>
      <c r="P35" s="4" t="s">
        <v>1101</v>
      </c>
      <c r="Q35" s="57">
        <f t="shared" ca="1" si="0"/>
        <v>499</v>
      </c>
      <c r="R35" s="22"/>
      <c r="S35" s="22"/>
      <c r="T35" s="22"/>
    </row>
    <row r="36" spans="1:20" x14ac:dyDescent="0.25">
      <c r="A36" s="67" t="s">
        <v>91</v>
      </c>
      <c r="B36" s="67" t="s">
        <v>42</v>
      </c>
      <c r="O36" s="8">
        <v>40422</v>
      </c>
      <c r="P36" s="4" t="s">
        <v>1082</v>
      </c>
      <c r="Q36" s="57">
        <f t="shared" ca="1" si="0"/>
        <v>514</v>
      </c>
      <c r="R36" s="22"/>
      <c r="S36" s="22"/>
      <c r="T36" s="22"/>
    </row>
    <row r="37" spans="1:20" x14ac:dyDescent="0.25">
      <c r="A37" s="4">
        <v>20010714</v>
      </c>
      <c r="B37" s="104"/>
      <c r="D37" s="2" t="s">
        <v>1076</v>
      </c>
      <c r="O37" s="8">
        <v>40452</v>
      </c>
      <c r="P37" s="4" t="s">
        <v>1083</v>
      </c>
      <c r="Q37" s="57">
        <f t="shared" ca="1" si="0"/>
        <v>476</v>
      </c>
      <c r="R37" s="22"/>
      <c r="S37" s="22"/>
      <c r="T37" s="22"/>
    </row>
    <row r="38" spans="1:20" x14ac:dyDescent="0.25">
      <c r="A38" s="4">
        <v>20040410</v>
      </c>
      <c r="B38" s="104"/>
      <c r="O38" s="8">
        <v>40483</v>
      </c>
      <c r="P38" s="4" t="s">
        <v>1084</v>
      </c>
      <c r="Q38" s="57">
        <f t="shared" ca="1" si="0"/>
        <v>258</v>
      </c>
      <c r="R38" s="22"/>
      <c r="S38" s="22"/>
      <c r="T38" s="22"/>
    </row>
    <row r="39" spans="1:20" x14ac:dyDescent="0.25">
      <c r="A39" s="4">
        <v>20091115</v>
      </c>
      <c r="B39" s="104"/>
      <c r="O39" s="8">
        <v>40513</v>
      </c>
      <c r="P39" s="4" t="s">
        <v>1085</v>
      </c>
      <c r="Q39" s="57">
        <f t="shared" ca="1" si="0"/>
        <v>267</v>
      </c>
      <c r="R39" s="22"/>
      <c r="S39" s="22"/>
      <c r="T39" s="22"/>
    </row>
    <row r="40" spans="1:20" x14ac:dyDescent="0.25">
      <c r="A40" s="4">
        <v>20000610</v>
      </c>
      <c r="B40" s="104"/>
      <c r="O40" s="8">
        <v>40544</v>
      </c>
      <c r="P40" s="4" t="s">
        <v>1086</v>
      </c>
      <c r="Q40" s="57">
        <f t="shared" ca="1" si="0"/>
        <v>625</v>
      </c>
      <c r="R40" s="22"/>
      <c r="S40" s="22"/>
      <c r="T40" s="22"/>
    </row>
    <row r="41" spans="1:20" x14ac:dyDescent="0.25">
      <c r="A41" s="4">
        <v>20080401</v>
      </c>
      <c r="B41" s="104"/>
      <c r="O41" s="8">
        <v>40575</v>
      </c>
      <c r="P41" s="4" t="s">
        <v>1087</v>
      </c>
      <c r="Q41" s="57">
        <f t="shared" ca="1" si="0"/>
        <v>595</v>
      </c>
      <c r="R41" s="22"/>
      <c r="S41" s="22"/>
      <c r="T41" s="22"/>
    </row>
    <row r="42" spans="1:20" x14ac:dyDescent="0.25">
      <c r="A42" s="4">
        <v>20100717</v>
      </c>
      <c r="B42" s="104"/>
      <c r="O42" s="8">
        <v>40603</v>
      </c>
      <c r="P42" s="4" t="s">
        <v>1088</v>
      </c>
      <c r="Q42" s="57">
        <f t="shared" ca="1" si="0"/>
        <v>507</v>
      </c>
      <c r="R42" s="22"/>
      <c r="S42" s="22"/>
      <c r="T42" s="22"/>
    </row>
    <row r="43" spans="1:20" x14ac:dyDescent="0.25">
      <c r="O43" s="8">
        <v>40634</v>
      </c>
      <c r="P43" s="4" t="s">
        <v>1089</v>
      </c>
      <c r="Q43" s="57">
        <f t="shared" ca="1" si="0"/>
        <v>268</v>
      </c>
      <c r="R43" s="22"/>
      <c r="S43" s="22"/>
      <c r="T43" s="22"/>
    </row>
    <row r="44" spans="1:20" x14ac:dyDescent="0.25">
      <c r="O44" s="8">
        <v>40664</v>
      </c>
      <c r="P44" s="4" t="s">
        <v>1090</v>
      </c>
      <c r="Q44" s="57">
        <f t="shared" ca="1" si="0"/>
        <v>342</v>
      </c>
      <c r="R44" s="22"/>
      <c r="S44" s="22"/>
      <c r="T44" s="22"/>
    </row>
    <row r="45" spans="1:20" x14ac:dyDescent="0.25">
      <c r="O45" s="8">
        <v>40695</v>
      </c>
      <c r="P45" s="4" t="s">
        <v>1091</v>
      </c>
      <c r="Q45" s="57">
        <f t="shared" ca="1" si="0"/>
        <v>633</v>
      </c>
      <c r="R45" s="22"/>
      <c r="S45" s="22"/>
      <c r="T45" s="22"/>
    </row>
    <row r="46" spans="1:20" x14ac:dyDescent="0.25">
      <c r="O46" s="8">
        <v>40746</v>
      </c>
      <c r="P46" s="4" t="s">
        <v>1092</v>
      </c>
      <c r="Q46" s="57">
        <f t="shared" ca="1" si="0"/>
        <v>290</v>
      </c>
      <c r="R46" s="22"/>
      <c r="S46" s="22"/>
      <c r="T46" s="22"/>
    </row>
    <row r="47" spans="1:20" x14ac:dyDescent="0.25">
      <c r="O47" s="8">
        <v>40756</v>
      </c>
      <c r="P47" s="4" t="s">
        <v>1093</v>
      </c>
      <c r="Q47" s="57">
        <f t="shared" ca="1" si="0"/>
        <v>441</v>
      </c>
      <c r="R47" s="22"/>
      <c r="S47" s="22"/>
      <c r="T47" s="22"/>
    </row>
    <row r="48" spans="1:20" x14ac:dyDescent="0.25">
      <c r="O48" s="8">
        <v>40787</v>
      </c>
      <c r="P48" s="4" t="s">
        <v>1094</v>
      </c>
      <c r="Q48" s="57">
        <f t="shared" ca="1" si="0"/>
        <v>334</v>
      </c>
      <c r="R48" s="22"/>
      <c r="S48" s="22"/>
      <c r="T48" s="22"/>
    </row>
    <row r="49" spans="15:20" x14ac:dyDescent="0.25">
      <c r="O49" s="8">
        <v>40817</v>
      </c>
      <c r="P49" s="4" t="s">
        <v>1095</v>
      </c>
      <c r="Q49" s="57">
        <f t="shared" ca="1" si="0"/>
        <v>217</v>
      </c>
      <c r="R49" s="22"/>
      <c r="S49" s="22"/>
      <c r="T49" s="22"/>
    </row>
    <row r="50" spans="15:20" x14ac:dyDescent="0.25">
      <c r="O50" s="8">
        <v>40852</v>
      </c>
      <c r="P50" s="4" t="s">
        <v>1096</v>
      </c>
      <c r="Q50" s="57">
        <f t="shared" ca="1" si="0"/>
        <v>433</v>
      </c>
      <c r="R50" s="22"/>
      <c r="S50" s="22"/>
      <c r="T50" s="22"/>
    </row>
    <row r="51" spans="15:20" x14ac:dyDescent="0.25">
      <c r="O51" s="8">
        <v>40878</v>
      </c>
      <c r="P51" s="4" t="s">
        <v>1097</v>
      </c>
      <c r="Q51" s="57">
        <f t="shared" ca="1" si="0"/>
        <v>309</v>
      </c>
      <c r="R51" s="22"/>
      <c r="S51" s="22"/>
      <c r="T51" s="22"/>
    </row>
    <row r="52" spans="15:20" x14ac:dyDescent="0.25">
      <c r="O52" s="8">
        <v>40909</v>
      </c>
      <c r="P52" s="4" t="s">
        <v>1098</v>
      </c>
      <c r="Q52" s="57">
        <f t="shared" ca="1" si="0"/>
        <v>484</v>
      </c>
      <c r="R52" s="22"/>
      <c r="S52" s="22"/>
      <c r="T52" s="22"/>
    </row>
    <row r="53" spans="15:20" x14ac:dyDescent="0.25">
      <c r="O53" s="8">
        <v>40940</v>
      </c>
      <c r="P53" s="4" t="s">
        <v>1099</v>
      </c>
      <c r="Q53" s="57">
        <f t="shared" ca="1" si="0"/>
        <v>692</v>
      </c>
      <c r="R53" s="22"/>
      <c r="S53" s="22"/>
      <c r="T53" s="22"/>
    </row>
    <row r="54" spans="15:20" x14ac:dyDescent="0.25">
      <c r="O54" s="8">
        <v>40969</v>
      </c>
      <c r="P54" s="4" t="s">
        <v>1100</v>
      </c>
      <c r="Q54" s="57">
        <f t="shared" ca="1" si="0"/>
        <v>379</v>
      </c>
      <c r="R54" s="22"/>
      <c r="S54" s="22"/>
      <c r="T54" s="22"/>
    </row>
    <row r="55" spans="15:20" x14ac:dyDescent="0.25">
      <c r="O55" s="8">
        <v>41000</v>
      </c>
      <c r="P55" s="4" t="s">
        <v>1101</v>
      </c>
      <c r="Q55" s="57">
        <f t="shared" ca="1" si="0"/>
        <v>546</v>
      </c>
      <c r="R55" s="22"/>
      <c r="S55" s="22"/>
      <c r="T55" s="22"/>
    </row>
    <row r="56" spans="15:20" x14ac:dyDescent="0.25">
      <c r="O56" s="8">
        <v>41030</v>
      </c>
      <c r="P56" s="4" t="s">
        <v>1082</v>
      </c>
      <c r="Q56" s="57">
        <f t="shared" ca="1" si="0"/>
        <v>677</v>
      </c>
      <c r="R56" s="22"/>
      <c r="S56" s="22"/>
      <c r="T56" s="22"/>
    </row>
    <row r="57" spans="15:20" x14ac:dyDescent="0.25">
      <c r="O57" s="8">
        <v>41061</v>
      </c>
      <c r="P57" s="4" t="s">
        <v>1083</v>
      </c>
      <c r="Q57" s="57">
        <f t="shared" ca="1" si="0"/>
        <v>473</v>
      </c>
      <c r="R57" s="22"/>
      <c r="S57" s="22"/>
      <c r="T57" s="22"/>
    </row>
    <row r="58" spans="15:20" x14ac:dyDescent="0.25">
      <c r="O58" s="8">
        <v>41096</v>
      </c>
      <c r="P58" s="4" t="s">
        <v>1084</v>
      </c>
      <c r="Q58" s="57">
        <f t="shared" ca="1" si="0"/>
        <v>523</v>
      </c>
      <c r="R58" s="22"/>
      <c r="S58" s="22"/>
      <c r="T58" s="22"/>
    </row>
    <row r="59" spans="15:20" x14ac:dyDescent="0.25">
      <c r="O59" s="8">
        <v>41129</v>
      </c>
      <c r="P59" s="4" t="s">
        <v>1085</v>
      </c>
      <c r="Q59" s="57">
        <f t="shared" ca="1" si="0"/>
        <v>489</v>
      </c>
      <c r="R59" s="22"/>
      <c r="S59" s="22"/>
      <c r="T59" s="22"/>
    </row>
    <row r="60" spans="15:20" x14ac:dyDescent="0.25">
      <c r="O60" s="8">
        <v>41155</v>
      </c>
      <c r="P60" s="4" t="s">
        <v>1086</v>
      </c>
      <c r="Q60" s="57">
        <f t="shared" ca="1" si="0"/>
        <v>637</v>
      </c>
      <c r="R60" s="22"/>
      <c r="S60" s="22"/>
      <c r="T60"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T60"/>
  <sheetViews>
    <sheetView zoomScale="115" zoomScaleNormal="115" workbookViewId="0">
      <selection activeCell="B13" sqref="B13"/>
    </sheetView>
  </sheetViews>
  <sheetFormatPr defaultRowHeight="15" x14ac:dyDescent="0.25"/>
  <cols>
    <col min="1" max="1" width="36.140625" customWidth="1"/>
    <col min="2" max="2" width="16.85546875" customWidth="1"/>
    <col min="7" max="7" width="9.7109375" customWidth="1"/>
    <col min="15" max="15" width="11.85546875" bestFit="1" customWidth="1"/>
    <col min="16" max="16" width="14" bestFit="1" customWidth="1"/>
    <col min="17" max="17" width="9" bestFit="1" customWidth="1"/>
    <col min="18" max="20" width="7.7109375" customWidth="1"/>
  </cols>
  <sheetData>
    <row r="1" spans="1:20" x14ac:dyDescent="0.25">
      <c r="A1" s="179" t="s">
        <v>1365</v>
      </c>
      <c r="B1" s="69"/>
      <c r="C1" s="69"/>
      <c r="D1" s="69"/>
      <c r="E1" s="69"/>
      <c r="F1" s="69"/>
      <c r="G1" s="70"/>
    </row>
    <row r="2" spans="1:20" x14ac:dyDescent="0.25">
      <c r="A2" s="71" t="s">
        <v>1359</v>
      </c>
      <c r="B2" s="72"/>
      <c r="C2" s="72"/>
      <c r="D2" s="72"/>
      <c r="E2" s="72"/>
      <c r="F2" s="72"/>
      <c r="G2" s="73"/>
    </row>
    <row r="3" spans="1:20" x14ac:dyDescent="0.25">
      <c r="A3" s="71" t="s">
        <v>1360</v>
      </c>
      <c r="B3" s="72"/>
      <c r="C3" s="72"/>
      <c r="D3" s="72"/>
      <c r="E3" s="72"/>
      <c r="F3" s="72"/>
      <c r="G3" s="73"/>
    </row>
    <row r="4" spans="1:20" x14ac:dyDescent="0.25">
      <c r="A4" s="71" t="s">
        <v>1356</v>
      </c>
      <c r="B4" s="72"/>
      <c r="C4" s="72"/>
      <c r="D4" s="72"/>
      <c r="E4" s="72"/>
      <c r="F4" s="72"/>
      <c r="G4" s="73"/>
    </row>
    <row r="5" spans="1:20" x14ac:dyDescent="0.25">
      <c r="A5" s="71" t="s">
        <v>1357</v>
      </c>
      <c r="B5" s="72"/>
      <c r="C5" s="72"/>
      <c r="D5" s="72"/>
      <c r="E5" s="72"/>
      <c r="F5" s="72"/>
      <c r="G5" s="73"/>
    </row>
    <row r="6" spans="1:20" x14ac:dyDescent="0.25">
      <c r="A6" s="71" t="s">
        <v>1358</v>
      </c>
      <c r="B6" s="72"/>
      <c r="C6" s="72"/>
      <c r="D6" s="72"/>
      <c r="E6" s="72"/>
      <c r="F6" s="72"/>
      <c r="G6" s="73"/>
    </row>
    <row r="7" spans="1:20" x14ac:dyDescent="0.25">
      <c r="A7" s="71" t="s">
        <v>1150</v>
      </c>
      <c r="B7" s="72"/>
      <c r="C7" s="72"/>
      <c r="D7" s="72"/>
      <c r="E7" s="72"/>
      <c r="F7" s="72"/>
      <c r="G7" s="73"/>
    </row>
    <row r="8" spans="1:20" x14ac:dyDescent="0.25">
      <c r="A8" s="71" t="s">
        <v>1147</v>
      </c>
      <c r="B8" s="72"/>
      <c r="C8" s="72"/>
      <c r="D8" s="72"/>
      <c r="E8" s="72"/>
      <c r="F8" s="72"/>
      <c r="G8" s="73"/>
    </row>
    <row r="9" spans="1:20" x14ac:dyDescent="0.25">
      <c r="A9" s="74" t="s">
        <v>1076</v>
      </c>
      <c r="B9" s="75"/>
      <c r="C9" s="75"/>
      <c r="D9" s="75"/>
      <c r="E9" s="75"/>
      <c r="F9" s="75"/>
      <c r="G9" s="76"/>
    </row>
    <row r="13" spans="1:20" ht="30" x14ac:dyDescent="0.25">
      <c r="A13" s="178" t="s">
        <v>1359</v>
      </c>
      <c r="B13" s="104">
        <f ca="1">TODAY()</f>
        <v>42493</v>
      </c>
    </row>
    <row r="14" spans="1:20" ht="30" x14ac:dyDescent="0.25">
      <c r="A14" s="178" t="s">
        <v>1360</v>
      </c>
      <c r="B14" s="105">
        <f ca="1">NOW()</f>
        <v>42493.682654745367</v>
      </c>
    </row>
    <row r="15" spans="1:20" ht="26.25" x14ac:dyDescent="0.25">
      <c r="O15" s="27" t="s">
        <v>42</v>
      </c>
      <c r="P15" s="27" t="s">
        <v>833</v>
      </c>
      <c r="Q15" s="27" t="s">
        <v>93</v>
      </c>
      <c r="R15" s="27" t="s">
        <v>1079</v>
      </c>
      <c r="S15" s="27" t="s">
        <v>1078</v>
      </c>
      <c r="T15" s="27" t="s">
        <v>1077</v>
      </c>
    </row>
    <row r="16" spans="1:20" x14ac:dyDescent="0.25">
      <c r="A16" s="2" t="s">
        <v>1356</v>
      </c>
      <c r="G16" t="s">
        <v>1362</v>
      </c>
      <c r="O16" s="8">
        <v>39815</v>
      </c>
      <c r="P16" s="4" t="s">
        <v>1082</v>
      </c>
      <c r="Q16" s="57">
        <f ca="1">INT(RAND()*500+200)</f>
        <v>333</v>
      </c>
      <c r="R16" s="22">
        <f>YEAR(O16)</f>
        <v>2009</v>
      </c>
      <c r="S16" s="22">
        <f>MONTH(O16)</f>
        <v>1</v>
      </c>
      <c r="T16" s="22">
        <f>DAY(O16)</f>
        <v>2</v>
      </c>
    </row>
    <row r="17" spans="1:20" x14ac:dyDescent="0.25">
      <c r="A17" s="2" t="s">
        <v>1357</v>
      </c>
      <c r="O17" s="8">
        <v>39856</v>
      </c>
      <c r="P17" s="4" t="s">
        <v>1083</v>
      </c>
      <c r="Q17" s="57">
        <f t="shared" ref="Q17:Q60" ca="1" si="0">INT(RAND()*500+200)</f>
        <v>570</v>
      </c>
      <c r="R17" s="22">
        <f t="shared" ref="R17:R60" si="1">YEAR(O17)</f>
        <v>2009</v>
      </c>
      <c r="S17" s="22">
        <f t="shared" ref="S17:S60" si="2">MONTH(O17)</f>
        <v>2</v>
      </c>
      <c r="T17" s="22">
        <f t="shared" ref="T17:T60" si="3">DAY(O17)</f>
        <v>12</v>
      </c>
    </row>
    <row r="18" spans="1:20" x14ac:dyDescent="0.25">
      <c r="A18" s="2" t="s">
        <v>1358</v>
      </c>
      <c r="O18" s="8">
        <v>39873</v>
      </c>
      <c r="P18" s="4" t="s">
        <v>1084</v>
      </c>
      <c r="Q18" s="57">
        <f t="shared" ca="1" si="0"/>
        <v>495</v>
      </c>
      <c r="R18" s="22">
        <f t="shared" si="1"/>
        <v>2009</v>
      </c>
      <c r="S18" s="22">
        <f t="shared" si="2"/>
        <v>3</v>
      </c>
      <c r="T18" s="22">
        <f t="shared" si="3"/>
        <v>1</v>
      </c>
    </row>
    <row r="19" spans="1:20" x14ac:dyDescent="0.25">
      <c r="O19" s="8">
        <v>39923</v>
      </c>
      <c r="P19" s="4" t="s">
        <v>1085</v>
      </c>
      <c r="Q19" s="57">
        <f t="shared" ca="1" si="0"/>
        <v>472</v>
      </c>
      <c r="R19" s="22">
        <f t="shared" si="1"/>
        <v>2009</v>
      </c>
      <c r="S19" s="22">
        <f t="shared" si="2"/>
        <v>4</v>
      </c>
      <c r="T19" s="22">
        <f t="shared" si="3"/>
        <v>20</v>
      </c>
    </row>
    <row r="20" spans="1:20" x14ac:dyDescent="0.25">
      <c r="O20" s="8">
        <v>39934</v>
      </c>
      <c r="P20" s="4" t="s">
        <v>1086</v>
      </c>
      <c r="Q20" s="57">
        <f t="shared" ca="1" si="0"/>
        <v>481</v>
      </c>
      <c r="R20" s="22">
        <f t="shared" si="1"/>
        <v>2009</v>
      </c>
      <c r="S20" s="22">
        <f t="shared" si="2"/>
        <v>5</v>
      </c>
      <c r="T20" s="22">
        <f t="shared" si="3"/>
        <v>1</v>
      </c>
    </row>
    <row r="21" spans="1:20" x14ac:dyDescent="0.25">
      <c r="A21" s="121" t="s">
        <v>1150</v>
      </c>
      <c r="B21" s="122"/>
      <c r="C21" s="122"/>
      <c r="D21" s="122"/>
      <c r="E21" s="122"/>
      <c r="F21" s="122"/>
      <c r="G21" s="123"/>
      <c r="O21" s="8">
        <v>39965</v>
      </c>
      <c r="P21" s="4" t="s">
        <v>1087</v>
      </c>
      <c r="Q21" s="57">
        <f t="shared" ca="1" si="0"/>
        <v>369</v>
      </c>
      <c r="R21" s="22">
        <f t="shared" si="1"/>
        <v>2009</v>
      </c>
      <c r="S21" s="22">
        <f t="shared" si="2"/>
        <v>6</v>
      </c>
      <c r="T21" s="22">
        <f t="shared" si="3"/>
        <v>1</v>
      </c>
    </row>
    <row r="22" spans="1:20" x14ac:dyDescent="0.25">
      <c r="A22" s="4" t="s">
        <v>1148</v>
      </c>
      <c r="B22" s="8">
        <v>40910</v>
      </c>
      <c r="O22" s="8">
        <v>39995</v>
      </c>
      <c r="P22" s="4" t="s">
        <v>1088</v>
      </c>
      <c r="Q22" s="57">
        <f t="shared" ca="1" si="0"/>
        <v>281</v>
      </c>
      <c r="R22" s="22">
        <f t="shared" si="1"/>
        <v>2009</v>
      </c>
      <c r="S22" s="22">
        <f t="shared" si="2"/>
        <v>7</v>
      </c>
      <c r="T22" s="22">
        <f t="shared" si="3"/>
        <v>1</v>
      </c>
    </row>
    <row r="23" spans="1:20" x14ac:dyDescent="0.25">
      <c r="A23" s="4" t="s">
        <v>1151</v>
      </c>
      <c r="B23" s="126">
        <f>EOMONTH(B22,0)</f>
        <v>40939</v>
      </c>
      <c r="D23" s="2" t="s">
        <v>1363</v>
      </c>
      <c r="O23" s="8">
        <v>40039</v>
      </c>
      <c r="P23" s="4" t="s">
        <v>1089</v>
      </c>
      <c r="Q23" s="57">
        <f t="shared" ca="1" si="0"/>
        <v>312</v>
      </c>
      <c r="R23" s="22">
        <f t="shared" si="1"/>
        <v>2009</v>
      </c>
      <c r="S23" s="22">
        <f t="shared" si="2"/>
        <v>8</v>
      </c>
      <c r="T23" s="22">
        <f t="shared" si="3"/>
        <v>14</v>
      </c>
    </row>
    <row r="24" spans="1:20" x14ac:dyDescent="0.25">
      <c r="O24" s="8">
        <v>40057</v>
      </c>
      <c r="P24" s="4" t="s">
        <v>1090</v>
      </c>
      <c r="Q24" s="57">
        <f t="shared" ca="1" si="0"/>
        <v>673</v>
      </c>
      <c r="R24" s="22">
        <f t="shared" si="1"/>
        <v>2009</v>
      </c>
      <c r="S24" s="22">
        <f t="shared" si="2"/>
        <v>9</v>
      </c>
      <c r="T24" s="22">
        <f t="shared" si="3"/>
        <v>1</v>
      </c>
    </row>
    <row r="25" spans="1:20" x14ac:dyDescent="0.25">
      <c r="A25" s="121" t="s">
        <v>1147</v>
      </c>
      <c r="B25" s="122"/>
      <c r="C25" s="122"/>
      <c r="D25" s="122"/>
      <c r="E25" s="122"/>
      <c r="F25" s="122"/>
      <c r="G25" s="123"/>
      <c r="O25" s="8">
        <v>40097</v>
      </c>
      <c r="P25" s="4" t="s">
        <v>1091</v>
      </c>
      <c r="Q25" s="57">
        <f t="shared" ca="1" si="0"/>
        <v>695</v>
      </c>
      <c r="R25" s="22">
        <f t="shared" si="1"/>
        <v>2009</v>
      </c>
      <c r="S25" s="22">
        <f t="shared" si="2"/>
        <v>10</v>
      </c>
      <c r="T25" s="22">
        <f t="shared" si="3"/>
        <v>11</v>
      </c>
    </row>
    <row r="26" spans="1:20" x14ac:dyDescent="0.25">
      <c r="A26" s="124" t="s">
        <v>1148</v>
      </c>
      <c r="B26" s="125">
        <v>40854</v>
      </c>
      <c r="O26" s="8">
        <v>40130</v>
      </c>
      <c r="P26" s="4" t="s">
        <v>1092</v>
      </c>
      <c r="Q26" s="57">
        <f t="shared" ca="1" si="0"/>
        <v>598</v>
      </c>
      <c r="R26" s="22">
        <f t="shared" si="1"/>
        <v>2009</v>
      </c>
      <c r="S26" s="22">
        <f t="shared" si="2"/>
        <v>11</v>
      </c>
      <c r="T26" s="22">
        <f t="shared" si="3"/>
        <v>13</v>
      </c>
    </row>
    <row r="27" spans="1:20" x14ac:dyDescent="0.25">
      <c r="A27" s="4" t="s">
        <v>1149</v>
      </c>
      <c r="B27" s="126">
        <f>EDATE(B26,1)</f>
        <v>40884</v>
      </c>
      <c r="D27" s="2" t="s">
        <v>1364</v>
      </c>
      <c r="O27" s="8">
        <v>40148</v>
      </c>
      <c r="P27" s="4" t="s">
        <v>1093</v>
      </c>
      <c r="Q27" s="57">
        <f t="shared" ca="1" si="0"/>
        <v>485</v>
      </c>
      <c r="R27" s="22">
        <f t="shared" si="1"/>
        <v>2009</v>
      </c>
      <c r="S27" s="22">
        <f t="shared" si="2"/>
        <v>12</v>
      </c>
      <c r="T27" s="22">
        <f t="shared" si="3"/>
        <v>1</v>
      </c>
    </row>
    <row r="28" spans="1:20" x14ac:dyDescent="0.25">
      <c r="A28" s="4" t="s">
        <v>1149</v>
      </c>
      <c r="B28" s="126">
        <f>DATE(YEAR(B26),MONTH(B26)=1,DAY(B26))</f>
        <v>40519</v>
      </c>
      <c r="D28" s="2" t="s">
        <v>1076</v>
      </c>
      <c r="O28" s="8">
        <v>40179</v>
      </c>
      <c r="P28" s="4" t="s">
        <v>1094</v>
      </c>
      <c r="Q28" s="57">
        <f t="shared" ca="1" si="0"/>
        <v>222</v>
      </c>
      <c r="R28" s="22">
        <f t="shared" si="1"/>
        <v>2010</v>
      </c>
      <c r="S28" s="22">
        <f t="shared" si="2"/>
        <v>1</v>
      </c>
      <c r="T28" s="22">
        <f t="shared" si="3"/>
        <v>1</v>
      </c>
    </row>
    <row r="29" spans="1:20" x14ac:dyDescent="0.25">
      <c r="O29" s="8">
        <v>40210</v>
      </c>
      <c r="P29" s="4" t="s">
        <v>1095</v>
      </c>
      <c r="Q29" s="57">
        <f t="shared" ca="1" si="0"/>
        <v>463</v>
      </c>
      <c r="R29" s="22">
        <f t="shared" si="1"/>
        <v>2010</v>
      </c>
      <c r="S29" s="22">
        <f t="shared" si="2"/>
        <v>2</v>
      </c>
      <c r="T29" s="22">
        <f t="shared" si="3"/>
        <v>1</v>
      </c>
    </row>
    <row r="30" spans="1:20" x14ac:dyDescent="0.25">
      <c r="A30" s="4" t="s">
        <v>1080</v>
      </c>
      <c r="B30" s="8">
        <v>40124</v>
      </c>
      <c r="O30" s="8">
        <v>40252</v>
      </c>
      <c r="P30" s="4" t="s">
        <v>1096</v>
      </c>
      <c r="Q30" s="57">
        <f t="shared" ca="1" si="0"/>
        <v>690</v>
      </c>
      <c r="R30" s="22">
        <f t="shared" si="1"/>
        <v>2010</v>
      </c>
      <c r="S30" s="22">
        <f t="shared" si="2"/>
        <v>3</v>
      </c>
      <c r="T30" s="22">
        <f t="shared" si="3"/>
        <v>15</v>
      </c>
    </row>
    <row r="31" spans="1:20" x14ac:dyDescent="0.25">
      <c r="A31" s="4" t="s">
        <v>1361</v>
      </c>
      <c r="B31" s="4">
        <v>5</v>
      </c>
      <c r="O31" s="8">
        <v>40269</v>
      </c>
      <c r="P31" s="4" t="s">
        <v>1097</v>
      </c>
      <c r="Q31" s="57">
        <f t="shared" ca="1" si="0"/>
        <v>510</v>
      </c>
      <c r="R31" s="22">
        <f t="shared" si="1"/>
        <v>2010</v>
      </c>
      <c r="S31" s="22">
        <f t="shared" si="2"/>
        <v>4</v>
      </c>
      <c r="T31" s="22">
        <f t="shared" si="3"/>
        <v>1</v>
      </c>
    </row>
    <row r="32" spans="1:20" x14ac:dyDescent="0.25">
      <c r="A32" s="4" t="s">
        <v>1081</v>
      </c>
      <c r="B32" s="104">
        <f>EDATE(B30,B31*12)</f>
        <v>41950</v>
      </c>
      <c r="O32" s="8">
        <v>40299</v>
      </c>
      <c r="P32" s="4" t="s">
        <v>1098</v>
      </c>
      <c r="Q32" s="57">
        <f t="shared" ca="1" si="0"/>
        <v>650</v>
      </c>
      <c r="R32" s="22">
        <f t="shared" si="1"/>
        <v>2010</v>
      </c>
      <c r="S32" s="22">
        <f t="shared" si="2"/>
        <v>5</v>
      </c>
      <c r="T32" s="22">
        <f t="shared" si="3"/>
        <v>1</v>
      </c>
    </row>
    <row r="33" spans="1:20" x14ac:dyDescent="0.25">
      <c r="A33" s="4" t="s">
        <v>1081</v>
      </c>
      <c r="B33" s="104">
        <f>DATE(YEAR(B30)+B31,MONTH(B30),DAY(B30))</f>
        <v>41950</v>
      </c>
      <c r="D33" s="2" t="s">
        <v>1076</v>
      </c>
      <c r="O33" s="8">
        <v>40330</v>
      </c>
      <c r="P33" s="4" t="s">
        <v>1099</v>
      </c>
      <c r="Q33" s="57">
        <f t="shared" ca="1" si="0"/>
        <v>424</v>
      </c>
      <c r="R33" s="22">
        <f t="shared" si="1"/>
        <v>2010</v>
      </c>
      <c r="S33" s="22">
        <f t="shared" si="2"/>
        <v>6</v>
      </c>
      <c r="T33" s="22">
        <f t="shared" si="3"/>
        <v>1</v>
      </c>
    </row>
    <row r="34" spans="1:20" x14ac:dyDescent="0.25">
      <c r="O34" s="8">
        <v>40360</v>
      </c>
      <c r="P34" s="4" t="s">
        <v>1100</v>
      </c>
      <c r="Q34" s="57">
        <f t="shared" ca="1" si="0"/>
        <v>319</v>
      </c>
      <c r="R34" s="22">
        <f t="shared" si="1"/>
        <v>2010</v>
      </c>
      <c r="S34" s="22">
        <f t="shared" si="2"/>
        <v>7</v>
      </c>
      <c r="T34" s="22">
        <f t="shared" si="3"/>
        <v>1</v>
      </c>
    </row>
    <row r="35" spans="1:20" x14ac:dyDescent="0.25">
      <c r="O35" s="8">
        <v>40404</v>
      </c>
      <c r="P35" s="4" t="s">
        <v>1101</v>
      </c>
      <c r="Q35" s="57">
        <f t="shared" ca="1" si="0"/>
        <v>566</v>
      </c>
      <c r="R35" s="22">
        <f t="shared" si="1"/>
        <v>2010</v>
      </c>
      <c r="S35" s="22">
        <f t="shared" si="2"/>
        <v>8</v>
      </c>
      <c r="T35" s="22">
        <f t="shared" si="3"/>
        <v>14</v>
      </c>
    </row>
    <row r="36" spans="1:20" x14ac:dyDescent="0.25">
      <c r="A36" s="67" t="s">
        <v>91</v>
      </c>
      <c r="B36" s="67" t="s">
        <v>42</v>
      </c>
      <c r="O36" s="8">
        <v>40422</v>
      </c>
      <c r="P36" s="4" t="s">
        <v>1082</v>
      </c>
      <c r="Q36" s="57">
        <f t="shared" ca="1" si="0"/>
        <v>415</v>
      </c>
      <c r="R36" s="22">
        <f t="shared" si="1"/>
        <v>2010</v>
      </c>
      <c r="S36" s="22">
        <f t="shared" si="2"/>
        <v>9</v>
      </c>
      <c r="T36" s="22">
        <f t="shared" si="3"/>
        <v>1</v>
      </c>
    </row>
    <row r="37" spans="1:20" x14ac:dyDescent="0.25">
      <c r="A37" s="4">
        <v>20010714</v>
      </c>
      <c r="B37" s="104">
        <f>DATE(LEFT(A37,4),MID(A37,5,2),RIGHT(A37,2))</f>
        <v>37086</v>
      </c>
      <c r="D37" s="2" t="s">
        <v>1076</v>
      </c>
      <c r="O37" s="8">
        <v>40452</v>
      </c>
      <c r="P37" s="4" t="s">
        <v>1083</v>
      </c>
      <c r="Q37" s="57">
        <f t="shared" ca="1" si="0"/>
        <v>202</v>
      </c>
      <c r="R37" s="22">
        <f t="shared" si="1"/>
        <v>2010</v>
      </c>
      <c r="S37" s="22">
        <f t="shared" si="2"/>
        <v>10</v>
      </c>
      <c r="T37" s="22">
        <f t="shared" si="3"/>
        <v>1</v>
      </c>
    </row>
    <row r="38" spans="1:20" x14ac:dyDescent="0.25">
      <c r="A38" s="4">
        <v>20040410</v>
      </c>
      <c r="B38" s="104">
        <f t="shared" ref="B38:B42" si="4">DATE(LEFT(A38,4),MID(A38,5,2),RIGHT(A38,2))</f>
        <v>38087</v>
      </c>
      <c r="O38" s="8">
        <v>40483</v>
      </c>
      <c r="P38" s="4" t="s">
        <v>1084</v>
      </c>
      <c r="Q38" s="57">
        <f t="shared" ca="1" si="0"/>
        <v>618</v>
      </c>
      <c r="R38" s="22">
        <f t="shared" si="1"/>
        <v>2010</v>
      </c>
      <c r="S38" s="22">
        <f t="shared" si="2"/>
        <v>11</v>
      </c>
      <c r="T38" s="22">
        <f t="shared" si="3"/>
        <v>1</v>
      </c>
    </row>
    <row r="39" spans="1:20" x14ac:dyDescent="0.25">
      <c r="A39" s="4">
        <v>20091115</v>
      </c>
      <c r="B39" s="104">
        <f t="shared" si="4"/>
        <v>40132</v>
      </c>
      <c r="O39" s="8">
        <v>40513</v>
      </c>
      <c r="P39" s="4" t="s">
        <v>1085</v>
      </c>
      <c r="Q39" s="57">
        <f t="shared" ca="1" si="0"/>
        <v>357</v>
      </c>
      <c r="R39" s="22">
        <f t="shared" si="1"/>
        <v>2010</v>
      </c>
      <c r="S39" s="22">
        <f t="shared" si="2"/>
        <v>12</v>
      </c>
      <c r="T39" s="22">
        <f t="shared" si="3"/>
        <v>1</v>
      </c>
    </row>
    <row r="40" spans="1:20" x14ac:dyDescent="0.25">
      <c r="A40" s="4">
        <v>20000610</v>
      </c>
      <c r="B40" s="104">
        <f t="shared" si="4"/>
        <v>36687</v>
      </c>
      <c r="O40" s="8">
        <v>40544</v>
      </c>
      <c r="P40" s="4" t="s">
        <v>1086</v>
      </c>
      <c r="Q40" s="57">
        <f t="shared" ca="1" si="0"/>
        <v>541</v>
      </c>
      <c r="R40" s="22">
        <f t="shared" si="1"/>
        <v>2011</v>
      </c>
      <c r="S40" s="22">
        <f t="shared" si="2"/>
        <v>1</v>
      </c>
      <c r="T40" s="22">
        <f t="shared" si="3"/>
        <v>1</v>
      </c>
    </row>
    <row r="41" spans="1:20" x14ac:dyDescent="0.25">
      <c r="A41" s="4">
        <v>20080401</v>
      </c>
      <c r="B41" s="104">
        <f t="shared" si="4"/>
        <v>39539</v>
      </c>
      <c r="O41" s="8">
        <v>40575</v>
      </c>
      <c r="P41" s="4" t="s">
        <v>1087</v>
      </c>
      <c r="Q41" s="57">
        <f t="shared" ca="1" si="0"/>
        <v>465</v>
      </c>
      <c r="R41" s="22">
        <f t="shared" si="1"/>
        <v>2011</v>
      </c>
      <c r="S41" s="22">
        <f t="shared" si="2"/>
        <v>2</v>
      </c>
      <c r="T41" s="22">
        <f t="shared" si="3"/>
        <v>1</v>
      </c>
    </row>
    <row r="42" spans="1:20" x14ac:dyDescent="0.25">
      <c r="A42" s="4">
        <v>20100717</v>
      </c>
      <c r="B42" s="104">
        <f t="shared" si="4"/>
        <v>40376</v>
      </c>
      <c r="O42" s="8">
        <v>40603</v>
      </c>
      <c r="P42" s="4" t="s">
        <v>1088</v>
      </c>
      <c r="Q42" s="57">
        <f t="shared" ca="1" si="0"/>
        <v>345</v>
      </c>
      <c r="R42" s="22">
        <f t="shared" si="1"/>
        <v>2011</v>
      </c>
      <c r="S42" s="22">
        <f t="shared" si="2"/>
        <v>3</v>
      </c>
      <c r="T42" s="22">
        <f t="shared" si="3"/>
        <v>1</v>
      </c>
    </row>
    <row r="43" spans="1:20" x14ac:dyDescent="0.25">
      <c r="O43" s="8">
        <v>40634</v>
      </c>
      <c r="P43" s="4" t="s">
        <v>1089</v>
      </c>
      <c r="Q43" s="57">
        <f t="shared" ca="1" si="0"/>
        <v>532</v>
      </c>
      <c r="R43" s="22">
        <f t="shared" si="1"/>
        <v>2011</v>
      </c>
      <c r="S43" s="22">
        <f t="shared" si="2"/>
        <v>4</v>
      </c>
      <c r="T43" s="22">
        <f t="shared" si="3"/>
        <v>1</v>
      </c>
    </row>
    <row r="44" spans="1:20" x14ac:dyDescent="0.25">
      <c r="A44" s="67" t="s">
        <v>91</v>
      </c>
      <c r="B44" s="67" t="s">
        <v>42</v>
      </c>
      <c r="O44" s="8">
        <v>40664</v>
      </c>
      <c r="P44" s="4" t="s">
        <v>1090</v>
      </c>
      <c r="Q44" s="57">
        <f t="shared" ca="1" si="0"/>
        <v>496</v>
      </c>
      <c r="R44" s="22">
        <f t="shared" si="1"/>
        <v>2011</v>
      </c>
      <c r="S44" s="22">
        <f t="shared" si="2"/>
        <v>5</v>
      </c>
      <c r="T44" s="22">
        <f t="shared" si="3"/>
        <v>1</v>
      </c>
    </row>
    <row r="45" spans="1:20" x14ac:dyDescent="0.25">
      <c r="A45" s="4">
        <v>20010714</v>
      </c>
      <c r="B45" s="104">
        <f t="shared" ref="B45:B50" si="5">TEXT(A45,"0000\/00\/00")+0</f>
        <v>37086</v>
      </c>
      <c r="O45" s="8">
        <v>40695</v>
      </c>
      <c r="P45" s="4" t="s">
        <v>1091</v>
      </c>
      <c r="Q45" s="57">
        <f t="shared" ca="1" si="0"/>
        <v>303</v>
      </c>
      <c r="R45" s="22">
        <f t="shared" si="1"/>
        <v>2011</v>
      </c>
      <c r="S45" s="22">
        <f t="shared" si="2"/>
        <v>6</v>
      </c>
      <c r="T45" s="22">
        <f t="shared" si="3"/>
        <v>1</v>
      </c>
    </row>
    <row r="46" spans="1:20" x14ac:dyDescent="0.25">
      <c r="A46" s="4">
        <v>20040410</v>
      </c>
      <c r="B46" s="104">
        <f t="shared" si="5"/>
        <v>38087</v>
      </c>
      <c r="O46" s="8">
        <v>40746</v>
      </c>
      <c r="P46" s="4" t="s">
        <v>1092</v>
      </c>
      <c r="Q46" s="57">
        <f t="shared" ca="1" si="0"/>
        <v>259</v>
      </c>
      <c r="R46" s="22">
        <f t="shared" si="1"/>
        <v>2011</v>
      </c>
      <c r="S46" s="22">
        <f t="shared" si="2"/>
        <v>7</v>
      </c>
      <c r="T46" s="22">
        <f t="shared" si="3"/>
        <v>22</v>
      </c>
    </row>
    <row r="47" spans="1:20" x14ac:dyDescent="0.25">
      <c r="A47" s="4">
        <v>20091115</v>
      </c>
      <c r="B47" s="104">
        <f t="shared" si="5"/>
        <v>40132</v>
      </c>
      <c r="O47" s="8">
        <v>40756</v>
      </c>
      <c r="P47" s="4" t="s">
        <v>1093</v>
      </c>
      <c r="Q47" s="57">
        <f t="shared" ca="1" si="0"/>
        <v>421</v>
      </c>
      <c r="R47" s="22">
        <f t="shared" si="1"/>
        <v>2011</v>
      </c>
      <c r="S47" s="22">
        <f t="shared" si="2"/>
        <v>8</v>
      </c>
      <c r="T47" s="22">
        <f t="shared" si="3"/>
        <v>1</v>
      </c>
    </row>
    <row r="48" spans="1:20" x14ac:dyDescent="0.25">
      <c r="A48" s="4">
        <v>20000610</v>
      </c>
      <c r="B48" s="104">
        <f t="shared" si="5"/>
        <v>36687</v>
      </c>
      <c r="O48" s="8">
        <v>40787</v>
      </c>
      <c r="P48" s="4" t="s">
        <v>1094</v>
      </c>
      <c r="Q48" s="57">
        <f t="shared" ca="1" si="0"/>
        <v>585</v>
      </c>
      <c r="R48" s="22">
        <f t="shared" si="1"/>
        <v>2011</v>
      </c>
      <c r="S48" s="22">
        <f t="shared" si="2"/>
        <v>9</v>
      </c>
      <c r="T48" s="22">
        <f t="shared" si="3"/>
        <v>1</v>
      </c>
    </row>
    <row r="49" spans="1:20" x14ac:dyDescent="0.25">
      <c r="A49" s="4">
        <v>20080401</v>
      </c>
      <c r="B49" s="104">
        <f t="shared" si="5"/>
        <v>39539</v>
      </c>
      <c r="O49" s="8">
        <v>40817</v>
      </c>
      <c r="P49" s="4" t="s">
        <v>1095</v>
      </c>
      <c r="Q49" s="57">
        <f t="shared" ca="1" si="0"/>
        <v>369</v>
      </c>
      <c r="R49" s="22">
        <f t="shared" si="1"/>
        <v>2011</v>
      </c>
      <c r="S49" s="22">
        <f t="shared" si="2"/>
        <v>10</v>
      </c>
      <c r="T49" s="22">
        <f t="shared" si="3"/>
        <v>1</v>
      </c>
    </row>
    <row r="50" spans="1:20" x14ac:dyDescent="0.25">
      <c r="A50" s="4">
        <v>20100717</v>
      </c>
      <c r="B50" s="104">
        <f t="shared" si="5"/>
        <v>40376</v>
      </c>
      <c r="O50" s="8">
        <v>40852</v>
      </c>
      <c r="P50" s="4" t="s">
        <v>1096</v>
      </c>
      <c r="Q50" s="57">
        <f t="shared" ca="1" si="0"/>
        <v>361</v>
      </c>
      <c r="R50" s="22">
        <f t="shared" si="1"/>
        <v>2011</v>
      </c>
      <c r="S50" s="22">
        <f t="shared" si="2"/>
        <v>11</v>
      </c>
      <c r="T50" s="22">
        <f t="shared" si="3"/>
        <v>5</v>
      </c>
    </row>
    <row r="51" spans="1:20" x14ac:dyDescent="0.25">
      <c r="O51" s="8">
        <v>40878</v>
      </c>
      <c r="P51" s="4" t="s">
        <v>1097</v>
      </c>
      <c r="Q51" s="57">
        <f t="shared" ca="1" si="0"/>
        <v>211</v>
      </c>
      <c r="R51" s="22">
        <f t="shared" si="1"/>
        <v>2011</v>
      </c>
      <c r="S51" s="22">
        <f t="shared" si="2"/>
        <v>12</v>
      </c>
      <c r="T51" s="22">
        <f t="shared" si="3"/>
        <v>1</v>
      </c>
    </row>
    <row r="52" spans="1:20" x14ac:dyDescent="0.25">
      <c r="O52" s="8">
        <v>40909</v>
      </c>
      <c r="P52" s="4" t="s">
        <v>1098</v>
      </c>
      <c r="Q52" s="57">
        <f t="shared" ca="1" si="0"/>
        <v>699</v>
      </c>
      <c r="R52" s="22">
        <f t="shared" si="1"/>
        <v>2012</v>
      </c>
      <c r="S52" s="22">
        <f t="shared" si="2"/>
        <v>1</v>
      </c>
      <c r="T52" s="22">
        <f t="shared" si="3"/>
        <v>1</v>
      </c>
    </row>
    <row r="53" spans="1:20" x14ac:dyDescent="0.25">
      <c r="O53" s="8">
        <v>40940</v>
      </c>
      <c r="P53" s="4" t="s">
        <v>1099</v>
      </c>
      <c r="Q53" s="57">
        <f t="shared" ca="1" si="0"/>
        <v>246</v>
      </c>
      <c r="R53" s="22">
        <f t="shared" si="1"/>
        <v>2012</v>
      </c>
      <c r="S53" s="22">
        <f t="shared" si="2"/>
        <v>2</v>
      </c>
      <c r="T53" s="22">
        <f t="shared" si="3"/>
        <v>1</v>
      </c>
    </row>
    <row r="54" spans="1:20" x14ac:dyDescent="0.25">
      <c r="O54" s="8">
        <v>40969</v>
      </c>
      <c r="P54" s="4" t="s">
        <v>1100</v>
      </c>
      <c r="Q54" s="57">
        <f t="shared" ca="1" si="0"/>
        <v>387</v>
      </c>
      <c r="R54" s="22">
        <f t="shared" si="1"/>
        <v>2012</v>
      </c>
      <c r="S54" s="22">
        <f t="shared" si="2"/>
        <v>3</v>
      </c>
      <c r="T54" s="22">
        <f t="shared" si="3"/>
        <v>1</v>
      </c>
    </row>
    <row r="55" spans="1:20" x14ac:dyDescent="0.25">
      <c r="O55" s="8">
        <v>41000</v>
      </c>
      <c r="P55" s="4" t="s">
        <v>1101</v>
      </c>
      <c r="Q55" s="57">
        <f t="shared" ca="1" si="0"/>
        <v>321</v>
      </c>
      <c r="R55" s="22">
        <f t="shared" si="1"/>
        <v>2012</v>
      </c>
      <c r="S55" s="22">
        <f t="shared" si="2"/>
        <v>4</v>
      </c>
      <c r="T55" s="22">
        <f t="shared" si="3"/>
        <v>1</v>
      </c>
    </row>
    <row r="56" spans="1:20" x14ac:dyDescent="0.25">
      <c r="O56" s="8">
        <v>41030</v>
      </c>
      <c r="P56" s="4" t="s">
        <v>1082</v>
      </c>
      <c r="Q56" s="57">
        <f t="shared" ca="1" si="0"/>
        <v>437</v>
      </c>
      <c r="R56" s="22">
        <f t="shared" si="1"/>
        <v>2012</v>
      </c>
      <c r="S56" s="22">
        <f t="shared" si="2"/>
        <v>5</v>
      </c>
      <c r="T56" s="22">
        <f t="shared" si="3"/>
        <v>1</v>
      </c>
    </row>
    <row r="57" spans="1:20" x14ac:dyDescent="0.25">
      <c r="O57" s="8">
        <v>41061</v>
      </c>
      <c r="P57" s="4" t="s">
        <v>1083</v>
      </c>
      <c r="Q57" s="57">
        <f t="shared" ca="1" si="0"/>
        <v>568</v>
      </c>
      <c r="R57" s="22">
        <f t="shared" si="1"/>
        <v>2012</v>
      </c>
      <c r="S57" s="22">
        <f t="shared" si="2"/>
        <v>6</v>
      </c>
      <c r="T57" s="22">
        <f t="shared" si="3"/>
        <v>1</v>
      </c>
    </row>
    <row r="58" spans="1:20" x14ac:dyDescent="0.25">
      <c r="O58" s="8">
        <v>41096</v>
      </c>
      <c r="P58" s="4" t="s">
        <v>1084</v>
      </c>
      <c r="Q58" s="57">
        <f t="shared" ca="1" si="0"/>
        <v>359</v>
      </c>
      <c r="R58" s="22">
        <f t="shared" si="1"/>
        <v>2012</v>
      </c>
      <c r="S58" s="22">
        <f t="shared" si="2"/>
        <v>7</v>
      </c>
      <c r="T58" s="22">
        <f t="shared" si="3"/>
        <v>6</v>
      </c>
    </row>
    <row r="59" spans="1:20" x14ac:dyDescent="0.25">
      <c r="O59" s="8">
        <v>41129</v>
      </c>
      <c r="P59" s="4" t="s">
        <v>1085</v>
      </c>
      <c r="Q59" s="57">
        <f t="shared" ca="1" si="0"/>
        <v>552</v>
      </c>
      <c r="R59" s="22">
        <f t="shared" si="1"/>
        <v>2012</v>
      </c>
      <c r="S59" s="22">
        <f t="shared" si="2"/>
        <v>8</v>
      </c>
      <c r="T59" s="22">
        <f t="shared" si="3"/>
        <v>8</v>
      </c>
    </row>
    <row r="60" spans="1:20" x14ac:dyDescent="0.25">
      <c r="O60" s="8">
        <v>41155</v>
      </c>
      <c r="P60" s="4" t="s">
        <v>1086</v>
      </c>
      <c r="Q60" s="57">
        <f t="shared" ca="1" si="0"/>
        <v>207</v>
      </c>
      <c r="R60" s="22">
        <f t="shared" si="1"/>
        <v>2012</v>
      </c>
      <c r="S60" s="22">
        <f t="shared" si="2"/>
        <v>9</v>
      </c>
      <c r="T60" s="22">
        <f t="shared" si="3"/>
        <v>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N222"/>
  <sheetViews>
    <sheetView workbookViewId="0">
      <selection activeCell="C20" sqref="C20"/>
    </sheetView>
  </sheetViews>
  <sheetFormatPr defaultRowHeight="15" x14ac:dyDescent="0.25"/>
  <cols>
    <col min="1" max="1" width="18.28515625" customWidth="1"/>
    <col min="2" max="2" width="14.28515625" customWidth="1"/>
    <col min="3" max="3" width="10.28515625" customWidth="1"/>
    <col min="4" max="7" width="8.85546875" customWidth="1"/>
    <col min="8" max="8" width="22.7109375" customWidth="1"/>
    <col min="9" max="9" width="12.5703125" customWidth="1"/>
    <col min="10" max="11" width="8.85546875" customWidth="1"/>
  </cols>
  <sheetData>
    <row r="1" spans="1:8" ht="26.25" x14ac:dyDescent="0.4">
      <c r="A1" s="198" t="s">
        <v>1433</v>
      </c>
    </row>
    <row r="2" spans="1:8" ht="26.25" x14ac:dyDescent="0.4">
      <c r="A2" s="198" t="s">
        <v>1434</v>
      </c>
    </row>
    <row r="3" spans="1:8" x14ac:dyDescent="0.25">
      <c r="A3" s="68" t="s">
        <v>1111</v>
      </c>
      <c r="B3" s="69"/>
      <c r="C3" s="69"/>
      <c r="D3" s="69"/>
      <c r="E3" s="70"/>
    </row>
    <row r="4" spans="1:8" x14ac:dyDescent="0.25">
      <c r="A4" s="201" t="s">
        <v>1366</v>
      </c>
      <c r="B4" s="72"/>
      <c r="C4" s="72"/>
      <c r="D4" s="72"/>
      <c r="E4" s="73"/>
    </row>
    <row r="5" spans="1:8" x14ac:dyDescent="0.25">
      <c r="A5" s="202" t="s">
        <v>1367</v>
      </c>
      <c r="B5" s="75"/>
      <c r="C5" s="75"/>
      <c r="D5" s="75"/>
      <c r="E5" s="76"/>
    </row>
    <row r="6" spans="1:8" x14ac:dyDescent="0.25">
      <c r="A6" s="179" t="s">
        <v>1102</v>
      </c>
      <c r="B6" s="69"/>
      <c r="C6" s="69"/>
      <c r="D6" s="69"/>
      <c r="E6" s="69"/>
      <c r="F6" s="69"/>
      <c r="G6" s="69"/>
      <c r="H6" s="70"/>
    </row>
    <row r="7" spans="1:8" x14ac:dyDescent="0.25">
      <c r="A7" s="71" t="s">
        <v>1103</v>
      </c>
      <c r="B7" s="72"/>
      <c r="C7" s="72"/>
      <c r="D7" s="72"/>
      <c r="E7" s="72"/>
      <c r="F7" s="72"/>
      <c r="G7" s="72"/>
      <c r="H7" s="73"/>
    </row>
    <row r="8" spans="1:8" x14ac:dyDescent="0.25">
      <c r="A8" s="71" t="s">
        <v>1104</v>
      </c>
      <c r="B8" s="72"/>
      <c r="C8" s="72"/>
      <c r="D8" s="72"/>
      <c r="E8" s="72"/>
      <c r="F8" s="72"/>
      <c r="G8" s="72"/>
      <c r="H8" s="73"/>
    </row>
    <row r="9" spans="1:8" x14ac:dyDescent="0.25">
      <c r="A9" s="71" t="s">
        <v>1105</v>
      </c>
      <c r="B9" s="72"/>
      <c r="C9" s="72"/>
      <c r="D9" s="72"/>
      <c r="E9" s="72"/>
      <c r="F9" s="72"/>
      <c r="G9" s="72"/>
      <c r="H9" s="73"/>
    </row>
    <row r="10" spans="1:8" x14ac:dyDescent="0.25">
      <c r="A10" s="71" t="s">
        <v>1106</v>
      </c>
      <c r="B10" s="72"/>
      <c r="C10" s="72"/>
      <c r="D10" s="72"/>
      <c r="E10" s="72"/>
      <c r="F10" s="72"/>
      <c r="G10" s="72"/>
      <c r="H10" s="73"/>
    </row>
    <row r="11" spans="1:8" x14ac:dyDescent="0.25">
      <c r="A11" s="71" t="s">
        <v>1107</v>
      </c>
      <c r="B11" s="72"/>
      <c r="C11" s="72"/>
      <c r="D11" s="72"/>
      <c r="E11" s="72"/>
      <c r="F11" s="72"/>
      <c r="G11" s="72"/>
      <c r="H11" s="73"/>
    </row>
    <row r="12" spans="1:8" x14ac:dyDescent="0.25">
      <c r="A12" s="71" t="s">
        <v>1108</v>
      </c>
      <c r="B12" s="72"/>
      <c r="C12" s="72"/>
      <c r="D12" s="72"/>
      <c r="E12" s="72"/>
      <c r="F12" s="72"/>
      <c r="G12" s="72"/>
      <c r="H12" s="73"/>
    </row>
    <row r="13" spans="1:8" x14ac:dyDescent="0.25">
      <c r="A13" s="71" t="s">
        <v>1109</v>
      </c>
      <c r="B13" s="72"/>
      <c r="C13" s="72"/>
      <c r="D13" s="72"/>
      <c r="E13" s="72"/>
      <c r="F13" s="72"/>
      <c r="G13" s="72"/>
      <c r="H13" s="73"/>
    </row>
    <row r="14" spans="1:8" x14ac:dyDescent="0.25">
      <c r="A14" s="74" t="s">
        <v>1110</v>
      </c>
      <c r="B14" s="75"/>
      <c r="C14" s="75"/>
      <c r="D14" s="75"/>
      <c r="E14" s="75"/>
      <c r="F14" s="75"/>
      <c r="G14" s="75"/>
      <c r="H14" s="76"/>
    </row>
    <row r="15" spans="1:8" ht="23.25" x14ac:dyDescent="0.35">
      <c r="A15" s="180" t="s">
        <v>1445</v>
      </c>
    </row>
    <row r="17" spans="1:11" x14ac:dyDescent="0.25">
      <c r="A17" s="2" t="s">
        <v>1112</v>
      </c>
      <c r="F17" s="2" t="s">
        <v>1112</v>
      </c>
    </row>
    <row r="18" spans="1:11" x14ac:dyDescent="0.25">
      <c r="A18" s="106" t="s">
        <v>1113</v>
      </c>
      <c r="B18" s="107"/>
      <c r="F18" s="5" t="s">
        <v>833</v>
      </c>
      <c r="G18" s="5" t="s">
        <v>1114</v>
      </c>
      <c r="I18" s="3" t="s">
        <v>1115</v>
      </c>
    </row>
    <row r="19" spans="1:11" x14ac:dyDescent="0.25">
      <c r="A19" s="108" t="s">
        <v>1116</v>
      </c>
      <c r="B19" s="108" t="s">
        <v>30</v>
      </c>
      <c r="C19" s="108" t="s">
        <v>1117</v>
      </c>
      <c r="F19" s="4" t="s">
        <v>1118</v>
      </c>
      <c r="G19" s="4">
        <v>3</v>
      </c>
      <c r="I19" s="4" t="s">
        <v>1119</v>
      </c>
      <c r="K19" s="128" t="s">
        <v>1370</v>
      </c>
    </row>
    <row r="20" spans="1:11" x14ac:dyDescent="0.25">
      <c r="A20" s="57">
        <v>500</v>
      </c>
      <c r="B20" s="57">
        <v>300</v>
      </c>
      <c r="C20" s="30"/>
      <c r="F20" s="4" t="s">
        <v>1120</v>
      </c>
      <c r="G20" s="4">
        <v>4</v>
      </c>
      <c r="I20" s="4" t="s">
        <v>95</v>
      </c>
    </row>
    <row r="21" spans="1:11" x14ac:dyDescent="0.25">
      <c r="A21" s="57">
        <v>250</v>
      </c>
      <c r="B21" s="57">
        <v>150</v>
      </c>
      <c r="C21" s="30"/>
      <c r="F21" s="4" t="s">
        <v>95</v>
      </c>
      <c r="G21" s="4">
        <v>3</v>
      </c>
      <c r="I21" s="108" t="s">
        <v>82</v>
      </c>
    </row>
    <row r="22" spans="1:11" x14ac:dyDescent="0.25">
      <c r="A22" s="57">
        <v>300</v>
      </c>
      <c r="B22" s="57">
        <v>200</v>
      </c>
      <c r="C22" s="30"/>
      <c r="F22" s="4" t="s">
        <v>1119</v>
      </c>
      <c r="G22" s="4">
        <v>4</v>
      </c>
      <c r="I22" s="22"/>
      <c r="K22" t="str">
        <f ca="1">IF(_xlfn.ISFORMULA(I22)," &lt; Formula "&amp;_xlfn.FORMULATEXT(I22),"")</f>
        <v/>
      </c>
    </row>
    <row r="23" spans="1:11" x14ac:dyDescent="0.25">
      <c r="A23" s="57">
        <v>400</v>
      </c>
      <c r="B23" s="57">
        <v>200</v>
      </c>
      <c r="C23" s="30"/>
      <c r="F23" s="4" t="s">
        <v>1119</v>
      </c>
      <c r="G23" s="4">
        <v>6</v>
      </c>
    </row>
    <row r="24" spans="1:11" ht="15.75" thickBot="1" x14ac:dyDescent="0.3">
      <c r="A24" s="57">
        <v>500</v>
      </c>
      <c r="B24" s="57">
        <v>200</v>
      </c>
      <c r="C24" s="30"/>
      <c r="F24" s="4" t="s">
        <v>1118</v>
      </c>
      <c r="G24" s="4">
        <v>7</v>
      </c>
      <c r="I24" s="3" t="s">
        <v>1368</v>
      </c>
    </row>
    <row r="25" spans="1:11" ht="15.75" thickBot="1" x14ac:dyDescent="0.3">
      <c r="B25" t="s">
        <v>82</v>
      </c>
      <c r="C25" s="181"/>
      <c r="F25" s="4" t="s">
        <v>95</v>
      </c>
      <c r="G25" s="4">
        <v>3</v>
      </c>
      <c r="I25" s="4" t="s">
        <v>1119</v>
      </c>
      <c r="K25" t="s">
        <v>1369</v>
      </c>
    </row>
    <row r="26" spans="1:11" ht="15.75" thickTop="1" x14ac:dyDescent="0.25">
      <c r="I26" s="108" t="s">
        <v>82</v>
      </c>
    </row>
    <row r="27" spans="1:11" x14ac:dyDescent="0.25">
      <c r="A27" s="108" t="s">
        <v>1121</v>
      </c>
      <c r="I27" s="22"/>
    </row>
    <row r="28" spans="1:11" ht="15.75" x14ac:dyDescent="0.25">
      <c r="A28" s="30"/>
      <c r="B28" s="93"/>
      <c r="C28" t="str">
        <f ca="1">IF(_xlfn.ISFORMULA(A28)," &lt; Formula "&amp;_xlfn.FORMULATEXT(A28),"")</f>
        <v/>
      </c>
    </row>
    <row r="30" spans="1:11" x14ac:dyDescent="0.25">
      <c r="A30" s="128" t="s">
        <v>1447</v>
      </c>
    </row>
    <row r="32" spans="1:11" x14ac:dyDescent="0.25">
      <c r="A32" s="67" t="s">
        <v>42</v>
      </c>
      <c r="B32" s="67" t="s">
        <v>28</v>
      </c>
      <c r="C32" s="67" t="s">
        <v>1122</v>
      </c>
      <c r="D32" s="67" t="s">
        <v>93</v>
      </c>
    </row>
    <row r="33" spans="1:8" x14ac:dyDescent="0.25">
      <c r="A33" s="109">
        <v>40434</v>
      </c>
      <c r="B33" s="4" t="s">
        <v>1438</v>
      </c>
      <c r="C33" s="110">
        <v>7740</v>
      </c>
      <c r="D33" s="110">
        <v>21500</v>
      </c>
      <c r="H33" s="4" t="str">
        <f>FIXED(D33,0)&amp;" - "&amp;FIXED(C33,0)&amp;" = "&amp;FIXED(D33-C33,0)</f>
        <v>21,500 - 7,740 = 13,760</v>
      </c>
    </row>
    <row r="34" spans="1:8" x14ac:dyDescent="0.25">
      <c r="A34" s="109">
        <v>40376</v>
      </c>
      <c r="B34" s="4" t="s">
        <v>1439</v>
      </c>
      <c r="C34" s="110">
        <v>9460</v>
      </c>
      <c r="D34" s="110">
        <v>21500</v>
      </c>
      <c r="H34" s="4" t="str">
        <f t="shared" ref="H34:H39" si="0">FIXED(D34,0)&amp;" - "&amp;FIXED(C34,0)&amp;" = "&amp;FIXED(D34-C34,0)</f>
        <v>21,500 - 9,460 = 12,040</v>
      </c>
    </row>
    <row r="35" spans="1:8" x14ac:dyDescent="0.25">
      <c r="A35" s="109">
        <v>40389</v>
      </c>
      <c r="B35" s="4" t="s">
        <v>1440</v>
      </c>
      <c r="C35" s="110">
        <v>4350</v>
      </c>
      <c r="D35" s="110">
        <v>15000</v>
      </c>
      <c r="H35" s="4" t="str">
        <f t="shared" si="0"/>
        <v>15,000 - 4,350 = 10,650</v>
      </c>
    </row>
    <row r="36" spans="1:8" x14ac:dyDescent="0.25">
      <c r="A36" s="109">
        <v>40417</v>
      </c>
      <c r="B36" s="4" t="s">
        <v>1441</v>
      </c>
      <c r="C36" s="110">
        <v>4350</v>
      </c>
      <c r="D36" s="110">
        <v>15000</v>
      </c>
      <c r="H36" s="4" t="str">
        <f t="shared" si="0"/>
        <v>15,000 - 4,350 = 10,650</v>
      </c>
    </row>
    <row r="37" spans="1:8" x14ac:dyDescent="0.25">
      <c r="A37" s="109">
        <v>40446</v>
      </c>
      <c r="B37" s="4" t="s">
        <v>1442</v>
      </c>
      <c r="C37" s="110">
        <v>14785</v>
      </c>
      <c r="D37" s="110">
        <v>31458</v>
      </c>
      <c r="H37" s="4" t="str">
        <f t="shared" si="0"/>
        <v>31,458 - 14,785 = 16,673</v>
      </c>
    </row>
    <row r="38" spans="1:8" x14ac:dyDescent="0.25">
      <c r="A38" s="109">
        <v>40418</v>
      </c>
      <c r="B38" s="4" t="s">
        <v>1443</v>
      </c>
      <c r="C38" s="110">
        <v>4176</v>
      </c>
      <c r="D38" s="110">
        <v>14400</v>
      </c>
      <c r="H38" s="4" t="str">
        <f t="shared" si="0"/>
        <v>14,400 - 4,176 = 10,224</v>
      </c>
    </row>
    <row r="39" spans="1:8" x14ac:dyDescent="0.25">
      <c r="A39" s="109">
        <v>40388</v>
      </c>
      <c r="B39" s="4" t="s">
        <v>1444</v>
      </c>
      <c r="C39" s="110">
        <v>8859</v>
      </c>
      <c r="D39" s="110">
        <v>29532</v>
      </c>
      <c r="H39" s="4" t="str">
        <f t="shared" si="0"/>
        <v>29,532 - 8,859 = 20,673</v>
      </c>
    </row>
    <row r="41" spans="1:8" x14ac:dyDescent="0.25">
      <c r="A41" s="112" t="s">
        <v>1123</v>
      </c>
      <c r="B41" s="113"/>
      <c r="C41" s="114"/>
      <c r="D41" s="111"/>
      <c r="F41" s="128" t="s">
        <v>1448</v>
      </c>
    </row>
    <row r="43" spans="1:8" x14ac:dyDescent="0.25">
      <c r="A43" s="128" t="s">
        <v>1446</v>
      </c>
    </row>
    <row r="44" spans="1:8" x14ac:dyDescent="0.25">
      <c r="A44" s="128" t="s">
        <v>1371</v>
      </c>
    </row>
    <row r="45" spans="1:8" x14ac:dyDescent="0.25">
      <c r="A45" s="128" t="s">
        <v>1372</v>
      </c>
    </row>
    <row r="47" spans="1:8" x14ac:dyDescent="0.25">
      <c r="A47" s="106" t="s">
        <v>1113</v>
      </c>
      <c r="B47" s="107"/>
    </row>
    <row r="48" spans="1:8" x14ac:dyDescent="0.25">
      <c r="A48" s="108" t="s">
        <v>1116</v>
      </c>
      <c r="B48" s="108" t="s">
        <v>30</v>
      </c>
      <c r="C48" s="108" t="s">
        <v>1117</v>
      </c>
    </row>
    <row r="49" spans="1:14" x14ac:dyDescent="0.25">
      <c r="A49" s="57">
        <v>500</v>
      </c>
      <c r="B49" s="57">
        <v>300</v>
      </c>
      <c r="C49" s="30"/>
    </row>
    <row r="50" spans="1:14" x14ac:dyDescent="0.25">
      <c r="A50" s="57">
        <v>250</v>
      </c>
      <c r="B50" s="57">
        <v>150</v>
      </c>
      <c r="C50" s="30"/>
    </row>
    <row r="51" spans="1:14" x14ac:dyDescent="0.25">
      <c r="A51" s="57">
        <v>300</v>
      </c>
      <c r="B51" s="57">
        <v>200</v>
      </c>
      <c r="C51" s="30"/>
    </row>
    <row r="52" spans="1:14" x14ac:dyDescent="0.25">
      <c r="A52" s="57">
        <v>400</v>
      </c>
      <c r="B52" s="57">
        <v>200</v>
      </c>
      <c r="C52" s="30"/>
    </row>
    <row r="53" spans="1:14" ht="15.75" thickBot="1" x14ac:dyDescent="0.3">
      <c r="A53" s="57">
        <v>500</v>
      </c>
      <c r="B53" s="57">
        <v>200</v>
      </c>
      <c r="C53" s="30"/>
    </row>
    <row r="54" spans="1:14" ht="15.75" thickBot="1" x14ac:dyDescent="0.3">
      <c r="B54" t="s">
        <v>705</v>
      </c>
      <c r="C54" s="181"/>
    </row>
    <row r="55" spans="1:14" ht="15.75" thickTop="1" x14ac:dyDescent="0.25"/>
    <row r="56" spans="1:14" x14ac:dyDescent="0.25">
      <c r="A56" s="108" t="s">
        <v>705</v>
      </c>
      <c r="B56" s="30"/>
      <c r="D56" t="s">
        <v>1374</v>
      </c>
    </row>
    <row r="57" spans="1:14" x14ac:dyDescent="0.25">
      <c r="A57" s="108" t="s">
        <v>705</v>
      </c>
      <c r="B57" s="30"/>
      <c r="D57" t="s">
        <v>1375</v>
      </c>
    </row>
    <row r="58" spans="1:14" x14ac:dyDescent="0.25">
      <c r="A58" s="108" t="s">
        <v>704</v>
      </c>
      <c r="B58" s="30"/>
    </row>
    <row r="59" spans="1:14" x14ac:dyDescent="0.25">
      <c r="M59">
        <v>1</v>
      </c>
      <c r="N59" t="s">
        <v>1451</v>
      </c>
    </row>
    <row r="60" spans="1:14" x14ac:dyDescent="0.25">
      <c r="A60" t="s">
        <v>1390</v>
      </c>
      <c r="M60">
        <v>2</v>
      </c>
      <c r="N60" t="s">
        <v>1452</v>
      </c>
    </row>
    <row r="61" spans="1:14" x14ac:dyDescent="0.25">
      <c r="A61" t="s">
        <v>1454</v>
      </c>
      <c r="M61">
        <v>3</v>
      </c>
      <c r="N61" t="s">
        <v>1453</v>
      </c>
    </row>
    <row r="62" spans="1:14" ht="60" x14ac:dyDescent="0.25">
      <c r="A62" s="115" t="s">
        <v>1124</v>
      </c>
      <c r="B62" s="116" t="s">
        <v>1125</v>
      </c>
      <c r="D62" s="67" t="s">
        <v>1124</v>
      </c>
      <c r="E62" s="67" t="s">
        <v>1126</v>
      </c>
      <c r="F62" s="67" t="s">
        <v>1127</v>
      </c>
      <c r="G62" s="67" t="s">
        <v>1128</v>
      </c>
      <c r="H62" s="67" t="s">
        <v>1129</v>
      </c>
      <c r="I62" s="182" t="s">
        <v>1373</v>
      </c>
    </row>
    <row r="63" spans="1:14" x14ac:dyDescent="0.25">
      <c r="A63" s="117" t="s">
        <v>1130</v>
      </c>
      <c r="B63" s="49">
        <v>6.7</v>
      </c>
      <c r="D63" s="4" t="s">
        <v>1130</v>
      </c>
      <c r="E63" s="187">
        <f>AVERAGEIFS($B$63:$B$222,$A$63:$A$222,D63)</f>
        <v>5.8877551020408179</v>
      </c>
      <c r="F63" s="187"/>
      <c r="G63" s="187"/>
      <c r="H63" s="187"/>
      <c r="I63" s="187"/>
    </row>
    <row r="64" spans="1:14" x14ac:dyDescent="0.25">
      <c r="A64" s="118" t="s">
        <v>1132</v>
      </c>
      <c r="B64" s="50">
        <v>5.4</v>
      </c>
      <c r="D64" s="4" t="s">
        <v>1132</v>
      </c>
      <c r="E64" s="187">
        <f t="shared" ref="E64:E65" si="1">AVERAGEIFS($B$63:$B$222,$A$63:$A$222,D64)</f>
        <v>5.2615384615384624</v>
      </c>
      <c r="F64" s="187"/>
      <c r="G64" s="187"/>
      <c r="H64" s="187"/>
      <c r="I64" s="187"/>
    </row>
    <row r="65" spans="1:9" x14ac:dyDescent="0.25">
      <c r="A65" s="117" t="s">
        <v>1132</v>
      </c>
      <c r="B65" s="49">
        <v>4.7</v>
      </c>
      <c r="D65" s="4" t="s">
        <v>1133</v>
      </c>
      <c r="E65" s="187">
        <f t="shared" si="1"/>
        <v>7.7677966101694942</v>
      </c>
      <c r="F65" s="187"/>
      <c r="G65" s="187"/>
      <c r="H65" s="187"/>
      <c r="I65" s="187"/>
    </row>
    <row r="66" spans="1:9" x14ac:dyDescent="0.25">
      <c r="A66" s="118" t="s">
        <v>1133</v>
      </c>
      <c r="B66" s="50">
        <v>7.7</v>
      </c>
    </row>
    <row r="67" spans="1:9" x14ac:dyDescent="0.25">
      <c r="A67" s="117" t="s">
        <v>1133</v>
      </c>
      <c r="B67" s="49">
        <v>5.2</v>
      </c>
      <c r="D67" t="s">
        <v>1376</v>
      </c>
    </row>
    <row r="68" spans="1:9" x14ac:dyDescent="0.25">
      <c r="A68" s="118" t="s">
        <v>1133</v>
      </c>
      <c r="B68" s="50">
        <v>9.5</v>
      </c>
      <c r="D68" s="1" t="s">
        <v>1377</v>
      </c>
    </row>
    <row r="69" spans="1:9" x14ac:dyDescent="0.25">
      <c r="A69" s="117" t="s">
        <v>1132</v>
      </c>
      <c r="B69" s="49">
        <v>4.5999999999999996</v>
      </c>
      <c r="D69" s="1" t="s">
        <v>1378</v>
      </c>
    </row>
    <row r="70" spans="1:9" x14ac:dyDescent="0.25">
      <c r="A70" s="118" t="s">
        <v>1132</v>
      </c>
      <c r="B70" s="50">
        <v>4.4000000000000004</v>
      </c>
      <c r="D70" t="s">
        <v>1379</v>
      </c>
    </row>
    <row r="71" spans="1:9" x14ac:dyDescent="0.25">
      <c r="A71" s="117" t="s">
        <v>1130</v>
      </c>
      <c r="B71" s="49">
        <v>5.9</v>
      </c>
      <c r="D71" s="1" t="s">
        <v>1380</v>
      </c>
    </row>
    <row r="72" spans="1:9" x14ac:dyDescent="0.25">
      <c r="A72" s="118" t="s">
        <v>1132</v>
      </c>
      <c r="B72" s="50">
        <v>6.7</v>
      </c>
      <c r="D72" s="1" t="s">
        <v>1381</v>
      </c>
    </row>
    <row r="73" spans="1:9" x14ac:dyDescent="0.25">
      <c r="A73" s="117" t="s">
        <v>1132</v>
      </c>
      <c r="B73" s="49">
        <v>6.3</v>
      </c>
      <c r="D73" s="1" t="s">
        <v>1383</v>
      </c>
    </row>
    <row r="74" spans="1:9" x14ac:dyDescent="0.25">
      <c r="A74" s="118" t="s">
        <v>1132</v>
      </c>
      <c r="B74" s="50">
        <v>5.6</v>
      </c>
      <c r="D74" s="1" t="s">
        <v>1382</v>
      </c>
    </row>
    <row r="75" spans="1:9" x14ac:dyDescent="0.25">
      <c r="A75" s="117" t="s">
        <v>1133</v>
      </c>
      <c r="B75" s="49">
        <v>5.7</v>
      </c>
    </row>
    <row r="76" spans="1:9" x14ac:dyDescent="0.25">
      <c r="A76" s="118" t="s">
        <v>1133</v>
      </c>
      <c r="B76" s="50">
        <v>6.2</v>
      </c>
      <c r="D76" s="1" t="s">
        <v>1389</v>
      </c>
    </row>
    <row r="77" spans="1:9" x14ac:dyDescent="0.25">
      <c r="A77" s="117" t="s">
        <v>1132</v>
      </c>
      <c r="B77" s="49">
        <v>4.5</v>
      </c>
      <c r="D77" s="183" t="s">
        <v>1384</v>
      </c>
    </row>
    <row r="78" spans="1:9" x14ac:dyDescent="0.25">
      <c r="A78" s="118" t="s">
        <v>1133</v>
      </c>
      <c r="B78" s="50">
        <v>7.9</v>
      </c>
      <c r="D78" s="183" t="s">
        <v>1385</v>
      </c>
    </row>
    <row r="79" spans="1:9" x14ac:dyDescent="0.25">
      <c r="A79" s="117" t="s">
        <v>1133</v>
      </c>
      <c r="B79" s="49">
        <v>5.2</v>
      </c>
      <c r="D79" s="183" t="s">
        <v>1386</v>
      </c>
    </row>
    <row r="80" spans="1:9" x14ac:dyDescent="0.25">
      <c r="A80" s="118" t="s">
        <v>1133</v>
      </c>
      <c r="B80" s="50">
        <v>7.2</v>
      </c>
      <c r="D80" s="183" t="s">
        <v>1387</v>
      </c>
    </row>
    <row r="81" spans="1:4" x14ac:dyDescent="0.25">
      <c r="A81" s="117" t="s">
        <v>1130</v>
      </c>
      <c r="B81" s="49">
        <v>6.7</v>
      </c>
      <c r="D81" s="183" t="s">
        <v>1388</v>
      </c>
    </row>
    <row r="82" spans="1:4" x14ac:dyDescent="0.25">
      <c r="A82" s="118" t="s">
        <v>1132</v>
      </c>
      <c r="B82" s="50">
        <v>5.2</v>
      </c>
    </row>
    <row r="83" spans="1:4" x14ac:dyDescent="0.25">
      <c r="A83" s="117" t="s">
        <v>1133</v>
      </c>
      <c r="B83" s="49">
        <v>7.9</v>
      </c>
      <c r="D83" t="s">
        <v>1403</v>
      </c>
    </row>
    <row r="84" spans="1:4" x14ac:dyDescent="0.25">
      <c r="A84" s="118" t="s">
        <v>1133</v>
      </c>
      <c r="B84" s="50">
        <v>6</v>
      </c>
      <c r="D84" s="193" t="s">
        <v>1404</v>
      </c>
    </row>
    <row r="85" spans="1:4" x14ac:dyDescent="0.25">
      <c r="A85" s="117" t="s">
        <v>1130</v>
      </c>
      <c r="B85" s="49">
        <v>4.2</v>
      </c>
      <c r="D85" s="193" t="s">
        <v>1405</v>
      </c>
    </row>
    <row r="86" spans="1:4" x14ac:dyDescent="0.25">
      <c r="A86" s="118" t="s">
        <v>1133</v>
      </c>
      <c r="B86" s="50">
        <v>7.9</v>
      </c>
      <c r="D86" s="193" t="s">
        <v>1408</v>
      </c>
    </row>
    <row r="87" spans="1:4" x14ac:dyDescent="0.25">
      <c r="A87" s="117" t="s">
        <v>1130</v>
      </c>
      <c r="B87" s="49">
        <v>6.3</v>
      </c>
      <c r="D87" s="193" t="s">
        <v>1406</v>
      </c>
    </row>
    <row r="88" spans="1:4" x14ac:dyDescent="0.25">
      <c r="A88" s="118" t="s">
        <v>1133</v>
      </c>
      <c r="B88" s="50">
        <v>9.4</v>
      </c>
      <c r="D88" s="193" t="s">
        <v>1409</v>
      </c>
    </row>
    <row r="89" spans="1:4" x14ac:dyDescent="0.25">
      <c r="A89" s="117" t="s">
        <v>1133</v>
      </c>
      <c r="B89" s="49">
        <v>7.4</v>
      </c>
      <c r="D89" s="193" t="s">
        <v>1410</v>
      </c>
    </row>
    <row r="90" spans="1:4" x14ac:dyDescent="0.25">
      <c r="A90" s="118" t="s">
        <v>1130</v>
      </c>
      <c r="B90" s="50">
        <v>6.4</v>
      </c>
      <c r="D90" s="193" t="s">
        <v>1407</v>
      </c>
    </row>
    <row r="91" spans="1:4" x14ac:dyDescent="0.25">
      <c r="A91" s="117" t="s">
        <v>1133</v>
      </c>
      <c r="B91" s="49">
        <v>9</v>
      </c>
      <c r="D91" s="193" t="s">
        <v>1411</v>
      </c>
    </row>
    <row r="92" spans="1:4" x14ac:dyDescent="0.25">
      <c r="A92" s="118" t="s">
        <v>1133</v>
      </c>
      <c r="B92" s="50">
        <v>5.9</v>
      </c>
      <c r="D92" s="194"/>
    </row>
    <row r="93" spans="1:4" x14ac:dyDescent="0.25">
      <c r="A93" s="117" t="s">
        <v>1130</v>
      </c>
      <c r="B93" s="49">
        <v>6.9</v>
      </c>
      <c r="D93" s="199" t="s">
        <v>1435</v>
      </c>
    </row>
    <row r="94" spans="1:4" x14ac:dyDescent="0.25">
      <c r="A94" s="118" t="s">
        <v>1132</v>
      </c>
      <c r="B94" s="50">
        <v>5.7</v>
      </c>
      <c r="D94" s="203" t="s">
        <v>1436</v>
      </c>
    </row>
    <row r="95" spans="1:4" x14ac:dyDescent="0.25">
      <c r="A95" s="117" t="s">
        <v>1133</v>
      </c>
      <c r="B95" s="49">
        <v>7.1</v>
      </c>
      <c r="D95" s="200" t="s">
        <v>1437</v>
      </c>
    </row>
    <row r="96" spans="1:4" x14ac:dyDescent="0.25">
      <c r="A96" s="118" t="s">
        <v>1130</v>
      </c>
      <c r="B96" s="50">
        <v>4.4000000000000004</v>
      </c>
    </row>
    <row r="97" spans="1:4" x14ac:dyDescent="0.25">
      <c r="A97" s="117" t="s">
        <v>1133</v>
      </c>
      <c r="B97" s="49">
        <v>8.9</v>
      </c>
      <c r="D97" t="s">
        <v>1449</v>
      </c>
    </row>
    <row r="98" spans="1:4" x14ac:dyDescent="0.25">
      <c r="A98" s="118" t="s">
        <v>1130</v>
      </c>
      <c r="B98" s="50">
        <v>6.6</v>
      </c>
      <c r="D98" s="10" t="s">
        <v>1450</v>
      </c>
    </row>
    <row r="99" spans="1:4" x14ac:dyDescent="0.25">
      <c r="A99" s="117" t="s">
        <v>1133</v>
      </c>
      <c r="B99" s="49">
        <v>9.1</v>
      </c>
      <c r="D99" s="10" t="s">
        <v>1450</v>
      </c>
    </row>
    <row r="100" spans="1:4" x14ac:dyDescent="0.25">
      <c r="A100" s="118" t="s">
        <v>1133</v>
      </c>
      <c r="B100" s="50">
        <v>7.2</v>
      </c>
    </row>
    <row r="101" spans="1:4" x14ac:dyDescent="0.25">
      <c r="A101" s="117" t="s">
        <v>1133</v>
      </c>
      <c r="B101" s="49">
        <v>9.8000000000000007</v>
      </c>
    </row>
    <row r="102" spans="1:4" x14ac:dyDescent="0.25">
      <c r="A102" s="118" t="s">
        <v>1132</v>
      </c>
      <c r="B102" s="50">
        <v>4.7</v>
      </c>
    </row>
    <row r="103" spans="1:4" x14ac:dyDescent="0.25">
      <c r="A103" s="117" t="s">
        <v>1130</v>
      </c>
      <c r="B103" s="49">
        <v>6.2</v>
      </c>
    </row>
    <row r="104" spans="1:4" x14ac:dyDescent="0.25">
      <c r="A104" s="118" t="s">
        <v>1133</v>
      </c>
      <c r="B104" s="50">
        <v>8.3000000000000007</v>
      </c>
    </row>
    <row r="105" spans="1:4" x14ac:dyDescent="0.25">
      <c r="A105" s="117" t="s">
        <v>1133</v>
      </c>
      <c r="B105" s="49">
        <v>9.9</v>
      </c>
    </row>
    <row r="106" spans="1:4" x14ac:dyDescent="0.25">
      <c r="A106" s="118" t="s">
        <v>1133</v>
      </c>
      <c r="B106" s="50">
        <v>5.7</v>
      </c>
    </row>
    <row r="107" spans="1:4" x14ac:dyDescent="0.25">
      <c r="A107" s="117" t="s">
        <v>1132</v>
      </c>
      <c r="B107" s="49">
        <v>6</v>
      </c>
    </row>
    <row r="108" spans="1:4" x14ac:dyDescent="0.25">
      <c r="A108" s="118" t="s">
        <v>1132</v>
      </c>
      <c r="B108" s="50">
        <v>6.8</v>
      </c>
    </row>
    <row r="109" spans="1:4" x14ac:dyDescent="0.25">
      <c r="A109" s="117" t="s">
        <v>1132</v>
      </c>
      <c r="B109" s="49">
        <v>6.2</v>
      </c>
    </row>
    <row r="110" spans="1:4" x14ac:dyDescent="0.25">
      <c r="A110" s="118" t="s">
        <v>1132</v>
      </c>
      <c r="B110" s="50">
        <v>4.3</v>
      </c>
    </row>
    <row r="111" spans="1:4" x14ac:dyDescent="0.25">
      <c r="A111" s="117" t="s">
        <v>1130</v>
      </c>
      <c r="B111" s="49">
        <v>4.4000000000000004</v>
      </c>
    </row>
    <row r="112" spans="1:4" x14ac:dyDescent="0.25">
      <c r="A112" s="118" t="s">
        <v>1132</v>
      </c>
      <c r="B112" s="50">
        <v>4.8</v>
      </c>
    </row>
    <row r="113" spans="1:2" x14ac:dyDescent="0.25">
      <c r="A113" s="117" t="s">
        <v>1133</v>
      </c>
      <c r="B113" s="49">
        <v>8.9</v>
      </c>
    </row>
    <row r="114" spans="1:2" x14ac:dyDescent="0.25">
      <c r="A114" s="118" t="s">
        <v>1130</v>
      </c>
      <c r="B114" s="50">
        <v>5.2</v>
      </c>
    </row>
    <row r="115" spans="1:2" x14ac:dyDescent="0.25">
      <c r="A115" s="117" t="s">
        <v>1130</v>
      </c>
      <c r="B115" s="49">
        <v>5.7</v>
      </c>
    </row>
    <row r="116" spans="1:2" x14ac:dyDescent="0.25">
      <c r="A116" s="118" t="s">
        <v>1133</v>
      </c>
      <c r="B116" s="50">
        <v>9.5</v>
      </c>
    </row>
    <row r="117" spans="1:2" x14ac:dyDescent="0.25">
      <c r="A117" s="117" t="s">
        <v>1130</v>
      </c>
      <c r="B117" s="49">
        <v>6.1</v>
      </c>
    </row>
    <row r="118" spans="1:2" x14ac:dyDescent="0.25">
      <c r="A118" s="118" t="s">
        <v>1130</v>
      </c>
      <c r="B118" s="50">
        <v>6.7</v>
      </c>
    </row>
    <row r="119" spans="1:2" x14ac:dyDescent="0.25">
      <c r="A119" s="117" t="s">
        <v>1132</v>
      </c>
      <c r="B119" s="49">
        <v>5</v>
      </c>
    </row>
    <row r="120" spans="1:2" x14ac:dyDescent="0.25">
      <c r="A120" s="118" t="s">
        <v>1130</v>
      </c>
      <c r="B120" s="50">
        <v>6.7</v>
      </c>
    </row>
    <row r="121" spans="1:2" x14ac:dyDescent="0.25">
      <c r="A121" s="117" t="s">
        <v>1133</v>
      </c>
      <c r="B121" s="49">
        <v>7.5</v>
      </c>
    </row>
    <row r="122" spans="1:2" x14ac:dyDescent="0.25">
      <c r="A122" s="118" t="s">
        <v>1130</v>
      </c>
      <c r="B122" s="50">
        <v>6.1</v>
      </c>
    </row>
    <row r="123" spans="1:2" x14ac:dyDescent="0.25">
      <c r="A123" s="117" t="s">
        <v>1132</v>
      </c>
      <c r="B123" s="49">
        <v>4.2</v>
      </c>
    </row>
    <row r="124" spans="1:2" x14ac:dyDescent="0.25">
      <c r="A124" s="118" t="s">
        <v>1133</v>
      </c>
      <c r="B124" s="50">
        <v>9.4</v>
      </c>
    </row>
    <row r="125" spans="1:2" x14ac:dyDescent="0.25">
      <c r="A125" s="117" t="s">
        <v>1132</v>
      </c>
      <c r="B125" s="49">
        <v>6.1</v>
      </c>
    </row>
    <row r="126" spans="1:2" x14ac:dyDescent="0.25">
      <c r="A126" s="118" t="s">
        <v>1130</v>
      </c>
      <c r="B126" s="50">
        <v>4.2</v>
      </c>
    </row>
    <row r="127" spans="1:2" x14ac:dyDescent="0.25">
      <c r="A127" s="117" t="s">
        <v>1132</v>
      </c>
      <c r="B127" s="49">
        <v>4.3</v>
      </c>
    </row>
    <row r="128" spans="1:2" x14ac:dyDescent="0.25">
      <c r="A128" s="118" t="s">
        <v>1130</v>
      </c>
      <c r="B128" s="50">
        <v>7</v>
      </c>
    </row>
    <row r="129" spans="1:2" x14ac:dyDescent="0.25">
      <c r="A129" s="117" t="s">
        <v>1130</v>
      </c>
      <c r="B129" s="49">
        <v>6.1</v>
      </c>
    </row>
    <row r="130" spans="1:2" x14ac:dyDescent="0.25">
      <c r="A130" s="118" t="s">
        <v>1132</v>
      </c>
      <c r="B130" s="50">
        <v>6.7</v>
      </c>
    </row>
    <row r="131" spans="1:2" x14ac:dyDescent="0.25">
      <c r="A131" s="117" t="s">
        <v>1130</v>
      </c>
      <c r="B131" s="49">
        <v>6.3</v>
      </c>
    </row>
    <row r="132" spans="1:2" x14ac:dyDescent="0.25">
      <c r="A132" s="118" t="s">
        <v>1132</v>
      </c>
      <c r="B132" s="50">
        <v>4.5999999999999996</v>
      </c>
    </row>
    <row r="133" spans="1:2" x14ac:dyDescent="0.25">
      <c r="A133" s="117" t="s">
        <v>1133</v>
      </c>
      <c r="B133" s="49">
        <v>7.3</v>
      </c>
    </row>
    <row r="134" spans="1:2" x14ac:dyDescent="0.25">
      <c r="A134" s="118" t="s">
        <v>1133</v>
      </c>
      <c r="B134" s="50">
        <v>9</v>
      </c>
    </row>
    <row r="135" spans="1:2" x14ac:dyDescent="0.25">
      <c r="A135" s="117" t="s">
        <v>1132</v>
      </c>
      <c r="B135" s="49">
        <v>5.8</v>
      </c>
    </row>
    <row r="136" spans="1:2" x14ac:dyDescent="0.25">
      <c r="A136" s="118" t="s">
        <v>1133</v>
      </c>
      <c r="B136" s="50">
        <v>7.4</v>
      </c>
    </row>
    <row r="137" spans="1:2" x14ac:dyDescent="0.25">
      <c r="A137" s="117" t="s">
        <v>1130</v>
      </c>
      <c r="B137" s="49">
        <v>5.7</v>
      </c>
    </row>
    <row r="138" spans="1:2" x14ac:dyDescent="0.25">
      <c r="A138" s="118" t="s">
        <v>1130</v>
      </c>
      <c r="B138" s="50">
        <v>5.7</v>
      </c>
    </row>
    <row r="139" spans="1:2" x14ac:dyDescent="0.25">
      <c r="A139" s="117" t="s">
        <v>1133</v>
      </c>
      <c r="B139" s="49">
        <v>5.9</v>
      </c>
    </row>
    <row r="140" spans="1:2" x14ac:dyDescent="0.25">
      <c r="A140" s="118" t="s">
        <v>1133</v>
      </c>
      <c r="B140" s="50">
        <v>7.8</v>
      </c>
    </row>
    <row r="141" spans="1:2" x14ac:dyDescent="0.25">
      <c r="A141" s="117" t="s">
        <v>1133</v>
      </c>
      <c r="B141" s="49">
        <v>9.5</v>
      </c>
    </row>
    <row r="142" spans="1:2" x14ac:dyDescent="0.25">
      <c r="A142" s="118" t="s">
        <v>1133</v>
      </c>
      <c r="B142" s="50">
        <v>9.5</v>
      </c>
    </row>
    <row r="143" spans="1:2" x14ac:dyDescent="0.25">
      <c r="A143" s="117" t="s">
        <v>1132</v>
      </c>
      <c r="B143" s="49">
        <v>4.2</v>
      </c>
    </row>
    <row r="144" spans="1:2" x14ac:dyDescent="0.25">
      <c r="A144" s="118" t="s">
        <v>1132</v>
      </c>
      <c r="B144" s="50">
        <v>4.5999999999999996</v>
      </c>
    </row>
    <row r="145" spans="1:2" x14ac:dyDescent="0.25">
      <c r="A145" s="117" t="s">
        <v>1132</v>
      </c>
      <c r="B145" s="49">
        <v>4</v>
      </c>
    </row>
    <row r="146" spans="1:2" x14ac:dyDescent="0.25">
      <c r="A146" s="118" t="s">
        <v>1130</v>
      </c>
      <c r="B146" s="50">
        <v>6</v>
      </c>
    </row>
    <row r="147" spans="1:2" x14ac:dyDescent="0.25">
      <c r="A147" s="117" t="s">
        <v>1132</v>
      </c>
      <c r="B147" s="49">
        <v>4.5</v>
      </c>
    </row>
    <row r="148" spans="1:2" x14ac:dyDescent="0.25">
      <c r="A148" s="118" t="s">
        <v>1133</v>
      </c>
      <c r="B148" s="50">
        <v>6.7</v>
      </c>
    </row>
    <row r="149" spans="1:2" x14ac:dyDescent="0.25">
      <c r="A149" s="117" t="s">
        <v>1133</v>
      </c>
      <c r="B149" s="49">
        <v>7.6</v>
      </c>
    </row>
    <row r="150" spans="1:2" x14ac:dyDescent="0.25">
      <c r="A150" s="118" t="s">
        <v>1130</v>
      </c>
      <c r="B150" s="50">
        <v>6.8</v>
      </c>
    </row>
    <row r="151" spans="1:2" x14ac:dyDescent="0.25">
      <c r="A151" s="117" t="s">
        <v>1133</v>
      </c>
      <c r="B151" s="49">
        <v>10</v>
      </c>
    </row>
    <row r="152" spans="1:2" x14ac:dyDescent="0.25">
      <c r="A152" s="118" t="s">
        <v>1132</v>
      </c>
      <c r="B152" s="50">
        <v>4.8</v>
      </c>
    </row>
    <row r="153" spans="1:2" x14ac:dyDescent="0.25">
      <c r="A153" s="117" t="s">
        <v>1133</v>
      </c>
      <c r="B153" s="49">
        <v>6.1</v>
      </c>
    </row>
    <row r="154" spans="1:2" x14ac:dyDescent="0.25">
      <c r="A154" s="118" t="s">
        <v>1133</v>
      </c>
      <c r="B154" s="50">
        <v>7.6</v>
      </c>
    </row>
    <row r="155" spans="1:2" x14ac:dyDescent="0.25">
      <c r="A155" s="117" t="s">
        <v>1133</v>
      </c>
      <c r="B155" s="49">
        <v>8.1999999999999993</v>
      </c>
    </row>
    <row r="156" spans="1:2" x14ac:dyDescent="0.25">
      <c r="A156" s="118" t="s">
        <v>1132</v>
      </c>
      <c r="B156" s="50">
        <v>5.4</v>
      </c>
    </row>
    <row r="157" spans="1:2" x14ac:dyDescent="0.25">
      <c r="A157" s="117" t="s">
        <v>1130</v>
      </c>
      <c r="B157" s="49">
        <v>6.9</v>
      </c>
    </row>
    <row r="158" spans="1:2" x14ac:dyDescent="0.25">
      <c r="A158" s="118" t="s">
        <v>1130</v>
      </c>
      <c r="B158" s="50">
        <v>6.3</v>
      </c>
    </row>
    <row r="159" spans="1:2" x14ac:dyDescent="0.25">
      <c r="A159" s="117" t="s">
        <v>1132</v>
      </c>
      <c r="B159" s="49">
        <v>6.1</v>
      </c>
    </row>
    <row r="160" spans="1:2" x14ac:dyDescent="0.25">
      <c r="A160" s="118" t="s">
        <v>1132</v>
      </c>
      <c r="B160" s="50">
        <v>6.8</v>
      </c>
    </row>
    <row r="161" spans="1:2" x14ac:dyDescent="0.25">
      <c r="A161" s="117" t="s">
        <v>1132</v>
      </c>
      <c r="B161" s="49">
        <v>4.0999999999999996</v>
      </c>
    </row>
    <row r="162" spans="1:2" x14ac:dyDescent="0.25">
      <c r="A162" s="118" t="s">
        <v>1133</v>
      </c>
      <c r="B162" s="50">
        <v>5.9</v>
      </c>
    </row>
    <row r="163" spans="1:2" x14ac:dyDescent="0.25">
      <c r="A163" s="117" t="s">
        <v>1132</v>
      </c>
      <c r="B163" s="49">
        <v>4.7</v>
      </c>
    </row>
    <row r="164" spans="1:2" x14ac:dyDescent="0.25">
      <c r="A164" s="118" t="s">
        <v>1132</v>
      </c>
      <c r="B164" s="50">
        <v>5.4</v>
      </c>
    </row>
    <row r="165" spans="1:2" x14ac:dyDescent="0.25">
      <c r="A165" s="117" t="s">
        <v>1133</v>
      </c>
      <c r="B165" s="49">
        <v>7</v>
      </c>
    </row>
    <row r="166" spans="1:2" x14ac:dyDescent="0.25">
      <c r="A166" s="118" t="s">
        <v>1132</v>
      </c>
      <c r="B166" s="50">
        <v>5.0999999999999996</v>
      </c>
    </row>
    <row r="167" spans="1:2" x14ac:dyDescent="0.25">
      <c r="A167" s="117" t="s">
        <v>1132</v>
      </c>
      <c r="B167" s="49">
        <v>5.0999999999999996</v>
      </c>
    </row>
    <row r="168" spans="1:2" x14ac:dyDescent="0.25">
      <c r="A168" s="118" t="s">
        <v>1132</v>
      </c>
      <c r="B168" s="50">
        <v>5.8</v>
      </c>
    </row>
    <row r="169" spans="1:2" x14ac:dyDescent="0.25">
      <c r="A169" s="117" t="s">
        <v>1132</v>
      </c>
      <c r="B169" s="49">
        <v>5.7</v>
      </c>
    </row>
    <row r="170" spans="1:2" x14ac:dyDescent="0.25">
      <c r="A170" s="118" t="s">
        <v>1133</v>
      </c>
      <c r="B170" s="50">
        <v>5.8</v>
      </c>
    </row>
    <row r="171" spans="1:2" x14ac:dyDescent="0.25">
      <c r="A171" s="117" t="s">
        <v>1130</v>
      </c>
      <c r="B171" s="49">
        <v>5.6</v>
      </c>
    </row>
    <row r="172" spans="1:2" x14ac:dyDescent="0.25">
      <c r="A172" s="118" t="s">
        <v>1130</v>
      </c>
      <c r="B172" s="50">
        <v>4.8</v>
      </c>
    </row>
    <row r="173" spans="1:2" x14ac:dyDescent="0.25">
      <c r="A173" s="117" t="s">
        <v>1133</v>
      </c>
      <c r="B173" s="49">
        <v>5.4</v>
      </c>
    </row>
    <row r="174" spans="1:2" x14ac:dyDescent="0.25">
      <c r="A174" s="118" t="s">
        <v>1130</v>
      </c>
      <c r="B174" s="50">
        <v>5.7</v>
      </c>
    </row>
    <row r="175" spans="1:2" x14ac:dyDescent="0.25">
      <c r="A175" s="117" t="s">
        <v>1130</v>
      </c>
      <c r="B175" s="49">
        <v>5.2</v>
      </c>
    </row>
    <row r="176" spans="1:2" x14ac:dyDescent="0.25">
      <c r="A176" s="118" t="s">
        <v>1130</v>
      </c>
      <c r="B176" s="50">
        <v>6.5</v>
      </c>
    </row>
    <row r="177" spans="1:2" x14ac:dyDescent="0.25">
      <c r="A177" s="117" t="s">
        <v>1132</v>
      </c>
      <c r="B177" s="49">
        <v>4.9000000000000004</v>
      </c>
    </row>
    <row r="178" spans="1:2" x14ac:dyDescent="0.25">
      <c r="A178" s="118" t="s">
        <v>1133</v>
      </c>
      <c r="B178" s="50">
        <v>8.6999999999999993</v>
      </c>
    </row>
    <row r="179" spans="1:2" x14ac:dyDescent="0.25">
      <c r="A179" s="117" t="s">
        <v>1133</v>
      </c>
      <c r="B179" s="49">
        <v>9.6999999999999993</v>
      </c>
    </row>
    <row r="180" spans="1:2" x14ac:dyDescent="0.25">
      <c r="A180" s="118" t="s">
        <v>1130</v>
      </c>
      <c r="B180" s="50">
        <v>5.5</v>
      </c>
    </row>
    <row r="181" spans="1:2" x14ac:dyDescent="0.25">
      <c r="A181" s="117" t="s">
        <v>1133</v>
      </c>
      <c r="B181" s="49">
        <v>6.2</v>
      </c>
    </row>
    <row r="182" spans="1:2" x14ac:dyDescent="0.25">
      <c r="A182" s="118" t="s">
        <v>1130</v>
      </c>
      <c r="B182" s="50">
        <v>4.2</v>
      </c>
    </row>
    <row r="183" spans="1:2" x14ac:dyDescent="0.25">
      <c r="A183" s="117" t="s">
        <v>1133</v>
      </c>
      <c r="B183" s="49">
        <v>8</v>
      </c>
    </row>
    <row r="184" spans="1:2" x14ac:dyDescent="0.25">
      <c r="A184" s="118" t="s">
        <v>1132</v>
      </c>
      <c r="B184" s="50">
        <v>5.7</v>
      </c>
    </row>
    <row r="185" spans="1:2" x14ac:dyDescent="0.25">
      <c r="A185" s="117" t="s">
        <v>1132</v>
      </c>
      <c r="B185" s="49">
        <v>5</v>
      </c>
    </row>
    <row r="186" spans="1:2" x14ac:dyDescent="0.25">
      <c r="A186" s="118" t="s">
        <v>1133</v>
      </c>
      <c r="B186" s="50">
        <v>8.6</v>
      </c>
    </row>
    <row r="187" spans="1:2" x14ac:dyDescent="0.25">
      <c r="A187" s="117" t="s">
        <v>1133</v>
      </c>
      <c r="B187" s="49">
        <v>9.3000000000000007</v>
      </c>
    </row>
    <row r="188" spans="1:2" x14ac:dyDescent="0.25">
      <c r="A188" s="118" t="s">
        <v>1130</v>
      </c>
      <c r="B188" s="50">
        <v>4.5999999999999996</v>
      </c>
    </row>
    <row r="189" spans="1:2" x14ac:dyDescent="0.25">
      <c r="A189" s="117" t="s">
        <v>1132</v>
      </c>
      <c r="B189" s="49">
        <v>5.0999999999999996</v>
      </c>
    </row>
    <row r="190" spans="1:2" x14ac:dyDescent="0.25">
      <c r="A190" s="118" t="s">
        <v>1130</v>
      </c>
      <c r="B190" s="50">
        <v>5</v>
      </c>
    </row>
    <row r="191" spans="1:2" x14ac:dyDescent="0.25">
      <c r="A191" s="117" t="s">
        <v>1132</v>
      </c>
      <c r="B191" s="49">
        <v>5.4</v>
      </c>
    </row>
    <row r="192" spans="1:2" x14ac:dyDescent="0.25">
      <c r="A192" s="118" t="s">
        <v>1130</v>
      </c>
      <c r="B192" s="50">
        <v>6.5</v>
      </c>
    </row>
    <row r="193" spans="1:2" x14ac:dyDescent="0.25">
      <c r="A193" s="117" t="s">
        <v>1130</v>
      </c>
      <c r="B193" s="49">
        <v>4.3</v>
      </c>
    </row>
    <row r="194" spans="1:2" x14ac:dyDescent="0.25">
      <c r="A194" s="118" t="s">
        <v>1133</v>
      </c>
      <c r="B194" s="50">
        <v>8.5</v>
      </c>
    </row>
    <row r="195" spans="1:2" x14ac:dyDescent="0.25">
      <c r="A195" s="117" t="s">
        <v>1130</v>
      </c>
      <c r="B195" s="49">
        <v>5</v>
      </c>
    </row>
    <row r="196" spans="1:2" x14ac:dyDescent="0.25">
      <c r="A196" s="118" t="s">
        <v>1133</v>
      </c>
      <c r="B196" s="50">
        <v>5.8</v>
      </c>
    </row>
    <row r="197" spans="1:2" x14ac:dyDescent="0.25">
      <c r="A197" s="117" t="s">
        <v>1132</v>
      </c>
      <c r="B197" s="49">
        <v>4.8</v>
      </c>
    </row>
    <row r="198" spans="1:2" x14ac:dyDescent="0.25">
      <c r="A198" s="118" t="s">
        <v>1132</v>
      </c>
      <c r="B198" s="50">
        <v>4.2</v>
      </c>
    </row>
    <row r="199" spans="1:2" x14ac:dyDescent="0.25">
      <c r="A199" s="117" t="s">
        <v>1132</v>
      </c>
      <c r="B199" s="49">
        <v>5.6</v>
      </c>
    </row>
    <row r="200" spans="1:2" x14ac:dyDescent="0.25">
      <c r="A200" s="118" t="s">
        <v>1130</v>
      </c>
      <c r="B200" s="50">
        <v>6.6</v>
      </c>
    </row>
    <row r="201" spans="1:2" x14ac:dyDescent="0.25">
      <c r="A201" s="117" t="s">
        <v>1130</v>
      </c>
      <c r="B201" s="49">
        <v>6.6</v>
      </c>
    </row>
    <row r="202" spans="1:2" x14ac:dyDescent="0.25">
      <c r="A202" s="118" t="s">
        <v>1133</v>
      </c>
      <c r="B202" s="50">
        <v>9.3000000000000007</v>
      </c>
    </row>
    <row r="203" spans="1:2" x14ac:dyDescent="0.25">
      <c r="A203" s="117" t="s">
        <v>1132</v>
      </c>
      <c r="B203" s="49">
        <v>6.8</v>
      </c>
    </row>
    <row r="204" spans="1:2" x14ac:dyDescent="0.25">
      <c r="A204" s="118" t="s">
        <v>1133</v>
      </c>
      <c r="B204" s="50">
        <v>7.6</v>
      </c>
    </row>
    <row r="205" spans="1:2" x14ac:dyDescent="0.25">
      <c r="A205" s="117" t="s">
        <v>1130</v>
      </c>
      <c r="B205" s="49">
        <v>6.4</v>
      </c>
    </row>
    <row r="206" spans="1:2" x14ac:dyDescent="0.25">
      <c r="A206" s="118" t="s">
        <v>1130</v>
      </c>
      <c r="B206" s="50">
        <v>5.4</v>
      </c>
    </row>
    <row r="207" spans="1:2" x14ac:dyDescent="0.25">
      <c r="A207" s="117" t="s">
        <v>1130</v>
      </c>
      <c r="B207" s="49">
        <v>6.5</v>
      </c>
    </row>
    <row r="208" spans="1:2" x14ac:dyDescent="0.25">
      <c r="A208" s="118" t="s">
        <v>1133</v>
      </c>
      <c r="B208" s="50">
        <v>8.1</v>
      </c>
    </row>
    <row r="209" spans="1:2" x14ac:dyDescent="0.25">
      <c r="A209" s="117" t="s">
        <v>1133</v>
      </c>
      <c r="B209" s="49">
        <v>6.7</v>
      </c>
    </row>
    <row r="210" spans="1:2" x14ac:dyDescent="0.25">
      <c r="A210" s="118" t="s">
        <v>1133</v>
      </c>
      <c r="B210" s="50">
        <v>7.5</v>
      </c>
    </row>
    <row r="211" spans="1:2" x14ac:dyDescent="0.25">
      <c r="A211" s="117" t="s">
        <v>1130</v>
      </c>
      <c r="B211" s="49">
        <v>7</v>
      </c>
    </row>
    <row r="212" spans="1:2" x14ac:dyDescent="0.25">
      <c r="A212" s="118" t="s">
        <v>1133</v>
      </c>
      <c r="B212" s="50">
        <v>9.6</v>
      </c>
    </row>
    <row r="213" spans="1:2" x14ac:dyDescent="0.25">
      <c r="A213" s="117" t="s">
        <v>1132</v>
      </c>
      <c r="B213" s="49">
        <v>6.8</v>
      </c>
    </row>
    <row r="214" spans="1:2" x14ac:dyDescent="0.25">
      <c r="A214" s="118" t="s">
        <v>1132</v>
      </c>
      <c r="B214" s="50">
        <v>4.2</v>
      </c>
    </row>
    <row r="215" spans="1:2" x14ac:dyDescent="0.25">
      <c r="A215" s="117" t="s">
        <v>1132</v>
      </c>
      <c r="B215" s="49">
        <v>4.4000000000000004</v>
      </c>
    </row>
    <row r="216" spans="1:2" x14ac:dyDescent="0.25">
      <c r="A216" s="118" t="s">
        <v>1133</v>
      </c>
      <c r="B216" s="50">
        <v>8.6</v>
      </c>
    </row>
    <row r="217" spans="1:2" x14ac:dyDescent="0.25">
      <c r="A217" s="117" t="s">
        <v>1132</v>
      </c>
      <c r="B217" s="49">
        <v>5.3</v>
      </c>
    </row>
    <row r="218" spans="1:2" x14ac:dyDescent="0.25">
      <c r="A218" s="118" t="s">
        <v>1132</v>
      </c>
      <c r="B218" s="50">
        <v>6.5</v>
      </c>
    </row>
    <row r="219" spans="1:2" x14ac:dyDescent="0.25">
      <c r="A219" s="117" t="s">
        <v>1130</v>
      </c>
      <c r="B219" s="49">
        <v>6.6</v>
      </c>
    </row>
    <row r="220" spans="1:2" x14ac:dyDescent="0.25">
      <c r="A220" s="118" t="s">
        <v>1130</v>
      </c>
      <c r="B220" s="50">
        <v>6.8</v>
      </c>
    </row>
    <row r="221" spans="1:2" x14ac:dyDescent="0.25">
      <c r="A221" s="117" t="s">
        <v>1130</v>
      </c>
      <c r="B221" s="49">
        <v>6.6</v>
      </c>
    </row>
    <row r="222" spans="1:2" x14ac:dyDescent="0.25">
      <c r="A222" s="118" t="s">
        <v>1130</v>
      </c>
      <c r="B222" s="50">
        <v>4.9000000000000004</v>
      </c>
    </row>
  </sheetData>
  <hyperlinks>
    <hyperlink ref="D94" r:id="rId1"/>
    <hyperlink ref="D98" r:id="rId2"/>
    <hyperlink ref="D99" r:id="rId3"/>
  </hyperlinks>
  <pageMargins left="0.7" right="0.7" top="0.75" bottom="0.75" header="0.3" footer="0.3"/>
  <drawing r:id="rId4"/>
  <legacyDrawing r:id="rId5"/>
  <oleObjects>
    <mc:AlternateContent xmlns:mc="http://schemas.openxmlformats.org/markup-compatibility/2006">
      <mc:Choice Requires="x14">
        <oleObject progId="Word.Document.12" shapeId="60418" r:id="rId6">
          <objectPr defaultSize="0" r:id="rId7">
            <anchor moveWithCells="1">
              <from>
                <xdr:col>3</xdr:col>
                <xdr:colOff>0</xdr:colOff>
                <xdr:row>100</xdr:row>
                <xdr:rowOff>0</xdr:rowOff>
              </from>
              <to>
                <xdr:col>11</xdr:col>
                <xdr:colOff>57150</xdr:colOff>
                <xdr:row>138</xdr:row>
                <xdr:rowOff>142875</xdr:rowOff>
              </to>
            </anchor>
          </objectPr>
        </oleObject>
      </mc:Choice>
      <mc:Fallback>
        <oleObject progId="Word.Document.12" shapeId="60418" r:id="rId6"/>
      </mc:Fallback>
    </mc:AlternateContent>
    <mc:AlternateContent xmlns:mc="http://schemas.openxmlformats.org/markup-compatibility/2006">
      <mc:Choice Requires="x14">
        <oleObject progId="Word.Document.12" shapeId="60419" r:id="rId8">
          <objectPr defaultSize="0" r:id="rId9">
            <anchor moveWithCells="1">
              <from>
                <xdr:col>3</xdr:col>
                <xdr:colOff>0</xdr:colOff>
                <xdr:row>139</xdr:row>
                <xdr:rowOff>0</xdr:rowOff>
              </from>
              <to>
                <xdr:col>11</xdr:col>
                <xdr:colOff>57150</xdr:colOff>
                <xdr:row>170</xdr:row>
                <xdr:rowOff>85725</xdr:rowOff>
              </to>
            </anchor>
          </objectPr>
        </oleObject>
      </mc:Choice>
      <mc:Fallback>
        <oleObject progId="Word.Document.12" shapeId="60419" r:id="rId8"/>
      </mc:Fallback>
    </mc:AlternateContent>
  </oleObjec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N222"/>
  <sheetViews>
    <sheetView workbookViewId="0">
      <selection activeCell="C20" sqref="C20"/>
    </sheetView>
  </sheetViews>
  <sheetFormatPr defaultRowHeight="15" x14ac:dyDescent="0.25"/>
  <cols>
    <col min="1" max="1" width="18.28515625" customWidth="1"/>
    <col min="2" max="2" width="14.28515625" customWidth="1"/>
    <col min="3" max="3" width="10.28515625" customWidth="1"/>
    <col min="4" max="7" width="8.85546875" customWidth="1"/>
    <col min="8" max="8" width="22.7109375" customWidth="1"/>
    <col min="9" max="9" width="12.5703125" customWidth="1"/>
    <col min="10" max="11" width="8.85546875" customWidth="1"/>
  </cols>
  <sheetData>
    <row r="1" spans="1:8" ht="26.25" x14ac:dyDescent="0.4">
      <c r="A1" s="198" t="s">
        <v>1433</v>
      </c>
    </row>
    <row r="2" spans="1:8" ht="26.25" x14ac:dyDescent="0.4">
      <c r="A2" s="198" t="s">
        <v>1434</v>
      </c>
    </row>
    <row r="3" spans="1:8" x14ac:dyDescent="0.25">
      <c r="A3" s="68" t="s">
        <v>1111</v>
      </c>
      <c r="B3" s="69"/>
      <c r="C3" s="69"/>
      <c r="D3" s="69"/>
      <c r="E3" s="70"/>
    </row>
    <row r="4" spans="1:8" x14ac:dyDescent="0.25">
      <c r="A4" s="201" t="s">
        <v>1366</v>
      </c>
      <c r="B4" s="72"/>
      <c r="C4" s="72"/>
      <c r="D4" s="72"/>
      <c r="E4" s="73"/>
    </row>
    <row r="5" spans="1:8" x14ac:dyDescent="0.25">
      <c r="A5" s="202" t="s">
        <v>1367</v>
      </c>
      <c r="B5" s="75"/>
      <c r="C5" s="75"/>
      <c r="D5" s="75"/>
      <c r="E5" s="76"/>
    </row>
    <row r="6" spans="1:8" x14ac:dyDescent="0.25">
      <c r="A6" s="179" t="s">
        <v>1102</v>
      </c>
      <c r="B6" s="69"/>
      <c r="C6" s="69"/>
      <c r="D6" s="69"/>
      <c r="E6" s="69"/>
      <c r="F6" s="69"/>
      <c r="G6" s="69"/>
      <c r="H6" s="70"/>
    </row>
    <row r="7" spans="1:8" x14ac:dyDescent="0.25">
      <c r="A7" s="71" t="s">
        <v>1103</v>
      </c>
      <c r="B7" s="72"/>
      <c r="C7" s="72"/>
      <c r="D7" s="72"/>
      <c r="E7" s="72"/>
      <c r="F7" s="72"/>
      <c r="G7" s="72"/>
      <c r="H7" s="73"/>
    </row>
    <row r="8" spans="1:8" x14ac:dyDescent="0.25">
      <c r="A8" s="71" t="s">
        <v>1104</v>
      </c>
      <c r="B8" s="72"/>
      <c r="C8" s="72"/>
      <c r="D8" s="72"/>
      <c r="E8" s="72"/>
      <c r="F8" s="72"/>
      <c r="G8" s="72"/>
      <c r="H8" s="73"/>
    </row>
    <row r="9" spans="1:8" x14ac:dyDescent="0.25">
      <c r="A9" s="71" t="s">
        <v>1105</v>
      </c>
      <c r="B9" s="72"/>
      <c r="C9" s="72"/>
      <c r="D9" s="72"/>
      <c r="E9" s="72"/>
      <c r="F9" s="72"/>
      <c r="G9" s="72"/>
      <c r="H9" s="73"/>
    </row>
    <row r="10" spans="1:8" x14ac:dyDescent="0.25">
      <c r="A10" s="71" t="s">
        <v>1106</v>
      </c>
      <c r="B10" s="72"/>
      <c r="C10" s="72"/>
      <c r="D10" s="72"/>
      <c r="E10" s="72"/>
      <c r="F10" s="72"/>
      <c r="G10" s="72"/>
      <c r="H10" s="73"/>
    </row>
    <row r="11" spans="1:8" x14ac:dyDescent="0.25">
      <c r="A11" s="71" t="s">
        <v>1107</v>
      </c>
      <c r="B11" s="72"/>
      <c r="C11" s="72"/>
      <c r="D11" s="72"/>
      <c r="E11" s="72"/>
      <c r="F11" s="72"/>
      <c r="G11" s="72"/>
      <c r="H11" s="73"/>
    </row>
    <row r="12" spans="1:8" x14ac:dyDescent="0.25">
      <c r="A12" s="71" t="s">
        <v>1108</v>
      </c>
      <c r="B12" s="72"/>
      <c r="C12" s="72"/>
      <c r="D12" s="72"/>
      <c r="E12" s="72"/>
      <c r="F12" s="72"/>
      <c r="G12" s="72"/>
      <c r="H12" s="73"/>
    </row>
    <row r="13" spans="1:8" x14ac:dyDescent="0.25">
      <c r="A13" s="71" t="s">
        <v>1109</v>
      </c>
      <c r="B13" s="72"/>
      <c r="C13" s="72"/>
      <c r="D13" s="72"/>
      <c r="E13" s="72"/>
      <c r="F13" s="72"/>
      <c r="G13" s="72"/>
      <c r="H13" s="73"/>
    </row>
    <row r="14" spans="1:8" x14ac:dyDescent="0.25">
      <c r="A14" s="74" t="s">
        <v>1110</v>
      </c>
      <c r="B14" s="75"/>
      <c r="C14" s="75"/>
      <c r="D14" s="75"/>
      <c r="E14" s="75"/>
      <c r="F14" s="75"/>
      <c r="G14" s="75"/>
      <c r="H14" s="76"/>
    </row>
    <row r="15" spans="1:8" ht="23.25" x14ac:dyDescent="0.35">
      <c r="A15" s="180" t="s">
        <v>1445</v>
      </c>
    </row>
    <row r="17" spans="1:11" x14ac:dyDescent="0.25">
      <c r="A17" s="2" t="s">
        <v>1112</v>
      </c>
      <c r="F17" s="2" t="s">
        <v>1112</v>
      </c>
    </row>
    <row r="18" spans="1:11" x14ac:dyDescent="0.25">
      <c r="A18" s="106" t="s">
        <v>1113</v>
      </c>
      <c r="B18" s="107"/>
      <c r="F18" s="5" t="s">
        <v>833</v>
      </c>
      <c r="G18" s="5" t="s">
        <v>1114</v>
      </c>
      <c r="I18" s="3" t="s">
        <v>1115</v>
      </c>
    </row>
    <row r="19" spans="1:11" x14ac:dyDescent="0.25">
      <c r="A19" s="108" t="s">
        <v>1116</v>
      </c>
      <c r="B19" s="108" t="s">
        <v>30</v>
      </c>
      <c r="C19" s="108" t="s">
        <v>1117</v>
      </c>
      <c r="F19" s="4" t="s">
        <v>1118</v>
      </c>
      <c r="G19" s="4">
        <v>3</v>
      </c>
      <c r="I19" s="4" t="s">
        <v>1119</v>
      </c>
      <c r="K19" s="128" t="s">
        <v>1370</v>
      </c>
    </row>
    <row r="20" spans="1:11" x14ac:dyDescent="0.25">
      <c r="A20" s="57">
        <v>500</v>
      </c>
      <c r="B20" s="57">
        <v>300</v>
      </c>
      <c r="C20" s="30">
        <f>A20-B20</f>
        <v>200</v>
      </c>
      <c r="F20" s="4" t="s">
        <v>1120</v>
      </c>
      <c r="G20" s="4">
        <v>4</v>
      </c>
      <c r="I20" s="4" t="s">
        <v>95</v>
      </c>
    </row>
    <row r="21" spans="1:11" x14ac:dyDescent="0.25">
      <c r="A21" s="57">
        <v>250</v>
      </c>
      <c r="B21" s="57">
        <v>150</v>
      </c>
      <c r="C21" s="30">
        <f>A21-B21</f>
        <v>100</v>
      </c>
      <c r="F21" s="4" t="s">
        <v>95</v>
      </c>
      <c r="G21" s="4">
        <v>3</v>
      </c>
      <c r="I21" s="108" t="s">
        <v>82</v>
      </c>
    </row>
    <row r="22" spans="1:11" x14ac:dyDescent="0.25">
      <c r="A22" s="57">
        <v>300</v>
      </c>
      <c r="B22" s="57">
        <v>200</v>
      </c>
      <c r="C22" s="30">
        <f>A22-B22</f>
        <v>100</v>
      </c>
      <c r="F22" s="4" t="s">
        <v>1119</v>
      </c>
      <c r="G22" s="4">
        <v>4</v>
      </c>
      <c r="I22" s="22">
        <f>SUMPRODUCT(SUMIFS(G19:G25,F19:F25,I19:I20))</f>
        <v>16</v>
      </c>
      <c r="K22" t="str">
        <f ca="1">IF(_xlfn.ISFORMULA(I22)," &lt; Formula "&amp;_xlfn.FORMULATEXT(I22),"")</f>
        <v xml:space="preserve"> &lt; Formula =SUMPRODUCT(SUMIFS(G19:G25,F19:F25,I19:I20))</v>
      </c>
    </row>
    <row r="23" spans="1:11" x14ac:dyDescent="0.25">
      <c r="A23" s="57">
        <v>400</v>
      </c>
      <c r="B23" s="57">
        <v>200</v>
      </c>
      <c r="C23" s="30">
        <f>A23-B23</f>
        <v>200</v>
      </c>
      <c r="F23" s="4" t="s">
        <v>1119</v>
      </c>
      <c r="G23" s="4">
        <v>6</v>
      </c>
    </row>
    <row r="24" spans="1:11" ht="15.75" thickBot="1" x14ac:dyDescent="0.3">
      <c r="A24" s="57">
        <v>500</v>
      </c>
      <c r="B24" s="57">
        <v>200</v>
      </c>
      <c r="C24" s="30">
        <f>A24-B24</f>
        <v>300</v>
      </c>
      <c r="F24" s="4" t="s">
        <v>1118</v>
      </c>
      <c r="G24" s="4">
        <v>7</v>
      </c>
      <c r="I24" s="3" t="s">
        <v>1368</v>
      </c>
    </row>
    <row r="25" spans="1:11" ht="15.75" thickBot="1" x14ac:dyDescent="0.3">
      <c r="B25" t="s">
        <v>82</v>
      </c>
      <c r="C25" s="181">
        <f>SUM(C20:C24)</f>
        <v>900</v>
      </c>
      <c r="F25" s="4" t="s">
        <v>95</v>
      </c>
      <c r="G25" s="4">
        <v>3</v>
      </c>
      <c r="I25" s="4" t="s">
        <v>1119</v>
      </c>
      <c r="K25" t="s">
        <v>1369</v>
      </c>
    </row>
    <row r="26" spans="1:11" ht="15.75" thickTop="1" x14ac:dyDescent="0.25">
      <c r="I26" s="108" t="s">
        <v>82</v>
      </c>
    </row>
    <row r="27" spans="1:11" x14ac:dyDescent="0.25">
      <c r="A27" s="108" t="s">
        <v>1121</v>
      </c>
      <c r="I27" s="22">
        <f>SUMIFS(G19:G25,F19:F25,I25)</f>
        <v>10</v>
      </c>
    </row>
    <row r="28" spans="1:11" ht="15.75" x14ac:dyDescent="0.25">
      <c r="A28" s="30">
        <f>SUMPRODUCT(A20:A24-B20:B24)</f>
        <v>900</v>
      </c>
      <c r="B28" s="93"/>
      <c r="C28" t="str">
        <f ca="1">IF(_xlfn.ISFORMULA(A28)," &lt; Formula "&amp;_xlfn.FORMULATEXT(A28),"")</f>
        <v xml:space="preserve"> &lt; Formula =SUMPRODUCT(A20:A24-B20:B24)</v>
      </c>
    </row>
    <row r="30" spans="1:11" x14ac:dyDescent="0.25">
      <c r="A30" s="128" t="s">
        <v>1447</v>
      </c>
    </row>
    <row r="32" spans="1:11" x14ac:dyDescent="0.25">
      <c r="A32" s="67" t="s">
        <v>42</v>
      </c>
      <c r="B32" s="67" t="s">
        <v>28</v>
      </c>
      <c r="C32" s="67" t="s">
        <v>1122</v>
      </c>
      <c r="D32" s="67" t="s">
        <v>93</v>
      </c>
    </row>
    <row r="33" spans="1:8" x14ac:dyDescent="0.25">
      <c r="A33" s="109">
        <v>40434</v>
      </c>
      <c r="B33" s="4" t="s">
        <v>1438</v>
      </c>
      <c r="C33" s="110">
        <v>7740</v>
      </c>
      <c r="D33" s="110">
        <v>21500</v>
      </c>
      <c r="H33" s="4" t="str">
        <f>FIXED(D33,0)&amp;" - "&amp;FIXED(C33,0)&amp;" = "&amp;FIXED(D33-C33,0)</f>
        <v>21,500 - 7,740 = 13,760</v>
      </c>
    </row>
    <row r="34" spans="1:8" x14ac:dyDescent="0.25">
      <c r="A34" s="109">
        <v>40376</v>
      </c>
      <c r="B34" s="4" t="s">
        <v>1439</v>
      </c>
      <c r="C34" s="110">
        <v>9460</v>
      </c>
      <c r="D34" s="110">
        <v>21500</v>
      </c>
      <c r="H34" s="4" t="str">
        <f t="shared" ref="H34:H39" si="0">FIXED(D34,0)&amp;" - "&amp;FIXED(C34,0)&amp;" = "&amp;FIXED(D34-C34,0)</f>
        <v>21,500 - 9,460 = 12,040</v>
      </c>
    </row>
    <row r="35" spans="1:8" x14ac:dyDescent="0.25">
      <c r="A35" s="109">
        <v>40389</v>
      </c>
      <c r="B35" s="4" t="s">
        <v>1440</v>
      </c>
      <c r="C35" s="110">
        <v>4350</v>
      </c>
      <c r="D35" s="110">
        <v>15000</v>
      </c>
      <c r="H35" s="4" t="str">
        <f t="shared" si="0"/>
        <v>15,000 - 4,350 = 10,650</v>
      </c>
    </row>
    <row r="36" spans="1:8" x14ac:dyDescent="0.25">
      <c r="A36" s="109">
        <v>40417</v>
      </c>
      <c r="B36" s="4" t="s">
        <v>1441</v>
      </c>
      <c r="C36" s="110">
        <v>4350</v>
      </c>
      <c r="D36" s="110">
        <v>15000</v>
      </c>
      <c r="H36" s="4" t="str">
        <f t="shared" si="0"/>
        <v>15,000 - 4,350 = 10,650</v>
      </c>
    </row>
    <row r="37" spans="1:8" x14ac:dyDescent="0.25">
      <c r="A37" s="109">
        <v>40446</v>
      </c>
      <c r="B37" s="4" t="s">
        <v>1442</v>
      </c>
      <c r="C37" s="110">
        <v>14785</v>
      </c>
      <c r="D37" s="110">
        <v>31458</v>
      </c>
      <c r="H37" s="4" t="str">
        <f t="shared" si="0"/>
        <v>31,458 - 14,785 = 16,673</v>
      </c>
    </row>
    <row r="38" spans="1:8" x14ac:dyDescent="0.25">
      <c r="A38" s="109">
        <v>40418</v>
      </c>
      <c r="B38" s="4" t="s">
        <v>1443</v>
      </c>
      <c r="C38" s="110">
        <v>4176</v>
      </c>
      <c r="D38" s="110">
        <v>14400</v>
      </c>
      <c r="H38" s="4" t="str">
        <f t="shared" si="0"/>
        <v>14,400 - 4,176 = 10,224</v>
      </c>
    </row>
    <row r="39" spans="1:8" x14ac:dyDescent="0.25">
      <c r="A39" s="109">
        <v>40388</v>
      </c>
      <c r="B39" s="4" t="s">
        <v>1444</v>
      </c>
      <c r="C39" s="110">
        <v>8859</v>
      </c>
      <c r="D39" s="110">
        <v>29532</v>
      </c>
      <c r="H39" s="4" t="str">
        <f t="shared" si="0"/>
        <v>29,532 - 8,859 = 20,673</v>
      </c>
    </row>
    <row r="41" spans="1:8" x14ac:dyDescent="0.25">
      <c r="A41" s="112" t="s">
        <v>1123</v>
      </c>
      <c r="B41" s="113"/>
      <c r="C41" s="114"/>
      <c r="D41" s="111">
        <f>SUMPRODUCT(D33:D39-C33:C39)</f>
        <v>94670</v>
      </c>
      <c r="F41" s="128" t="s">
        <v>1448</v>
      </c>
    </row>
    <row r="43" spans="1:8" x14ac:dyDescent="0.25">
      <c r="A43" s="128" t="s">
        <v>1446</v>
      </c>
    </row>
    <row r="44" spans="1:8" x14ac:dyDescent="0.25">
      <c r="A44" s="128" t="s">
        <v>1371</v>
      </c>
    </row>
    <row r="45" spans="1:8" x14ac:dyDescent="0.25">
      <c r="A45" s="128" t="s">
        <v>1372</v>
      </c>
    </row>
    <row r="47" spans="1:8" x14ac:dyDescent="0.25">
      <c r="A47" s="106" t="s">
        <v>1113</v>
      </c>
      <c r="B47" s="107"/>
    </row>
    <row r="48" spans="1:8" x14ac:dyDescent="0.25">
      <c r="A48" s="108" t="s">
        <v>1116</v>
      </c>
      <c r="B48" s="108" t="s">
        <v>30</v>
      </c>
      <c r="C48" s="108" t="s">
        <v>1117</v>
      </c>
    </row>
    <row r="49" spans="1:14" x14ac:dyDescent="0.25">
      <c r="A49" s="57">
        <v>500</v>
      </c>
      <c r="B49" s="57">
        <v>300</v>
      </c>
      <c r="C49" s="30">
        <f>A49-B49</f>
        <v>200</v>
      </c>
    </row>
    <row r="50" spans="1:14" x14ac:dyDescent="0.25">
      <c r="A50" s="57">
        <v>250</v>
      </c>
      <c r="B50" s="57">
        <v>150</v>
      </c>
      <c r="C50" s="30">
        <f t="shared" ref="C50:C53" si="1">A50-B50</f>
        <v>100</v>
      </c>
    </row>
    <row r="51" spans="1:14" x14ac:dyDescent="0.25">
      <c r="A51" s="57">
        <v>300</v>
      </c>
      <c r="B51" s="57">
        <v>200</v>
      </c>
      <c r="C51" s="30">
        <f t="shared" si="1"/>
        <v>100</v>
      </c>
    </row>
    <row r="52" spans="1:14" x14ac:dyDescent="0.25">
      <c r="A52" s="57">
        <v>400</v>
      </c>
      <c r="B52" s="57">
        <v>200</v>
      </c>
      <c r="C52" s="30">
        <f t="shared" si="1"/>
        <v>200</v>
      </c>
    </row>
    <row r="53" spans="1:14" ht="15.75" thickBot="1" x14ac:dyDescent="0.3">
      <c r="A53" s="57">
        <v>500</v>
      </c>
      <c r="B53" s="57">
        <v>200</v>
      </c>
      <c r="C53" s="30">
        <f t="shared" si="1"/>
        <v>300</v>
      </c>
    </row>
    <row r="54" spans="1:14" ht="15.75" thickBot="1" x14ac:dyDescent="0.3">
      <c r="B54" t="s">
        <v>705</v>
      </c>
      <c r="C54" s="181">
        <f>MAX(C49:C53)</f>
        <v>300</v>
      </c>
    </row>
    <row r="55" spans="1:14" ht="15.75" thickTop="1" x14ac:dyDescent="0.25"/>
    <row r="56" spans="1:14" x14ac:dyDescent="0.25">
      <c r="A56" s="108" t="s">
        <v>705</v>
      </c>
      <c r="B56" s="30">
        <f t="array" ref="B56">MAX(A49:A53-B49:B53)</f>
        <v>300</v>
      </c>
      <c r="D56" t="s">
        <v>1374</v>
      </c>
    </row>
    <row r="57" spans="1:14" x14ac:dyDescent="0.25">
      <c r="A57" s="108" t="s">
        <v>705</v>
      </c>
      <c r="B57" s="30">
        <f>_xlfn.AGGREGATE(14,4,A49:A53-B49:B53,1)</f>
        <v>300</v>
      </c>
      <c r="D57" t="s">
        <v>1375</v>
      </c>
    </row>
    <row r="58" spans="1:14" x14ac:dyDescent="0.25">
      <c r="A58" s="108" t="s">
        <v>704</v>
      </c>
      <c r="B58" s="30">
        <f>_xlfn.AGGREGATE(15,4,A49:A53-B49:B53,1)</f>
        <v>100</v>
      </c>
    </row>
    <row r="59" spans="1:14" x14ac:dyDescent="0.25">
      <c r="M59">
        <v>1</v>
      </c>
      <c r="N59" t="s">
        <v>1451</v>
      </c>
    </row>
    <row r="60" spans="1:14" x14ac:dyDescent="0.25">
      <c r="A60" t="s">
        <v>1390</v>
      </c>
      <c r="M60">
        <v>2</v>
      </c>
      <c r="N60" t="s">
        <v>1452</v>
      </c>
    </row>
    <row r="61" spans="1:14" x14ac:dyDescent="0.25">
      <c r="A61" t="s">
        <v>1454</v>
      </c>
      <c r="M61">
        <v>3</v>
      </c>
      <c r="N61" t="s">
        <v>1453</v>
      </c>
    </row>
    <row r="62" spans="1:14" ht="60" x14ac:dyDescent="0.25">
      <c r="A62" s="115" t="s">
        <v>1124</v>
      </c>
      <c r="B62" s="116" t="s">
        <v>1125</v>
      </c>
      <c r="D62" s="67" t="s">
        <v>1124</v>
      </c>
      <c r="E62" s="67" t="s">
        <v>1126</v>
      </c>
      <c r="F62" s="67" t="s">
        <v>1127</v>
      </c>
      <c r="G62" s="67" t="s">
        <v>1128</v>
      </c>
      <c r="H62" s="67" t="s">
        <v>1129</v>
      </c>
      <c r="I62" s="182" t="s">
        <v>1373</v>
      </c>
    </row>
    <row r="63" spans="1:14" x14ac:dyDescent="0.25">
      <c r="A63" s="117" t="s">
        <v>1130</v>
      </c>
      <c r="B63" s="49">
        <v>6.7</v>
      </c>
      <c r="D63" s="4" t="s">
        <v>1130</v>
      </c>
      <c r="E63" s="187">
        <f>AVERAGEIFS($B$63:$B$222,$A$63:$A$222,D63)</f>
        <v>5.8877551020408179</v>
      </c>
      <c r="F63" s="187">
        <f t="array" ref="F63">MIN(IF($A$63:$A$222=D63,$B$63:$B$222))</f>
        <v>4.2</v>
      </c>
      <c r="G63" s="187">
        <f t="array" ref="G63">MAX(IF($A$63:$A$222=D63,$B$63:$B$222))</f>
        <v>7</v>
      </c>
      <c r="H63" s="187">
        <f t="array" ref="H63">_xlfn.MODE.SNGL(IF($A$63:$A$222=D63,$B$63:$B$222))</f>
        <v>6.6</v>
      </c>
      <c r="I63" s="187">
        <f t="array" ref="I63">_xlfn.STDEV.S(IF($A$63:$A$222=D63,$B$63:$B$222))</f>
        <v>0.86857945641652701</v>
      </c>
    </row>
    <row r="64" spans="1:14" x14ac:dyDescent="0.25">
      <c r="A64" s="118" t="s">
        <v>1132</v>
      </c>
      <c r="B64" s="50">
        <v>5.4</v>
      </c>
      <c r="D64" s="4" t="s">
        <v>1132</v>
      </c>
      <c r="E64" s="187">
        <f t="shared" ref="E64:E65" si="2">AVERAGEIFS($B$63:$B$222,$A$63:$A$222,D64)</f>
        <v>5.2615384615384624</v>
      </c>
      <c r="F64" s="187">
        <f t="array" ref="F64">MIN(IF($A$63:$A$222=D64,$B$63:$B$222))</f>
        <v>4</v>
      </c>
      <c r="G64" s="187">
        <f t="array" ref="G64">MAX(IF($A$63:$A$222=D64,$B$63:$B$222))</f>
        <v>6.8</v>
      </c>
      <c r="H64" s="187">
        <f t="array" ref="H64">_xlfn.MODE.SNGL(IF($A$63:$A$222=D64,$B$63:$B$222))</f>
        <v>5.4</v>
      </c>
      <c r="I64" s="187">
        <f t="array" ref="I64">_xlfn.STDEV.S(IF($A$63:$A$222=D64,$B$63:$B$222))</f>
        <v>0.83669608091889158</v>
      </c>
    </row>
    <row r="65" spans="1:9" x14ac:dyDescent="0.25">
      <c r="A65" s="117" t="s">
        <v>1132</v>
      </c>
      <c r="B65" s="49">
        <v>4.7</v>
      </c>
      <c r="D65" s="4" t="s">
        <v>1133</v>
      </c>
      <c r="E65" s="187">
        <f t="shared" si="2"/>
        <v>7.7677966101694942</v>
      </c>
      <c r="F65" s="187">
        <f t="array" ref="F65">MIN(IF($A$63:$A$222=D65,$B$63:$B$222))</f>
        <v>5.2</v>
      </c>
      <c r="G65" s="187">
        <f t="array" ref="G65">MAX(IF($A$63:$A$222=D65,$B$63:$B$222))</f>
        <v>10</v>
      </c>
      <c r="H65" s="187">
        <f t="array" ref="H65">_xlfn.MODE.SNGL(IF($A$63:$A$222=D65,$B$63:$B$222))</f>
        <v>9.5</v>
      </c>
      <c r="I65" s="187">
        <f t="array" ref="I65">_xlfn.STDEV.S(IF($A$63:$A$222=D65,$B$63:$B$222))</f>
        <v>1.4061981856159698</v>
      </c>
    </row>
    <row r="66" spans="1:9" x14ac:dyDescent="0.25">
      <c r="A66" s="118" t="s">
        <v>1133</v>
      </c>
      <c r="B66" s="50">
        <v>7.7</v>
      </c>
    </row>
    <row r="67" spans="1:9" x14ac:dyDescent="0.25">
      <c r="A67" s="117" t="s">
        <v>1133</v>
      </c>
      <c r="B67" s="49">
        <v>5.2</v>
      </c>
      <c r="D67" t="s">
        <v>1376</v>
      </c>
    </row>
    <row r="68" spans="1:9" x14ac:dyDescent="0.25">
      <c r="A68" s="118" t="s">
        <v>1133</v>
      </c>
      <c r="B68" s="50">
        <v>9.5</v>
      </c>
      <c r="D68" s="1" t="s">
        <v>1377</v>
      </c>
    </row>
    <row r="69" spans="1:9" x14ac:dyDescent="0.25">
      <c r="A69" s="117" t="s">
        <v>1132</v>
      </c>
      <c r="B69" s="49">
        <v>4.5999999999999996</v>
      </c>
      <c r="D69" s="1" t="s">
        <v>1378</v>
      </c>
    </row>
    <row r="70" spans="1:9" x14ac:dyDescent="0.25">
      <c r="A70" s="118" t="s">
        <v>1132</v>
      </c>
      <c r="B70" s="50">
        <v>4.4000000000000004</v>
      </c>
      <c r="D70" t="s">
        <v>1379</v>
      </c>
    </row>
    <row r="71" spans="1:9" x14ac:dyDescent="0.25">
      <c r="A71" s="117" t="s">
        <v>1130</v>
      </c>
      <c r="B71" s="49">
        <v>5.9</v>
      </c>
      <c r="D71" s="1" t="s">
        <v>1380</v>
      </c>
    </row>
    <row r="72" spans="1:9" x14ac:dyDescent="0.25">
      <c r="A72" s="118" t="s">
        <v>1132</v>
      </c>
      <c r="B72" s="50">
        <v>6.7</v>
      </c>
      <c r="D72" s="1" t="s">
        <v>1381</v>
      </c>
    </row>
    <row r="73" spans="1:9" x14ac:dyDescent="0.25">
      <c r="A73" s="117" t="s">
        <v>1132</v>
      </c>
      <c r="B73" s="49">
        <v>6.3</v>
      </c>
      <c r="D73" s="1" t="s">
        <v>1383</v>
      </c>
    </row>
    <row r="74" spans="1:9" x14ac:dyDescent="0.25">
      <c r="A74" s="118" t="s">
        <v>1132</v>
      </c>
      <c r="B74" s="50">
        <v>5.6</v>
      </c>
      <c r="D74" s="1" t="s">
        <v>1382</v>
      </c>
    </row>
    <row r="75" spans="1:9" x14ac:dyDescent="0.25">
      <c r="A75" s="117" t="s">
        <v>1133</v>
      </c>
      <c r="B75" s="49">
        <v>5.7</v>
      </c>
    </row>
    <row r="76" spans="1:9" x14ac:dyDescent="0.25">
      <c r="A76" s="118" t="s">
        <v>1133</v>
      </c>
      <c r="B76" s="50">
        <v>6.2</v>
      </c>
      <c r="D76" s="1" t="s">
        <v>1389</v>
      </c>
    </row>
    <row r="77" spans="1:9" x14ac:dyDescent="0.25">
      <c r="A77" s="117" t="s">
        <v>1132</v>
      </c>
      <c r="B77" s="49">
        <v>4.5</v>
      </c>
      <c r="D77" s="183" t="s">
        <v>1384</v>
      </c>
    </row>
    <row r="78" spans="1:9" x14ac:dyDescent="0.25">
      <c r="A78" s="118" t="s">
        <v>1133</v>
      </c>
      <c r="B78" s="50">
        <v>7.9</v>
      </c>
      <c r="D78" s="183" t="s">
        <v>1385</v>
      </c>
    </row>
    <row r="79" spans="1:9" x14ac:dyDescent="0.25">
      <c r="A79" s="117" t="s">
        <v>1133</v>
      </c>
      <c r="B79" s="49">
        <v>5.2</v>
      </c>
      <c r="D79" s="183" t="s">
        <v>1386</v>
      </c>
    </row>
    <row r="80" spans="1:9" x14ac:dyDescent="0.25">
      <c r="A80" s="118" t="s">
        <v>1133</v>
      </c>
      <c r="B80" s="50">
        <v>7.2</v>
      </c>
      <c r="D80" s="183" t="s">
        <v>1387</v>
      </c>
    </row>
    <row r="81" spans="1:4" x14ac:dyDescent="0.25">
      <c r="A81" s="117" t="s">
        <v>1130</v>
      </c>
      <c r="B81" s="49">
        <v>6.7</v>
      </c>
      <c r="D81" s="183" t="s">
        <v>1388</v>
      </c>
    </row>
    <row r="82" spans="1:4" x14ac:dyDescent="0.25">
      <c r="A82" s="118" t="s">
        <v>1132</v>
      </c>
      <c r="B82" s="50">
        <v>5.2</v>
      </c>
    </row>
    <row r="83" spans="1:4" x14ac:dyDescent="0.25">
      <c r="A83" s="117" t="s">
        <v>1133</v>
      </c>
      <c r="B83" s="49">
        <v>7.9</v>
      </c>
      <c r="D83" t="s">
        <v>1403</v>
      </c>
    </row>
    <row r="84" spans="1:4" x14ac:dyDescent="0.25">
      <c r="A84" s="118" t="s">
        <v>1133</v>
      </c>
      <c r="B84" s="50">
        <v>6</v>
      </c>
      <c r="D84" s="193" t="s">
        <v>1404</v>
      </c>
    </row>
    <row r="85" spans="1:4" x14ac:dyDescent="0.25">
      <c r="A85" s="117" t="s">
        <v>1130</v>
      </c>
      <c r="B85" s="49">
        <v>4.2</v>
      </c>
      <c r="D85" s="193" t="s">
        <v>1405</v>
      </c>
    </row>
    <row r="86" spans="1:4" x14ac:dyDescent="0.25">
      <c r="A86" s="118" t="s">
        <v>1133</v>
      </c>
      <c r="B86" s="50">
        <v>7.9</v>
      </c>
      <c r="D86" s="193" t="s">
        <v>1408</v>
      </c>
    </row>
    <row r="87" spans="1:4" x14ac:dyDescent="0.25">
      <c r="A87" s="117" t="s">
        <v>1130</v>
      </c>
      <c r="B87" s="49">
        <v>6.3</v>
      </c>
      <c r="D87" s="193" t="s">
        <v>1406</v>
      </c>
    </row>
    <row r="88" spans="1:4" x14ac:dyDescent="0.25">
      <c r="A88" s="118" t="s">
        <v>1133</v>
      </c>
      <c r="B88" s="50">
        <v>9.4</v>
      </c>
      <c r="D88" s="193" t="s">
        <v>1409</v>
      </c>
    </row>
    <row r="89" spans="1:4" x14ac:dyDescent="0.25">
      <c r="A89" s="117" t="s">
        <v>1133</v>
      </c>
      <c r="B89" s="49">
        <v>7.4</v>
      </c>
      <c r="D89" s="193" t="s">
        <v>1410</v>
      </c>
    </row>
    <row r="90" spans="1:4" x14ac:dyDescent="0.25">
      <c r="A90" s="118" t="s">
        <v>1130</v>
      </c>
      <c r="B90" s="50">
        <v>6.4</v>
      </c>
      <c r="D90" s="193" t="s">
        <v>1407</v>
      </c>
    </row>
    <row r="91" spans="1:4" x14ac:dyDescent="0.25">
      <c r="A91" s="117" t="s">
        <v>1133</v>
      </c>
      <c r="B91" s="49">
        <v>9</v>
      </c>
      <c r="D91" s="193" t="s">
        <v>1411</v>
      </c>
    </row>
    <row r="92" spans="1:4" x14ac:dyDescent="0.25">
      <c r="A92" s="118" t="s">
        <v>1133</v>
      </c>
      <c r="B92" s="50">
        <v>5.9</v>
      </c>
      <c r="D92" s="194"/>
    </row>
    <row r="93" spans="1:4" x14ac:dyDescent="0.25">
      <c r="A93" s="117" t="s">
        <v>1130</v>
      </c>
      <c r="B93" s="49">
        <v>6.9</v>
      </c>
      <c r="D93" s="199" t="s">
        <v>1435</v>
      </c>
    </row>
    <row r="94" spans="1:4" x14ac:dyDescent="0.25">
      <c r="A94" s="118" t="s">
        <v>1132</v>
      </c>
      <c r="B94" s="50">
        <v>5.7</v>
      </c>
      <c r="D94" s="203" t="s">
        <v>1436</v>
      </c>
    </row>
    <row r="95" spans="1:4" x14ac:dyDescent="0.25">
      <c r="A95" s="117" t="s">
        <v>1133</v>
      </c>
      <c r="B95" s="49">
        <v>7.1</v>
      </c>
      <c r="D95" s="200" t="s">
        <v>1437</v>
      </c>
    </row>
    <row r="96" spans="1:4" x14ac:dyDescent="0.25">
      <c r="A96" s="118" t="s">
        <v>1130</v>
      </c>
      <c r="B96" s="50">
        <v>4.4000000000000004</v>
      </c>
    </row>
    <row r="97" spans="1:4" x14ac:dyDescent="0.25">
      <c r="A97" s="117" t="s">
        <v>1133</v>
      </c>
      <c r="B97" s="49">
        <v>8.9</v>
      </c>
      <c r="D97" t="s">
        <v>1449</v>
      </c>
    </row>
    <row r="98" spans="1:4" x14ac:dyDescent="0.25">
      <c r="A98" s="118" t="s">
        <v>1130</v>
      </c>
      <c r="B98" s="50">
        <v>6.6</v>
      </c>
      <c r="D98" s="10" t="s">
        <v>1450</v>
      </c>
    </row>
    <row r="99" spans="1:4" x14ac:dyDescent="0.25">
      <c r="A99" s="117" t="s">
        <v>1133</v>
      </c>
      <c r="B99" s="49">
        <v>9.1</v>
      </c>
      <c r="D99" s="10" t="s">
        <v>1450</v>
      </c>
    </row>
    <row r="100" spans="1:4" x14ac:dyDescent="0.25">
      <c r="A100" s="118" t="s">
        <v>1133</v>
      </c>
      <c r="B100" s="50">
        <v>7.2</v>
      </c>
    </row>
    <row r="101" spans="1:4" x14ac:dyDescent="0.25">
      <c r="A101" s="117" t="s">
        <v>1133</v>
      </c>
      <c r="B101" s="49">
        <v>9.8000000000000007</v>
      </c>
    </row>
    <row r="102" spans="1:4" x14ac:dyDescent="0.25">
      <c r="A102" s="118" t="s">
        <v>1132</v>
      </c>
      <c r="B102" s="50">
        <v>4.7</v>
      </c>
    </row>
    <row r="103" spans="1:4" x14ac:dyDescent="0.25">
      <c r="A103" s="117" t="s">
        <v>1130</v>
      </c>
      <c r="B103" s="49">
        <v>6.2</v>
      </c>
    </row>
    <row r="104" spans="1:4" x14ac:dyDescent="0.25">
      <c r="A104" s="118" t="s">
        <v>1133</v>
      </c>
      <c r="B104" s="50">
        <v>8.3000000000000007</v>
      </c>
    </row>
    <row r="105" spans="1:4" x14ac:dyDescent="0.25">
      <c r="A105" s="117" t="s">
        <v>1133</v>
      </c>
      <c r="B105" s="49">
        <v>9.9</v>
      </c>
    </row>
    <row r="106" spans="1:4" x14ac:dyDescent="0.25">
      <c r="A106" s="118" t="s">
        <v>1133</v>
      </c>
      <c r="B106" s="50">
        <v>5.7</v>
      </c>
    </row>
    <row r="107" spans="1:4" x14ac:dyDescent="0.25">
      <c r="A107" s="117" t="s">
        <v>1132</v>
      </c>
      <c r="B107" s="49">
        <v>6</v>
      </c>
    </row>
    <row r="108" spans="1:4" x14ac:dyDescent="0.25">
      <c r="A108" s="118" t="s">
        <v>1132</v>
      </c>
      <c r="B108" s="50">
        <v>6.8</v>
      </c>
    </row>
    <row r="109" spans="1:4" x14ac:dyDescent="0.25">
      <c r="A109" s="117" t="s">
        <v>1132</v>
      </c>
      <c r="B109" s="49">
        <v>6.2</v>
      </c>
    </row>
    <row r="110" spans="1:4" x14ac:dyDescent="0.25">
      <c r="A110" s="118" t="s">
        <v>1132</v>
      </c>
      <c r="B110" s="50">
        <v>4.3</v>
      </c>
    </row>
    <row r="111" spans="1:4" x14ac:dyDescent="0.25">
      <c r="A111" s="117" t="s">
        <v>1130</v>
      </c>
      <c r="B111" s="49">
        <v>4.4000000000000004</v>
      </c>
    </row>
    <row r="112" spans="1:4" x14ac:dyDescent="0.25">
      <c r="A112" s="118" t="s">
        <v>1132</v>
      </c>
      <c r="B112" s="50">
        <v>4.8</v>
      </c>
    </row>
    <row r="113" spans="1:2" x14ac:dyDescent="0.25">
      <c r="A113" s="117" t="s">
        <v>1133</v>
      </c>
      <c r="B113" s="49">
        <v>8.9</v>
      </c>
    </row>
    <row r="114" spans="1:2" x14ac:dyDescent="0.25">
      <c r="A114" s="118" t="s">
        <v>1130</v>
      </c>
      <c r="B114" s="50">
        <v>5.2</v>
      </c>
    </row>
    <row r="115" spans="1:2" x14ac:dyDescent="0.25">
      <c r="A115" s="117" t="s">
        <v>1130</v>
      </c>
      <c r="B115" s="49">
        <v>5.7</v>
      </c>
    </row>
    <row r="116" spans="1:2" x14ac:dyDescent="0.25">
      <c r="A116" s="118" t="s">
        <v>1133</v>
      </c>
      <c r="B116" s="50">
        <v>9.5</v>
      </c>
    </row>
    <row r="117" spans="1:2" x14ac:dyDescent="0.25">
      <c r="A117" s="117" t="s">
        <v>1130</v>
      </c>
      <c r="B117" s="49">
        <v>6.1</v>
      </c>
    </row>
    <row r="118" spans="1:2" x14ac:dyDescent="0.25">
      <c r="A118" s="118" t="s">
        <v>1130</v>
      </c>
      <c r="B118" s="50">
        <v>6.7</v>
      </c>
    </row>
    <row r="119" spans="1:2" x14ac:dyDescent="0.25">
      <c r="A119" s="117" t="s">
        <v>1132</v>
      </c>
      <c r="B119" s="49">
        <v>5</v>
      </c>
    </row>
    <row r="120" spans="1:2" x14ac:dyDescent="0.25">
      <c r="A120" s="118" t="s">
        <v>1130</v>
      </c>
      <c r="B120" s="50">
        <v>6.7</v>
      </c>
    </row>
    <row r="121" spans="1:2" x14ac:dyDescent="0.25">
      <c r="A121" s="117" t="s">
        <v>1133</v>
      </c>
      <c r="B121" s="49">
        <v>7.5</v>
      </c>
    </row>
    <row r="122" spans="1:2" x14ac:dyDescent="0.25">
      <c r="A122" s="118" t="s">
        <v>1130</v>
      </c>
      <c r="B122" s="50">
        <v>6.1</v>
      </c>
    </row>
    <row r="123" spans="1:2" x14ac:dyDescent="0.25">
      <c r="A123" s="117" t="s">
        <v>1132</v>
      </c>
      <c r="B123" s="49">
        <v>4.2</v>
      </c>
    </row>
    <row r="124" spans="1:2" x14ac:dyDescent="0.25">
      <c r="A124" s="118" t="s">
        <v>1133</v>
      </c>
      <c r="B124" s="50">
        <v>9.4</v>
      </c>
    </row>
    <row r="125" spans="1:2" x14ac:dyDescent="0.25">
      <c r="A125" s="117" t="s">
        <v>1132</v>
      </c>
      <c r="B125" s="49">
        <v>6.1</v>
      </c>
    </row>
    <row r="126" spans="1:2" x14ac:dyDescent="0.25">
      <c r="A126" s="118" t="s">
        <v>1130</v>
      </c>
      <c r="B126" s="50">
        <v>4.2</v>
      </c>
    </row>
    <row r="127" spans="1:2" x14ac:dyDescent="0.25">
      <c r="A127" s="117" t="s">
        <v>1132</v>
      </c>
      <c r="B127" s="49">
        <v>4.3</v>
      </c>
    </row>
    <row r="128" spans="1:2" x14ac:dyDescent="0.25">
      <c r="A128" s="118" t="s">
        <v>1130</v>
      </c>
      <c r="B128" s="50">
        <v>7</v>
      </c>
    </row>
    <row r="129" spans="1:2" x14ac:dyDescent="0.25">
      <c r="A129" s="117" t="s">
        <v>1130</v>
      </c>
      <c r="B129" s="49">
        <v>6.1</v>
      </c>
    </row>
    <row r="130" spans="1:2" x14ac:dyDescent="0.25">
      <c r="A130" s="118" t="s">
        <v>1132</v>
      </c>
      <c r="B130" s="50">
        <v>6.7</v>
      </c>
    </row>
    <row r="131" spans="1:2" x14ac:dyDescent="0.25">
      <c r="A131" s="117" t="s">
        <v>1130</v>
      </c>
      <c r="B131" s="49">
        <v>6.3</v>
      </c>
    </row>
    <row r="132" spans="1:2" x14ac:dyDescent="0.25">
      <c r="A132" s="118" t="s">
        <v>1132</v>
      </c>
      <c r="B132" s="50">
        <v>4.5999999999999996</v>
      </c>
    </row>
    <row r="133" spans="1:2" x14ac:dyDescent="0.25">
      <c r="A133" s="117" t="s">
        <v>1133</v>
      </c>
      <c r="B133" s="49">
        <v>7.3</v>
      </c>
    </row>
    <row r="134" spans="1:2" x14ac:dyDescent="0.25">
      <c r="A134" s="118" t="s">
        <v>1133</v>
      </c>
      <c r="B134" s="50">
        <v>9</v>
      </c>
    </row>
    <row r="135" spans="1:2" x14ac:dyDescent="0.25">
      <c r="A135" s="117" t="s">
        <v>1132</v>
      </c>
      <c r="B135" s="49">
        <v>5.8</v>
      </c>
    </row>
    <row r="136" spans="1:2" x14ac:dyDescent="0.25">
      <c r="A136" s="118" t="s">
        <v>1133</v>
      </c>
      <c r="B136" s="50">
        <v>7.4</v>
      </c>
    </row>
    <row r="137" spans="1:2" x14ac:dyDescent="0.25">
      <c r="A137" s="117" t="s">
        <v>1130</v>
      </c>
      <c r="B137" s="49">
        <v>5.7</v>
      </c>
    </row>
    <row r="138" spans="1:2" x14ac:dyDescent="0.25">
      <c r="A138" s="118" t="s">
        <v>1130</v>
      </c>
      <c r="B138" s="50">
        <v>5.7</v>
      </c>
    </row>
    <row r="139" spans="1:2" x14ac:dyDescent="0.25">
      <c r="A139" s="117" t="s">
        <v>1133</v>
      </c>
      <c r="B139" s="49">
        <v>5.9</v>
      </c>
    </row>
    <row r="140" spans="1:2" x14ac:dyDescent="0.25">
      <c r="A140" s="118" t="s">
        <v>1133</v>
      </c>
      <c r="B140" s="50">
        <v>7.8</v>
      </c>
    </row>
    <row r="141" spans="1:2" x14ac:dyDescent="0.25">
      <c r="A141" s="117" t="s">
        <v>1133</v>
      </c>
      <c r="B141" s="49">
        <v>9.5</v>
      </c>
    </row>
    <row r="142" spans="1:2" x14ac:dyDescent="0.25">
      <c r="A142" s="118" t="s">
        <v>1133</v>
      </c>
      <c r="B142" s="50">
        <v>9.5</v>
      </c>
    </row>
    <row r="143" spans="1:2" x14ac:dyDescent="0.25">
      <c r="A143" s="117" t="s">
        <v>1132</v>
      </c>
      <c r="B143" s="49">
        <v>4.2</v>
      </c>
    </row>
    <row r="144" spans="1:2" x14ac:dyDescent="0.25">
      <c r="A144" s="118" t="s">
        <v>1132</v>
      </c>
      <c r="B144" s="50">
        <v>4.5999999999999996</v>
      </c>
    </row>
    <row r="145" spans="1:2" x14ac:dyDescent="0.25">
      <c r="A145" s="117" t="s">
        <v>1132</v>
      </c>
      <c r="B145" s="49">
        <v>4</v>
      </c>
    </row>
    <row r="146" spans="1:2" x14ac:dyDescent="0.25">
      <c r="A146" s="118" t="s">
        <v>1130</v>
      </c>
      <c r="B146" s="50">
        <v>6</v>
      </c>
    </row>
    <row r="147" spans="1:2" x14ac:dyDescent="0.25">
      <c r="A147" s="117" t="s">
        <v>1132</v>
      </c>
      <c r="B147" s="49">
        <v>4.5</v>
      </c>
    </row>
    <row r="148" spans="1:2" x14ac:dyDescent="0.25">
      <c r="A148" s="118" t="s">
        <v>1133</v>
      </c>
      <c r="B148" s="50">
        <v>6.7</v>
      </c>
    </row>
    <row r="149" spans="1:2" x14ac:dyDescent="0.25">
      <c r="A149" s="117" t="s">
        <v>1133</v>
      </c>
      <c r="B149" s="49">
        <v>7.6</v>
      </c>
    </row>
    <row r="150" spans="1:2" x14ac:dyDescent="0.25">
      <c r="A150" s="118" t="s">
        <v>1130</v>
      </c>
      <c r="B150" s="50">
        <v>6.8</v>
      </c>
    </row>
    <row r="151" spans="1:2" x14ac:dyDescent="0.25">
      <c r="A151" s="117" t="s">
        <v>1133</v>
      </c>
      <c r="B151" s="49">
        <v>10</v>
      </c>
    </row>
    <row r="152" spans="1:2" x14ac:dyDescent="0.25">
      <c r="A152" s="118" t="s">
        <v>1132</v>
      </c>
      <c r="B152" s="50">
        <v>4.8</v>
      </c>
    </row>
    <row r="153" spans="1:2" x14ac:dyDescent="0.25">
      <c r="A153" s="117" t="s">
        <v>1133</v>
      </c>
      <c r="B153" s="49">
        <v>6.1</v>
      </c>
    </row>
    <row r="154" spans="1:2" x14ac:dyDescent="0.25">
      <c r="A154" s="118" t="s">
        <v>1133</v>
      </c>
      <c r="B154" s="50">
        <v>7.6</v>
      </c>
    </row>
    <row r="155" spans="1:2" x14ac:dyDescent="0.25">
      <c r="A155" s="117" t="s">
        <v>1133</v>
      </c>
      <c r="B155" s="49">
        <v>8.1999999999999993</v>
      </c>
    </row>
    <row r="156" spans="1:2" x14ac:dyDescent="0.25">
      <c r="A156" s="118" t="s">
        <v>1132</v>
      </c>
      <c r="B156" s="50">
        <v>5.4</v>
      </c>
    </row>
    <row r="157" spans="1:2" x14ac:dyDescent="0.25">
      <c r="A157" s="117" t="s">
        <v>1130</v>
      </c>
      <c r="B157" s="49">
        <v>6.9</v>
      </c>
    </row>
    <row r="158" spans="1:2" x14ac:dyDescent="0.25">
      <c r="A158" s="118" t="s">
        <v>1130</v>
      </c>
      <c r="B158" s="50">
        <v>6.3</v>
      </c>
    </row>
    <row r="159" spans="1:2" x14ac:dyDescent="0.25">
      <c r="A159" s="117" t="s">
        <v>1132</v>
      </c>
      <c r="B159" s="49">
        <v>6.1</v>
      </c>
    </row>
    <row r="160" spans="1:2" x14ac:dyDescent="0.25">
      <c r="A160" s="118" t="s">
        <v>1132</v>
      </c>
      <c r="B160" s="50">
        <v>6.8</v>
      </c>
    </row>
    <row r="161" spans="1:2" x14ac:dyDescent="0.25">
      <c r="A161" s="117" t="s">
        <v>1132</v>
      </c>
      <c r="B161" s="49">
        <v>4.0999999999999996</v>
      </c>
    </row>
    <row r="162" spans="1:2" x14ac:dyDescent="0.25">
      <c r="A162" s="118" t="s">
        <v>1133</v>
      </c>
      <c r="B162" s="50">
        <v>5.9</v>
      </c>
    </row>
    <row r="163" spans="1:2" x14ac:dyDescent="0.25">
      <c r="A163" s="117" t="s">
        <v>1132</v>
      </c>
      <c r="B163" s="49">
        <v>4.7</v>
      </c>
    </row>
    <row r="164" spans="1:2" x14ac:dyDescent="0.25">
      <c r="A164" s="118" t="s">
        <v>1132</v>
      </c>
      <c r="B164" s="50">
        <v>5.4</v>
      </c>
    </row>
    <row r="165" spans="1:2" x14ac:dyDescent="0.25">
      <c r="A165" s="117" t="s">
        <v>1133</v>
      </c>
      <c r="B165" s="49">
        <v>7</v>
      </c>
    </row>
    <row r="166" spans="1:2" x14ac:dyDescent="0.25">
      <c r="A166" s="118" t="s">
        <v>1132</v>
      </c>
      <c r="B166" s="50">
        <v>5.0999999999999996</v>
      </c>
    </row>
    <row r="167" spans="1:2" x14ac:dyDescent="0.25">
      <c r="A167" s="117" t="s">
        <v>1132</v>
      </c>
      <c r="B167" s="49">
        <v>5.0999999999999996</v>
      </c>
    </row>
    <row r="168" spans="1:2" x14ac:dyDescent="0.25">
      <c r="A168" s="118" t="s">
        <v>1132</v>
      </c>
      <c r="B168" s="50">
        <v>5.8</v>
      </c>
    </row>
    <row r="169" spans="1:2" x14ac:dyDescent="0.25">
      <c r="A169" s="117" t="s">
        <v>1132</v>
      </c>
      <c r="B169" s="49">
        <v>5.7</v>
      </c>
    </row>
    <row r="170" spans="1:2" x14ac:dyDescent="0.25">
      <c r="A170" s="118" t="s">
        <v>1133</v>
      </c>
      <c r="B170" s="50">
        <v>5.8</v>
      </c>
    </row>
    <row r="171" spans="1:2" x14ac:dyDescent="0.25">
      <c r="A171" s="117" t="s">
        <v>1130</v>
      </c>
      <c r="B171" s="49">
        <v>5.6</v>
      </c>
    </row>
    <row r="172" spans="1:2" x14ac:dyDescent="0.25">
      <c r="A172" s="118" t="s">
        <v>1130</v>
      </c>
      <c r="B172" s="50">
        <v>4.8</v>
      </c>
    </row>
    <row r="173" spans="1:2" x14ac:dyDescent="0.25">
      <c r="A173" s="117" t="s">
        <v>1133</v>
      </c>
      <c r="B173" s="49">
        <v>5.4</v>
      </c>
    </row>
    <row r="174" spans="1:2" x14ac:dyDescent="0.25">
      <c r="A174" s="118" t="s">
        <v>1130</v>
      </c>
      <c r="B174" s="50">
        <v>5.7</v>
      </c>
    </row>
    <row r="175" spans="1:2" x14ac:dyDescent="0.25">
      <c r="A175" s="117" t="s">
        <v>1130</v>
      </c>
      <c r="B175" s="49">
        <v>5.2</v>
      </c>
    </row>
    <row r="176" spans="1:2" x14ac:dyDescent="0.25">
      <c r="A176" s="118" t="s">
        <v>1130</v>
      </c>
      <c r="B176" s="50">
        <v>6.5</v>
      </c>
    </row>
    <row r="177" spans="1:2" x14ac:dyDescent="0.25">
      <c r="A177" s="117" t="s">
        <v>1132</v>
      </c>
      <c r="B177" s="49">
        <v>4.9000000000000004</v>
      </c>
    </row>
    <row r="178" spans="1:2" x14ac:dyDescent="0.25">
      <c r="A178" s="118" t="s">
        <v>1133</v>
      </c>
      <c r="B178" s="50">
        <v>8.6999999999999993</v>
      </c>
    </row>
    <row r="179" spans="1:2" x14ac:dyDescent="0.25">
      <c r="A179" s="117" t="s">
        <v>1133</v>
      </c>
      <c r="B179" s="49">
        <v>9.6999999999999993</v>
      </c>
    </row>
    <row r="180" spans="1:2" x14ac:dyDescent="0.25">
      <c r="A180" s="118" t="s">
        <v>1130</v>
      </c>
      <c r="B180" s="50">
        <v>5.5</v>
      </c>
    </row>
    <row r="181" spans="1:2" x14ac:dyDescent="0.25">
      <c r="A181" s="117" t="s">
        <v>1133</v>
      </c>
      <c r="B181" s="49">
        <v>6.2</v>
      </c>
    </row>
    <row r="182" spans="1:2" x14ac:dyDescent="0.25">
      <c r="A182" s="118" t="s">
        <v>1130</v>
      </c>
      <c r="B182" s="50">
        <v>4.2</v>
      </c>
    </row>
    <row r="183" spans="1:2" x14ac:dyDescent="0.25">
      <c r="A183" s="117" t="s">
        <v>1133</v>
      </c>
      <c r="B183" s="49">
        <v>8</v>
      </c>
    </row>
    <row r="184" spans="1:2" x14ac:dyDescent="0.25">
      <c r="A184" s="118" t="s">
        <v>1132</v>
      </c>
      <c r="B184" s="50">
        <v>5.7</v>
      </c>
    </row>
    <row r="185" spans="1:2" x14ac:dyDescent="0.25">
      <c r="A185" s="117" t="s">
        <v>1132</v>
      </c>
      <c r="B185" s="49">
        <v>5</v>
      </c>
    </row>
    <row r="186" spans="1:2" x14ac:dyDescent="0.25">
      <c r="A186" s="118" t="s">
        <v>1133</v>
      </c>
      <c r="B186" s="50">
        <v>8.6</v>
      </c>
    </row>
    <row r="187" spans="1:2" x14ac:dyDescent="0.25">
      <c r="A187" s="117" t="s">
        <v>1133</v>
      </c>
      <c r="B187" s="49">
        <v>9.3000000000000007</v>
      </c>
    </row>
    <row r="188" spans="1:2" x14ac:dyDescent="0.25">
      <c r="A188" s="118" t="s">
        <v>1130</v>
      </c>
      <c r="B188" s="50">
        <v>4.5999999999999996</v>
      </c>
    </row>
    <row r="189" spans="1:2" x14ac:dyDescent="0.25">
      <c r="A189" s="117" t="s">
        <v>1132</v>
      </c>
      <c r="B189" s="49">
        <v>5.0999999999999996</v>
      </c>
    </row>
    <row r="190" spans="1:2" x14ac:dyDescent="0.25">
      <c r="A190" s="118" t="s">
        <v>1130</v>
      </c>
      <c r="B190" s="50">
        <v>5</v>
      </c>
    </row>
    <row r="191" spans="1:2" x14ac:dyDescent="0.25">
      <c r="A191" s="117" t="s">
        <v>1132</v>
      </c>
      <c r="B191" s="49">
        <v>5.4</v>
      </c>
    </row>
    <row r="192" spans="1:2" x14ac:dyDescent="0.25">
      <c r="A192" s="118" t="s">
        <v>1130</v>
      </c>
      <c r="B192" s="50">
        <v>6.5</v>
      </c>
    </row>
    <row r="193" spans="1:2" x14ac:dyDescent="0.25">
      <c r="A193" s="117" t="s">
        <v>1130</v>
      </c>
      <c r="B193" s="49">
        <v>4.3</v>
      </c>
    </row>
    <row r="194" spans="1:2" x14ac:dyDescent="0.25">
      <c r="A194" s="118" t="s">
        <v>1133</v>
      </c>
      <c r="B194" s="50">
        <v>8.5</v>
      </c>
    </row>
    <row r="195" spans="1:2" x14ac:dyDescent="0.25">
      <c r="A195" s="117" t="s">
        <v>1130</v>
      </c>
      <c r="B195" s="49">
        <v>5</v>
      </c>
    </row>
    <row r="196" spans="1:2" x14ac:dyDescent="0.25">
      <c r="A196" s="118" t="s">
        <v>1133</v>
      </c>
      <c r="B196" s="50">
        <v>5.8</v>
      </c>
    </row>
    <row r="197" spans="1:2" x14ac:dyDescent="0.25">
      <c r="A197" s="117" t="s">
        <v>1132</v>
      </c>
      <c r="B197" s="49">
        <v>4.8</v>
      </c>
    </row>
    <row r="198" spans="1:2" x14ac:dyDescent="0.25">
      <c r="A198" s="118" t="s">
        <v>1132</v>
      </c>
      <c r="B198" s="50">
        <v>4.2</v>
      </c>
    </row>
    <row r="199" spans="1:2" x14ac:dyDescent="0.25">
      <c r="A199" s="117" t="s">
        <v>1132</v>
      </c>
      <c r="B199" s="49">
        <v>5.6</v>
      </c>
    </row>
    <row r="200" spans="1:2" x14ac:dyDescent="0.25">
      <c r="A200" s="118" t="s">
        <v>1130</v>
      </c>
      <c r="B200" s="50">
        <v>6.6</v>
      </c>
    </row>
    <row r="201" spans="1:2" x14ac:dyDescent="0.25">
      <c r="A201" s="117" t="s">
        <v>1130</v>
      </c>
      <c r="B201" s="49">
        <v>6.6</v>
      </c>
    </row>
    <row r="202" spans="1:2" x14ac:dyDescent="0.25">
      <c r="A202" s="118" t="s">
        <v>1133</v>
      </c>
      <c r="B202" s="50">
        <v>9.3000000000000007</v>
      </c>
    </row>
    <row r="203" spans="1:2" x14ac:dyDescent="0.25">
      <c r="A203" s="117" t="s">
        <v>1132</v>
      </c>
      <c r="B203" s="49">
        <v>6.8</v>
      </c>
    </row>
    <row r="204" spans="1:2" x14ac:dyDescent="0.25">
      <c r="A204" s="118" t="s">
        <v>1133</v>
      </c>
      <c r="B204" s="50">
        <v>7.6</v>
      </c>
    </row>
    <row r="205" spans="1:2" x14ac:dyDescent="0.25">
      <c r="A205" s="117" t="s">
        <v>1130</v>
      </c>
      <c r="B205" s="49">
        <v>6.4</v>
      </c>
    </row>
    <row r="206" spans="1:2" x14ac:dyDescent="0.25">
      <c r="A206" s="118" t="s">
        <v>1130</v>
      </c>
      <c r="B206" s="50">
        <v>5.4</v>
      </c>
    </row>
    <row r="207" spans="1:2" x14ac:dyDescent="0.25">
      <c r="A207" s="117" t="s">
        <v>1130</v>
      </c>
      <c r="B207" s="49">
        <v>6.5</v>
      </c>
    </row>
    <row r="208" spans="1:2" x14ac:dyDescent="0.25">
      <c r="A208" s="118" t="s">
        <v>1133</v>
      </c>
      <c r="B208" s="50">
        <v>8.1</v>
      </c>
    </row>
    <row r="209" spans="1:2" x14ac:dyDescent="0.25">
      <c r="A209" s="117" t="s">
        <v>1133</v>
      </c>
      <c r="B209" s="49">
        <v>6.7</v>
      </c>
    </row>
    <row r="210" spans="1:2" x14ac:dyDescent="0.25">
      <c r="A210" s="118" t="s">
        <v>1133</v>
      </c>
      <c r="B210" s="50">
        <v>7.5</v>
      </c>
    </row>
    <row r="211" spans="1:2" x14ac:dyDescent="0.25">
      <c r="A211" s="117" t="s">
        <v>1130</v>
      </c>
      <c r="B211" s="49">
        <v>7</v>
      </c>
    </row>
    <row r="212" spans="1:2" x14ac:dyDescent="0.25">
      <c r="A212" s="118" t="s">
        <v>1133</v>
      </c>
      <c r="B212" s="50">
        <v>9.6</v>
      </c>
    </row>
    <row r="213" spans="1:2" x14ac:dyDescent="0.25">
      <c r="A213" s="117" t="s">
        <v>1132</v>
      </c>
      <c r="B213" s="49">
        <v>6.8</v>
      </c>
    </row>
    <row r="214" spans="1:2" x14ac:dyDescent="0.25">
      <c r="A214" s="118" t="s">
        <v>1132</v>
      </c>
      <c r="B214" s="50">
        <v>4.2</v>
      </c>
    </row>
    <row r="215" spans="1:2" x14ac:dyDescent="0.25">
      <c r="A215" s="117" t="s">
        <v>1132</v>
      </c>
      <c r="B215" s="49">
        <v>4.4000000000000004</v>
      </c>
    </row>
    <row r="216" spans="1:2" x14ac:dyDescent="0.25">
      <c r="A216" s="118" t="s">
        <v>1133</v>
      </c>
      <c r="B216" s="50">
        <v>8.6</v>
      </c>
    </row>
    <row r="217" spans="1:2" x14ac:dyDescent="0.25">
      <c r="A217" s="117" t="s">
        <v>1132</v>
      </c>
      <c r="B217" s="49">
        <v>5.3</v>
      </c>
    </row>
    <row r="218" spans="1:2" x14ac:dyDescent="0.25">
      <c r="A218" s="118" t="s">
        <v>1132</v>
      </c>
      <c r="B218" s="50">
        <v>6.5</v>
      </c>
    </row>
    <row r="219" spans="1:2" x14ac:dyDescent="0.25">
      <c r="A219" s="117" t="s">
        <v>1130</v>
      </c>
      <c r="B219" s="49">
        <v>6.6</v>
      </c>
    </row>
    <row r="220" spans="1:2" x14ac:dyDescent="0.25">
      <c r="A220" s="118" t="s">
        <v>1130</v>
      </c>
      <c r="B220" s="50">
        <v>6.8</v>
      </c>
    </row>
    <row r="221" spans="1:2" x14ac:dyDescent="0.25">
      <c r="A221" s="117" t="s">
        <v>1130</v>
      </c>
      <c r="B221" s="49">
        <v>6.6</v>
      </c>
    </row>
    <row r="222" spans="1:2" x14ac:dyDescent="0.25">
      <c r="A222" s="118" t="s">
        <v>1130</v>
      </c>
      <c r="B222" s="50">
        <v>4.9000000000000004</v>
      </c>
    </row>
  </sheetData>
  <hyperlinks>
    <hyperlink ref="D94" r:id="rId1"/>
    <hyperlink ref="D98" r:id="rId2"/>
    <hyperlink ref="D99" r:id="rId3"/>
  </hyperlinks>
  <pageMargins left="0.7" right="0.7" top="0.75" bottom="0.75" header="0.3" footer="0.3"/>
  <pageSetup orientation="portrait" r:id="rId4"/>
  <drawing r:id="rId5"/>
  <legacyDrawing r:id="rId6"/>
  <oleObjects>
    <mc:AlternateContent xmlns:mc="http://schemas.openxmlformats.org/markup-compatibility/2006">
      <mc:Choice Requires="x14">
        <oleObject progId="Word.Document.12" shapeId="81921" r:id="rId7">
          <objectPr defaultSize="0" r:id="rId8">
            <anchor moveWithCells="1">
              <from>
                <xdr:col>3</xdr:col>
                <xdr:colOff>0</xdr:colOff>
                <xdr:row>100</xdr:row>
                <xdr:rowOff>0</xdr:rowOff>
              </from>
              <to>
                <xdr:col>11</xdr:col>
                <xdr:colOff>57150</xdr:colOff>
                <xdr:row>138</xdr:row>
                <xdr:rowOff>142875</xdr:rowOff>
              </to>
            </anchor>
          </objectPr>
        </oleObject>
      </mc:Choice>
      <mc:Fallback>
        <oleObject progId="Word.Document.12" shapeId="81921" r:id="rId7"/>
      </mc:Fallback>
    </mc:AlternateContent>
    <mc:AlternateContent xmlns:mc="http://schemas.openxmlformats.org/markup-compatibility/2006">
      <mc:Choice Requires="x14">
        <oleObject progId="Word.Document.12" shapeId="81922" r:id="rId9">
          <objectPr defaultSize="0" r:id="rId10">
            <anchor moveWithCells="1">
              <from>
                <xdr:col>3</xdr:col>
                <xdr:colOff>0</xdr:colOff>
                <xdr:row>139</xdr:row>
                <xdr:rowOff>0</xdr:rowOff>
              </from>
              <to>
                <xdr:col>11</xdr:col>
                <xdr:colOff>57150</xdr:colOff>
                <xdr:row>170</xdr:row>
                <xdr:rowOff>85725</xdr:rowOff>
              </to>
            </anchor>
          </objectPr>
        </oleObject>
      </mc:Choice>
      <mc:Fallback>
        <oleObject progId="Word.Document.12" shapeId="81922" r:id="rId9"/>
      </mc:Fallback>
    </mc:AlternateContent>
  </oleObjec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I32"/>
  <sheetViews>
    <sheetView zoomScale="130" zoomScaleNormal="130" workbookViewId="0">
      <selection activeCell="E2" sqref="E2"/>
    </sheetView>
  </sheetViews>
  <sheetFormatPr defaultRowHeight="15" x14ac:dyDescent="0.25"/>
  <cols>
    <col min="1" max="1" width="13.28515625" customWidth="1"/>
    <col min="2" max="2" width="2.28515625" customWidth="1"/>
    <col min="3" max="3" width="23" customWidth="1"/>
    <col min="4" max="8" width="11.140625" customWidth="1"/>
    <col min="10" max="10" width="18.140625" bestFit="1" customWidth="1"/>
    <col min="11" max="11" width="12.42578125" customWidth="1"/>
    <col min="12" max="12" width="13.140625" bestFit="1" customWidth="1"/>
  </cols>
  <sheetData>
    <row r="1" spans="1:5" x14ac:dyDescent="0.25">
      <c r="A1" s="119" t="s">
        <v>93</v>
      </c>
      <c r="C1" s="5" t="s">
        <v>1134</v>
      </c>
      <c r="D1" s="5" t="s">
        <v>23</v>
      </c>
      <c r="E1" s="5" t="s">
        <v>1135</v>
      </c>
    </row>
    <row r="2" spans="1:5" x14ac:dyDescent="0.25">
      <c r="A2" s="120">
        <v>249.99</v>
      </c>
      <c r="C2" s="4" t="str">
        <f>"Sales &lt;= "&amp;DOLLAR(D2,0)</f>
        <v>Sales &lt;= $250</v>
      </c>
      <c r="D2" s="4">
        <v>250</v>
      </c>
      <c r="E2" s="22"/>
    </row>
    <row r="3" spans="1:5" x14ac:dyDescent="0.25">
      <c r="A3" s="120">
        <v>250</v>
      </c>
      <c r="C3" s="4" t="str">
        <f t="shared" ref="C3:C5" si="0">DOLLAR(D2,0)&amp;" &lt; Sales &lt;= "&amp;DOLLAR(D3,0)</f>
        <v>$250 &lt; Sales &lt;= $500</v>
      </c>
      <c r="D3" s="4">
        <v>500</v>
      </c>
      <c r="E3" s="22"/>
    </row>
    <row r="4" spans="1:5" x14ac:dyDescent="0.25">
      <c r="A4" s="120">
        <v>250.01</v>
      </c>
      <c r="C4" s="4" t="str">
        <f t="shared" si="0"/>
        <v>$500 &lt; Sales &lt;= $750</v>
      </c>
      <c r="D4" s="4">
        <v>750</v>
      </c>
      <c r="E4" s="22"/>
    </row>
    <row r="5" spans="1:5" x14ac:dyDescent="0.25">
      <c r="A5" s="120">
        <v>450</v>
      </c>
      <c r="C5" s="4" t="str">
        <f t="shared" si="0"/>
        <v>$750 &lt; Sales &lt;= $1,000</v>
      </c>
      <c r="D5" s="4">
        <v>1000</v>
      </c>
      <c r="E5" s="22"/>
    </row>
    <row r="6" spans="1:5" x14ac:dyDescent="0.25">
      <c r="A6" s="120">
        <v>499.99</v>
      </c>
      <c r="C6" s="4" t="str">
        <f>"Sales &gt; "&amp;DOLLAR(D5,0)</f>
        <v>Sales &gt; $1,000</v>
      </c>
      <c r="D6" s="4"/>
      <c r="E6" s="22"/>
    </row>
    <row r="7" spans="1:5" x14ac:dyDescent="0.25">
      <c r="A7" s="120">
        <v>500</v>
      </c>
    </row>
    <row r="8" spans="1:5" x14ac:dyDescent="0.25">
      <c r="A8" s="120">
        <v>500.01</v>
      </c>
    </row>
    <row r="9" spans="1:5" x14ac:dyDescent="0.25">
      <c r="A9" s="120">
        <v>800</v>
      </c>
      <c r="C9" t="s">
        <v>1391</v>
      </c>
    </row>
    <row r="10" spans="1:5" x14ac:dyDescent="0.25">
      <c r="A10" s="120">
        <v>900</v>
      </c>
    </row>
    <row r="11" spans="1:5" x14ac:dyDescent="0.25">
      <c r="A11" s="120">
        <v>850</v>
      </c>
    </row>
    <row r="12" spans="1:5" x14ac:dyDescent="0.25">
      <c r="A12" s="120">
        <v>800</v>
      </c>
    </row>
    <row r="13" spans="1:5" x14ac:dyDescent="0.25">
      <c r="A13" s="120">
        <v>1000</v>
      </c>
    </row>
    <row r="14" spans="1:5" x14ac:dyDescent="0.25">
      <c r="A14" s="120">
        <v>2000</v>
      </c>
    </row>
    <row r="19" spans="3:9" x14ac:dyDescent="0.25">
      <c r="C19" s="184" t="s">
        <v>1136</v>
      </c>
      <c r="D19" s="184" t="s">
        <v>1137</v>
      </c>
      <c r="E19" s="184" t="s">
        <v>1138</v>
      </c>
      <c r="F19" s="184" t="s">
        <v>1139</v>
      </c>
      <c r="G19" s="184" t="s">
        <v>1140</v>
      </c>
      <c r="H19" s="184" t="s">
        <v>1141</v>
      </c>
    </row>
    <row r="20" spans="3:9" x14ac:dyDescent="0.25">
      <c r="C20" s="184" t="s">
        <v>1142</v>
      </c>
      <c r="D20" s="185">
        <v>415</v>
      </c>
      <c r="E20" s="185">
        <v>244</v>
      </c>
      <c r="F20" s="185">
        <v>248</v>
      </c>
      <c r="G20" s="185">
        <v>417</v>
      </c>
      <c r="H20" s="185">
        <f t="shared" ref="H20:H25" si="1">SUM(D20:G20)</f>
        <v>1324</v>
      </c>
    </row>
    <row r="21" spans="3:9" x14ac:dyDescent="0.25">
      <c r="C21" s="184" t="s">
        <v>1143</v>
      </c>
      <c r="D21" s="186">
        <v>279</v>
      </c>
      <c r="E21" s="186">
        <v>223</v>
      </c>
      <c r="F21" s="186">
        <v>321</v>
      </c>
      <c r="G21" s="186">
        <v>191</v>
      </c>
      <c r="H21" s="186">
        <f t="shared" si="1"/>
        <v>1014</v>
      </c>
    </row>
    <row r="22" spans="3:9" x14ac:dyDescent="0.25">
      <c r="C22" s="184" t="s">
        <v>1144</v>
      </c>
      <c r="D22" s="186">
        <v>379</v>
      </c>
      <c r="E22" s="186">
        <v>382</v>
      </c>
      <c r="F22" s="186">
        <v>215</v>
      </c>
      <c r="G22" s="186">
        <v>304</v>
      </c>
      <c r="H22" s="186">
        <f t="shared" si="1"/>
        <v>1280</v>
      </c>
    </row>
    <row r="23" spans="3:9" x14ac:dyDescent="0.25">
      <c r="C23" s="184" t="s">
        <v>1145</v>
      </c>
      <c r="D23" s="186">
        <v>181</v>
      </c>
      <c r="E23" s="186">
        <v>227</v>
      </c>
      <c r="F23" s="186">
        <v>150</v>
      </c>
      <c r="G23" s="186">
        <v>260</v>
      </c>
      <c r="H23" s="186">
        <f t="shared" si="1"/>
        <v>818</v>
      </c>
    </row>
    <row r="24" spans="3:9" x14ac:dyDescent="0.25">
      <c r="C24" s="184" t="s">
        <v>1146</v>
      </c>
      <c r="D24" s="186">
        <v>290</v>
      </c>
      <c r="E24" s="186">
        <v>440</v>
      </c>
      <c r="F24" s="186">
        <v>212</v>
      </c>
      <c r="G24" s="186">
        <v>368</v>
      </c>
      <c r="H24" s="186">
        <f t="shared" si="1"/>
        <v>1310</v>
      </c>
    </row>
    <row r="25" spans="3:9" x14ac:dyDescent="0.25">
      <c r="C25" s="184" t="s">
        <v>1141</v>
      </c>
      <c r="D25" s="185">
        <f>SUM(D20:D24)</f>
        <v>1544</v>
      </c>
      <c r="E25" s="185">
        <f>SUM(E20:E24)</f>
        <v>1516</v>
      </c>
      <c r="F25" s="185">
        <f>SUM(F20:F24)</f>
        <v>1146</v>
      </c>
      <c r="G25" s="185">
        <f>SUM(G20:G24)</f>
        <v>1540</v>
      </c>
      <c r="H25" s="185">
        <f t="shared" si="1"/>
        <v>5746</v>
      </c>
    </row>
    <row r="27" spans="3:9" x14ac:dyDescent="0.25">
      <c r="C27" s="22"/>
      <c r="D27" s="22"/>
      <c r="E27" s="22"/>
      <c r="F27" s="22"/>
      <c r="G27" s="22"/>
      <c r="H27" s="22"/>
      <c r="I27" s="22"/>
    </row>
    <row r="28" spans="3:9" x14ac:dyDescent="0.25">
      <c r="C28" s="22"/>
      <c r="D28" s="22"/>
      <c r="E28" s="22"/>
      <c r="F28" s="22"/>
      <c r="G28" s="22"/>
      <c r="H28" s="22"/>
      <c r="I28" s="22"/>
    </row>
    <row r="29" spans="3:9" x14ac:dyDescent="0.25">
      <c r="C29" s="22"/>
      <c r="D29" s="22"/>
      <c r="E29" s="22"/>
      <c r="F29" s="22"/>
      <c r="G29" s="22"/>
      <c r="H29" s="22"/>
      <c r="I29" s="22"/>
    </row>
    <row r="30" spans="3:9" x14ac:dyDescent="0.25">
      <c r="C30" s="22"/>
      <c r="D30" s="22"/>
      <c r="E30" s="22"/>
      <c r="F30" s="22"/>
      <c r="G30" s="22"/>
      <c r="H30" s="22"/>
      <c r="I30" s="22"/>
    </row>
    <row r="31" spans="3:9" x14ac:dyDescent="0.25">
      <c r="C31" s="22"/>
      <c r="D31" s="22"/>
      <c r="E31" s="22"/>
      <c r="F31" s="22"/>
      <c r="G31" s="22"/>
      <c r="H31" s="22"/>
      <c r="I31" s="22"/>
    </row>
    <row r="32" spans="3:9" x14ac:dyDescent="0.25">
      <c r="C32" s="22"/>
      <c r="D32" s="22"/>
      <c r="E32" s="22"/>
      <c r="F32" s="22"/>
      <c r="G32" s="22"/>
      <c r="H32" s="22"/>
      <c r="I32" s="22"/>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33793" r:id="rId4">
          <objectPr defaultSize="0" r:id="rId5">
            <anchor moveWithCells="1">
              <from>
                <xdr:col>11</xdr:col>
                <xdr:colOff>209550</xdr:colOff>
                <xdr:row>0</xdr:row>
                <xdr:rowOff>38100</xdr:rowOff>
              </from>
              <to>
                <xdr:col>20</xdr:col>
                <xdr:colOff>409575</xdr:colOff>
                <xdr:row>42</xdr:row>
                <xdr:rowOff>104775</xdr:rowOff>
              </to>
            </anchor>
          </objectPr>
        </oleObject>
      </mc:Choice>
      <mc:Fallback>
        <oleObject progId="Word.Document.12" shapeId="33793" r:id="rId4"/>
      </mc:Fallback>
    </mc:AlternateContent>
  </oleObjec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I39"/>
  <sheetViews>
    <sheetView zoomScale="130" zoomScaleNormal="130" workbookViewId="0">
      <selection activeCell="E2" sqref="E2"/>
    </sheetView>
  </sheetViews>
  <sheetFormatPr defaultRowHeight="15" x14ac:dyDescent="0.25"/>
  <cols>
    <col min="1" max="1" width="13.28515625" customWidth="1"/>
    <col min="2" max="2" width="2.28515625" customWidth="1"/>
    <col min="3" max="3" width="23" customWidth="1"/>
    <col min="4" max="8" width="11.140625" customWidth="1"/>
    <col min="10" max="10" width="18.140625" bestFit="1" customWidth="1"/>
    <col min="11" max="11" width="12.42578125" customWidth="1"/>
    <col min="12" max="12" width="13.140625" bestFit="1" customWidth="1"/>
  </cols>
  <sheetData>
    <row r="1" spans="1:5" x14ac:dyDescent="0.25">
      <c r="A1" s="119" t="s">
        <v>93</v>
      </c>
      <c r="C1" s="5" t="s">
        <v>1134</v>
      </c>
      <c r="D1" s="5" t="s">
        <v>23</v>
      </c>
      <c r="E1" s="5" t="s">
        <v>1135</v>
      </c>
    </row>
    <row r="2" spans="1:5" x14ac:dyDescent="0.25">
      <c r="A2" s="120">
        <v>249.99</v>
      </c>
      <c r="C2" s="4" t="str">
        <f>"Sales &lt;= "&amp;DOLLAR(D2,0)</f>
        <v>Sales &lt;= $250</v>
      </c>
      <c r="D2" s="4">
        <v>250</v>
      </c>
      <c r="E2" s="22">
        <f t="array" ref="E2:E6">FREQUENCY(A2:A14,D2:D5)</f>
        <v>2</v>
      </c>
    </row>
    <row r="3" spans="1:5" x14ac:dyDescent="0.25">
      <c r="A3" s="120">
        <v>250</v>
      </c>
      <c r="C3" s="4" t="str">
        <f t="shared" ref="C3:C5" si="0">DOLLAR(D2,0)&amp;" &lt; Sales &lt;= "&amp;DOLLAR(D3,0)</f>
        <v>$250 &lt; Sales &lt;= $500</v>
      </c>
      <c r="D3" s="4">
        <v>500</v>
      </c>
      <c r="E3" s="22">
        <v>4</v>
      </c>
    </row>
    <row r="4" spans="1:5" x14ac:dyDescent="0.25">
      <c r="A4" s="120">
        <v>250.01</v>
      </c>
      <c r="C4" s="4" t="str">
        <f t="shared" si="0"/>
        <v>$500 &lt; Sales &lt;= $750</v>
      </c>
      <c r="D4" s="4">
        <v>750</v>
      </c>
      <c r="E4" s="22">
        <v>1</v>
      </c>
    </row>
    <row r="5" spans="1:5" x14ac:dyDescent="0.25">
      <c r="A5" s="120">
        <v>450</v>
      </c>
      <c r="C5" s="4" t="str">
        <f t="shared" si="0"/>
        <v>$750 &lt; Sales &lt;= $1,000</v>
      </c>
      <c r="D5" s="4">
        <v>1000</v>
      </c>
      <c r="E5" s="22">
        <v>5</v>
      </c>
    </row>
    <row r="6" spans="1:5" x14ac:dyDescent="0.25">
      <c r="A6" s="120">
        <v>499.99</v>
      </c>
      <c r="C6" s="4" t="str">
        <f>"Sales &gt; "&amp;DOLLAR(D5,0)</f>
        <v>Sales &gt; $1,000</v>
      </c>
      <c r="D6" s="4"/>
      <c r="E6" s="22">
        <v>1</v>
      </c>
    </row>
    <row r="7" spans="1:5" x14ac:dyDescent="0.25">
      <c r="A7" s="120">
        <v>500</v>
      </c>
    </row>
    <row r="8" spans="1:5" x14ac:dyDescent="0.25">
      <c r="A8" s="120">
        <v>500.01</v>
      </c>
    </row>
    <row r="9" spans="1:5" x14ac:dyDescent="0.25">
      <c r="A9" s="120">
        <v>800</v>
      </c>
      <c r="C9" t="s">
        <v>1391</v>
      </c>
    </row>
    <row r="10" spans="1:5" x14ac:dyDescent="0.25">
      <c r="A10" s="120">
        <v>900</v>
      </c>
    </row>
    <row r="11" spans="1:5" x14ac:dyDescent="0.25">
      <c r="A11" s="120">
        <v>850</v>
      </c>
    </row>
    <row r="12" spans="1:5" x14ac:dyDescent="0.25">
      <c r="A12" s="120">
        <v>800</v>
      </c>
    </row>
    <row r="13" spans="1:5" x14ac:dyDescent="0.25">
      <c r="A13" s="120">
        <v>1000</v>
      </c>
    </row>
    <row r="14" spans="1:5" x14ac:dyDescent="0.25">
      <c r="A14" s="120">
        <v>2000</v>
      </c>
    </row>
    <row r="19" spans="3:9" x14ac:dyDescent="0.25">
      <c r="C19" s="184" t="s">
        <v>1136</v>
      </c>
      <c r="D19" s="184" t="s">
        <v>1137</v>
      </c>
      <c r="E19" s="184" t="s">
        <v>1138</v>
      </c>
      <c r="F19" s="184" t="s">
        <v>1139</v>
      </c>
      <c r="G19" s="184" t="s">
        <v>1140</v>
      </c>
      <c r="H19" s="184" t="s">
        <v>1141</v>
      </c>
    </row>
    <row r="20" spans="3:9" x14ac:dyDescent="0.25">
      <c r="C20" s="184" t="s">
        <v>1142</v>
      </c>
      <c r="D20" s="185">
        <v>415</v>
      </c>
      <c r="E20" s="185">
        <v>244</v>
      </c>
      <c r="F20" s="185">
        <v>248</v>
      </c>
      <c r="G20" s="185">
        <v>417</v>
      </c>
      <c r="H20" s="185">
        <f t="shared" ref="H20:H25" si="1">SUM(D20:G20)</f>
        <v>1324</v>
      </c>
    </row>
    <row r="21" spans="3:9" x14ac:dyDescent="0.25">
      <c r="C21" s="184" t="s">
        <v>1143</v>
      </c>
      <c r="D21" s="186">
        <v>279</v>
      </c>
      <c r="E21" s="186">
        <v>223</v>
      </c>
      <c r="F21" s="186">
        <v>321</v>
      </c>
      <c r="G21" s="186">
        <v>191</v>
      </c>
      <c r="H21" s="186">
        <f t="shared" si="1"/>
        <v>1014</v>
      </c>
    </row>
    <row r="22" spans="3:9" x14ac:dyDescent="0.25">
      <c r="C22" s="184" t="s">
        <v>1144</v>
      </c>
      <c r="D22" s="186">
        <v>379</v>
      </c>
      <c r="E22" s="186">
        <v>382</v>
      </c>
      <c r="F22" s="186">
        <v>215</v>
      </c>
      <c r="G22" s="186">
        <v>304</v>
      </c>
      <c r="H22" s="186">
        <f t="shared" si="1"/>
        <v>1280</v>
      </c>
    </row>
    <row r="23" spans="3:9" x14ac:dyDescent="0.25">
      <c r="C23" s="184" t="s">
        <v>1145</v>
      </c>
      <c r="D23" s="186">
        <v>181</v>
      </c>
      <c r="E23" s="186">
        <v>227</v>
      </c>
      <c r="F23" s="186">
        <v>150</v>
      </c>
      <c r="G23" s="186">
        <v>260</v>
      </c>
      <c r="H23" s="186">
        <f t="shared" si="1"/>
        <v>818</v>
      </c>
    </row>
    <row r="24" spans="3:9" x14ac:dyDescent="0.25">
      <c r="C24" s="184" t="s">
        <v>1146</v>
      </c>
      <c r="D24" s="186">
        <v>290</v>
      </c>
      <c r="E24" s="186">
        <v>440</v>
      </c>
      <c r="F24" s="186">
        <v>212</v>
      </c>
      <c r="G24" s="186">
        <v>368</v>
      </c>
      <c r="H24" s="186">
        <f t="shared" si="1"/>
        <v>1310</v>
      </c>
    </row>
    <row r="25" spans="3:9" x14ac:dyDescent="0.25">
      <c r="C25" s="184" t="s">
        <v>1141</v>
      </c>
      <c r="D25" s="185">
        <f>SUM(D20:D24)</f>
        <v>1544</v>
      </c>
      <c r="E25" s="185">
        <f>SUM(E20:E24)</f>
        <v>1516</v>
      </c>
      <c r="F25" s="185">
        <f>SUM(F20:F24)</f>
        <v>1146</v>
      </c>
      <c r="G25" s="185">
        <f>SUM(G20:G24)</f>
        <v>1540</v>
      </c>
      <c r="H25" s="185">
        <f t="shared" si="1"/>
        <v>5746</v>
      </c>
    </row>
    <row r="27" spans="3:9" x14ac:dyDescent="0.25">
      <c r="C27" s="22" t="str">
        <f t="array" ref="C27:I32">TRANSPOSE(C19:H25)</f>
        <v>January Sales</v>
      </c>
      <c r="D27" s="22" t="str">
        <v>Pro1</v>
      </c>
      <c r="E27" s="22" t="str">
        <v>Pro2</v>
      </c>
      <c r="F27" s="22" t="str">
        <v>Pro3</v>
      </c>
      <c r="G27" s="22" t="str">
        <v>Pro4</v>
      </c>
      <c r="H27" s="22" t="str">
        <v>Pro5</v>
      </c>
      <c r="I27" s="22" t="str">
        <v>Totals</v>
      </c>
    </row>
    <row r="28" spans="3:9" x14ac:dyDescent="0.25">
      <c r="C28" s="22" t="str">
        <v>Sales Rep1</v>
      </c>
      <c r="D28" s="22">
        <v>415</v>
      </c>
      <c r="E28" s="22">
        <v>279</v>
      </c>
      <c r="F28" s="22">
        <v>379</v>
      </c>
      <c r="G28" s="22">
        <v>181</v>
      </c>
      <c r="H28" s="22">
        <v>290</v>
      </c>
      <c r="I28" s="22">
        <v>1544</v>
      </c>
    </row>
    <row r="29" spans="3:9" x14ac:dyDescent="0.25">
      <c r="C29" s="22" t="str">
        <v>Sales Rep2</v>
      </c>
      <c r="D29" s="22">
        <v>244</v>
      </c>
      <c r="E29" s="22">
        <v>223</v>
      </c>
      <c r="F29" s="22">
        <v>382</v>
      </c>
      <c r="G29" s="22">
        <v>227</v>
      </c>
      <c r="H29" s="22">
        <v>440</v>
      </c>
      <c r="I29" s="22">
        <v>1516</v>
      </c>
    </row>
    <row r="30" spans="3:9" x14ac:dyDescent="0.25">
      <c r="C30" s="22" t="str">
        <v>Sales Rep3</v>
      </c>
      <c r="D30" s="22">
        <v>248</v>
      </c>
      <c r="E30" s="22">
        <v>321</v>
      </c>
      <c r="F30" s="22">
        <v>215</v>
      </c>
      <c r="G30" s="22">
        <v>150</v>
      </c>
      <c r="H30" s="22">
        <v>212</v>
      </c>
      <c r="I30" s="22">
        <v>1146</v>
      </c>
    </row>
    <row r="31" spans="3:9" x14ac:dyDescent="0.25">
      <c r="C31" s="22" t="str">
        <v>Sales Rep4</v>
      </c>
      <c r="D31" s="22">
        <v>417</v>
      </c>
      <c r="E31" s="22">
        <v>191</v>
      </c>
      <c r="F31" s="22">
        <v>304</v>
      </c>
      <c r="G31" s="22">
        <v>260</v>
      </c>
      <c r="H31" s="22">
        <v>368</v>
      </c>
      <c r="I31" s="22">
        <v>1540</v>
      </c>
    </row>
    <row r="32" spans="3:9" x14ac:dyDescent="0.25">
      <c r="C32" s="22" t="str">
        <v>Totals</v>
      </c>
      <c r="D32" s="22">
        <v>1324</v>
      </c>
      <c r="E32" s="22">
        <v>1014</v>
      </c>
      <c r="F32" s="22">
        <v>1280</v>
      </c>
      <c r="G32" s="22">
        <v>818</v>
      </c>
      <c r="H32" s="22">
        <v>1310</v>
      </c>
      <c r="I32" s="22">
        <v>5746</v>
      </c>
    </row>
    <row r="34" spans="3:9" x14ac:dyDescent="0.25">
      <c r="C34" s="184" t="s">
        <v>1136</v>
      </c>
      <c r="D34" s="184" t="s">
        <v>1142</v>
      </c>
      <c r="E34" s="184" t="s">
        <v>1143</v>
      </c>
      <c r="F34" s="184" t="s">
        <v>1144</v>
      </c>
      <c r="G34" s="184" t="s">
        <v>1145</v>
      </c>
      <c r="H34" s="184" t="s">
        <v>1146</v>
      </c>
      <c r="I34" s="184" t="s">
        <v>1141</v>
      </c>
    </row>
    <row r="35" spans="3:9" x14ac:dyDescent="0.25">
      <c r="C35" s="184" t="s">
        <v>1137</v>
      </c>
      <c r="D35" s="185">
        <v>415</v>
      </c>
      <c r="E35" s="186">
        <v>279</v>
      </c>
      <c r="F35" s="186">
        <v>379</v>
      </c>
      <c r="G35" s="186">
        <v>181</v>
      </c>
      <c r="H35" s="186">
        <v>290</v>
      </c>
      <c r="I35" s="185">
        <f>SUM(D35:H35)</f>
        <v>1544</v>
      </c>
    </row>
    <row r="36" spans="3:9" x14ac:dyDescent="0.25">
      <c r="C36" s="184" t="s">
        <v>1138</v>
      </c>
      <c r="D36" s="185">
        <v>244</v>
      </c>
      <c r="E36" s="186">
        <v>223</v>
      </c>
      <c r="F36" s="186">
        <v>382</v>
      </c>
      <c r="G36" s="186">
        <v>227</v>
      </c>
      <c r="H36" s="186">
        <v>440</v>
      </c>
      <c r="I36" s="185">
        <f>SUM(D36:H36)</f>
        <v>1516</v>
      </c>
    </row>
    <row r="37" spans="3:9" x14ac:dyDescent="0.25">
      <c r="C37" s="184" t="s">
        <v>1139</v>
      </c>
      <c r="D37" s="185">
        <v>248</v>
      </c>
      <c r="E37" s="186">
        <v>321</v>
      </c>
      <c r="F37" s="186">
        <v>215</v>
      </c>
      <c r="G37" s="186">
        <v>150</v>
      </c>
      <c r="H37" s="186">
        <v>212</v>
      </c>
      <c r="I37" s="185">
        <f>SUM(D37:H37)</f>
        <v>1146</v>
      </c>
    </row>
    <row r="38" spans="3:9" x14ac:dyDescent="0.25">
      <c r="C38" s="184" t="s">
        <v>1140</v>
      </c>
      <c r="D38" s="185">
        <v>417</v>
      </c>
      <c r="E38" s="186">
        <v>191</v>
      </c>
      <c r="F38" s="186">
        <v>304</v>
      </c>
      <c r="G38" s="186">
        <v>260</v>
      </c>
      <c r="H38" s="186">
        <v>368</v>
      </c>
      <c r="I38" s="185">
        <f>SUM(D38:H38)</f>
        <v>1540</v>
      </c>
    </row>
    <row r="39" spans="3:9" x14ac:dyDescent="0.25">
      <c r="C39" s="184" t="s">
        <v>1141</v>
      </c>
      <c r="D39" s="185">
        <f t="shared" ref="D39:I39" si="2">SUM(D35:D38)</f>
        <v>1324</v>
      </c>
      <c r="E39" s="186">
        <f t="shared" si="2"/>
        <v>1014</v>
      </c>
      <c r="F39" s="186">
        <f t="shared" si="2"/>
        <v>1280</v>
      </c>
      <c r="G39" s="186">
        <f t="shared" si="2"/>
        <v>818</v>
      </c>
      <c r="H39" s="186">
        <f t="shared" si="2"/>
        <v>1310</v>
      </c>
      <c r="I39" s="185">
        <f t="shared" si="2"/>
        <v>5746</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57345" r:id="rId4">
          <objectPr defaultSize="0" r:id="rId5">
            <anchor moveWithCells="1">
              <from>
                <xdr:col>11</xdr:col>
                <xdr:colOff>209550</xdr:colOff>
                <xdr:row>0</xdr:row>
                <xdr:rowOff>38100</xdr:rowOff>
              </from>
              <to>
                <xdr:col>20</xdr:col>
                <xdr:colOff>409575</xdr:colOff>
                <xdr:row>42</xdr:row>
                <xdr:rowOff>104775</xdr:rowOff>
              </to>
            </anchor>
          </objectPr>
        </oleObject>
      </mc:Choice>
      <mc:Fallback>
        <oleObject progId="Word.Document.12" shapeId="57345" r:id="rId4"/>
      </mc:Fallback>
    </mc:AlternateContent>
    <mc:AlternateContent xmlns:mc="http://schemas.openxmlformats.org/markup-compatibility/2006">
      <mc:Choice Requires="x14">
        <oleObject progId="Word.Document.12" shapeId="57346" r:id="rId6">
          <objectPr defaultSize="0" r:id="rId7">
            <anchor moveWithCells="1">
              <from>
                <xdr:col>11</xdr:col>
                <xdr:colOff>209550</xdr:colOff>
                <xdr:row>0</xdr:row>
                <xdr:rowOff>38100</xdr:rowOff>
              </from>
              <to>
                <xdr:col>20</xdr:col>
                <xdr:colOff>409575</xdr:colOff>
                <xdr:row>42</xdr:row>
                <xdr:rowOff>104775</xdr:rowOff>
              </to>
            </anchor>
          </objectPr>
        </oleObject>
      </mc:Choice>
      <mc:Fallback>
        <oleObject progId="Word.Document.12" shapeId="57346" r:id="rId6"/>
      </mc:Fallback>
    </mc:AlternateContent>
  </oleObjec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workbookViewId="0"/>
  </sheetViews>
  <sheetFormatPr defaultRowHeight="15" x14ac:dyDescent="0.2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F44"/>
  <sheetViews>
    <sheetView workbookViewId="0">
      <selection sqref="A1:F1"/>
    </sheetView>
  </sheetViews>
  <sheetFormatPr defaultRowHeight="15" x14ac:dyDescent="0.25"/>
  <cols>
    <col min="4" max="4" width="13.42578125" customWidth="1"/>
    <col min="5" max="5" width="3.140625" customWidth="1"/>
    <col min="6" max="6" width="13.5703125" customWidth="1"/>
  </cols>
  <sheetData>
    <row r="1" spans="1:6" x14ac:dyDescent="0.25">
      <c r="A1" s="63" t="s">
        <v>786</v>
      </c>
      <c r="B1" s="64"/>
      <c r="C1" s="64"/>
      <c r="D1" s="64"/>
      <c r="E1" s="64"/>
      <c r="F1" s="65"/>
    </row>
    <row r="3" spans="1:6" x14ac:dyDescent="0.25">
      <c r="A3" s="2" t="s">
        <v>787</v>
      </c>
    </row>
    <row r="4" spans="1:6" x14ac:dyDescent="0.25">
      <c r="A4" s="11" t="s">
        <v>28</v>
      </c>
      <c r="B4" s="11" t="s">
        <v>45</v>
      </c>
      <c r="D4" s="59" t="s">
        <v>28</v>
      </c>
      <c r="E4" s="60"/>
      <c r="F4" s="11" t="s">
        <v>45</v>
      </c>
    </row>
    <row r="5" spans="1:6" x14ac:dyDescent="0.25">
      <c r="A5" s="4" t="s">
        <v>69</v>
      </c>
      <c r="B5" s="57">
        <v>23</v>
      </c>
      <c r="D5" s="58" t="s">
        <v>37</v>
      </c>
      <c r="E5" s="61"/>
      <c r="F5" s="22" t="e">
        <f>VLOOKUP(D5,B5:C8,3,0)</f>
        <v>#N/A</v>
      </c>
    </row>
    <row r="6" spans="1:6" x14ac:dyDescent="0.25">
      <c r="A6" s="4" t="s">
        <v>70</v>
      </c>
      <c r="B6" s="57">
        <v>19.5</v>
      </c>
    </row>
    <row r="7" spans="1:6" x14ac:dyDescent="0.25">
      <c r="A7" s="4" t="s">
        <v>39</v>
      </c>
      <c r="B7" s="57">
        <v>22</v>
      </c>
    </row>
    <row r="8" spans="1:6" x14ac:dyDescent="0.25">
      <c r="A8" s="4" t="s">
        <v>37</v>
      </c>
      <c r="B8" s="57">
        <v>40</v>
      </c>
    </row>
    <row r="11" spans="1:6" x14ac:dyDescent="0.25">
      <c r="A11" s="2" t="s">
        <v>788</v>
      </c>
    </row>
    <row r="12" spans="1:6" x14ac:dyDescent="0.25">
      <c r="A12" s="11" t="s">
        <v>28</v>
      </c>
      <c r="B12" s="11" t="s">
        <v>45</v>
      </c>
      <c r="D12" s="59" t="s">
        <v>28</v>
      </c>
      <c r="E12" s="60"/>
      <c r="F12" s="11" t="s">
        <v>45</v>
      </c>
    </row>
    <row r="13" spans="1:6" x14ac:dyDescent="0.25">
      <c r="A13" s="4" t="s">
        <v>69</v>
      </c>
      <c r="B13" s="57">
        <v>23</v>
      </c>
      <c r="D13" s="58" t="s">
        <v>37</v>
      </c>
      <c r="E13" s="61"/>
      <c r="F13" s="22" t="e">
        <f>VLOOKUP(D13,A13:A16,2,0)</f>
        <v>#REF!</v>
      </c>
    </row>
    <row r="14" spans="1:6" x14ac:dyDescent="0.25">
      <c r="A14" s="4" t="s">
        <v>70</v>
      </c>
      <c r="B14" s="57">
        <v>19.5</v>
      </c>
    </row>
    <row r="15" spans="1:6" x14ac:dyDescent="0.25">
      <c r="A15" s="4" t="s">
        <v>39</v>
      </c>
      <c r="B15" s="57">
        <v>22</v>
      </c>
    </row>
    <row r="16" spans="1:6" x14ac:dyDescent="0.25">
      <c r="A16" s="4" t="s">
        <v>37</v>
      </c>
      <c r="B16" s="57">
        <v>40</v>
      </c>
    </row>
    <row r="18" spans="1:6" x14ac:dyDescent="0.25">
      <c r="A18" s="2" t="s">
        <v>789</v>
      </c>
    </row>
    <row r="19" spans="1:6" x14ac:dyDescent="0.25">
      <c r="A19" s="11" t="s">
        <v>28</v>
      </c>
      <c r="B19" s="11" t="s">
        <v>45</v>
      </c>
      <c r="D19" s="59" t="s">
        <v>28</v>
      </c>
      <c r="E19" s="60"/>
      <c r="F19" s="11" t="s">
        <v>45</v>
      </c>
    </row>
    <row r="20" spans="1:6" x14ac:dyDescent="0.25">
      <c r="A20" s="4" t="s">
        <v>69</v>
      </c>
      <c r="B20" s="57">
        <v>23</v>
      </c>
      <c r="D20" s="58" t="s">
        <v>37</v>
      </c>
      <c r="E20" s="61"/>
      <c r="F20" s="22">
        <f>VLOOKUP(D20,A20:B23,2)</f>
        <v>23</v>
      </c>
    </row>
    <row r="21" spans="1:6" x14ac:dyDescent="0.25">
      <c r="A21" s="4" t="s">
        <v>70</v>
      </c>
      <c r="B21" s="57">
        <v>19.5</v>
      </c>
    </row>
    <row r="22" spans="1:6" x14ac:dyDescent="0.25">
      <c r="A22" s="4" t="s">
        <v>39</v>
      </c>
      <c r="B22" s="57">
        <v>22</v>
      </c>
    </row>
    <row r="23" spans="1:6" x14ac:dyDescent="0.25">
      <c r="A23" s="4" t="s">
        <v>37</v>
      </c>
      <c r="B23" s="57">
        <v>40</v>
      </c>
    </row>
    <row r="25" spans="1:6" x14ac:dyDescent="0.25">
      <c r="A25" s="2" t="s">
        <v>791</v>
      </c>
    </row>
    <row r="26" spans="1:6" x14ac:dyDescent="0.25">
      <c r="A26" s="11" t="s">
        <v>28</v>
      </c>
      <c r="B26" s="11" t="s">
        <v>45</v>
      </c>
      <c r="D26" s="59" t="s">
        <v>28</v>
      </c>
      <c r="E26" s="60"/>
      <c r="F26" s="11" t="s">
        <v>45</v>
      </c>
    </row>
    <row r="27" spans="1:6" x14ac:dyDescent="0.25">
      <c r="A27" s="4" t="s">
        <v>69</v>
      </c>
      <c r="B27" s="57">
        <v>23</v>
      </c>
      <c r="D27" s="58" t="s">
        <v>37</v>
      </c>
      <c r="E27" s="61"/>
      <c r="F27" s="22" t="e">
        <f>VLOOKUP(D27:E27,A27:B30,2)</f>
        <v>#VALUE!</v>
      </c>
    </row>
    <row r="28" spans="1:6" x14ac:dyDescent="0.25">
      <c r="A28" s="4" t="s">
        <v>70</v>
      </c>
      <c r="B28" s="57">
        <v>19.5</v>
      </c>
    </row>
    <row r="29" spans="1:6" x14ac:dyDescent="0.25">
      <c r="A29" s="4" t="s">
        <v>39</v>
      </c>
      <c r="B29" s="57">
        <v>22</v>
      </c>
    </row>
    <row r="30" spans="1:6" x14ac:dyDescent="0.25">
      <c r="A30" s="4" t="s">
        <v>37</v>
      </c>
      <c r="B30" s="57">
        <v>40</v>
      </c>
    </row>
    <row r="32" spans="1:6" x14ac:dyDescent="0.25">
      <c r="A32" s="2" t="s">
        <v>790</v>
      </c>
    </row>
    <row r="33" spans="1:4" x14ac:dyDescent="0.25">
      <c r="A33" s="11" t="s">
        <v>28</v>
      </c>
      <c r="D33" s="11" t="s">
        <v>82</v>
      </c>
    </row>
    <row r="34" spans="1:4" x14ac:dyDescent="0.25">
      <c r="A34" s="4">
        <v>3</v>
      </c>
      <c r="D34" s="22">
        <f>SUM(A35:A44)</f>
        <v>54</v>
      </c>
    </row>
    <row r="35" spans="1:4" x14ac:dyDescent="0.25">
      <c r="A35" s="4">
        <v>9</v>
      </c>
    </row>
    <row r="36" spans="1:4" x14ac:dyDescent="0.25">
      <c r="A36" s="4">
        <v>9</v>
      </c>
    </row>
    <row r="37" spans="1:4" x14ac:dyDescent="0.25">
      <c r="A37" s="4">
        <v>9</v>
      </c>
    </row>
    <row r="38" spans="1:4" x14ac:dyDescent="0.25">
      <c r="A38" s="4">
        <v>1</v>
      </c>
    </row>
    <row r="39" spans="1:4" x14ac:dyDescent="0.25">
      <c r="A39" s="4">
        <v>3</v>
      </c>
    </row>
    <row r="40" spans="1:4" x14ac:dyDescent="0.25">
      <c r="A40" s="4">
        <v>10</v>
      </c>
    </row>
    <row r="41" spans="1:4" x14ac:dyDescent="0.25">
      <c r="A41" s="4">
        <v>6</v>
      </c>
    </row>
    <row r="42" spans="1:4" x14ac:dyDescent="0.25">
      <c r="A42" s="4">
        <v>1</v>
      </c>
    </row>
    <row r="43" spans="1:4" x14ac:dyDescent="0.25">
      <c r="A43" s="4">
        <v>4</v>
      </c>
    </row>
    <row r="44" spans="1:4" x14ac:dyDescent="0.25">
      <c r="A44" s="4">
        <v>2</v>
      </c>
    </row>
  </sheetData>
  <dataValidations count="1">
    <dataValidation type="list" allowBlank="1" showInputMessage="1" showErrorMessage="1" sqref="D5 D13 D20 D27">
      <formula1>$A$5:$A$8</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44"/>
  <sheetViews>
    <sheetView workbookViewId="0">
      <selection sqref="A1:F1"/>
    </sheetView>
  </sheetViews>
  <sheetFormatPr defaultRowHeight="15" x14ac:dyDescent="0.25"/>
  <cols>
    <col min="4" max="4" width="13.42578125" customWidth="1"/>
    <col min="5" max="5" width="3.140625" customWidth="1"/>
    <col min="6" max="6" width="13.5703125" customWidth="1"/>
  </cols>
  <sheetData>
    <row r="1" spans="1:6" x14ac:dyDescent="0.25">
      <c r="A1" s="63" t="s">
        <v>786</v>
      </c>
      <c r="B1" s="64"/>
      <c r="C1" s="64"/>
      <c r="D1" s="64"/>
      <c r="E1" s="64"/>
      <c r="F1" s="65"/>
    </row>
    <row r="3" spans="1:6" x14ac:dyDescent="0.25">
      <c r="A3" s="2" t="s">
        <v>787</v>
      </c>
    </row>
    <row r="4" spans="1:6" x14ac:dyDescent="0.25">
      <c r="A4" s="11" t="s">
        <v>28</v>
      </c>
      <c r="B4" s="11" t="s">
        <v>45</v>
      </c>
      <c r="D4" s="59" t="s">
        <v>28</v>
      </c>
      <c r="E4" s="60"/>
      <c r="F4" s="11" t="s">
        <v>45</v>
      </c>
    </row>
    <row r="5" spans="1:6" x14ac:dyDescent="0.25">
      <c r="A5" s="4" t="s">
        <v>69</v>
      </c>
      <c r="B5" s="57">
        <v>23</v>
      </c>
      <c r="D5" s="58" t="s">
        <v>37</v>
      </c>
      <c r="E5" s="61"/>
      <c r="F5" s="22">
        <f>VLOOKUP(D5,A5:B8,2,0)</f>
        <v>40</v>
      </c>
    </row>
    <row r="6" spans="1:6" x14ac:dyDescent="0.25">
      <c r="A6" s="4" t="s">
        <v>70</v>
      </c>
      <c r="B6" s="57">
        <v>19.5</v>
      </c>
    </row>
    <row r="7" spans="1:6" x14ac:dyDescent="0.25">
      <c r="A7" s="4" t="s">
        <v>39</v>
      </c>
      <c r="B7" s="57">
        <v>22</v>
      </c>
    </row>
    <row r="8" spans="1:6" x14ac:dyDescent="0.25">
      <c r="A8" s="4" t="s">
        <v>37</v>
      </c>
      <c r="B8" s="57">
        <v>40</v>
      </c>
    </row>
    <row r="11" spans="1:6" x14ac:dyDescent="0.25">
      <c r="A11" s="2" t="s">
        <v>788</v>
      </c>
    </row>
    <row r="12" spans="1:6" x14ac:dyDescent="0.25">
      <c r="A12" s="11" t="s">
        <v>28</v>
      </c>
      <c r="B12" s="11" t="s">
        <v>45</v>
      </c>
      <c r="D12" s="59" t="s">
        <v>28</v>
      </c>
      <c r="E12" s="60"/>
      <c r="F12" s="11" t="s">
        <v>45</v>
      </c>
    </row>
    <row r="13" spans="1:6" x14ac:dyDescent="0.25">
      <c r="A13" s="4" t="s">
        <v>69</v>
      </c>
      <c r="B13" s="57">
        <v>23</v>
      </c>
      <c r="D13" s="58" t="s">
        <v>37</v>
      </c>
      <c r="E13" s="61"/>
      <c r="F13" s="22">
        <f>VLOOKUP(D13,A13:B16,2,0)</f>
        <v>40</v>
      </c>
    </row>
    <row r="14" spans="1:6" x14ac:dyDescent="0.25">
      <c r="A14" s="4" t="s">
        <v>70</v>
      </c>
      <c r="B14" s="57">
        <v>19.5</v>
      </c>
    </row>
    <row r="15" spans="1:6" x14ac:dyDescent="0.25">
      <c r="A15" s="4" t="s">
        <v>39</v>
      </c>
      <c r="B15" s="57">
        <v>22</v>
      </c>
    </row>
    <row r="16" spans="1:6" x14ac:dyDescent="0.25">
      <c r="A16" s="4" t="s">
        <v>37</v>
      </c>
      <c r="B16" s="57">
        <v>40</v>
      </c>
    </row>
    <row r="18" spans="1:6" x14ac:dyDescent="0.25">
      <c r="A18" s="2" t="s">
        <v>789</v>
      </c>
    </row>
    <row r="19" spans="1:6" x14ac:dyDescent="0.25">
      <c r="A19" s="11" t="s">
        <v>28</v>
      </c>
      <c r="B19" s="11" t="s">
        <v>45</v>
      </c>
      <c r="D19" s="59" t="s">
        <v>28</v>
      </c>
      <c r="E19" s="60"/>
      <c r="F19" s="11" t="s">
        <v>45</v>
      </c>
    </row>
    <row r="20" spans="1:6" x14ac:dyDescent="0.25">
      <c r="A20" s="4" t="s">
        <v>69</v>
      </c>
      <c r="B20" s="57">
        <v>23</v>
      </c>
      <c r="D20" s="58" t="s">
        <v>37</v>
      </c>
      <c r="E20" s="61"/>
      <c r="F20" s="22">
        <f>VLOOKUP(D20,A20:B23,2,0)</f>
        <v>40</v>
      </c>
    </row>
    <row r="21" spans="1:6" x14ac:dyDescent="0.25">
      <c r="A21" s="4" t="s">
        <v>70</v>
      </c>
      <c r="B21" s="57">
        <v>19.5</v>
      </c>
    </row>
    <row r="22" spans="1:6" x14ac:dyDescent="0.25">
      <c r="A22" s="4" t="s">
        <v>39</v>
      </c>
      <c r="B22" s="57">
        <v>22</v>
      </c>
    </row>
    <row r="23" spans="1:6" x14ac:dyDescent="0.25">
      <c r="A23" s="4" t="s">
        <v>37</v>
      </c>
      <c r="B23" s="57">
        <v>40</v>
      </c>
    </row>
    <row r="25" spans="1:6" x14ac:dyDescent="0.25">
      <c r="A25" s="2" t="s">
        <v>791</v>
      </c>
    </row>
    <row r="26" spans="1:6" x14ac:dyDescent="0.25">
      <c r="A26" s="11" t="s">
        <v>28</v>
      </c>
      <c r="B26" s="11" t="s">
        <v>45</v>
      </c>
      <c r="D26" s="59" t="s">
        <v>28</v>
      </c>
      <c r="E26" s="60"/>
      <c r="F26" s="11" t="s">
        <v>45</v>
      </c>
    </row>
    <row r="27" spans="1:6" x14ac:dyDescent="0.25">
      <c r="A27" s="4" t="s">
        <v>69</v>
      </c>
      <c r="B27" s="57">
        <v>23</v>
      </c>
      <c r="D27" s="58" t="s">
        <v>37</v>
      </c>
      <c r="E27" s="61"/>
      <c r="F27" s="22">
        <f>VLOOKUP(D27,A27:B30,2,0)</f>
        <v>40</v>
      </c>
    </row>
    <row r="28" spans="1:6" x14ac:dyDescent="0.25">
      <c r="A28" s="4" t="s">
        <v>70</v>
      </c>
      <c r="B28" s="57">
        <v>19.5</v>
      </c>
    </row>
    <row r="29" spans="1:6" x14ac:dyDescent="0.25">
      <c r="A29" s="4" t="s">
        <v>39</v>
      </c>
      <c r="B29" s="57">
        <v>22</v>
      </c>
    </row>
    <row r="30" spans="1:6" x14ac:dyDescent="0.25">
      <c r="A30" s="4" t="s">
        <v>37</v>
      </c>
      <c r="B30" s="57">
        <v>40</v>
      </c>
    </row>
    <row r="32" spans="1:6" x14ac:dyDescent="0.25">
      <c r="A32" s="2" t="s">
        <v>790</v>
      </c>
    </row>
    <row r="33" spans="1:4" x14ac:dyDescent="0.25">
      <c r="A33" s="11" t="s">
        <v>28</v>
      </c>
      <c r="D33" s="11" t="s">
        <v>82</v>
      </c>
    </row>
    <row r="34" spans="1:4" x14ac:dyDescent="0.25">
      <c r="A34" s="4">
        <v>3</v>
      </c>
      <c r="D34" s="22">
        <f>SUM(A34:A44)</f>
        <v>57</v>
      </c>
    </row>
    <row r="35" spans="1:4" x14ac:dyDescent="0.25">
      <c r="A35" s="4">
        <v>9</v>
      </c>
    </row>
    <row r="36" spans="1:4" x14ac:dyDescent="0.25">
      <c r="A36" s="4">
        <v>9</v>
      </c>
    </row>
    <row r="37" spans="1:4" x14ac:dyDescent="0.25">
      <c r="A37" s="4">
        <v>9</v>
      </c>
    </row>
    <row r="38" spans="1:4" x14ac:dyDescent="0.25">
      <c r="A38" s="4">
        <v>1</v>
      </c>
    </row>
    <row r="39" spans="1:4" x14ac:dyDescent="0.25">
      <c r="A39" s="4">
        <v>3</v>
      </c>
    </row>
    <row r="40" spans="1:4" x14ac:dyDescent="0.25">
      <c r="A40" s="4">
        <v>10</v>
      </c>
    </row>
    <row r="41" spans="1:4" x14ac:dyDescent="0.25">
      <c r="A41" s="4">
        <v>6</v>
      </c>
    </row>
    <row r="42" spans="1:4" x14ac:dyDescent="0.25">
      <c r="A42" s="4">
        <v>1</v>
      </c>
    </row>
    <row r="43" spans="1:4" x14ac:dyDescent="0.25">
      <c r="A43" s="4">
        <v>4</v>
      </c>
    </row>
    <row r="44" spans="1:4" x14ac:dyDescent="0.25">
      <c r="A44" s="4">
        <v>2</v>
      </c>
    </row>
  </sheetData>
  <dataValidations count="1">
    <dataValidation type="list" allowBlank="1" showInputMessage="1" showErrorMessage="1" sqref="D5 D13 D20 D27">
      <formula1>$A$5:$A$8</formula1>
    </dataValidation>
  </dataValidation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L373"/>
  <sheetViews>
    <sheetView workbookViewId="0">
      <selection activeCell="D4" sqref="D4"/>
    </sheetView>
  </sheetViews>
  <sheetFormatPr defaultRowHeight="15" x14ac:dyDescent="0.25"/>
  <cols>
    <col min="1" max="1" width="18" customWidth="1"/>
    <col min="2" max="2" width="12.7109375" customWidth="1"/>
    <col min="4" max="4" width="19.5703125" bestFit="1" customWidth="1"/>
    <col min="5" max="5" width="14.28515625" customWidth="1"/>
    <col min="9" max="9" width="19.5703125" bestFit="1" customWidth="1"/>
    <col min="11" max="11" width="21.42578125" bestFit="1" customWidth="1"/>
    <col min="12" max="12" width="15.5703125" bestFit="1" customWidth="1"/>
  </cols>
  <sheetData>
    <row r="1" spans="1:12" x14ac:dyDescent="0.25">
      <c r="A1" t="s">
        <v>828</v>
      </c>
    </row>
    <row r="3" spans="1:12" x14ac:dyDescent="0.25">
      <c r="A3" s="11" t="s">
        <v>809</v>
      </c>
      <c r="B3" s="11" t="s">
        <v>825</v>
      </c>
      <c r="D3" s="11" t="s">
        <v>809</v>
      </c>
      <c r="E3" s="11" t="s">
        <v>826</v>
      </c>
      <c r="K3" s="11" t="s">
        <v>809</v>
      </c>
      <c r="L3" s="11" t="s">
        <v>810</v>
      </c>
    </row>
    <row r="4" spans="1:12" x14ac:dyDescent="0.25">
      <c r="A4" s="4" t="s">
        <v>794</v>
      </c>
      <c r="B4" s="4">
        <v>4</v>
      </c>
      <c r="D4" s="4" t="s">
        <v>860</v>
      </c>
      <c r="E4" s="22">
        <f t="shared" ref="E4:E18" si="0">SUMIFS($B$4:$B$373,$A$4:$A$373,D4)</f>
        <v>0</v>
      </c>
      <c r="K4" s="4" t="s">
        <v>794</v>
      </c>
      <c r="L4" s="62">
        <f ca="1">RANDBETWEEN(10,60)/1000</f>
        <v>0.03</v>
      </c>
    </row>
    <row r="5" spans="1:12" x14ac:dyDescent="0.25">
      <c r="A5" s="4" t="s">
        <v>811</v>
      </c>
      <c r="B5" s="4">
        <v>2</v>
      </c>
      <c r="D5" s="4" t="s">
        <v>795</v>
      </c>
      <c r="E5" s="22">
        <f t="shared" si="0"/>
        <v>0</v>
      </c>
      <c r="K5" s="4" t="s">
        <v>811</v>
      </c>
      <c r="L5" s="62">
        <f t="shared" ref="L5:L18" ca="1" si="1">RANDBETWEEN(10,60)/1000</f>
        <v>4.8000000000000001E-2</v>
      </c>
    </row>
    <row r="6" spans="1:12" x14ac:dyDescent="0.25">
      <c r="A6" s="4" t="s">
        <v>824</v>
      </c>
      <c r="B6" s="4">
        <v>3</v>
      </c>
      <c r="D6" s="4" t="s">
        <v>796</v>
      </c>
      <c r="E6" s="22">
        <f t="shared" si="0"/>
        <v>0</v>
      </c>
      <c r="K6" s="4" t="s">
        <v>812</v>
      </c>
      <c r="L6" s="62">
        <f t="shared" ca="1" si="1"/>
        <v>1.4999999999999999E-2</v>
      </c>
    </row>
    <row r="7" spans="1:12" x14ac:dyDescent="0.25">
      <c r="A7" s="4" t="s">
        <v>813</v>
      </c>
      <c r="B7" s="4">
        <v>8</v>
      </c>
      <c r="D7" s="4" t="s">
        <v>808</v>
      </c>
      <c r="E7" s="22">
        <f t="shared" si="0"/>
        <v>0</v>
      </c>
      <c r="K7" s="4" t="s">
        <v>813</v>
      </c>
      <c r="L7" s="62">
        <f t="shared" ca="1" si="1"/>
        <v>1.4E-2</v>
      </c>
    </row>
    <row r="8" spans="1:12" x14ac:dyDescent="0.25">
      <c r="A8" s="4" t="s">
        <v>819</v>
      </c>
      <c r="B8" s="4">
        <v>8</v>
      </c>
      <c r="D8" s="4" t="s">
        <v>797</v>
      </c>
      <c r="E8" s="22">
        <f t="shared" si="0"/>
        <v>0</v>
      </c>
      <c r="K8" s="4" t="s">
        <v>814</v>
      </c>
      <c r="L8" s="62">
        <f t="shared" ca="1" si="1"/>
        <v>4.9000000000000002E-2</v>
      </c>
    </row>
    <row r="9" spans="1:12" x14ac:dyDescent="0.25">
      <c r="A9" s="4" t="s">
        <v>815</v>
      </c>
      <c r="B9" s="4">
        <v>4</v>
      </c>
      <c r="D9" s="4" t="s">
        <v>798</v>
      </c>
      <c r="E9" s="22">
        <f t="shared" si="0"/>
        <v>0</v>
      </c>
      <c r="K9" s="4" t="s">
        <v>815</v>
      </c>
      <c r="L9" s="62">
        <f t="shared" ca="1" si="1"/>
        <v>4.3999999999999997E-2</v>
      </c>
    </row>
    <row r="10" spans="1:12" x14ac:dyDescent="0.25">
      <c r="A10" s="4" t="s">
        <v>820</v>
      </c>
      <c r="B10" s="4">
        <v>5</v>
      </c>
      <c r="D10" s="4" t="s">
        <v>799</v>
      </c>
      <c r="E10" s="22">
        <f t="shared" si="0"/>
        <v>0</v>
      </c>
      <c r="K10" s="4" t="s">
        <v>816</v>
      </c>
      <c r="L10" s="62">
        <f t="shared" ca="1" si="1"/>
        <v>5.6000000000000001E-2</v>
      </c>
    </row>
    <row r="11" spans="1:12" x14ac:dyDescent="0.25">
      <c r="A11" s="4" t="s">
        <v>818</v>
      </c>
      <c r="B11" s="4">
        <v>9</v>
      </c>
      <c r="D11" s="4" t="s">
        <v>800</v>
      </c>
      <c r="E11" s="22">
        <f t="shared" si="0"/>
        <v>0</v>
      </c>
      <c r="K11" s="4" t="s">
        <v>817</v>
      </c>
      <c r="L11" s="62">
        <f t="shared" ca="1" si="1"/>
        <v>2.5000000000000001E-2</v>
      </c>
    </row>
    <row r="12" spans="1:12" x14ac:dyDescent="0.25">
      <c r="A12" s="4" t="s">
        <v>823</v>
      </c>
      <c r="B12" s="4">
        <v>8</v>
      </c>
      <c r="D12" s="4" t="s">
        <v>801</v>
      </c>
      <c r="E12" s="22">
        <f t="shared" si="0"/>
        <v>0</v>
      </c>
      <c r="K12" s="4" t="s">
        <v>818</v>
      </c>
      <c r="L12" s="62">
        <f t="shared" ca="1" si="1"/>
        <v>1.4E-2</v>
      </c>
    </row>
    <row r="13" spans="1:12" x14ac:dyDescent="0.25">
      <c r="A13" s="4" t="s">
        <v>818</v>
      </c>
      <c r="B13" s="4">
        <v>7</v>
      </c>
      <c r="D13" s="4" t="s">
        <v>802</v>
      </c>
      <c r="E13" s="22">
        <f t="shared" si="0"/>
        <v>0</v>
      </c>
      <c r="K13" s="4" t="s">
        <v>819</v>
      </c>
      <c r="L13" s="62">
        <f t="shared" ca="1" si="1"/>
        <v>2.8000000000000001E-2</v>
      </c>
    </row>
    <row r="14" spans="1:12" x14ac:dyDescent="0.25">
      <c r="A14" s="4" t="s">
        <v>821</v>
      </c>
      <c r="B14" s="4">
        <v>10</v>
      </c>
      <c r="D14" s="4" t="s">
        <v>803</v>
      </c>
      <c r="E14" s="22">
        <f t="shared" si="0"/>
        <v>0</v>
      </c>
      <c r="K14" s="4" t="s">
        <v>820</v>
      </c>
      <c r="L14" s="62">
        <f t="shared" ca="1" si="1"/>
        <v>5.6000000000000001E-2</v>
      </c>
    </row>
    <row r="15" spans="1:12" x14ac:dyDescent="0.25">
      <c r="A15" s="4" t="s">
        <v>823</v>
      </c>
      <c r="B15" s="4">
        <v>6</v>
      </c>
      <c r="D15" s="4" t="s">
        <v>804</v>
      </c>
      <c r="E15" s="22">
        <f t="shared" si="0"/>
        <v>0</v>
      </c>
      <c r="K15" s="4" t="s">
        <v>821</v>
      </c>
      <c r="L15" s="62">
        <f t="shared" ca="1" si="1"/>
        <v>4.2000000000000003E-2</v>
      </c>
    </row>
    <row r="16" spans="1:12" x14ac:dyDescent="0.25">
      <c r="A16" s="4" t="s">
        <v>818</v>
      </c>
      <c r="B16" s="4">
        <v>5</v>
      </c>
      <c r="D16" s="4" t="s">
        <v>805</v>
      </c>
      <c r="E16" s="22">
        <f t="shared" si="0"/>
        <v>0</v>
      </c>
      <c r="K16" s="4" t="s">
        <v>822</v>
      </c>
      <c r="L16" s="62">
        <f t="shared" ca="1" si="1"/>
        <v>1.2999999999999999E-2</v>
      </c>
    </row>
    <row r="17" spans="1:12" x14ac:dyDescent="0.25">
      <c r="A17" s="4" t="s">
        <v>794</v>
      </c>
      <c r="B17" s="4">
        <v>2</v>
      </c>
      <c r="D17" s="4" t="s">
        <v>806</v>
      </c>
      <c r="E17" s="22">
        <f t="shared" si="0"/>
        <v>0</v>
      </c>
      <c r="K17" s="4" t="s">
        <v>823</v>
      </c>
      <c r="L17" s="62">
        <f t="shared" ca="1" si="1"/>
        <v>2.8000000000000001E-2</v>
      </c>
    </row>
    <row r="18" spans="1:12" x14ac:dyDescent="0.25">
      <c r="A18" s="4" t="s">
        <v>818</v>
      </c>
      <c r="B18" s="4">
        <v>4</v>
      </c>
      <c r="D18" s="4" t="s">
        <v>807</v>
      </c>
      <c r="E18" s="22">
        <f t="shared" si="0"/>
        <v>0</v>
      </c>
      <c r="K18" s="4" t="s">
        <v>824</v>
      </c>
      <c r="L18" s="62">
        <f t="shared" ca="1" si="1"/>
        <v>5.2999999999999999E-2</v>
      </c>
    </row>
    <row r="19" spans="1:12" x14ac:dyDescent="0.25">
      <c r="A19" s="4" t="s">
        <v>812</v>
      </c>
      <c r="B19" s="4">
        <v>1</v>
      </c>
    </row>
    <row r="20" spans="1:12" x14ac:dyDescent="0.25">
      <c r="A20" s="4" t="s">
        <v>812</v>
      </c>
      <c r="B20" s="4">
        <v>7</v>
      </c>
    </row>
    <row r="21" spans="1:12" x14ac:dyDescent="0.25">
      <c r="A21" s="4" t="s">
        <v>815</v>
      </c>
      <c r="B21" s="4">
        <v>1</v>
      </c>
    </row>
    <row r="22" spans="1:12" x14ac:dyDescent="0.25">
      <c r="A22" s="4" t="s">
        <v>821</v>
      </c>
      <c r="B22" s="4">
        <v>1</v>
      </c>
    </row>
    <row r="23" spans="1:12" x14ac:dyDescent="0.25">
      <c r="A23" s="4" t="s">
        <v>816</v>
      </c>
      <c r="B23" s="4">
        <v>9</v>
      </c>
    </row>
    <row r="24" spans="1:12" x14ac:dyDescent="0.25">
      <c r="A24" s="4" t="s">
        <v>794</v>
      </c>
      <c r="B24" s="4">
        <v>1</v>
      </c>
    </row>
    <row r="25" spans="1:12" x14ac:dyDescent="0.25">
      <c r="A25" s="4" t="s">
        <v>823</v>
      </c>
      <c r="B25" s="4">
        <v>8</v>
      </c>
    </row>
    <row r="26" spans="1:12" x14ac:dyDescent="0.25">
      <c r="A26" s="4" t="s">
        <v>813</v>
      </c>
      <c r="B26" s="4">
        <v>1</v>
      </c>
    </row>
    <row r="27" spans="1:12" x14ac:dyDescent="0.25">
      <c r="A27" s="4" t="s">
        <v>811</v>
      </c>
      <c r="B27" s="4">
        <v>6</v>
      </c>
    </row>
    <row r="28" spans="1:12" x14ac:dyDescent="0.25">
      <c r="A28" s="4" t="s">
        <v>820</v>
      </c>
      <c r="B28" s="4">
        <v>6</v>
      </c>
    </row>
    <row r="29" spans="1:12" x14ac:dyDescent="0.25">
      <c r="A29" s="4" t="s">
        <v>816</v>
      </c>
      <c r="B29" s="4">
        <v>8</v>
      </c>
    </row>
    <row r="30" spans="1:12" x14ac:dyDescent="0.25">
      <c r="A30" s="4" t="s">
        <v>823</v>
      </c>
      <c r="B30" s="4">
        <v>2</v>
      </c>
    </row>
    <row r="31" spans="1:12" x14ac:dyDescent="0.25">
      <c r="A31" s="4" t="s">
        <v>811</v>
      </c>
      <c r="B31" s="4">
        <v>10</v>
      </c>
    </row>
    <row r="32" spans="1:12" x14ac:dyDescent="0.25">
      <c r="A32" s="4" t="s">
        <v>824</v>
      </c>
      <c r="B32" s="4">
        <v>8</v>
      </c>
    </row>
    <row r="33" spans="1:2" x14ac:dyDescent="0.25">
      <c r="A33" s="4" t="s">
        <v>822</v>
      </c>
      <c r="B33" s="4">
        <v>4</v>
      </c>
    </row>
    <row r="34" spans="1:2" x14ac:dyDescent="0.25">
      <c r="A34" s="4" t="s">
        <v>812</v>
      </c>
      <c r="B34" s="4">
        <v>10</v>
      </c>
    </row>
    <row r="35" spans="1:2" x14ac:dyDescent="0.25">
      <c r="A35" s="4" t="s">
        <v>815</v>
      </c>
      <c r="B35" s="4">
        <v>3</v>
      </c>
    </row>
    <row r="36" spans="1:2" x14ac:dyDescent="0.25">
      <c r="A36" s="4" t="s">
        <v>818</v>
      </c>
      <c r="B36" s="4">
        <v>3</v>
      </c>
    </row>
    <row r="37" spans="1:2" x14ac:dyDescent="0.25">
      <c r="A37" s="4" t="s">
        <v>819</v>
      </c>
      <c r="B37" s="4">
        <v>4</v>
      </c>
    </row>
    <row r="38" spans="1:2" x14ac:dyDescent="0.25">
      <c r="A38" s="4" t="s">
        <v>820</v>
      </c>
      <c r="B38" s="4">
        <v>10</v>
      </c>
    </row>
    <row r="39" spans="1:2" x14ac:dyDescent="0.25">
      <c r="A39" s="4" t="s">
        <v>813</v>
      </c>
      <c r="B39" s="4">
        <v>10</v>
      </c>
    </row>
    <row r="40" spans="1:2" x14ac:dyDescent="0.25">
      <c r="A40" s="4" t="s">
        <v>822</v>
      </c>
      <c r="B40" s="4">
        <v>3</v>
      </c>
    </row>
    <row r="41" spans="1:2" x14ac:dyDescent="0.25">
      <c r="A41" s="4" t="s">
        <v>821</v>
      </c>
      <c r="B41" s="4">
        <v>1</v>
      </c>
    </row>
    <row r="42" spans="1:2" x14ac:dyDescent="0.25">
      <c r="A42" s="4" t="s">
        <v>820</v>
      </c>
      <c r="B42" s="4">
        <v>5</v>
      </c>
    </row>
    <row r="43" spans="1:2" x14ac:dyDescent="0.25">
      <c r="A43" s="4" t="s">
        <v>819</v>
      </c>
      <c r="B43" s="4">
        <v>9</v>
      </c>
    </row>
    <row r="44" spans="1:2" x14ac:dyDescent="0.25">
      <c r="A44" s="4" t="s">
        <v>811</v>
      </c>
      <c r="B44" s="4">
        <v>6</v>
      </c>
    </row>
    <row r="45" spans="1:2" x14ac:dyDescent="0.25">
      <c r="A45" s="4" t="s">
        <v>817</v>
      </c>
      <c r="B45" s="4">
        <v>7</v>
      </c>
    </row>
    <row r="46" spans="1:2" x14ac:dyDescent="0.25">
      <c r="A46" s="4" t="s">
        <v>817</v>
      </c>
      <c r="B46" s="4">
        <v>3</v>
      </c>
    </row>
    <row r="47" spans="1:2" x14ac:dyDescent="0.25">
      <c r="A47" s="4" t="s">
        <v>824</v>
      </c>
      <c r="B47" s="4">
        <v>4</v>
      </c>
    </row>
    <row r="48" spans="1:2" x14ac:dyDescent="0.25">
      <c r="A48" s="4" t="s">
        <v>812</v>
      </c>
      <c r="B48" s="4">
        <v>1</v>
      </c>
    </row>
    <row r="49" spans="1:2" x14ac:dyDescent="0.25">
      <c r="A49" s="4" t="s">
        <v>814</v>
      </c>
      <c r="B49" s="4">
        <v>5</v>
      </c>
    </row>
    <row r="50" spans="1:2" x14ac:dyDescent="0.25">
      <c r="A50" s="4" t="s">
        <v>811</v>
      </c>
      <c r="B50" s="4">
        <v>1</v>
      </c>
    </row>
    <row r="51" spans="1:2" x14ac:dyDescent="0.25">
      <c r="A51" s="4" t="s">
        <v>818</v>
      </c>
      <c r="B51" s="4">
        <v>6</v>
      </c>
    </row>
    <row r="52" spans="1:2" x14ac:dyDescent="0.25">
      <c r="A52" s="4" t="s">
        <v>824</v>
      </c>
      <c r="B52" s="4">
        <v>8</v>
      </c>
    </row>
    <row r="53" spans="1:2" x14ac:dyDescent="0.25">
      <c r="A53" s="4" t="s">
        <v>820</v>
      </c>
      <c r="B53" s="4">
        <v>4</v>
      </c>
    </row>
    <row r="54" spans="1:2" x14ac:dyDescent="0.25">
      <c r="A54" s="4" t="s">
        <v>820</v>
      </c>
      <c r="B54" s="4">
        <v>9</v>
      </c>
    </row>
    <row r="55" spans="1:2" x14ac:dyDescent="0.25">
      <c r="A55" s="4" t="s">
        <v>821</v>
      </c>
      <c r="B55" s="4">
        <v>3</v>
      </c>
    </row>
    <row r="56" spans="1:2" x14ac:dyDescent="0.25">
      <c r="A56" s="4" t="s">
        <v>794</v>
      </c>
      <c r="B56" s="4">
        <v>5</v>
      </c>
    </row>
    <row r="57" spans="1:2" x14ac:dyDescent="0.25">
      <c r="A57" s="4" t="s">
        <v>818</v>
      </c>
      <c r="B57" s="4">
        <v>8</v>
      </c>
    </row>
    <row r="58" spans="1:2" x14ac:dyDescent="0.25">
      <c r="A58" s="4" t="s">
        <v>823</v>
      </c>
      <c r="B58" s="4">
        <v>10</v>
      </c>
    </row>
    <row r="59" spans="1:2" x14ac:dyDescent="0.25">
      <c r="A59" s="4" t="s">
        <v>811</v>
      </c>
      <c r="B59" s="4">
        <v>6</v>
      </c>
    </row>
    <row r="60" spans="1:2" x14ac:dyDescent="0.25">
      <c r="A60" s="4" t="s">
        <v>811</v>
      </c>
      <c r="B60" s="4">
        <v>8</v>
      </c>
    </row>
    <row r="61" spans="1:2" x14ac:dyDescent="0.25">
      <c r="A61" s="4" t="s">
        <v>813</v>
      </c>
      <c r="B61" s="4">
        <v>5</v>
      </c>
    </row>
    <row r="62" spans="1:2" x14ac:dyDescent="0.25">
      <c r="A62" s="4" t="s">
        <v>820</v>
      </c>
      <c r="B62" s="4">
        <v>7</v>
      </c>
    </row>
    <row r="63" spans="1:2" x14ac:dyDescent="0.25">
      <c r="A63" s="4" t="s">
        <v>821</v>
      </c>
      <c r="B63" s="4">
        <v>10</v>
      </c>
    </row>
    <row r="64" spans="1:2" x14ac:dyDescent="0.25">
      <c r="A64" s="4" t="s">
        <v>820</v>
      </c>
      <c r="B64" s="4">
        <v>2</v>
      </c>
    </row>
    <row r="65" spans="1:2" x14ac:dyDescent="0.25">
      <c r="A65" s="4" t="s">
        <v>822</v>
      </c>
      <c r="B65" s="4">
        <v>1</v>
      </c>
    </row>
    <row r="66" spans="1:2" x14ac:dyDescent="0.25">
      <c r="A66" s="4" t="s">
        <v>819</v>
      </c>
      <c r="B66" s="4">
        <v>2</v>
      </c>
    </row>
    <row r="67" spans="1:2" x14ac:dyDescent="0.25">
      <c r="A67" s="4" t="s">
        <v>814</v>
      </c>
      <c r="B67" s="4">
        <v>6</v>
      </c>
    </row>
    <row r="68" spans="1:2" x14ac:dyDescent="0.25">
      <c r="A68" s="4" t="s">
        <v>822</v>
      </c>
      <c r="B68" s="4">
        <v>9</v>
      </c>
    </row>
    <row r="69" spans="1:2" x14ac:dyDescent="0.25">
      <c r="A69" s="4" t="s">
        <v>794</v>
      </c>
      <c r="B69" s="4">
        <v>9</v>
      </c>
    </row>
    <row r="70" spans="1:2" x14ac:dyDescent="0.25">
      <c r="A70" s="4" t="s">
        <v>818</v>
      </c>
      <c r="B70" s="4">
        <v>4</v>
      </c>
    </row>
    <row r="71" spans="1:2" x14ac:dyDescent="0.25">
      <c r="A71" s="4" t="s">
        <v>820</v>
      </c>
      <c r="B71" s="4">
        <v>9</v>
      </c>
    </row>
    <row r="72" spans="1:2" x14ac:dyDescent="0.25">
      <c r="A72" s="4" t="s">
        <v>821</v>
      </c>
      <c r="B72" s="4">
        <v>10</v>
      </c>
    </row>
    <row r="73" spans="1:2" x14ac:dyDescent="0.25">
      <c r="A73" s="4" t="s">
        <v>811</v>
      </c>
      <c r="B73" s="4">
        <v>2</v>
      </c>
    </row>
    <row r="74" spans="1:2" x14ac:dyDescent="0.25">
      <c r="A74" s="4" t="s">
        <v>820</v>
      </c>
      <c r="B74" s="4">
        <v>5</v>
      </c>
    </row>
    <row r="75" spans="1:2" x14ac:dyDescent="0.25">
      <c r="A75" s="4" t="s">
        <v>823</v>
      </c>
      <c r="B75" s="4">
        <v>3</v>
      </c>
    </row>
    <row r="76" spans="1:2" x14ac:dyDescent="0.25">
      <c r="A76" s="4" t="s">
        <v>811</v>
      </c>
      <c r="B76" s="4">
        <v>5</v>
      </c>
    </row>
    <row r="77" spans="1:2" x14ac:dyDescent="0.25">
      <c r="A77" s="4" t="s">
        <v>818</v>
      </c>
      <c r="B77" s="4">
        <v>6</v>
      </c>
    </row>
    <row r="78" spans="1:2" x14ac:dyDescent="0.25">
      <c r="A78" s="4" t="s">
        <v>816</v>
      </c>
      <c r="B78" s="4">
        <v>9</v>
      </c>
    </row>
    <row r="79" spans="1:2" x14ac:dyDescent="0.25">
      <c r="A79" s="4" t="s">
        <v>819</v>
      </c>
      <c r="B79" s="4">
        <v>4</v>
      </c>
    </row>
    <row r="80" spans="1:2" x14ac:dyDescent="0.25">
      <c r="A80" s="4" t="s">
        <v>819</v>
      </c>
      <c r="B80" s="4">
        <v>1</v>
      </c>
    </row>
    <row r="81" spans="1:2" x14ac:dyDescent="0.25">
      <c r="A81" s="4" t="s">
        <v>815</v>
      </c>
      <c r="B81" s="4">
        <v>5</v>
      </c>
    </row>
    <row r="82" spans="1:2" x14ac:dyDescent="0.25">
      <c r="A82" s="4" t="s">
        <v>813</v>
      </c>
      <c r="B82" s="4">
        <v>2</v>
      </c>
    </row>
    <row r="83" spans="1:2" x14ac:dyDescent="0.25">
      <c r="A83" s="4" t="s">
        <v>816</v>
      </c>
      <c r="B83" s="4">
        <v>10</v>
      </c>
    </row>
    <row r="84" spans="1:2" x14ac:dyDescent="0.25">
      <c r="A84" s="4" t="s">
        <v>811</v>
      </c>
      <c r="B84" s="4">
        <v>1</v>
      </c>
    </row>
    <row r="85" spans="1:2" x14ac:dyDescent="0.25">
      <c r="A85" s="4" t="s">
        <v>814</v>
      </c>
      <c r="B85" s="4">
        <v>9</v>
      </c>
    </row>
    <row r="86" spans="1:2" x14ac:dyDescent="0.25">
      <c r="A86" s="4" t="s">
        <v>821</v>
      </c>
      <c r="B86" s="4">
        <v>9</v>
      </c>
    </row>
    <row r="87" spans="1:2" x14ac:dyDescent="0.25">
      <c r="A87" s="4" t="s">
        <v>819</v>
      </c>
      <c r="B87" s="4">
        <v>8</v>
      </c>
    </row>
    <row r="88" spans="1:2" x14ac:dyDescent="0.25">
      <c r="A88" s="4" t="s">
        <v>817</v>
      </c>
      <c r="B88" s="4">
        <v>1</v>
      </c>
    </row>
    <row r="89" spans="1:2" x14ac:dyDescent="0.25">
      <c r="A89" s="4" t="s">
        <v>812</v>
      </c>
      <c r="B89" s="4">
        <v>3</v>
      </c>
    </row>
    <row r="90" spans="1:2" x14ac:dyDescent="0.25">
      <c r="A90" s="4" t="s">
        <v>817</v>
      </c>
      <c r="B90" s="4">
        <v>5</v>
      </c>
    </row>
    <row r="91" spans="1:2" x14ac:dyDescent="0.25">
      <c r="A91" s="4" t="s">
        <v>818</v>
      </c>
      <c r="B91" s="4">
        <v>2</v>
      </c>
    </row>
    <row r="92" spans="1:2" x14ac:dyDescent="0.25">
      <c r="A92" s="4" t="s">
        <v>794</v>
      </c>
      <c r="B92" s="4">
        <v>9</v>
      </c>
    </row>
    <row r="93" spans="1:2" x14ac:dyDescent="0.25">
      <c r="A93" s="4" t="s">
        <v>820</v>
      </c>
      <c r="B93" s="4">
        <v>10</v>
      </c>
    </row>
    <row r="94" spans="1:2" x14ac:dyDescent="0.25">
      <c r="A94" s="4" t="s">
        <v>811</v>
      </c>
      <c r="B94" s="4">
        <v>9</v>
      </c>
    </row>
    <row r="95" spans="1:2" x14ac:dyDescent="0.25">
      <c r="A95" s="4" t="s">
        <v>822</v>
      </c>
      <c r="B95" s="4">
        <v>6</v>
      </c>
    </row>
    <row r="96" spans="1:2" x14ac:dyDescent="0.25">
      <c r="A96" s="4" t="s">
        <v>822</v>
      </c>
      <c r="B96" s="4">
        <v>7</v>
      </c>
    </row>
    <row r="97" spans="1:2" x14ac:dyDescent="0.25">
      <c r="A97" s="4" t="s">
        <v>823</v>
      </c>
      <c r="B97" s="4">
        <v>2</v>
      </c>
    </row>
    <row r="98" spans="1:2" x14ac:dyDescent="0.25">
      <c r="A98" s="4" t="s">
        <v>814</v>
      </c>
      <c r="B98" s="4">
        <v>7</v>
      </c>
    </row>
    <row r="99" spans="1:2" x14ac:dyDescent="0.25">
      <c r="A99" s="4" t="s">
        <v>817</v>
      </c>
      <c r="B99" s="4">
        <v>4</v>
      </c>
    </row>
    <row r="100" spans="1:2" x14ac:dyDescent="0.25">
      <c r="A100" s="4" t="s">
        <v>821</v>
      </c>
      <c r="B100" s="4">
        <v>10</v>
      </c>
    </row>
    <row r="101" spans="1:2" x14ac:dyDescent="0.25">
      <c r="A101" s="4" t="s">
        <v>814</v>
      </c>
      <c r="B101" s="4">
        <v>6</v>
      </c>
    </row>
    <row r="102" spans="1:2" x14ac:dyDescent="0.25">
      <c r="A102" s="4" t="s">
        <v>816</v>
      </c>
      <c r="B102" s="4">
        <v>6</v>
      </c>
    </row>
    <row r="103" spans="1:2" x14ac:dyDescent="0.25">
      <c r="A103" s="4" t="s">
        <v>815</v>
      </c>
      <c r="B103" s="4">
        <v>7</v>
      </c>
    </row>
    <row r="104" spans="1:2" x14ac:dyDescent="0.25">
      <c r="A104" s="4" t="s">
        <v>818</v>
      </c>
      <c r="B104" s="4">
        <v>4</v>
      </c>
    </row>
    <row r="105" spans="1:2" x14ac:dyDescent="0.25">
      <c r="A105" s="4" t="s">
        <v>814</v>
      </c>
      <c r="B105" s="4">
        <v>10</v>
      </c>
    </row>
    <row r="106" spans="1:2" x14ac:dyDescent="0.25">
      <c r="A106" s="4" t="s">
        <v>816</v>
      </c>
      <c r="B106" s="4">
        <v>8</v>
      </c>
    </row>
    <row r="107" spans="1:2" x14ac:dyDescent="0.25">
      <c r="A107" s="4" t="s">
        <v>812</v>
      </c>
      <c r="B107" s="4">
        <v>6</v>
      </c>
    </row>
    <row r="108" spans="1:2" x14ac:dyDescent="0.25">
      <c r="A108" s="4" t="s">
        <v>813</v>
      </c>
      <c r="B108" s="4">
        <v>4</v>
      </c>
    </row>
    <row r="109" spans="1:2" x14ac:dyDescent="0.25">
      <c r="A109" s="4" t="s">
        <v>823</v>
      </c>
      <c r="B109" s="4">
        <v>7</v>
      </c>
    </row>
    <row r="110" spans="1:2" x14ac:dyDescent="0.25">
      <c r="A110" s="4" t="s">
        <v>823</v>
      </c>
      <c r="B110" s="4">
        <v>3</v>
      </c>
    </row>
    <row r="111" spans="1:2" x14ac:dyDescent="0.25">
      <c r="A111" s="4" t="s">
        <v>813</v>
      </c>
      <c r="B111" s="4">
        <v>5</v>
      </c>
    </row>
    <row r="112" spans="1:2" x14ac:dyDescent="0.25">
      <c r="A112" s="4" t="s">
        <v>819</v>
      </c>
      <c r="B112" s="4">
        <v>1</v>
      </c>
    </row>
    <row r="113" spans="1:2" x14ac:dyDescent="0.25">
      <c r="A113" s="4" t="s">
        <v>818</v>
      </c>
      <c r="B113" s="4">
        <v>6</v>
      </c>
    </row>
    <row r="114" spans="1:2" x14ac:dyDescent="0.25">
      <c r="A114" s="4" t="s">
        <v>794</v>
      </c>
      <c r="B114" s="4">
        <v>2</v>
      </c>
    </row>
    <row r="115" spans="1:2" x14ac:dyDescent="0.25">
      <c r="A115" s="4" t="s">
        <v>819</v>
      </c>
      <c r="B115" s="4">
        <v>10</v>
      </c>
    </row>
    <row r="116" spans="1:2" x14ac:dyDescent="0.25">
      <c r="A116" s="4" t="s">
        <v>812</v>
      </c>
      <c r="B116" s="4">
        <v>6</v>
      </c>
    </row>
    <row r="117" spans="1:2" x14ac:dyDescent="0.25">
      <c r="A117" s="4" t="s">
        <v>814</v>
      </c>
      <c r="B117" s="4">
        <v>7</v>
      </c>
    </row>
    <row r="118" spans="1:2" x14ac:dyDescent="0.25">
      <c r="A118" s="4" t="s">
        <v>821</v>
      </c>
      <c r="B118" s="4">
        <v>3</v>
      </c>
    </row>
    <row r="119" spans="1:2" x14ac:dyDescent="0.25">
      <c r="A119" s="4" t="s">
        <v>817</v>
      </c>
      <c r="B119" s="4">
        <v>4</v>
      </c>
    </row>
    <row r="120" spans="1:2" x14ac:dyDescent="0.25">
      <c r="A120" s="4" t="s">
        <v>813</v>
      </c>
      <c r="B120" s="4">
        <v>6</v>
      </c>
    </row>
    <row r="121" spans="1:2" x14ac:dyDescent="0.25">
      <c r="A121" s="4" t="s">
        <v>815</v>
      </c>
      <c r="B121" s="4">
        <v>5</v>
      </c>
    </row>
    <row r="122" spans="1:2" x14ac:dyDescent="0.25">
      <c r="A122" s="4" t="s">
        <v>794</v>
      </c>
      <c r="B122" s="4">
        <v>10</v>
      </c>
    </row>
    <row r="123" spans="1:2" x14ac:dyDescent="0.25">
      <c r="A123" s="4" t="s">
        <v>814</v>
      </c>
      <c r="B123" s="4">
        <v>4</v>
      </c>
    </row>
    <row r="124" spans="1:2" x14ac:dyDescent="0.25">
      <c r="A124" s="4" t="s">
        <v>822</v>
      </c>
      <c r="B124" s="4">
        <v>1</v>
      </c>
    </row>
    <row r="125" spans="1:2" x14ac:dyDescent="0.25">
      <c r="A125" s="4" t="s">
        <v>817</v>
      </c>
      <c r="B125" s="4">
        <v>9</v>
      </c>
    </row>
    <row r="126" spans="1:2" x14ac:dyDescent="0.25">
      <c r="A126" s="4" t="s">
        <v>823</v>
      </c>
      <c r="B126" s="4">
        <v>10</v>
      </c>
    </row>
    <row r="127" spans="1:2" x14ac:dyDescent="0.25">
      <c r="A127" s="4" t="s">
        <v>812</v>
      </c>
      <c r="B127" s="4">
        <v>10</v>
      </c>
    </row>
    <row r="128" spans="1:2" x14ac:dyDescent="0.25">
      <c r="A128" s="4" t="s">
        <v>823</v>
      </c>
      <c r="B128" s="4">
        <v>10</v>
      </c>
    </row>
    <row r="129" spans="1:2" x14ac:dyDescent="0.25">
      <c r="A129" s="4" t="s">
        <v>817</v>
      </c>
      <c r="B129" s="4">
        <v>9</v>
      </c>
    </row>
    <row r="130" spans="1:2" x14ac:dyDescent="0.25">
      <c r="A130" s="4" t="s">
        <v>816</v>
      </c>
      <c r="B130" s="4">
        <v>1</v>
      </c>
    </row>
    <row r="131" spans="1:2" x14ac:dyDescent="0.25">
      <c r="A131" s="4" t="s">
        <v>822</v>
      </c>
      <c r="B131" s="4">
        <v>7</v>
      </c>
    </row>
    <row r="132" spans="1:2" x14ac:dyDescent="0.25">
      <c r="A132" s="4" t="s">
        <v>811</v>
      </c>
      <c r="B132" s="4">
        <v>1</v>
      </c>
    </row>
    <row r="133" spans="1:2" x14ac:dyDescent="0.25">
      <c r="A133" s="4" t="s">
        <v>811</v>
      </c>
      <c r="B133" s="4">
        <v>10</v>
      </c>
    </row>
    <row r="134" spans="1:2" x14ac:dyDescent="0.25">
      <c r="A134" s="4" t="s">
        <v>820</v>
      </c>
      <c r="B134" s="4">
        <v>4</v>
      </c>
    </row>
    <row r="135" spans="1:2" x14ac:dyDescent="0.25">
      <c r="A135" s="4" t="s">
        <v>814</v>
      </c>
      <c r="B135" s="4">
        <v>4</v>
      </c>
    </row>
    <row r="136" spans="1:2" x14ac:dyDescent="0.25">
      <c r="A136" s="4" t="s">
        <v>820</v>
      </c>
      <c r="B136" s="4">
        <v>8</v>
      </c>
    </row>
    <row r="137" spans="1:2" x14ac:dyDescent="0.25">
      <c r="A137" s="4" t="s">
        <v>794</v>
      </c>
      <c r="B137" s="4">
        <v>8</v>
      </c>
    </row>
    <row r="138" spans="1:2" x14ac:dyDescent="0.25">
      <c r="A138" s="4" t="s">
        <v>819</v>
      </c>
      <c r="B138" s="4">
        <v>5</v>
      </c>
    </row>
    <row r="139" spans="1:2" x14ac:dyDescent="0.25">
      <c r="A139" s="4" t="s">
        <v>821</v>
      </c>
      <c r="B139" s="4">
        <v>1</v>
      </c>
    </row>
    <row r="140" spans="1:2" x14ac:dyDescent="0.25">
      <c r="A140" s="4" t="s">
        <v>814</v>
      </c>
      <c r="B140" s="4">
        <v>9</v>
      </c>
    </row>
    <row r="141" spans="1:2" x14ac:dyDescent="0.25">
      <c r="A141" s="4" t="s">
        <v>820</v>
      </c>
      <c r="B141" s="4">
        <v>2</v>
      </c>
    </row>
    <row r="142" spans="1:2" x14ac:dyDescent="0.25">
      <c r="A142" s="4" t="s">
        <v>818</v>
      </c>
      <c r="B142" s="4">
        <v>6</v>
      </c>
    </row>
    <row r="143" spans="1:2" x14ac:dyDescent="0.25">
      <c r="A143" s="4" t="s">
        <v>821</v>
      </c>
      <c r="B143" s="4">
        <v>3</v>
      </c>
    </row>
    <row r="144" spans="1:2" x14ac:dyDescent="0.25">
      <c r="A144" s="4" t="s">
        <v>794</v>
      </c>
      <c r="B144" s="4">
        <v>2</v>
      </c>
    </row>
    <row r="145" spans="1:2" x14ac:dyDescent="0.25">
      <c r="A145" s="4" t="s">
        <v>822</v>
      </c>
      <c r="B145" s="4">
        <v>6</v>
      </c>
    </row>
    <row r="146" spans="1:2" x14ac:dyDescent="0.25">
      <c r="A146" s="4" t="s">
        <v>824</v>
      </c>
      <c r="B146" s="4">
        <v>3</v>
      </c>
    </row>
    <row r="147" spans="1:2" x14ac:dyDescent="0.25">
      <c r="A147" s="4" t="s">
        <v>822</v>
      </c>
      <c r="B147" s="4">
        <v>7</v>
      </c>
    </row>
    <row r="148" spans="1:2" x14ac:dyDescent="0.25">
      <c r="A148" s="4" t="s">
        <v>814</v>
      </c>
      <c r="B148" s="4">
        <v>7</v>
      </c>
    </row>
    <row r="149" spans="1:2" x14ac:dyDescent="0.25">
      <c r="A149" s="4" t="s">
        <v>820</v>
      </c>
      <c r="B149" s="4">
        <v>7</v>
      </c>
    </row>
    <row r="150" spans="1:2" x14ac:dyDescent="0.25">
      <c r="A150" s="4" t="s">
        <v>811</v>
      </c>
      <c r="B150" s="4">
        <v>1</v>
      </c>
    </row>
    <row r="151" spans="1:2" x14ac:dyDescent="0.25">
      <c r="A151" s="4" t="s">
        <v>812</v>
      </c>
      <c r="B151" s="4">
        <v>5</v>
      </c>
    </row>
    <row r="152" spans="1:2" x14ac:dyDescent="0.25">
      <c r="A152" s="4" t="s">
        <v>815</v>
      </c>
      <c r="B152" s="4">
        <v>7</v>
      </c>
    </row>
    <row r="153" spans="1:2" x14ac:dyDescent="0.25">
      <c r="A153" s="4" t="s">
        <v>813</v>
      </c>
      <c r="B153" s="4">
        <v>3</v>
      </c>
    </row>
    <row r="154" spans="1:2" x14ac:dyDescent="0.25">
      <c r="A154" s="4" t="s">
        <v>816</v>
      </c>
      <c r="B154" s="4">
        <v>9</v>
      </c>
    </row>
    <row r="155" spans="1:2" x14ac:dyDescent="0.25">
      <c r="A155" s="4" t="s">
        <v>822</v>
      </c>
      <c r="B155" s="4">
        <v>3</v>
      </c>
    </row>
    <row r="156" spans="1:2" x14ac:dyDescent="0.25">
      <c r="A156" s="4" t="s">
        <v>821</v>
      </c>
      <c r="B156" s="4">
        <v>10</v>
      </c>
    </row>
    <row r="157" spans="1:2" x14ac:dyDescent="0.25">
      <c r="A157" s="4" t="s">
        <v>822</v>
      </c>
      <c r="B157" s="4">
        <v>1</v>
      </c>
    </row>
    <row r="158" spans="1:2" x14ac:dyDescent="0.25">
      <c r="A158" s="4" t="s">
        <v>819</v>
      </c>
      <c r="B158" s="4">
        <v>2</v>
      </c>
    </row>
    <row r="159" spans="1:2" x14ac:dyDescent="0.25">
      <c r="A159" s="4" t="s">
        <v>819</v>
      </c>
      <c r="B159" s="4">
        <v>5</v>
      </c>
    </row>
    <row r="160" spans="1:2" x14ac:dyDescent="0.25">
      <c r="A160" s="4" t="s">
        <v>811</v>
      </c>
      <c r="B160" s="4">
        <v>3</v>
      </c>
    </row>
    <row r="161" spans="1:2" x14ac:dyDescent="0.25">
      <c r="A161" s="4" t="s">
        <v>815</v>
      </c>
      <c r="B161" s="4">
        <v>3</v>
      </c>
    </row>
    <row r="162" spans="1:2" x14ac:dyDescent="0.25">
      <c r="A162" s="4" t="s">
        <v>818</v>
      </c>
      <c r="B162" s="4">
        <v>8</v>
      </c>
    </row>
    <row r="163" spans="1:2" x14ac:dyDescent="0.25">
      <c r="A163" s="4" t="s">
        <v>811</v>
      </c>
      <c r="B163" s="4">
        <v>8</v>
      </c>
    </row>
    <row r="164" spans="1:2" x14ac:dyDescent="0.25">
      <c r="A164" s="4" t="s">
        <v>819</v>
      </c>
      <c r="B164" s="4">
        <v>2</v>
      </c>
    </row>
    <row r="165" spans="1:2" x14ac:dyDescent="0.25">
      <c r="A165" s="4" t="s">
        <v>816</v>
      </c>
      <c r="B165" s="4">
        <v>7</v>
      </c>
    </row>
    <row r="166" spans="1:2" x14ac:dyDescent="0.25">
      <c r="A166" s="4" t="s">
        <v>821</v>
      </c>
      <c r="B166" s="4">
        <v>8</v>
      </c>
    </row>
    <row r="167" spans="1:2" x14ac:dyDescent="0.25">
      <c r="A167" s="4" t="s">
        <v>823</v>
      </c>
      <c r="B167" s="4">
        <v>9</v>
      </c>
    </row>
    <row r="168" spans="1:2" x14ac:dyDescent="0.25">
      <c r="A168" s="4" t="s">
        <v>815</v>
      </c>
      <c r="B168" s="4">
        <v>6</v>
      </c>
    </row>
    <row r="169" spans="1:2" x14ac:dyDescent="0.25">
      <c r="A169" s="4" t="s">
        <v>821</v>
      </c>
      <c r="B169" s="4">
        <v>8</v>
      </c>
    </row>
    <row r="170" spans="1:2" x14ac:dyDescent="0.25">
      <c r="A170" s="4" t="s">
        <v>812</v>
      </c>
      <c r="B170" s="4">
        <v>5</v>
      </c>
    </row>
    <row r="171" spans="1:2" x14ac:dyDescent="0.25">
      <c r="A171" s="4" t="s">
        <v>812</v>
      </c>
      <c r="B171" s="4">
        <v>5</v>
      </c>
    </row>
    <row r="172" spans="1:2" x14ac:dyDescent="0.25">
      <c r="A172" s="4" t="s">
        <v>817</v>
      </c>
      <c r="B172" s="4">
        <v>7</v>
      </c>
    </row>
    <row r="173" spans="1:2" x14ac:dyDescent="0.25">
      <c r="A173" s="4" t="s">
        <v>821</v>
      </c>
      <c r="B173" s="4">
        <v>7</v>
      </c>
    </row>
    <row r="174" spans="1:2" x14ac:dyDescent="0.25">
      <c r="A174" s="4" t="s">
        <v>823</v>
      </c>
      <c r="B174" s="4">
        <v>1</v>
      </c>
    </row>
    <row r="175" spans="1:2" x14ac:dyDescent="0.25">
      <c r="A175" s="4" t="s">
        <v>812</v>
      </c>
      <c r="B175" s="4">
        <v>10</v>
      </c>
    </row>
    <row r="176" spans="1:2" x14ac:dyDescent="0.25">
      <c r="A176" s="4" t="s">
        <v>820</v>
      </c>
      <c r="B176" s="4">
        <v>4</v>
      </c>
    </row>
    <row r="177" spans="1:2" x14ac:dyDescent="0.25">
      <c r="A177" s="4" t="s">
        <v>814</v>
      </c>
      <c r="B177" s="4">
        <v>6</v>
      </c>
    </row>
    <row r="178" spans="1:2" x14ac:dyDescent="0.25">
      <c r="A178" s="4" t="s">
        <v>819</v>
      </c>
      <c r="B178" s="4">
        <v>2</v>
      </c>
    </row>
    <row r="179" spans="1:2" x14ac:dyDescent="0.25">
      <c r="A179" s="4" t="s">
        <v>822</v>
      </c>
      <c r="B179" s="4">
        <v>3</v>
      </c>
    </row>
    <row r="180" spans="1:2" x14ac:dyDescent="0.25">
      <c r="A180" s="4" t="s">
        <v>816</v>
      </c>
      <c r="B180" s="4">
        <v>4</v>
      </c>
    </row>
    <row r="181" spans="1:2" x14ac:dyDescent="0.25">
      <c r="A181" s="4" t="s">
        <v>813</v>
      </c>
      <c r="B181" s="4">
        <v>6</v>
      </c>
    </row>
    <row r="182" spans="1:2" x14ac:dyDescent="0.25">
      <c r="A182" s="4" t="s">
        <v>811</v>
      </c>
      <c r="B182" s="4">
        <v>10</v>
      </c>
    </row>
    <row r="183" spans="1:2" x14ac:dyDescent="0.25">
      <c r="A183" s="4" t="s">
        <v>816</v>
      </c>
      <c r="B183" s="4">
        <v>6</v>
      </c>
    </row>
    <row r="184" spans="1:2" x14ac:dyDescent="0.25">
      <c r="A184" s="4" t="s">
        <v>813</v>
      </c>
      <c r="B184" s="4">
        <v>10</v>
      </c>
    </row>
    <row r="185" spans="1:2" x14ac:dyDescent="0.25">
      <c r="A185" s="4" t="s">
        <v>820</v>
      </c>
      <c r="B185" s="4">
        <v>5</v>
      </c>
    </row>
    <row r="186" spans="1:2" x14ac:dyDescent="0.25">
      <c r="A186" s="4" t="s">
        <v>811</v>
      </c>
      <c r="B186" s="4">
        <v>8</v>
      </c>
    </row>
    <row r="187" spans="1:2" x14ac:dyDescent="0.25">
      <c r="A187" s="4" t="s">
        <v>817</v>
      </c>
      <c r="B187" s="4">
        <v>5</v>
      </c>
    </row>
    <row r="188" spans="1:2" x14ac:dyDescent="0.25">
      <c r="A188" s="4" t="s">
        <v>823</v>
      </c>
      <c r="B188" s="4">
        <v>5</v>
      </c>
    </row>
    <row r="189" spans="1:2" x14ac:dyDescent="0.25">
      <c r="A189" s="4" t="s">
        <v>824</v>
      </c>
      <c r="B189" s="4">
        <v>1</v>
      </c>
    </row>
    <row r="190" spans="1:2" x14ac:dyDescent="0.25">
      <c r="A190" s="4" t="s">
        <v>812</v>
      </c>
      <c r="B190" s="4">
        <v>7</v>
      </c>
    </row>
    <row r="191" spans="1:2" x14ac:dyDescent="0.25">
      <c r="A191" s="4" t="s">
        <v>816</v>
      </c>
      <c r="B191" s="4">
        <v>3</v>
      </c>
    </row>
    <row r="192" spans="1:2" x14ac:dyDescent="0.25">
      <c r="A192" s="4" t="s">
        <v>818</v>
      </c>
      <c r="B192" s="4">
        <v>8</v>
      </c>
    </row>
    <row r="193" spans="1:2" x14ac:dyDescent="0.25">
      <c r="A193" s="4" t="s">
        <v>813</v>
      </c>
      <c r="B193" s="4">
        <v>9</v>
      </c>
    </row>
    <row r="194" spans="1:2" x14ac:dyDescent="0.25">
      <c r="A194" s="4" t="s">
        <v>819</v>
      </c>
      <c r="B194" s="4">
        <v>10</v>
      </c>
    </row>
    <row r="195" spans="1:2" x14ac:dyDescent="0.25">
      <c r="A195" s="4" t="s">
        <v>794</v>
      </c>
      <c r="B195" s="4">
        <v>3</v>
      </c>
    </row>
    <row r="196" spans="1:2" x14ac:dyDescent="0.25">
      <c r="A196" s="4" t="s">
        <v>817</v>
      </c>
      <c r="B196" s="4">
        <v>6</v>
      </c>
    </row>
    <row r="197" spans="1:2" x14ac:dyDescent="0.25">
      <c r="A197" s="4" t="s">
        <v>794</v>
      </c>
      <c r="B197" s="4">
        <v>1</v>
      </c>
    </row>
    <row r="198" spans="1:2" x14ac:dyDescent="0.25">
      <c r="A198" s="4" t="s">
        <v>817</v>
      </c>
      <c r="B198" s="4">
        <v>6</v>
      </c>
    </row>
    <row r="199" spans="1:2" x14ac:dyDescent="0.25">
      <c r="A199" s="4" t="s">
        <v>794</v>
      </c>
      <c r="B199" s="4">
        <v>8</v>
      </c>
    </row>
    <row r="200" spans="1:2" x14ac:dyDescent="0.25">
      <c r="A200" s="4" t="s">
        <v>816</v>
      </c>
      <c r="B200" s="4">
        <v>8</v>
      </c>
    </row>
    <row r="201" spans="1:2" x14ac:dyDescent="0.25">
      <c r="A201" s="4" t="s">
        <v>814</v>
      </c>
      <c r="B201" s="4">
        <v>10</v>
      </c>
    </row>
    <row r="202" spans="1:2" x14ac:dyDescent="0.25">
      <c r="A202" s="4" t="s">
        <v>812</v>
      </c>
      <c r="B202" s="4">
        <v>10</v>
      </c>
    </row>
    <row r="203" spans="1:2" x14ac:dyDescent="0.25">
      <c r="A203" s="4" t="s">
        <v>817</v>
      </c>
      <c r="B203" s="4">
        <v>3</v>
      </c>
    </row>
    <row r="204" spans="1:2" x14ac:dyDescent="0.25">
      <c r="A204" s="4" t="s">
        <v>794</v>
      </c>
      <c r="B204" s="4">
        <v>9</v>
      </c>
    </row>
    <row r="205" spans="1:2" x14ac:dyDescent="0.25">
      <c r="A205" s="4" t="s">
        <v>813</v>
      </c>
      <c r="B205" s="4">
        <v>6</v>
      </c>
    </row>
    <row r="206" spans="1:2" x14ac:dyDescent="0.25">
      <c r="A206" s="4" t="s">
        <v>822</v>
      </c>
      <c r="B206" s="4">
        <v>3</v>
      </c>
    </row>
    <row r="207" spans="1:2" x14ac:dyDescent="0.25">
      <c r="A207" s="4" t="s">
        <v>811</v>
      </c>
      <c r="B207" s="4">
        <v>8</v>
      </c>
    </row>
    <row r="208" spans="1:2" x14ac:dyDescent="0.25">
      <c r="A208" s="4" t="s">
        <v>820</v>
      </c>
      <c r="B208" s="4">
        <v>9</v>
      </c>
    </row>
    <row r="209" spans="1:2" x14ac:dyDescent="0.25">
      <c r="A209" s="4" t="s">
        <v>819</v>
      </c>
      <c r="B209" s="4">
        <v>4</v>
      </c>
    </row>
    <row r="210" spans="1:2" x14ac:dyDescent="0.25">
      <c r="A210" s="4" t="s">
        <v>817</v>
      </c>
      <c r="B210" s="4">
        <v>4</v>
      </c>
    </row>
    <row r="211" spans="1:2" x14ac:dyDescent="0.25">
      <c r="A211" s="4" t="s">
        <v>812</v>
      </c>
      <c r="B211" s="4">
        <v>2</v>
      </c>
    </row>
    <row r="212" spans="1:2" x14ac:dyDescent="0.25">
      <c r="A212" s="4" t="s">
        <v>822</v>
      </c>
      <c r="B212" s="4">
        <v>5</v>
      </c>
    </row>
    <row r="213" spans="1:2" x14ac:dyDescent="0.25">
      <c r="A213" s="4" t="s">
        <v>823</v>
      </c>
      <c r="B213" s="4">
        <v>2</v>
      </c>
    </row>
    <row r="214" spans="1:2" x14ac:dyDescent="0.25">
      <c r="A214" s="4" t="s">
        <v>814</v>
      </c>
      <c r="B214" s="4">
        <v>4</v>
      </c>
    </row>
    <row r="215" spans="1:2" x14ac:dyDescent="0.25">
      <c r="A215" s="4" t="s">
        <v>817</v>
      </c>
      <c r="B215" s="4">
        <v>5</v>
      </c>
    </row>
    <row r="216" spans="1:2" x14ac:dyDescent="0.25">
      <c r="A216" s="4" t="s">
        <v>819</v>
      </c>
      <c r="B216" s="4">
        <v>2</v>
      </c>
    </row>
    <row r="217" spans="1:2" x14ac:dyDescent="0.25">
      <c r="A217" s="4" t="s">
        <v>812</v>
      </c>
      <c r="B217" s="4">
        <v>9</v>
      </c>
    </row>
    <row r="218" spans="1:2" x14ac:dyDescent="0.25">
      <c r="A218" s="4" t="s">
        <v>813</v>
      </c>
      <c r="B218" s="4">
        <v>7</v>
      </c>
    </row>
    <row r="219" spans="1:2" x14ac:dyDescent="0.25">
      <c r="A219" s="4" t="s">
        <v>819</v>
      </c>
      <c r="B219" s="4">
        <v>6</v>
      </c>
    </row>
    <row r="220" spans="1:2" x14ac:dyDescent="0.25">
      <c r="A220" s="4" t="s">
        <v>812</v>
      </c>
      <c r="B220" s="4">
        <v>1</v>
      </c>
    </row>
    <row r="221" spans="1:2" x14ac:dyDescent="0.25">
      <c r="A221" s="4" t="s">
        <v>813</v>
      </c>
      <c r="B221" s="4">
        <v>4</v>
      </c>
    </row>
    <row r="222" spans="1:2" x14ac:dyDescent="0.25">
      <c r="A222" s="4" t="s">
        <v>814</v>
      </c>
      <c r="B222" s="4">
        <v>6</v>
      </c>
    </row>
    <row r="223" spans="1:2" x14ac:dyDescent="0.25">
      <c r="A223" s="4" t="s">
        <v>824</v>
      </c>
      <c r="B223" s="4">
        <v>2</v>
      </c>
    </row>
    <row r="224" spans="1:2" x14ac:dyDescent="0.25">
      <c r="A224" s="4" t="s">
        <v>817</v>
      </c>
      <c r="B224" s="4">
        <v>3</v>
      </c>
    </row>
    <row r="225" spans="1:2" x14ac:dyDescent="0.25">
      <c r="A225" s="4" t="s">
        <v>811</v>
      </c>
      <c r="B225" s="4">
        <v>4</v>
      </c>
    </row>
    <row r="226" spans="1:2" x14ac:dyDescent="0.25">
      <c r="A226" s="4" t="s">
        <v>816</v>
      </c>
      <c r="B226" s="4">
        <v>6</v>
      </c>
    </row>
    <row r="227" spans="1:2" x14ac:dyDescent="0.25">
      <c r="A227" s="4" t="s">
        <v>823</v>
      </c>
      <c r="B227" s="4">
        <v>9</v>
      </c>
    </row>
    <row r="228" spans="1:2" x14ac:dyDescent="0.25">
      <c r="A228" s="4" t="s">
        <v>816</v>
      </c>
      <c r="B228" s="4">
        <v>7</v>
      </c>
    </row>
    <row r="229" spans="1:2" x14ac:dyDescent="0.25">
      <c r="A229" s="4" t="s">
        <v>812</v>
      </c>
      <c r="B229" s="4">
        <v>9</v>
      </c>
    </row>
    <row r="230" spans="1:2" x14ac:dyDescent="0.25">
      <c r="A230" s="4" t="s">
        <v>817</v>
      </c>
      <c r="B230" s="4">
        <v>6</v>
      </c>
    </row>
    <row r="231" spans="1:2" x14ac:dyDescent="0.25">
      <c r="A231" s="4" t="s">
        <v>816</v>
      </c>
      <c r="B231" s="4">
        <v>6</v>
      </c>
    </row>
    <row r="232" spans="1:2" x14ac:dyDescent="0.25">
      <c r="A232" s="4" t="s">
        <v>820</v>
      </c>
      <c r="B232" s="4">
        <v>6</v>
      </c>
    </row>
    <row r="233" spans="1:2" x14ac:dyDescent="0.25">
      <c r="A233" s="4" t="s">
        <v>820</v>
      </c>
      <c r="B233" s="4">
        <v>1</v>
      </c>
    </row>
    <row r="234" spans="1:2" x14ac:dyDescent="0.25">
      <c r="A234" s="4" t="s">
        <v>813</v>
      </c>
      <c r="B234" s="4">
        <v>2</v>
      </c>
    </row>
    <row r="235" spans="1:2" x14ac:dyDescent="0.25">
      <c r="A235" s="4" t="s">
        <v>818</v>
      </c>
      <c r="B235" s="4">
        <v>7</v>
      </c>
    </row>
    <row r="236" spans="1:2" x14ac:dyDescent="0.25">
      <c r="A236" s="4" t="s">
        <v>814</v>
      </c>
      <c r="B236" s="4">
        <v>9</v>
      </c>
    </row>
    <row r="237" spans="1:2" x14ac:dyDescent="0.25">
      <c r="A237" s="4" t="s">
        <v>794</v>
      </c>
      <c r="B237" s="4">
        <v>5</v>
      </c>
    </row>
    <row r="238" spans="1:2" x14ac:dyDescent="0.25">
      <c r="A238" s="4" t="s">
        <v>820</v>
      </c>
      <c r="B238" s="4">
        <v>10</v>
      </c>
    </row>
    <row r="239" spans="1:2" x14ac:dyDescent="0.25">
      <c r="A239" s="4" t="s">
        <v>824</v>
      </c>
      <c r="B239" s="4">
        <v>10</v>
      </c>
    </row>
    <row r="240" spans="1:2" x14ac:dyDescent="0.25">
      <c r="A240" s="4" t="s">
        <v>818</v>
      </c>
      <c r="B240" s="4">
        <v>1</v>
      </c>
    </row>
    <row r="241" spans="1:2" x14ac:dyDescent="0.25">
      <c r="A241" s="4" t="s">
        <v>822</v>
      </c>
      <c r="B241" s="4">
        <v>1</v>
      </c>
    </row>
    <row r="242" spans="1:2" x14ac:dyDescent="0.25">
      <c r="A242" s="4" t="s">
        <v>794</v>
      </c>
      <c r="B242" s="4">
        <v>6</v>
      </c>
    </row>
    <row r="243" spans="1:2" x14ac:dyDescent="0.25">
      <c r="A243" s="4" t="s">
        <v>814</v>
      </c>
      <c r="B243" s="4">
        <v>10</v>
      </c>
    </row>
    <row r="244" spans="1:2" x14ac:dyDescent="0.25">
      <c r="A244" s="4" t="s">
        <v>824</v>
      </c>
      <c r="B244" s="4">
        <v>10</v>
      </c>
    </row>
    <row r="245" spans="1:2" x14ac:dyDescent="0.25">
      <c r="A245" s="4" t="s">
        <v>794</v>
      </c>
      <c r="B245" s="4">
        <v>1</v>
      </c>
    </row>
    <row r="246" spans="1:2" x14ac:dyDescent="0.25">
      <c r="A246" s="4" t="s">
        <v>824</v>
      </c>
      <c r="B246" s="4">
        <v>5</v>
      </c>
    </row>
    <row r="247" spans="1:2" x14ac:dyDescent="0.25">
      <c r="A247" s="4" t="s">
        <v>815</v>
      </c>
      <c r="B247" s="4">
        <v>4</v>
      </c>
    </row>
    <row r="248" spans="1:2" x14ac:dyDescent="0.25">
      <c r="A248" s="4" t="s">
        <v>817</v>
      </c>
      <c r="B248" s="4">
        <v>4</v>
      </c>
    </row>
    <row r="249" spans="1:2" x14ac:dyDescent="0.25">
      <c r="A249" s="4" t="s">
        <v>817</v>
      </c>
      <c r="B249" s="4">
        <v>4</v>
      </c>
    </row>
    <row r="250" spans="1:2" x14ac:dyDescent="0.25">
      <c r="A250" s="4" t="s">
        <v>813</v>
      </c>
      <c r="B250" s="4">
        <v>3</v>
      </c>
    </row>
    <row r="251" spans="1:2" x14ac:dyDescent="0.25">
      <c r="A251" s="4" t="s">
        <v>813</v>
      </c>
      <c r="B251" s="4">
        <v>6</v>
      </c>
    </row>
    <row r="252" spans="1:2" x14ac:dyDescent="0.25">
      <c r="A252" s="4" t="s">
        <v>824</v>
      </c>
      <c r="B252" s="4">
        <v>1</v>
      </c>
    </row>
    <row r="253" spans="1:2" x14ac:dyDescent="0.25">
      <c r="A253" s="4" t="s">
        <v>824</v>
      </c>
      <c r="B253" s="4">
        <v>5</v>
      </c>
    </row>
    <row r="254" spans="1:2" x14ac:dyDescent="0.25">
      <c r="A254" s="4" t="s">
        <v>822</v>
      </c>
      <c r="B254" s="4">
        <v>6</v>
      </c>
    </row>
    <row r="255" spans="1:2" x14ac:dyDescent="0.25">
      <c r="A255" s="4" t="s">
        <v>811</v>
      </c>
      <c r="B255" s="4">
        <v>3</v>
      </c>
    </row>
    <row r="256" spans="1:2" x14ac:dyDescent="0.25">
      <c r="A256" s="4" t="s">
        <v>794</v>
      </c>
      <c r="B256" s="4">
        <v>5</v>
      </c>
    </row>
    <row r="257" spans="1:2" x14ac:dyDescent="0.25">
      <c r="A257" s="4" t="s">
        <v>812</v>
      </c>
      <c r="B257" s="4">
        <v>7</v>
      </c>
    </row>
    <row r="258" spans="1:2" x14ac:dyDescent="0.25">
      <c r="A258" s="4" t="s">
        <v>821</v>
      </c>
      <c r="B258" s="4">
        <v>6</v>
      </c>
    </row>
    <row r="259" spans="1:2" x14ac:dyDescent="0.25">
      <c r="A259" s="4" t="s">
        <v>822</v>
      </c>
      <c r="B259" s="4">
        <v>10</v>
      </c>
    </row>
    <row r="260" spans="1:2" x14ac:dyDescent="0.25">
      <c r="A260" s="4" t="s">
        <v>816</v>
      </c>
      <c r="B260" s="4">
        <v>2</v>
      </c>
    </row>
    <row r="261" spans="1:2" x14ac:dyDescent="0.25">
      <c r="A261" s="4" t="s">
        <v>824</v>
      </c>
      <c r="B261" s="4">
        <v>10</v>
      </c>
    </row>
    <row r="262" spans="1:2" x14ac:dyDescent="0.25">
      <c r="A262" s="4" t="s">
        <v>794</v>
      </c>
      <c r="B262" s="4">
        <v>8</v>
      </c>
    </row>
    <row r="263" spans="1:2" x14ac:dyDescent="0.25">
      <c r="A263" s="4" t="s">
        <v>822</v>
      </c>
      <c r="B263" s="4">
        <v>3</v>
      </c>
    </row>
    <row r="264" spans="1:2" x14ac:dyDescent="0.25">
      <c r="A264" s="4" t="s">
        <v>821</v>
      </c>
      <c r="B264" s="4">
        <v>4</v>
      </c>
    </row>
    <row r="265" spans="1:2" x14ac:dyDescent="0.25">
      <c r="A265" s="4" t="s">
        <v>794</v>
      </c>
      <c r="B265" s="4">
        <v>8</v>
      </c>
    </row>
    <row r="266" spans="1:2" x14ac:dyDescent="0.25">
      <c r="A266" s="4" t="s">
        <v>794</v>
      </c>
      <c r="B266" s="4">
        <v>1</v>
      </c>
    </row>
    <row r="267" spans="1:2" x14ac:dyDescent="0.25">
      <c r="A267" s="4" t="s">
        <v>811</v>
      </c>
      <c r="B267" s="4">
        <v>7</v>
      </c>
    </row>
    <row r="268" spans="1:2" x14ac:dyDescent="0.25">
      <c r="A268" s="4" t="s">
        <v>814</v>
      </c>
      <c r="B268" s="4">
        <v>9</v>
      </c>
    </row>
    <row r="269" spans="1:2" x14ac:dyDescent="0.25">
      <c r="A269" s="4" t="s">
        <v>818</v>
      </c>
      <c r="B269" s="4">
        <v>2</v>
      </c>
    </row>
    <row r="270" spans="1:2" x14ac:dyDescent="0.25">
      <c r="A270" s="4" t="s">
        <v>815</v>
      </c>
      <c r="B270" s="4">
        <v>8</v>
      </c>
    </row>
    <row r="271" spans="1:2" x14ac:dyDescent="0.25">
      <c r="A271" s="4" t="s">
        <v>813</v>
      </c>
      <c r="B271" s="4">
        <v>7</v>
      </c>
    </row>
    <row r="272" spans="1:2" x14ac:dyDescent="0.25">
      <c r="A272" s="4" t="s">
        <v>820</v>
      </c>
      <c r="B272" s="4">
        <v>9</v>
      </c>
    </row>
    <row r="273" spans="1:2" x14ac:dyDescent="0.25">
      <c r="A273" s="4" t="s">
        <v>819</v>
      </c>
      <c r="B273" s="4">
        <v>7</v>
      </c>
    </row>
    <row r="274" spans="1:2" x14ac:dyDescent="0.25">
      <c r="A274" s="4" t="s">
        <v>811</v>
      </c>
      <c r="B274" s="4">
        <v>6</v>
      </c>
    </row>
    <row r="275" spans="1:2" x14ac:dyDescent="0.25">
      <c r="A275" s="4" t="s">
        <v>813</v>
      </c>
      <c r="B275" s="4">
        <v>5</v>
      </c>
    </row>
    <row r="276" spans="1:2" x14ac:dyDescent="0.25">
      <c r="A276" s="4" t="s">
        <v>819</v>
      </c>
      <c r="B276" s="4">
        <v>7</v>
      </c>
    </row>
    <row r="277" spans="1:2" x14ac:dyDescent="0.25">
      <c r="A277" s="4" t="s">
        <v>824</v>
      </c>
      <c r="B277" s="4">
        <v>8</v>
      </c>
    </row>
    <row r="278" spans="1:2" x14ac:dyDescent="0.25">
      <c r="A278" s="4" t="s">
        <v>819</v>
      </c>
      <c r="B278" s="4">
        <v>1</v>
      </c>
    </row>
    <row r="279" spans="1:2" x14ac:dyDescent="0.25">
      <c r="A279" s="4" t="s">
        <v>822</v>
      </c>
      <c r="B279" s="4">
        <v>6</v>
      </c>
    </row>
    <row r="280" spans="1:2" x14ac:dyDescent="0.25">
      <c r="A280" s="4" t="s">
        <v>794</v>
      </c>
      <c r="B280" s="4">
        <v>5</v>
      </c>
    </row>
    <row r="281" spans="1:2" x14ac:dyDescent="0.25">
      <c r="A281" s="4" t="s">
        <v>794</v>
      </c>
      <c r="B281" s="4">
        <v>10</v>
      </c>
    </row>
    <row r="282" spans="1:2" x14ac:dyDescent="0.25">
      <c r="A282" s="4" t="s">
        <v>824</v>
      </c>
      <c r="B282" s="4">
        <v>8</v>
      </c>
    </row>
    <row r="283" spans="1:2" x14ac:dyDescent="0.25">
      <c r="A283" s="4" t="s">
        <v>822</v>
      </c>
      <c r="B283" s="4">
        <v>8</v>
      </c>
    </row>
    <row r="284" spans="1:2" x14ac:dyDescent="0.25">
      <c r="A284" s="4" t="s">
        <v>820</v>
      </c>
      <c r="B284" s="4">
        <v>1</v>
      </c>
    </row>
    <row r="285" spans="1:2" x14ac:dyDescent="0.25">
      <c r="A285" s="4" t="s">
        <v>824</v>
      </c>
      <c r="B285" s="4">
        <v>4</v>
      </c>
    </row>
    <row r="286" spans="1:2" x14ac:dyDescent="0.25">
      <c r="A286" s="4" t="s">
        <v>821</v>
      </c>
      <c r="B286" s="4">
        <v>2</v>
      </c>
    </row>
    <row r="287" spans="1:2" x14ac:dyDescent="0.25">
      <c r="A287" s="4" t="s">
        <v>816</v>
      </c>
      <c r="B287" s="4">
        <v>8</v>
      </c>
    </row>
    <row r="288" spans="1:2" x14ac:dyDescent="0.25">
      <c r="A288" s="4" t="s">
        <v>822</v>
      </c>
      <c r="B288" s="4">
        <v>7</v>
      </c>
    </row>
    <row r="289" spans="1:2" x14ac:dyDescent="0.25">
      <c r="A289" s="4" t="s">
        <v>822</v>
      </c>
      <c r="B289" s="4">
        <v>8</v>
      </c>
    </row>
    <row r="290" spans="1:2" x14ac:dyDescent="0.25">
      <c r="A290" s="4" t="s">
        <v>817</v>
      </c>
      <c r="B290" s="4">
        <v>4</v>
      </c>
    </row>
    <row r="291" spans="1:2" x14ac:dyDescent="0.25">
      <c r="A291" s="4" t="s">
        <v>815</v>
      </c>
      <c r="B291" s="4">
        <v>1</v>
      </c>
    </row>
    <row r="292" spans="1:2" x14ac:dyDescent="0.25">
      <c r="A292" s="4" t="s">
        <v>822</v>
      </c>
      <c r="B292" s="4">
        <v>6</v>
      </c>
    </row>
    <row r="293" spans="1:2" x14ac:dyDescent="0.25">
      <c r="A293" s="4" t="s">
        <v>815</v>
      </c>
      <c r="B293" s="4">
        <v>7</v>
      </c>
    </row>
    <row r="294" spans="1:2" x14ac:dyDescent="0.25">
      <c r="A294" s="4" t="s">
        <v>821</v>
      </c>
      <c r="B294" s="4">
        <v>8</v>
      </c>
    </row>
    <row r="295" spans="1:2" x14ac:dyDescent="0.25">
      <c r="A295" s="4" t="s">
        <v>812</v>
      </c>
      <c r="B295" s="4">
        <v>1</v>
      </c>
    </row>
    <row r="296" spans="1:2" x14ac:dyDescent="0.25">
      <c r="A296" s="4" t="s">
        <v>821</v>
      </c>
      <c r="B296" s="4">
        <v>7</v>
      </c>
    </row>
    <row r="297" spans="1:2" x14ac:dyDescent="0.25">
      <c r="A297" s="4" t="s">
        <v>820</v>
      </c>
      <c r="B297" s="4">
        <v>5</v>
      </c>
    </row>
    <row r="298" spans="1:2" x14ac:dyDescent="0.25">
      <c r="A298" s="4" t="s">
        <v>822</v>
      </c>
      <c r="B298" s="4">
        <v>2</v>
      </c>
    </row>
    <row r="299" spans="1:2" x14ac:dyDescent="0.25">
      <c r="A299" s="4" t="s">
        <v>812</v>
      </c>
      <c r="B299" s="4">
        <v>4</v>
      </c>
    </row>
    <row r="300" spans="1:2" x14ac:dyDescent="0.25">
      <c r="A300" s="4" t="s">
        <v>819</v>
      </c>
      <c r="B300" s="4">
        <v>2</v>
      </c>
    </row>
    <row r="301" spans="1:2" x14ac:dyDescent="0.25">
      <c r="A301" s="4" t="s">
        <v>811</v>
      </c>
      <c r="B301" s="4">
        <v>8</v>
      </c>
    </row>
    <row r="302" spans="1:2" x14ac:dyDescent="0.25">
      <c r="A302" s="4" t="s">
        <v>815</v>
      </c>
      <c r="B302" s="4">
        <v>6</v>
      </c>
    </row>
    <row r="303" spans="1:2" x14ac:dyDescent="0.25">
      <c r="A303" s="4" t="s">
        <v>818</v>
      </c>
      <c r="B303" s="4">
        <v>3</v>
      </c>
    </row>
    <row r="304" spans="1:2" x14ac:dyDescent="0.25">
      <c r="A304" s="4" t="s">
        <v>821</v>
      </c>
      <c r="B304" s="4">
        <v>2</v>
      </c>
    </row>
    <row r="305" spans="1:2" x14ac:dyDescent="0.25">
      <c r="A305" s="4" t="s">
        <v>817</v>
      </c>
      <c r="B305" s="4">
        <v>7</v>
      </c>
    </row>
    <row r="306" spans="1:2" x14ac:dyDescent="0.25">
      <c r="A306" s="4" t="s">
        <v>818</v>
      </c>
      <c r="B306" s="4">
        <v>10</v>
      </c>
    </row>
    <row r="307" spans="1:2" x14ac:dyDescent="0.25">
      <c r="A307" s="4" t="s">
        <v>812</v>
      </c>
      <c r="B307" s="4">
        <v>6</v>
      </c>
    </row>
    <row r="308" spans="1:2" x14ac:dyDescent="0.25">
      <c r="A308" s="4" t="s">
        <v>813</v>
      </c>
      <c r="B308" s="4">
        <v>5</v>
      </c>
    </row>
    <row r="309" spans="1:2" x14ac:dyDescent="0.25">
      <c r="A309" s="4" t="s">
        <v>813</v>
      </c>
      <c r="B309" s="4">
        <v>8</v>
      </c>
    </row>
    <row r="310" spans="1:2" x14ac:dyDescent="0.25">
      <c r="A310" s="4" t="s">
        <v>811</v>
      </c>
      <c r="B310" s="4">
        <v>2</v>
      </c>
    </row>
    <row r="311" spans="1:2" x14ac:dyDescent="0.25">
      <c r="A311" s="4" t="s">
        <v>820</v>
      </c>
      <c r="B311" s="4">
        <v>8</v>
      </c>
    </row>
    <row r="312" spans="1:2" x14ac:dyDescent="0.25">
      <c r="A312" s="4" t="s">
        <v>815</v>
      </c>
      <c r="B312" s="4">
        <v>7</v>
      </c>
    </row>
    <row r="313" spans="1:2" x14ac:dyDescent="0.25">
      <c r="A313" s="4" t="s">
        <v>824</v>
      </c>
      <c r="B313" s="4">
        <v>8</v>
      </c>
    </row>
    <row r="314" spans="1:2" x14ac:dyDescent="0.25">
      <c r="A314" s="4" t="s">
        <v>813</v>
      </c>
      <c r="B314" s="4">
        <v>3</v>
      </c>
    </row>
    <row r="315" spans="1:2" x14ac:dyDescent="0.25">
      <c r="A315" s="4" t="s">
        <v>821</v>
      </c>
      <c r="B315" s="4">
        <v>5</v>
      </c>
    </row>
    <row r="316" spans="1:2" x14ac:dyDescent="0.25">
      <c r="A316" s="4" t="s">
        <v>824</v>
      </c>
      <c r="B316" s="4">
        <v>6</v>
      </c>
    </row>
    <row r="317" spans="1:2" x14ac:dyDescent="0.25">
      <c r="A317" s="4" t="s">
        <v>811</v>
      </c>
      <c r="B317" s="4">
        <v>4</v>
      </c>
    </row>
    <row r="318" spans="1:2" x14ac:dyDescent="0.25">
      <c r="A318" s="4" t="s">
        <v>815</v>
      </c>
      <c r="B318" s="4">
        <v>4</v>
      </c>
    </row>
    <row r="319" spans="1:2" x14ac:dyDescent="0.25">
      <c r="A319" s="4" t="s">
        <v>816</v>
      </c>
      <c r="B319" s="4">
        <v>10</v>
      </c>
    </row>
    <row r="320" spans="1:2" x14ac:dyDescent="0.25">
      <c r="A320" s="4" t="s">
        <v>822</v>
      </c>
      <c r="B320" s="4">
        <v>4</v>
      </c>
    </row>
    <row r="321" spans="1:2" x14ac:dyDescent="0.25">
      <c r="A321" s="4" t="s">
        <v>819</v>
      </c>
      <c r="B321" s="4">
        <v>8</v>
      </c>
    </row>
    <row r="322" spans="1:2" x14ac:dyDescent="0.25">
      <c r="A322" s="4" t="s">
        <v>812</v>
      </c>
      <c r="B322" s="4">
        <v>3</v>
      </c>
    </row>
    <row r="323" spans="1:2" x14ac:dyDescent="0.25">
      <c r="A323" s="4" t="s">
        <v>811</v>
      </c>
      <c r="B323" s="4">
        <v>8</v>
      </c>
    </row>
    <row r="324" spans="1:2" x14ac:dyDescent="0.25">
      <c r="A324" s="4" t="s">
        <v>814</v>
      </c>
      <c r="B324" s="4">
        <v>6</v>
      </c>
    </row>
    <row r="325" spans="1:2" x14ac:dyDescent="0.25">
      <c r="A325" s="4" t="s">
        <v>821</v>
      </c>
      <c r="B325" s="4">
        <v>4</v>
      </c>
    </row>
    <row r="326" spans="1:2" x14ac:dyDescent="0.25">
      <c r="A326" s="4" t="s">
        <v>815</v>
      </c>
      <c r="B326" s="4">
        <v>3</v>
      </c>
    </row>
    <row r="327" spans="1:2" x14ac:dyDescent="0.25">
      <c r="A327" s="4" t="s">
        <v>824</v>
      </c>
      <c r="B327" s="4">
        <v>7</v>
      </c>
    </row>
    <row r="328" spans="1:2" x14ac:dyDescent="0.25">
      <c r="A328" s="4" t="s">
        <v>821</v>
      </c>
      <c r="B328" s="4">
        <v>6</v>
      </c>
    </row>
    <row r="329" spans="1:2" x14ac:dyDescent="0.25">
      <c r="A329" s="4" t="s">
        <v>811</v>
      </c>
      <c r="B329" s="4">
        <v>6</v>
      </c>
    </row>
    <row r="330" spans="1:2" x14ac:dyDescent="0.25">
      <c r="A330" s="4" t="s">
        <v>821</v>
      </c>
      <c r="B330" s="4">
        <v>8</v>
      </c>
    </row>
    <row r="331" spans="1:2" x14ac:dyDescent="0.25">
      <c r="A331" s="4" t="s">
        <v>814</v>
      </c>
      <c r="B331" s="4">
        <v>2</v>
      </c>
    </row>
    <row r="332" spans="1:2" x14ac:dyDescent="0.25">
      <c r="A332" s="4" t="s">
        <v>815</v>
      </c>
      <c r="B332" s="4">
        <v>10</v>
      </c>
    </row>
    <row r="333" spans="1:2" x14ac:dyDescent="0.25">
      <c r="A333" s="4" t="s">
        <v>815</v>
      </c>
      <c r="B333" s="4">
        <v>10</v>
      </c>
    </row>
    <row r="334" spans="1:2" x14ac:dyDescent="0.25">
      <c r="A334" s="4" t="s">
        <v>818</v>
      </c>
      <c r="B334" s="4">
        <v>9</v>
      </c>
    </row>
    <row r="335" spans="1:2" x14ac:dyDescent="0.25">
      <c r="A335" s="4" t="s">
        <v>814</v>
      </c>
      <c r="B335" s="4">
        <v>4</v>
      </c>
    </row>
    <row r="336" spans="1:2" x14ac:dyDescent="0.25">
      <c r="A336" s="4" t="s">
        <v>813</v>
      </c>
      <c r="B336" s="4">
        <v>8</v>
      </c>
    </row>
    <row r="337" spans="1:2" x14ac:dyDescent="0.25">
      <c r="A337" s="4" t="s">
        <v>814</v>
      </c>
      <c r="B337" s="4">
        <v>8</v>
      </c>
    </row>
    <row r="338" spans="1:2" x14ac:dyDescent="0.25">
      <c r="A338" s="4" t="s">
        <v>811</v>
      </c>
      <c r="B338" s="4">
        <v>5</v>
      </c>
    </row>
    <row r="339" spans="1:2" x14ac:dyDescent="0.25">
      <c r="A339" s="4" t="s">
        <v>817</v>
      </c>
      <c r="B339" s="4">
        <v>1</v>
      </c>
    </row>
    <row r="340" spans="1:2" x14ac:dyDescent="0.25">
      <c r="A340" s="4" t="s">
        <v>794</v>
      </c>
      <c r="B340" s="4">
        <v>5</v>
      </c>
    </row>
    <row r="341" spans="1:2" x14ac:dyDescent="0.25">
      <c r="A341" s="4" t="s">
        <v>814</v>
      </c>
      <c r="B341" s="4">
        <v>7</v>
      </c>
    </row>
    <row r="342" spans="1:2" x14ac:dyDescent="0.25">
      <c r="A342" s="4" t="s">
        <v>817</v>
      </c>
      <c r="B342" s="4">
        <v>2</v>
      </c>
    </row>
    <row r="343" spans="1:2" x14ac:dyDescent="0.25">
      <c r="A343" s="4" t="s">
        <v>824</v>
      </c>
      <c r="B343" s="4">
        <v>7</v>
      </c>
    </row>
    <row r="344" spans="1:2" x14ac:dyDescent="0.25">
      <c r="A344" s="4" t="s">
        <v>813</v>
      </c>
      <c r="B344" s="4">
        <v>1</v>
      </c>
    </row>
    <row r="345" spans="1:2" x14ac:dyDescent="0.25">
      <c r="A345" s="4" t="s">
        <v>820</v>
      </c>
      <c r="B345" s="4">
        <v>4</v>
      </c>
    </row>
    <row r="346" spans="1:2" x14ac:dyDescent="0.25">
      <c r="A346" s="4" t="s">
        <v>819</v>
      </c>
      <c r="B346" s="4">
        <v>8</v>
      </c>
    </row>
    <row r="347" spans="1:2" x14ac:dyDescent="0.25">
      <c r="A347" s="4" t="s">
        <v>824</v>
      </c>
      <c r="B347" s="4">
        <v>9</v>
      </c>
    </row>
    <row r="348" spans="1:2" x14ac:dyDescent="0.25">
      <c r="A348" s="4" t="s">
        <v>821</v>
      </c>
      <c r="B348" s="4">
        <v>9</v>
      </c>
    </row>
    <row r="349" spans="1:2" x14ac:dyDescent="0.25">
      <c r="A349" s="4" t="s">
        <v>823</v>
      </c>
      <c r="B349" s="4">
        <v>6</v>
      </c>
    </row>
    <row r="350" spans="1:2" x14ac:dyDescent="0.25">
      <c r="A350" s="4" t="s">
        <v>817</v>
      </c>
      <c r="B350" s="4">
        <v>8</v>
      </c>
    </row>
    <row r="351" spans="1:2" x14ac:dyDescent="0.25">
      <c r="A351" s="4" t="s">
        <v>824</v>
      </c>
      <c r="B351" s="4">
        <v>5</v>
      </c>
    </row>
    <row r="352" spans="1:2" x14ac:dyDescent="0.25">
      <c r="A352" s="4" t="s">
        <v>813</v>
      </c>
      <c r="B352" s="4">
        <v>6</v>
      </c>
    </row>
    <row r="353" spans="1:2" x14ac:dyDescent="0.25">
      <c r="A353" s="4" t="s">
        <v>821</v>
      </c>
      <c r="B353" s="4">
        <v>10</v>
      </c>
    </row>
    <row r="354" spans="1:2" x14ac:dyDescent="0.25">
      <c r="A354" s="4" t="s">
        <v>823</v>
      </c>
      <c r="B354" s="4">
        <v>3</v>
      </c>
    </row>
    <row r="355" spans="1:2" x14ac:dyDescent="0.25">
      <c r="A355" s="4" t="s">
        <v>823</v>
      </c>
      <c r="B355" s="4">
        <v>2</v>
      </c>
    </row>
    <row r="356" spans="1:2" x14ac:dyDescent="0.25">
      <c r="A356" s="4" t="s">
        <v>812</v>
      </c>
      <c r="B356" s="4">
        <v>6</v>
      </c>
    </row>
    <row r="357" spans="1:2" x14ac:dyDescent="0.25">
      <c r="A357" s="4" t="s">
        <v>811</v>
      </c>
      <c r="B357" s="4">
        <v>4</v>
      </c>
    </row>
    <row r="358" spans="1:2" x14ac:dyDescent="0.25">
      <c r="A358" s="4" t="s">
        <v>817</v>
      </c>
      <c r="B358" s="4">
        <v>10</v>
      </c>
    </row>
    <row r="359" spans="1:2" x14ac:dyDescent="0.25">
      <c r="A359" s="4" t="s">
        <v>811</v>
      </c>
      <c r="B359" s="4">
        <v>10</v>
      </c>
    </row>
    <row r="360" spans="1:2" x14ac:dyDescent="0.25">
      <c r="A360" s="4" t="s">
        <v>815</v>
      </c>
      <c r="B360" s="4">
        <v>7</v>
      </c>
    </row>
    <row r="361" spans="1:2" x14ac:dyDescent="0.25">
      <c r="A361" s="4" t="s">
        <v>820</v>
      </c>
      <c r="B361" s="4">
        <v>2</v>
      </c>
    </row>
    <row r="362" spans="1:2" x14ac:dyDescent="0.25">
      <c r="A362" s="4" t="s">
        <v>816</v>
      </c>
      <c r="B362" s="4">
        <v>4</v>
      </c>
    </row>
    <row r="363" spans="1:2" x14ac:dyDescent="0.25">
      <c r="A363" s="4" t="s">
        <v>815</v>
      </c>
      <c r="B363" s="4">
        <v>6</v>
      </c>
    </row>
    <row r="364" spans="1:2" x14ac:dyDescent="0.25">
      <c r="A364" s="4" t="s">
        <v>815</v>
      </c>
      <c r="B364" s="4">
        <v>4</v>
      </c>
    </row>
    <row r="365" spans="1:2" x14ac:dyDescent="0.25">
      <c r="A365" s="4" t="s">
        <v>820</v>
      </c>
      <c r="B365" s="4">
        <v>10</v>
      </c>
    </row>
    <row r="366" spans="1:2" x14ac:dyDescent="0.25">
      <c r="A366" s="4" t="s">
        <v>818</v>
      </c>
      <c r="B366" s="4">
        <v>9</v>
      </c>
    </row>
    <row r="367" spans="1:2" x14ac:dyDescent="0.25">
      <c r="A367" s="4" t="s">
        <v>816</v>
      </c>
      <c r="B367" s="4">
        <v>6</v>
      </c>
    </row>
    <row r="368" spans="1:2" x14ac:dyDescent="0.25">
      <c r="A368" s="4" t="s">
        <v>821</v>
      </c>
      <c r="B368" s="4">
        <v>1</v>
      </c>
    </row>
    <row r="369" spans="1:2" x14ac:dyDescent="0.25">
      <c r="A369" s="4" t="s">
        <v>824</v>
      </c>
      <c r="B369" s="4">
        <v>4</v>
      </c>
    </row>
    <row r="370" spans="1:2" x14ac:dyDescent="0.25">
      <c r="A370" s="4" t="s">
        <v>820</v>
      </c>
      <c r="B370" s="4">
        <v>6</v>
      </c>
    </row>
    <row r="371" spans="1:2" x14ac:dyDescent="0.25">
      <c r="A371" s="4" t="s">
        <v>819</v>
      </c>
      <c r="B371" s="4">
        <v>6</v>
      </c>
    </row>
    <row r="372" spans="1:2" x14ac:dyDescent="0.25">
      <c r="A372" s="4" t="s">
        <v>823</v>
      </c>
      <c r="B372" s="4">
        <v>7</v>
      </c>
    </row>
    <row r="373" spans="1:2" x14ac:dyDescent="0.25">
      <c r="A373" s="4" t="s">
        <v>824</v>
      </c>
      <c r="B373" s="4">
        <v>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373"/>
  <sheetViews>
    <sheetView topLeftCell="C1" workbookViewId="0">
      <selection activeCell="E4" sqref="E4"/>
    </sheetView>
  </sheetViews>
  <sheetFormatPr defaultRowHeight="15" x14ac:dyDescent="0.25"/>
  <cols>
    <col min="1" max="1" width="18" customWidth="1"/>
    <col min="2" max="2" width="12.7109375" customWidth="1"/>
    <col min="4" max="4" width="19.5703125" bestFit="1" customWidth="1"/>
    <col min="5" max="5" width="14.28515625" customWidth="1"/>
    <col min="6" max="6" width="1.140625" customWidth="1"/>
    <col min="7" max="7" width="2.85546875" bestFit="1" customWidth="1"/>
    <col min="8" max="8" width="1.140625" customWidth="1"/>
    <col min="9" max="9" width="19.5703125" bestFit="1" customWidth="1"/>
    <col min="10" max="10" width="18" customWidth="1"/>
    <col min="11" max="11" width="19.5703125" bestFit="1" customWidth="1"/>
    <col min="13" max="13" width="21.42578125" bestFit="1" customWidth="1"/>
    <col min="14" max="14" width="15.5703125" bestFit="1" customWidth="1"/>
  </cols>
  <sheetData>
    <row r="1" spans="1:11" x14ac:dyDescent="0.25">
      <c r="A1" t="s">
        <v>828</v>
      </c>
    </row>
    <row r="3" spans="1:11" x14ac:dyDescent="0.25">
      <c r="A3" s="11" t="s">
        <v>809</v>
      </c>
      <c r="B3" s="11" t="s">
        <v>825</v>
      </c>
      <c r="D3" s="11" t="s">
        <v>809</v>
      </c>
      <c r="E3" s="11" t="s">
        <v>826</v>
      </c>
      <c r="I3" s="11" t="s">
        <v>809</v>
      </c>
      <c r="J3" s="11" t="s">
        <v>830</v>
      </c>
      <c r="K3" s="11" t="s">
        <v>826</v>
      </c>
    </row>
    <row r="4" spans="1:11" x14ac:dyDescent="0.25">
      <c r="A4" s="4" t="s">
        <v>794</v>
      </c>
      <c r="B4" s="4">
        <v>4</v>
      </c>
      <c r="D4" s="4" t="s">
        <v>860</v>
      </c>
      <c r="E4" s="22">
        <f>SUMIFS($B$4:$B$373,$A$4:$A$373,TRIM(D4))</f>
        <v>127</v>
      </c>
      <c r="I4" s="4" t="s">
        <v>860</v>
      </c>
      <c r="J4" s="22" t="str">
        <f t="shared" ref="J4:J18" si="0">TRIM(I4)</f>
        <v>Darin Jenkins</v>
      </c>
      <c r="K4" s="22">
        <f>SUMIFS($B$4:$B$373,$A$4:$A$373,J4)</f>
        <v>127</v>
      </c>
    </row>
    <row r="5" spans="1:11" x14ac:dyDescent="0.25">
      <c r="A5" s="4" t="s">
        <v>811</v>
      </c>
      <c r="B5" s="4">
        <v>2</v>
      </c>
      <c r="D5" s="4" t="s">
        <v>795</v>
      </c>
      <c r="E5" s="22">
        <f t="shared" ref="E5:E18" si="1">SUMIFS($B$4:$B$373,$A$4:$A$373,TRIM(D5))</f>
        <v>172</v>
      </c>
      <c r="G5" s="66" t="s">
        <v>829</v>
      </c>
      <c r="I5" s="4" t="s">
        <v>795</v>
      </c>
      <c r="J5" s="22" t="str">
        <f t="shared" si="0"/>
        <v>Gina Stone</v>
      </c>
      <c r="K5" s="22">
        <f t="shared" ref="K5:K18" si="2">SUMIFS($B$4:$B$373,$A$4:$A$373,J5)</f>
        <v>172</v>
      </c>
    </row>
    <row r="6" spans="1:11" x14ac:dyDescent="0.25">
      <c r="A6" s="4" t="s">
        <v>824</v>
      </c>
      <c r="B6" s="4">
        <v>3</v>
      </c>
      <c r="D6" s="4" t="s">
        <v>796</v>
      </c>
      <c r="E6" s="22">
        <f t="shared" si="1"/>
        <v>134</v>
      </c>
      <c r="I6" s="4" t="s">
        <v>796</v>
      </c>
      <c r="J6" s="22" t="str">
        <f t="shared" si="0"/>
        <v>Lois Luna</v>
      </c>
      <c r="K6" s="22">
        <f t="shared" si="2"/>
        <v>134</v>
      </c>
    </row>
    <row r="7" spans="1:11" x14ac:dyDescent="0.25">
      <c r="A7" s="4" t="s">
        <v>813</v>
      </c>
      <c r="B7" s="4">
        <v>8</v>
      </c>
      <c r="D7" s="4" t="s">
        <v>808</v>
      </c>
      <c r="E7" s="22">
        <f t="shared" si="1"/>
        <v>140</v>
      </c>
      <c r="I7" s="4" t="s">
        <v>808</v>
      </c>
      <c r="J7" s="22" t="str">
        <f t="shared" si="0"/>
        <v>Nathan Nguyen</v>
      </c>
      <c r="K7" s="22">
        <f t="shared" si="2"/>
        <v>140</v>
      </c>
    </row>
    <row r="8" spans="1:11" x14ac:dyDescent="0.25">
      <c r="A8" s="4" t="s">
        <v>819</v>
      </c>
      <c r="B8" s="4">
        <v>8</v>
      </c>
      <c r="D8" s="4" t="s">
        <v>797</v>
      </c>
      <c r="E8" s="22">
        <f t="shared" si="1"/>
        <v>140</v>
      </c>
      <c r="I8" s="4" t="s">
        <v>797</v>
      </c>
      <c r="J8" s="22" t="str">
        <f t="shared" si="0"/>
        <v>Gregg Lawson</v>
      </c>
      <c r="K8" s="22">
        <f t="shared" si="2"/>
        <v>140</v>
      </c>
    </row>
    <row r="9" spans="1:11" x14ac:dyDescent="0.25">
      <c r="A9" s="4" t="s">
        <v>815</v>
      </c>
      <c r="B9" s="4">
        <v>4</v>
      </c>
      <c r="D9" s="4" t="s">
        <v>798</v>
      </c>
      <c r="E9" s="22">
        <f t="shared" si="1"/>
        <v>155</v>
      </c>
      <c r="I9" s="4" t="s">
        <v>798</v>
      </c>
      <c r="J9" s="22" t="str">
        <f t="shared" si="0"/>
        <v>Kelly Fowler</v>
      </c>
      <c r="K9" s="22">
        <f t="shared" si="2"/>
        <v>155</v>
      </c>
    </row>
    <row r="10" spans="1:11" x14ac:dyDescent="0.25">
      <c r="A10" s="4" t="s">
        <v>820</v>
      </c>
      <c r="B10" s="4">
        <v>5</v>
      </c>
      <c r="D10" s="4" t="s">
        <v>799</v>
      </c>
      <c r="E10" s="22">
        <f t="shared" si="1"/>
        <v>118</v>
      </c>
      <c r="I10" s="4" t="s">
        <v>799</v>
      </c>
      <c r="J10" s="22" t="str">
        <f t="shared" si="0"/>
        <v>Bradley Hodges</v>
      </c>
      <c r="K10" s="22">
        <f t="shared" si="2"/>
        <v>118</v>
      </c>
    </row>
    <row r="11" spans="1:11" x14ac:dyDescent="0.25">
      <c r="A11" s="4" t="s">
        <v>818</v>
      </c>
      <c r="B11" s="4">
        <v>9</v>
      </c>
      <c r="D11" s="4" t="s">
        <v>800</v>
      </c>
      <c r="E11" s="22">
        <f t="shared" si="1"/>
        <v>137</v>
      </c>
      <c r="I11" s="4" t="s">
        <v>800</v>
      </c>
      <c r="J11" s="22" t="str">
        <f t="shared" si="0"/>
        <v>Ray Silva</v>
      </c>
      <c r="K11" s="22">
        <f t="shared" si="2"/>
        <v>137</v>
      </c>
    </row>
    <row r="12" spans="1:11" x14ac:dyDescent="0.25">
      <c r="A12" s="4" t="s">
        <v>823</v>
      </c>
      <c r="B12" s="4">
        <v>8</v>
      </c>
      <c r="D12" s="4" t="s">
        <v>801</v>
      </c>
      <c r="E12" s="22">
        <f t="shared" si="1"/>
        <v>127</v>
      </c>
      <c r="I12" s="4" t="s">
        <v>801</v>
      </c>
      <c r="J12" s="22" t="str">
        <f t="shared" si="0"/>
        <v>Roderick White</v>
      </c>
      <c r="K12" s="22">
        <f t="shared" si="2"/>
        <v>127</v>
      </c>
    </row>
    <row r="13" spans="1:11" x14ac:dyDescent="0.25">
      <c r="A13" s="4" t="s">
        <v>818</v>
      </c>
      <c r="B13" s="4">
        <v>7</v>
      </c>
      <c r="D13" s="4" t="s">
        <v>802</v>
      </c>
      <c r="E13" s="22">
        <f t="shared" si="1"/>
        <v>127</v>
      </c>
      <c r="I13" s="4" t="s">
        <v>802</v>
      </c>
      <c r="J13" s="22" t="str">
        <f t="shared" si="0"/>
        <v>Diana Holt</v>
      </c>
      <c r="K13" s="22">
        <f t="shared" si="2"/>
        <v>127</v>
      </c>
    </row>
    <row r="14" spans="1:11" x14ac:dyDescent="0.25">
      <c r="A14" s="4" t="s">
        <v>821</v>
      </c>
      <c r="B14" s="4">
        <v>10</v>
      </c>
      <c r="D14" s="4" t="s">
        <v>803</v>
      </c>
      <c r="E14" s="22">
        <f t="shared" si="1"/>
        <v>124</v>
      </c>
      <c r="I14" s="4" t="s">
        <v>803</v>
      </c>
      <c r="J14" s="22" t="str">
        <f t="shared" si="0"/>
        <v>Pat Anderson</v>
      </c>
      <c r="K14" s="22">
        <f t="shared" si="2"/>
        <v>124</v>
      </c>
    </row>
    <row r="15" spans="1:11" x14ac:dyDescent="0.25">
      <c r="A15" s="4" t="s">
        <v>823</v>
      </c>
      <c r="B15" s="4">
        <v>6</v>
      </c>
      <c r="D15" s="4" t="s">
        <v>804</v>
      </c>
      <c r="E15" s="22">
        <f t="shared" si="1"/>
        <v>173</v>
      </c>
      <c r="I15" s="4" t="s">
        <v>804</v>
      </c>
      <c r="J15" s="22" t="str">
        <f t="shared" si="0"/>
        <v>Beulah Howell</v>
      </c>
      <c r="K15" s="22">
        <f t="shared" si="2"/>
        <v>173</v>
      </c>
    </row>
    <row r="16" spans="1:11" x14ac:dyDescent="0.25">
      <c r="A16" s="4" t="s">
        <v>818</v>
      </c>
      <c r="B16" s="4">
        <v>5</v>
      </c>
      <c r="D16" s="4" t="s">
        <v>805</v>
      </c>
      <c r="E16" s="22">
        <f t="shared" si="1"/>
        <v>166</v>
      </c>
      <c r="I16" s="4" t="s">
        <v>805</v>
      </c>
      <c r="J16" s="22" t="str">
        <f t="shared" si="0"/>
        <v>Krystal Hubbard</v>
      </c>
      <c r="K16" s="22">
        <f t="shared" si="2"/>
        <v>166</v>
      </c>
    </row>
    <row r="17" spans="1:11" x14ac:dyDescent="0.25">
      <c r="A17" s="4" t="s">
        <v>794</v>
      </c>
      <c r="B17" s="4">
        <v>2</v>
      </c>
      <c r="D17" s="4" t="s">
        <v>806</v>
      </c>
      <c r="E17" s="22">
        <f t="shared" si="1"/>
        <v>127</v>
      </c>
      <c r="I17" s="4" t="s">
        <v>806</v>
      </c>
      <c r="J17" s="22" t="str">
        <f t="shared" si="0"/>
        <v>Roger Henderson</v>
      </c>
      <c r="K17" s="22">
        <f t="shared" si="2"/>
        <v>127</v>
      </c>
    </row>
    <row r="18" spans="1:11" x14ac:dyDescent="0.25">
      <c r="A18" s="4" t="s">
        <v>818</v>
      </c>
      <c r="B18" s="4">
        <v>4</v>
      </c>
      <c r="D18" s="4" t="s">
        <v>807</v>
      </c>
      <c r="E18" s="22">
        <f t="shared" si="1"/>
        <v>113</v>
      </c>
      <c r="I18" s="4" t="s">
        <v>807</v>
      </c>
      <c r="J18" s="22" t="str">
        <f t="shared" si="0"/>
        <v>Dave Martin</v>
      </c>
      <c r="K18" s="22">
        <f t="shared" si="2"/>
        <v>113</v>
      </c>
    </row>
    <row r="19" spans="1:11" x14ac:dyDescent="0.25">
      <c r="A19" s="4" t="s">
        <v>812</v>
      </c>
      <c r="B19" s="4">
        <v>1</v>
      </c>
    </row>
    <row r="20" spans="1:11" x14ac:dyDescent="0.25">
      <c r="A20" s="4" t="s">
        <v>812</v>
      </c>
      <c r="B20" s="4">
        <v>7</v>
      </c>
    </row>
    <row r="21" spans="1:11" x14ac:dyDescent="0.25">
      <c r="A21" s="4" t="s">
        <v>815</v>
      </c>
      <c r="B21" s="4">
        <v>1</v>
      </c>
    </row>
    <row r="22" spans="1:11" x14ac:dyDescent="0.25">
      <c r="A22" s="4" t="s">
        <v>821</v>
      </c>
      <c r="B22" s="4">
        <v>1</v>
      </c>
    </row>
    <row r="23" spans="1:11" x14ac:dyDescent="0.25">
      <c r="A23" s="4" t="s">
        <v>816</v>
      </c>
      <c r="B23" s="4">
        <v>9</v>
      </c>
    </row>
    <row r="24" spans="1:11" x14ac:dyDescent="0.25">
      <c r="A24" s="4" t="s">
        <v>794</v>
      </c>
      <c r="B24" s="4">
        <v>1</v>
      </c>
    </row>
    <row r="25" spans="1:11" x14ac:dyDescent="0.25">
      <c r="A25" s="4" t="s">
        <v>823</v>
      </c>
      <c r="B25" s="4">
        <v>8</v>
      </c>
    </row>
    <row r="26" spans="1:11" x14ac:dyDescent="0.25">
      <c r="A26" s="4" t="s">
        <v>813</v>
      </c>
      <c r="B26" s="4">
        <v>1</v>
      </c>
    </row>
    <row r="27" spans="1:11" x14ac:dyDescent="0.25">
      <c r="A27" s="4" t="s">
        <v>811</v>
      </c>
      <c r="B27" s="4">
        <v>6</v>
      </c>
    </row>
    <row r="28" spans="1:11" x14ac:dyDescent="0.25">
      <c r="A28" s="4" t="s">
        <v>820</v>
      </c>
      <c r="B28" s="4">
        <v>6</v>
      </c>
    </row>
    <row r="29" spans="1:11" x14ac:dyDescent="0.25">
      <c r="A29" s="4" t="s">
        <v>816</v>
      </c>
      <c r="B29" s="4">
        <v>8</v>
      </c>
    </row>
    <row r="30" spans="1:11" x14ac:dyDescent="0.25">
      <c r="A30" s="4" t="s">
        <v>823</v>
      </c>
      <c r="B30" s="4">
        <v>2</v>
      </c>
    </row>
    <row r="31" spans="1:11" x14ac:dyDescent="0.25">
      <c r="A31" s="4" t="s">
        <v>811</v>
      </c>
      <c r="B31" s="4">
        <v>10</v>
      </c>
    </row>
    <row r="32" spans="1:11" x14ac:dyDescent="0.25">
      <c r="A32" s="4" t="s">
        <v>824</v>
      </c>
      <c r="B32" s="4">
        <v>8</v>
      </c>
    </row>
    <row r="33" spans="1:2" x14ac:dyDescent="0.25">
      <c r="A33" s="4" t="s">
        <v>822</v>
      </c>
      <c r="B33" s="4">
        <v>4</v>
      </c>
    </row>
    <row r="34" spans="1:2" x14ac:dyDescent="0.25">
      <c r="A34" s="4" t="s">
        <v>812</v>
      </c>
      <c r="B34" s="4">
        <v>10</v>
      </c>
    </row>
    <row r="35" spans="1:2" x14ac:dyDescent="0.25">
      <c r="A35" s="4" t="s">
        <v>815</v>
      </c>
      <c r="B35" s="4">
        <v>3</v>
      </c>
    </row>
    <row r="36" spans="1:2" x14ac:dyDescent="0.25">
      <c r="A36" s="4" t="s">
        <v>818</v>
      </c>
      <c r="B36" s="4">
        <v>3</v>
      </c>
    </row>
    <row r="37" spans="1:2" x14ac:dyDescent="0.25">
      <c r="A37" s="4" t="s">
        <v>819</v>
      </c>
      <c r="B37" s="4">
        <v>4</v>
      </c>
    </row>
    <row r="38" spans="1:2" x14ac:dyDescent="0.25">
      <c r="A38" s="4" t="s">
        <v>820</v>
      </c>
      <c r="B38" s="4">
        <v>10</v>
      </c>
    </row>
    <row r="39" spans="1:2" x14ac:dyDescent="0.25">
      <c r="A39" s="4" t="s">
        <v>813</v>
      </c>
      <c r="B39" s="4">
        <v>10</v>
      </c>
    </row>
    <row r="40" spans="1:2" x14ac:dyDescent="0.25">
      <c r="A40" s="4" t="s">
        <v>822</v>
      </c>
      <c r="B40" s="4">
        <v>3</v>
      </c>
    </row>
    <row r="41" spans="1:2" x14ac:dyDescent="0.25">
      <c r="A41" s="4" t="s">
        <v>821</v>
      </c>
      <c r="B41" s="4">
        <v>1</v>
      </c>
    </row>
    <row r="42" spans="1:2" x14ac:dyDescent="0.25">
      <c r="A42" s="4" t="s">
        <v>820</v>
      </c>
      <c r="B42" s="4">
        <v>5</v>
      </c>
    </row>
    <row r="43" spans="1:2" x14ac:dyDescent="0.25">
      <c r="A43" s="4" t="s">
        <v>819</v>
      </c>
      <c r="B43" s="4">
        <v>9</v>
      </c>
    </row>
    <row r="44" spans="1:2" x14ac:dyDescent="0.25">
      <c r="A44" s="4" t="s">
        <v>811</v>
      </c>
      <c r="B44" s="4">
        <v>6</v>
      </c>
    </row>
    <row r="45" spans="1:2" x14ac:dyDescent="0.25">
      <c r="A45" s="4" t="s">
        <v>817</v>
      </c>
      <c r="B45" s="4">
        <v>7</v>
      </c>
    </row>
    <row r="46" spans="1:2" x14ac:dyDescent="0.25">
      <c r="A46" s="4" t="s">
        <v>817</v>
      </c>
      <c r="B46" s="4">
        <v>3</v>
      </c>
    </row>
    <row r="47" spans="1:2" x14ac:dyDescent="0.25">
      <c r="A47" s="4" t="s">
        <v>824</v>
      </c>
      <c r="B47" s="4">
        <v>4</v>
      </c>
    </row>
    <row r="48" spans="1:2" x14ac:dyDescent="0.25">
      <c r="A48" s="4" t="s">
        <v>812</v>
      </c>
      <c r="B48" s="4">
        <v>1</v>
      </c>
    </row>
    <row r="49" spans="1:2" x14ac:dyDescent="0.25">
      <c r="A49" s="4" t="s">
        <v>814</v>
      </c>
      <c r="B49" s="4">
        <v>5</v>
      </c>
    </row>
    <row r="50" spans="1:2" x14ac:dyDescent="0.25">
      <c r="A50" s="4" t="s">
        <v>811</v>
      </c>
      <c r="B50" s="4">
        <v>1</v>
      </c>
    </row>
    <row r="51" spans="1:2" x14ac:dyDescent="0.25">
      <c r="A51" s="4" t="s">
        <v>818</v>
      </c>
      <c r="B51" s="4">
        <v>6</v>
      </c>
    </row>
    <row r="52" spans="1:2" x14ac:dyDescent="0.25">
      <c r="A52" s="4" t="s">
        <v>824</v>
      </c>
      <c r="B52" s="4">
        <v>8</v>
      </c>
    </row>
    <row r="53" spans="1:2" x14ac:dyDescent="0.25">
      <c r="A53" s="4" t="s">
        <v>820</v>
      </c>
      <c r="B53" s="4">
        <v>4</v>
      </c>
    </row>
    <row r="54" spans="1:2" x14ac:dyDescent="0.25">
      <c r="A54" s="4" t="s">
        <v>820</v>
      </c>
      <c r="B54" s="4">
        <v>9</v>
      </c>
    </row>
    <row r="55" spans="1:2" x14ac:dyDescent="0.25">
      <c r="A55" s="4" t="s">
        <v>821</v>
      </c>
      <c r="B55" s="4">
        <v>3</v>
      </c>
    </row>
    <row r="56" spans="1:2" x14ac:dyDescent="0.25">
      <c r="A56" s="4" t="s">
        <v>794</v>
      </c>
      <c r="B56" s="4">
        <v>5</v>
      </c>
    </row>
    <row r="57" spans="1:2" x14ac:dyDescent="0.25">
      <c r="A57" s="4" t="s">
        <v>818</v>
      </c>
      <c r="B57" s="4">
        <v>8</v>
      </c>
    </row>
    <row r="58" spans="1:2" x14ac:dyDescent="0.25">
      <c r="A58" s="4" t="s">
        <v>823</v>
      </c>
      <c r="B58" s="4">
        <v>10</v>
      </c>
    </row>
    <row r="59" spans="1:2" x14ac:dyDescent="0.25">
      <c r="A59" s="4" t="s">
        <v>811</v>
      </c>
      <c r="B59" s="4">
        <v>6</v>
      </c>
    </row>
    <row r="60" spans="1:2" x14ac:dyDescent="0.25">
      <c r="A60" s="4" t="s">
        <v>811</v>
      </c>
      <c r="B60" s="4">
        <v>8</v>
      </c>
    </row>
    <row r="61" spans="1:2" x14ac:dyDescent="0.25">
      <c r="A61" s="4" t="s">
        <v>813</v>
      </c>
      <c r="B61" s="4">
        <v>5</v>
      </c>
    </row>
    <row r="62" spans="1:2" x14ac:dyDescent="0.25">
      <c r="A62" s="4" t="s">
        <v>820</v>
      </c>
      <c r="B62" s="4">
        <v>7</v>
      </c>
    </row>
    <row r="63" spans="1:2" x14ac:dyDescent="0.25">
      <c r="A63" s="4" t="s">
        <v>821</v>
      </c>
      <c r="B63" s="4">
        <v>10</v>
      </c>
    </row>
    <row r="64" spans="1:2" x14ac:dyDescent="0.25">
      <c r="A64" s="4" t="s">
        <v>820</v>
      </c>
      <c r="B64" s="4">
        <v>2</v>
      </c>
    </row>
    <row r="65" spans="1:2" x14ac:dyDescent="0.25">
      <c r="A65" s="4" t="s">
        <v>822</v>
      </c>
      <c r="B65" s="4">
        <v>1</v>
      </c>
    </row>
    <row r="66" spans="1:2" x14ac:dyDescent="0.25">
      <c r="A66" s="4" t="s">
        <v>819</v>
      </c>
      <c r="B66" s="4">
        <v>2</v>
      </c>
    </row>
    <row r="67" spans="1:2" x14ac:dyDescent="0.25">
      <c r="A67" s="4" t="s">
        <v>814</v>
      </c>
      <c r="B67" s="4">
        <v>6</v>
      </c>
    </row>
    <row r="68" spans="1:2" x14ac:dyDescent="0.25">
      <c r="A68" s="4" t="s">
        <v>822</v>
      </c>
      <c r="B68" s="4">
        <v>9</v>
      </c>
    </row>
    <row r="69" spans="1:2" x14ac:dyDescent="0.25">
      <c r="A69" s="4" t="s">
        <v>794</v>
      </c>
      <c r="B69" s="4">
        <v>9</v>
      </c>
    </row>
    <row r="70" spans="1:2" x14ac:dyDescent="0.25">
      <c r="A70" s="4" t="s">
        <v>818</v>
      </c>
      <c r="B70" s="4">
        <v>4</v>
      </c>
    </row>
    <row r="71" spans="1:2" x14ac:dyDescent="0.25">
      <c r="A71" s="4" t="s">
        <v>820</v>
      </c>
      <c r="B71" s="4">
        <v>9</v>
      </c>
    </row>
    <row r="72" spans="1:2" x14ac:dyDescent="0.25">
      <c r="A72" s="4" t="s">
        <v>821</v>
      </c>
      <c r="B72" s="4">
        <v>10</v>
      </c>
    </row>
    <row r="73" spans="1:2" x14ac:dyDescent="0.25">
      <c r="A73" s="4" t="s">
        <v>811</v>
      </c>
      <c r="B73" s="4">
        <v>2</v>
      </c>
    </row>
    <row r="74" spans="1:2" x14ac:dyDescent="0.25">
      <c r="A74" s="4" t="s">
        <v>820</v>
      </c>
      <c r="B74" s="4">
        <v>5</v>
      </c>
    </row>
    <row r="75" spans="1:2" x14ac:dyDescent="0.25">
      <c r="A75" s="4" t="s">
        <v>823</v>
      </c>
      <c r="B75" s="4">
        <v>3</v>
      </c>
    </row>
    <row r="76" spans="1:2" x14ac:dyDescent="0.25">
      <c r="A76" s="4" t="s">
        <v>811</v>
      </c>
      <c r="B76" s="4">
        <v>5</v>
      </c>
    </row>
    <row r="77" spans="1:2" x14ac:dyDescent="0.25">
      <c r="A77" s="4" t="s">
        <v>818</v>
      </c>
      <c r="B77" s="4">
        <v>6</v>
      </c>
    </row>
    <row r="78" spans="1:2" x14ac:dyDescent="0.25">
      <c r="A78" s="4" t="s">
        <v>816</v>
      </c>
      <c r="B78" s="4">
        <v>9</v>
      </c>
    </row>
    <row r="79" spans="1:2" x14ac:dyDescent="0.25">
      <c r="A79" s="4" t="s">
        <v>819</v>
      </c>
      <c r="B79" s="4">
        <v>4</v>
      </c>
    </row>
    <row r="80" spans="1:2" x14ac:dyDescent="0.25">
      <c r="A80" s="4" t="s">
        <v>819</v>
      </c>
      <c r="B80" s="4">
        <v>1</v>
      </c>
    </row>
    <row r="81" spans="1:2" x14ac:dyDescent="0.25">
      <c r="A81" s="4" t="s">
        <v>815</v>
      </c>
      <c r="B81" s="4">
        <v>5</v>
      </c>
    </row>
    <row r="82" spans="1:2" x14ac:dyDescent="0.25">
      <c r="A82" s="4" t="s">
        <v>813</v>
      </c>
      <c r="B82" s="4">
        <v>2</v>
      </c>
    </row>
    <row r="83" spans="1:2" x14ac:dyDescent="0.25">
      <c r="A83" s="4" t="s">
        <v>816</v>
      </c>
      <c r="B83" s="4">
        <v>10</v>
      </c>
    </row>
    <row r="84" spans="1:2" x14ac:dyDescent="0.25">
      <c r="A84" s="4" t="s">
        <v>811</v>
      </c>
      <c r="B84" s="4">
        <v>1</v>
      </c>
    </row>
    <row r="85" spans="1:2" x14ac:dyDescent="0.25">
      <c r="A85" s="4" t="s">
        <v>814</v>
      </c>
      <c r="B85" s="4">
        <v>9</v>
      </c>
    </row>
    <row r="86" spans="1:2" x14ac:dyDescent="0.25">
      <c r="A86" s="4" t="s">
        <v>821</v>
      </c>
      <c r="B86" s="4">
        <v>9</v>
      </c>
    </row>
    <row r="87" spans="1:2" x14ac:dyDescent="0.25">
      <c r="A87" s="4" t="s">
        <v>819</v>
      </c>
      <c r="B87" s="4">
        <v>8</v>
      </c>
    </row>
    <row r="88" spans="1:2" x14ac:dyDescent="0.25">
      <c r="A88" s="4" t="s">
        <v>817</v>
      </c>
      <c r="B88" s="4">
        <v>1</v>
      </c>
    </row>
    <row r="89" spans="1:2" x14ac:dyDescent="0.25">
      <c r="A89" s="4" t="s">
        <v>812</v>
      </c>
      <c r="B89" s="4">
        <v>3</v>
      </c>
    </row>
    <row r="90" spans="1:2" x14ac:dyDescent="0.25">
      <c r="A90" s="4" t="s">
        <v>817</v>
      </c>
      <c r="B90" s="4">
        <v>5</v>
      </c>
    </row>
    <row r="91" spans="1:2" x14ac:dyDescent="0.25">
      <c r="A91" s="4" t="s">
        <v>818</v>
      </c>
      <c r="B91" s="4">
        <v>2</v>
      </c>
    </row>
    <row r="92" spans="1:2" x14ac:dyDescent="0.25">
      <c r="A92" s="4" t="s">
        <v>794</v>
      </c>
      <c r="B92" s="4">
        <v>9</v>
      </c>
    </row>
    <row r="93" spans="1:2" x14ac:dyDescent="0.25">
      <c r="A93" s="4" t="s">
        <v>820</v>
      </c>
      <c r="B93" s="4">
        <v>10</v>
      </c>
    </row>
    <row r="94" spans="1:2" x14ac:dyDescent="0.25">
      <c r="A94" s="4" t="s">
        <v>811</v>
      </c>
      <c r="B94" s="4">
        <v>9</v>
      </c>
    </row>
    <row r="95" spans="1:2" x14ac:dyDescent="0.25">
      <c r="A95" s="4" t="s">
        <v>822</v>
      </c>
      <c r="B95" s="4">
        <v>6</v>
      </c>
    </row>
    <row r="96" spans="1:2" x14ac:dyDescent="0.25">
      <c r="A96" s="4" t="s">
        <v>822</v>
      </c>
      <c r="B96" s="4">
        <v>7</v>
      </c>
    </row>
    <row r="97" spans="1:2" x14ac:dyDescent="0.25">
      <c r="A97" s="4" t="s">
        <v>823</v>
      </c>
      <c r="B97" s="4">
        <v>2</v>
      </c>
    </row>
    <row r="98" spans="1:2" x14ac:dyDescent="0.25">
      <c r="A98" s="4" t="s">
        <v>814</v>
      </c>
      <c r="B98" s="4">
        <v>7</v>
      </c>
    </row>
    <row r="99" spans="1:2" x14ac:dyDescent="0.25">
      <c r="A99" s="4" t="s">
        <v>817</v>
      </c>
      <c r="B99" s="4">
        <v>4</v>
      </c>
    </row>
    <row r="100" spans="1:2" x14ac:dyDescent="0.25">
      <c r="A100" s="4" t="s">
        <v>821</v>
      </c>
      <c r="B100" s="4">
        <v>10</v>
      </c>
    </row>
    <row r="101" spans="1:2" x14ac:dyDescent="0.25">
      <c r="A101" s="4" t="s">
        <v>814</v>
      </c>
      <c r="B101" s="4">
        <v>6</v>
      </c>
    </row>
    <row r="102" spans="1:2" x14ac:dyDescent="0.25">
      <c r="A102" s="4" t="s">
        <v>816</v>
      </c>
      <c r="B102" s="4">
        <v>6</v>
      </c>
    </row>
    <row r="103" spans="1:2" x14ac:dyDescent="0.25">
      <c r="A103" s="4" t="s">
        <v>815</v>
      </c>
      <c r="B103" s="4">
        <v>7</v>
      </c>
    </row>
    <row r="104" spans="1:2" x14ac:dyDescent="0.25">
      <c r="A104" s="4" t="s">
        <v>818</v>
      </c>
      <c r="B104" s="4">
        <v>4</v>
      </c>
    </row>
    <row r="105" spans="1:2" x14ac:dyDescent="0.25">
      <c r="A105" s="4" t="s">
        <v>814</v>
      </c>
      <c r="B105" s="4">
        <v>10</v>
      </c>
    </row>
    <row r="106" spans="1:2" x14ac:dyDescent="0.25">
      <c r="A106" s="4" t="s">
        <v>816</v>
      </c>
      <c r="B106" s="4">
        <v>8</v>
      </c>
    </row>
    <row r="107" spans="1:2" x14ac:dyDescent="0.25">
      <c r="A107" s="4" t="s">
        <v>812</v>
      </c>
      <c r="B107" s="4">
        <v>6</v>
      </c>
    </row>
    <row r="108" spans="1:2" x14ac:dyDescent="0.25">
      <c r="A108" s="4" t="s">
        <v>813</v>
      </c>
      <c r="B108" s="4">
        <v>4</v>
      </c>
    </row>
    <row r="109" spans="1:2" x14ac:dyDescent="0.25">
      <c r="A109" s="4" t="s">
        <v>823</v>
      </c>
      <c r="B109" s="4">
        <v>7</v>
      </c>
    </row>
    <row r="110" spans="1:2" x14ac:dyDescent="0.25">
      <c r="A110" s="4" t="s">
        <v>823</v>
      </c>
      <c r="B110" s="4">
        <v>3</v>
      </c>
    </row>
    <row r="111" spans="1:2" x14ac:dyDescent="0.25">
      <c r="A111" s="4" t="s">
        <v>813</v>
      </c>
      <c r="B111" s="4">
        <v>5</v>
      </c>
    </row>
    <row r="112" spans="1:2" x14ac:dyDescent="0.25">
      <c r="A112" s="4" t="s">
        <v>819</v>
      </c>
      <c r="B112" s="4">
        <v>1</v>
      </c>
    </row>
    <row r="113" spans="1:2" x14ac:dyDescent="0.25">
      <c r="A113" s="4" t="s">
        <v>818</v>
      </c>
      <c r="B113" s="4">
        <v>6</v>
      </c>
    </row>
    <row r="114" spans="1:2" x14ac:dyDescent="0.25">
      <c r="A114" s="4" t="s">
        <v>794</v>
      </c>
      <c r="B114" s="4">
        <v>2</v>
      </c>
    </row>
    <row r="115" spans="1:2" x14ac:dyDescent="0.25">
      <c r="A115" s="4" t="s">
        <v>819</v>
      </c>
      <c r="B115" s="4">
        <v>10</v>
      </c>
    </row>
    <row r="116" spans="1:2" x14ac:dyDescent="0.25">
      <c r="A116" s="4" t="s">
        <v>812</v>
      </c>
      <c r="B116" s="4">
        <v>6</v>
      </c>
    </row>
    <row r="117" spans="1:2" x14ac:dyDescent="0.25">
      <c r="A117" s="4" t="s">
        <v>814</v>
      </c>
      <c r="B117" s="4">
        <v>7</v>
      </c>
    </row>
    <row r="118" spans="1:2" x14ac:dyDescent="0.25">
      <c r="A118" s="4" t="s">
        <v>821</v>
      </c>
      <c r="B118" s="4">
        <v>3</v>
      </c>
    </row>
    <row r="119" spans="1:2" x14ac:dyDescent="0.25">
      <c r="A119" s="4" t="s">
        <v>817</v>
      </c>
      <c r="B119" s="4">
        <v>4</v>
      </c>
    </row>
    <row r="120" spans="1:2" x14ac:dyDescent="0.25">
      <c r="A120" s="4" t="s">
        <v>813</v>
      </c>
      <c r="B120" s="4">
        <v>6</v>
      </c>
    </row>
    <row r="121" spans="1:2" x14ac:dyDescent="0.25">
      <c r="A121" s="4" t="s">
        <v>815</v>
      </c>
      <c r="B121" s="4">
        <v>5</v>
      </c>
    </row>
    <row r="122" spans="1:2" x14ac:dyDescent="0.25">
      <c r="A122" s="4" t="s">
        <v>794</v>
      </c>
      <c r="B122" s="4">
        <v>10</v>
      </c>
    </row>
    <row r="123" spans="1:2" x14ac:dyDescent="0.25">
      <c r="A123" s="4" t="s">
        <v>814</v>
      </c>
      <c r="B123" s="4">
        <v>4</v>
      </c>
    </row>
    <row r="124" spans="1:2" x14ac:dyDescent="0.25">
      <c r="A124" s="4" t="s">
        <v>822</v>
      </c>
      <c r="B124" s="4">
        <v>1</v>
      </c>
    </row>
    <row r="125" spans="1:2" x14ac:dyDescent="0.25">
      <c r="A125" s="4" t="s">
        <v>817</v>
      </c>
      <c r="B125" s="4">
        <v>9</v>
      </c>
    </row>
    <row r="126" spans="1:2" x14ac:dyDescent="0.25">
      <c r="A126" s="4" t="s">
        <v>823</v>
      </c>
      <c r="B126" s="4">
        <v>10</v>
      </c>
    </row>
    <row r="127" spans="1:2" x14ac:dyDescent="0.25">
      <c r="A127" s="4" t="s">
        <v>812</v>
      </c>
      <c r="B127" s="4">
        <v>10</v>
      </c>
    </row>
    <row r="128" spans="1:2" x14ac:dyDescent="0.25">
      <c r="A128" s="4" t="s">
        <v>823</v>
      </c>
      <c r="B128" s="4">
        <v>10</v>
      </c>
    </row>
    <row r="129" spans="1:2" x14ac:dyDescent="0.25">
      <c r="A129" s="4" t="s">
        <v>817</v>
      </c>
      <c r="B129" s="4">
        <v>9</v>
      </c>
    </row>
    <row r="130" spans="1:2" x14ac:dyDescent="0.25">
      <c r="A130" s="4" t="s">
        <v>816</v>
      </c>
      <c r="B130" s="4">
        <v>1</v>
      </c>
    </row>
    <row r="131" spans="1:2" x14ac:dyDescent="0.25">
      <c r="A131" s="4" t="s">
        <v>822</v>
      </c>
      <c r="B131" s="4">
        <v>7</v>
      </c>
    </row>
    <row r="132" spans="1:2" x14ac:dyDescent="0.25">
      <c r="A132" s="4" t="s">
        <v>811</v>
      </c>
      <c r="B132" s="4">
        <v>1</v>
      </c>
    </row>
    <row r="133" spans="1:2" x14ac:dyDescent="0.25">
      <c r="A133" s="4" t="s">
        <v>811</v>
      </c>
      <c r="B133" s="4">
        <v>10</v>
      </c>
    </row>
    <row r="134" spans="1:2" x14ac:dyDescent="0.25">
      <c r="A134" s="4" t="s">
        <v>820</v>
      </c>
      <c r="B134" s="4">
        <v>4</v>
      </c>
    </row>
    <row r="135" spans="1:2" x14ac:dyDescent="0.25">
      <c r="A135" s="4" t="s">
        <v>814</v>
      </c>
      <c r="B135" s="4">
        <v>4</v>
      </c>
    </row>
    <row r="136" spans="1:2" x14ac:dyDescent="0.25">
      <c r="A136" s="4" t="s">
        <v>820</v>
      </c>
      <c r="B136" s="4">
        <v>8</v>
      </c>
    </row>
    <row r="137" spans="1:2" x14ac:dyDescent="0.25">
      <c r="A137" s="4" t="s">
        <v>794</v>
      </c>
      <c r="B137" s="4">
        <v>8</v>
      </c>
    </row>
    <row r="138" spans="1:2" x14ac:dyDescent="0.25">
      <c r="A138" s="4" t="s">
        <v>819</v>
      </c>
      <c r="B138" s="4">
        <v>5</v>
      </c>
    </row>
    <row r="139" spans="1:2" x14ac:dyDescent="0.25">
      <c r="A139" s="4" t="s">
        <v>821</v>
      </c>
      <c r="B139" s="4">
        <v>1</v>
      </c>
    </row>
    <row r="140" spans="1:2" x14ac:dyDescent="0.25">
      <c r="A140" s="4" t="s">
        <v>814</v>
      </c>
      <c r="B140" s="4">
        <v>9</v>
      </c>
    </row>
    <row r="141" spans="1:2" x14ac:dyDescent="0.25">
      <c r="A141" s="4" t="s">
        <v>820</v>
      </c>
      <c r="B141" s="4">
        <v>2</v>
      </c>
    </row>
    <row r="142" spans="1:2" x14ac:dyDescent="0.25">
      <c r="A142" s="4" t="s">
        <v>818</v>
      </c>
      <c r="B142" s="4">
        <v>6</v>
      </c>
    </row>
    <row r="143" spans="1:2" x14ac:dyDescent="0.25">
      <c r="A143" s="4" t="s">
        <v>821</v>
      </c>
      <c r="B143" s="4">
        <v>3</v>
      </c>
    </row>
    <row r="144" spans="1:2" x14ac:dyDescent="0.25">
      <c r="A144" s="4" t="s">
        <v>794</v>
      </c>
      <c r="B144" s="4">
        <v>2</v>
      </c>
    </row>
    <row r="145" spans="1:2" x14ac:dyDescent="0.25">
      <c r="A145" s="4" t="s">
        <v>822</v>
      </c>
      <c r="B145" s="4">
        <v>6</v>
      </c>
    </row>
    <row r="146" spans="1:2" x14ac:dyDescent="0.25">
      <c r="A146" s="4" t="s">
        <v>824</v>
      </c>
      <c r="B146" s="4">
        <v>3</v>
      </c>
    </row>
    <row r="147" spans="1:2" x14ac:dyDescent="0.25">
      <c r="A147" s="4" t="s">
        <v>822</v>
      </c>
      <c r="B147" s="4">
        <v>7</v>
      </c>
    </row>
    <row r="148" spans="1:2" x14ac:dyDescent="0.25">
      <c r="A148" s="4" t="s">
        <v>814</v>
      </c>
      <c r="B148" s="4">
        <v>7</v>
      </c>
    </row>
    <row r="149" spans="1:2" x14ac:dyDescent="0.25">
      <c r="A149" s="4" t="s">
        <v>820</v>
      </c>
      <c r="B149" s="4">
        <v>7</v>
      </c>
    </row>
    <row r="150" spans="1:2" x14ac:dyDescent="0.25">
      <c r="A150" s="4" t="s">
        <v>811</v>
      </c>
      <c r="B150" s="4">
        <v>1</v>
      </c>
    </row>
    <row r="151" spans="1:2" x14ac:dyDescent="0.25">
      <c r="A151" s="4" t="s">
        <v>812</v>
      </c>
      <c r="B151" s="4">
        <v>5</v>
      </c>
    </row>
    <row r="152" spans="1:2" x14ac:dyDescent="0.25">
      <c r="A152" s="4" t="s">
        <v>815</v>
      </c>
      <c r="B152" s="4">
        <v>7</v>
      </c>
    </row>
    <row r="153" spans="1:2" x14ac:dyDescent="0.25">
      <c r="A153" s="4" t="s">
        <v>813</v>
      </c>
      <c r="B153" s="4">
        <v>3</v>
      </c>
    </row>
    <row r="154" spans="1:2" x14ac:dyDescent="0.25">
      <c r="A154" s="4" t="s">
        <v>816</v>
      </c>
      <c r="B154" s="4">
        <v>9</v>
      </c>
    </row>
    <row r="155" spans="1:2" x14ac:dyDescent="0.25">
      <c r="A155" s="4" t="s">
        <v>822</v>
      </c>
      <c r="B155" s="4">
        <v>3</v>
      </c>
    </row>
    <row r="156" spans="1:2" x14ac:dyDescent="0.25">
      <c r="A156" s="4" t="s">
        <v>821</v>
      </c>
      <c r="B156" s="4">
        <v>10</v>
      </c>
    </row>
    <row r="157" spans="1:2" x14ac:dyDescent="0.25">
      <c r="A157" s="4" t="s">
        <v>822</v>
      </c>
      <c r="B157" s="4">
        <v>1</v>
      </c>
    </row>
    <row r="158" spans="1:2" x14ac:dyDescent="0.25">
      <c r="A158" s="4" t="s">
        <v>819</v>
      </c>
      <c r="B158" s="4">
        <v>2</v>
      </c>
    </row>
    <row r="159" spans="1:2" x14ac:dyDescent="0.25">
      <c r="A159" s="4" t="s">
        <v>819</v>
      </c>
      <c r="B159" s="4">
        <v>5</v>
      </c>
    </row>
    <row r="160" spans="1:2" x14ac:dyDescent="0.25">
      <c r="A160" s="4" t="s">
        <v>811</v>
      </c>
      <c r="B160" s="4">
        <v>3</v>
      </c>
    </row>
    <row r="161" spans="1:2" x14ac:dyDescent="0.25">
      <c r="A161" s="4" t="s">
        <v>815</v>
      </c>
      <c r="B161" s="4">
        <v>3</v>
      </c>
    </row>
    <row r="162" spans="1:2" x14ac:dyDescent="0.25">
      <c r="A162" s="4" t="s">
        <v>818</v>
      </c>
      <c r="B162" s="4">
        <v>8</v>
      </c>
    </row>
    <row r="163" spans="1:2" x14ac:dyDescent="0.25">
      <c r="A163" s="4" t="s">
        <v>811</v>
      </c>
      <c r="B163" s="4">
        <v>8</v>
      </c>
    </row>
    <row r="164" spans="1:2" x14ac:dyDescent="0.25">
      <c r="A164" s="4" t="s">
        <v>819</v>
      </c>
      <c r="B164" s="4">
        <v>2</v>
      </c>
    </row>
    <row r="165" spans="1:2" x14ac:dyDescent="0.25">
      <c r="A165" s="4" t="s">
        <v>816</v>
      </c>
      <c r="B165" s="4">
        <v>7</v>
      </c>
    </row>
    <row r="166" spans="1:2" x14ac:dyDescent="0.25">
      <c r="A166" s="4" t="s">
        <v>821</v>
      </c>
      <c r="B166" s="4">
        <v>8</v>
      </c>
    </row>
    <row r="167" spans="1:2" x14ac:dyDescent="0.25">
      <c r="A167" s="4" t="s">
        <v>823</v>
      </c>
      <c r="B167" s="4">
        <v>9</v>
      </c>
    </row>
    <row r="168" spans="1:2" x14ac:dyDescent="0.25">
      <c r="A168" s="4" t="s">
        <v>815</v>
      </c>
      <c r="B168" s="4">
        <v>6</v>
      </c>
    </row>
    <row r="169" spans="1:2" x14ac:dyDescent="0.25">
      <c r="A169" s="4" t="s">
        <v>821</v>
      </c>
      <c r="B169" s="4">
        <v>8</v>
      </c>
    </row>
    <row r="170" spans="1:2" x14ac:dyDescent="0.25">
      <c r="A170" s="4" t="s">
        <v>812</v>
      </c>
      <c r="B170" s="4">
        <v>5</v>
      </c>
    </row>
    <row r="171" spans="1:2" x14ac:dyDescent="0.25">
      <c r="A171" s="4" t="s">
        <v>812</v>
      </c>
      <c r="B171" s="4">
        <v>5</v>
      </c>
    </row>
    <row r="172" spans="1:2" x14ac:dyDescent="0.25">
      <c r="A172" s="4" t="s">
        <v>817</v>
      </c>
      <c r="B172" s="4">
        <v>7</v>
      </c>
    </row>
    <row r="173" spans="1:2" x14ac:dyDescent="0.25">
      <c r="A173" s="4" t="s">
        <v>821</v>
      </c>
      <c r="B173" s="4">
        <v>7</v>
      </c>
    </row>
    <row r="174" spans="1:2" x14ac:dyDescent="0.25">
      <c r="A174" s="4" t="s">
        <v>823</v>
      </c>
      <c r="B174" s="4">
        <v>1</v>
      </c>
    </row>
    <row r="175" spans="1:2" x14ac:dyDescent="0.25">
      <c r="A175" s="4" t="s">
        <v>812</v>
      </c>
      <c r="B175" s="4">
        <v>10</v>
      </c>
    </row>
    <row r="176" spans="1:2" x14ac:dyDescent="0.25">
      <c r="A176" s="4" t="s">
        <v>820</v>
      </c>
      <c r="B176" s="4">
        <v>4</v>
      </c>
    </row>
    <row r="177" spans="1:2" x14ac:dyDescent="0.25">
      <c r="A177" s="4" t="s">
        <v>814</v>
      </c>
      <c r="B177" s="4">
        <v>6</v>
      </c>
    </row>
    <row r="178" spans="1:2" x14ac:dyDescent="0.25">
      <c r="A178" s="4" t="s">
        <v>819</v>
      </c>
      <c r="B178" s="4">
        <v>2</v>
      </c>
    </row>
    <row r="179" spans="1:2" x14ac:dyDescent="0.25">
      <c r="A179" s="4" t="s">
        <v>822</v>
      </c>
      <c r="B179" s="4">
        <v>3</v>
      </c>
    </row>
    <row r="180" spans="1:2" x14ac:dyDescent="0.25">
      <c r="A180" s="4" t="s">
        <v>816</v>
      </c>
      <c r="B180" s="4">
        <v>4</v>
      </c>
    </row>
    <row r="181" spans="1:2" x14ac:dyDescent="0.25">
      <c r="A181" s="4" t="s">
        <v>813</v>
      </c>
      <c r="B181" s="4">
        <v>6</v>
      </c>
    </row>
    <row r="182" spans="1:2" x14ac:dyDescent="0.25">
      <c r="A182" s="4" t="s">
        <v>811</v>
      </c>
      <c r="B182" s="4">
        <v>10</v>
      </c>
    </row>
    <row r="183" spans="1:2" x14ac:dyDescent="0.25">
      <c r="A183" s="4" t="s">
        <v>816</v>
      </c>
      <c r="B183" s="4">
        <v>6</v>
      </c>
    </row>
    <row r="184" spans="1:2" x14ac:dyDescent="0.25">
      <c r="A184" s="4" t="s">
        <v>813</v>
      </c>
      <c r="B184" s="4">
        <v>10</v>
      </c>
    </row>
    <row r="185" spans="1:2" x14ac:dyDescent="0.25">
      <c r="A185" s="4" t="s">
        <v>820</v>
      </c>
      <c r="B185" s="4">
        <v>5</v>
      </c>
    </row>
    <row r="186" spans="1:2" x14ac:dyDescent="0.25">
      <c r="A186" s="4" t="s">
        <v>811</v>
      </c>
      <c r="B186" s="4">
        <v>8</v>
      </c>
    </row>
    <row r="187" spans="1:2" x14ac:dyDescent="0.25">
      <c r="A187" s="4" t="s">
        <v>817</v>
      </c>
      <c r="B187" s="4">
        <v>5</v>
      </c>
    </row>
    <row r="188" spans="1:2" x14ac:dyDescent="0.25">
      <c r="A188" s="4" t="s">
        <v>823</v>
      </c>
      <c r="B188" s="4">
        <v>5</v>
      </c>
    </row>
    <row r="189" spans="1:2" x14ac:dyDescent="0.25">
      <c r="A189" s="4" t="s">
        <v>824</v>
      </c>
      <c r="B189" s="4">
        <v>1</v>
      </c>
    </row>
    <row r="190" spans="1:2" x14ac:dyDescent="0.25">
      <c r="A190" s="4" t="s">
        <v>812</v>
      </c>
      <c r="B190" s="4">
        <v>7</v>
      </c>
    </row>
    <row r="191" spans="1:2" x14ac:dyDescent="0.25">
      <c r="A191" s="4" t="s">
        <v>816</v>
      </c>
      <c r="B191" s="4">
        <v>3</v>
      </c>
    </row>
    <row r="192" spans="1:2" x14ac:dyDescent="0.25">
      <c r="A192" s="4" t="s">
        <v>818</v>
      </c>
      <c r="B192" s="4">
        <v>8</v>
      </c>
    </row>
    <row r="193" spans="1:2" x14ac:dyDescent="0.25">
      <c r="A193" s="4" t="s">
        <v>813</v>
      </c>
      <c r="B193" s="4">
        <v>9</v>
      </c>
    </row>
    <row r="194" spans="1:2" x14ac:dyDescent="0.25">
      <c r="A194" s="4" t="s">
        <v>819</v>
      </c>
      <c r="B194" s="4">
        <v>10</v>
      </c>
    </row>
    <row r="195" spans="1:2" x14ac:dyDescent="0.25">
      <c r="A195" s="4" t="s">
        <v>794</v>
      </c>
      <c r="B195" s="4">
        <v>3</v>
      </c>
    </row>
    <row r="196" spans="1:2" x14ac:dyDescent="0.25">
      <c r="A196" s="4" t="s">
        <v>817</v>
      </c>
      <c r="B196" s="4">
        <v>6</v>
      </c>
    </row>
    <row r="197" spans="1:2" x14ac:dyDescent="0.25">
      <c r="A197" s="4" t="s">
        <v>794</v>
      </c>
      <c r="B197" s="4">
        <v>1</v>
      </c>
    </row>
    <row r="198" spans="1:2" x14ac:dyDescent="0.25">
      <c r="A198" s="4" t="s">
        <v>817</v>
      </c>
      <c r="B198" s="4">
        <v>6</v>
      </c>
    </row>
    <row r="199" spans="1:2" x14ac:dyDescent="0.25">
      <c r="A199" s="4" t="s">
        <v>794</v>
      </c>
      <c r="B199" s="4">
        <v>8</v>
      </c>
    </row>
    <row r="200" spans="1:2" x14ac:dyDescent="0.25">
      <c r="A200" s="4" t="s">
        <v>816</v>
      </c>
      <c r="B200" s="4">
        <v>8</v>
      </c>
    </row>
    <row r="201" spans="1:2" x14ac:dyDescent="0.25">
      <c r="A201" s="4" t="s">
        <v>814</v>
      </c>
      <c r="B201" s="4">
        <v>10</v>
      </c>
    </row>
    <row r="202" spans="1:2" x14ac:dyDescent="0.25">
      <c r="A202" s="4" t="s">
        <v>812</v>
      </c>
      <c r="B202" s="4">
        <v>10</v>
      </c>
    </row>
    <row r="203" spans="1:2" x14ac:dyDescent="0.25">
      <c r="A203" s="4" t="s">
        <v>817</v>
      </c>
      <c r="B203" s="4">
        <v>3</v>
      </c>
    </row>
    <row r="204" spans="1:2" x14ac:dyDescent="0.25">
      <c r="A204" s="4" t="s">
        <v>794</v>
      </c>
      <c r="B204" s="4">
        <v>9</v>
      </c>
    </row>
    <row r="205" spans="1:2" x14ac:dyDescent="0.25">
      <c r="A205" s="4" t="s">
        <v>813</v>
      </c>
      <c r="B205" s="4">
        <v>6</v>
      </c>
    </row>
    <row r="206" spans="1:2" x14ac:dyDescent="0.25">
      <c r="A206" s="4" t="s">
        <v>822</v>
      </c>
      <c r="B206" s="4">
        <v>3</v>
      </c>
    </row>
    <row r="207" spans="1:2" x14ac:dyDescent="0.25">
      <c r="A207" s="4" t="s">
        <v>811</v>
      </c>
      <c r="B207" s="4">
        <v>8</v>
      </c>
    </row>
    <row r="208" spans="1:2" x14ac:dyDescent="0.25">
      <c r="A208" s="4" t="s">
        <v>820</v>
      </c>
      <c r="B208" s="4">
        <v>9</v>
      </c>
    </row>
    <row r="209" spans="1:2" x14ac:dyDescent="0.25">
      <c r="A209" s="4" t="s">
        <v>819</v>
      </c>
      <c r="B209" s="4">
        <v>4</v>
      </c>
    </row>
    <row r="210" spans="1:2" x14ac:dyDescent="0.25">
      <c r="A210" s="4" t="s">
        <v>817</v>
      </c>
      <c r="B210" s="4">
        <v>4</v>
      </c>
    </row>
    <row r="211" spans="1:2" x14ac:dyDescent="0.25">
      <c r="A211" s="4" t="s">
        <v>812</v>
      </c>
      <c r="B211" s="4">
        <v>2</v>
      </c>
    </row>
    <row r="212" spans="1:2" x14ac:dyDescent="0.25">
      <c r="A212" s="4" t="s">
        <v>822</v>
      </c>
      <c r="B212" s="4">
        <v>5</v>
      </c>
    </row>
    <row r="213" spans="1:2" x14ac:dyDescent="0.25">
      <c r="A213" s="4" t="s">
        <v>823</v>
      </c>
      <c r="B213" s="4">
        <v>2</v>
      </c>
    </row>
    <row r="214" spans="1:2" x14ac:dyDescent="0.25">
      <c r="A214" s="4" t="s">
        <v>814</v>
      </c>
      <c r="B214" s="4">
        <v>4</v>
      </c>
    </row>
    <row r="215" spans="1:2" x14ac:dyDescent="0.25">
      <c r="A215" s="4" t="s">
        <v>817</v>
      </c>
      <c r="B215" s="4">
        <v>5</v>
      </c>
    </row>
    <row r="216" spans="1:2" x14ac:dyDescent="0.25">
      <c r="A216" s="4" t="s">
        <v>819</v>
      </c>
      <c r="B216" s="4">
        <v>2</v>
      </c>
    </row>
    <row r="217" spans="1:2" x14ac:dyDescent="0.25">
      <c r="A217" s="4" t="s">
        <v>812</v>
      </c>
      <c r="B217" s="4">
        <v>9</v>
      </c>
    </row>
    <row r="218" spans="1:2" x14ac:dyDescent="0.25">
      <c r="A218" s="4" t="s">
        <v>813</v>
      </c>
      <c r="B218" s="4">
        <v>7</v>
      </c>
    </row>
    <row r="219" spans="1:2" x14ac:dyDescent="0.25">
      <c r="A219" s="4" t="s">
        <v>819</v>
      </c>
      <c r="B219" s="4">
        <v>6</v>
      </c>
    </row>
    <row r="220" spans="1:2" x14ac:dyDescent="0.25">
      <c r="A220" s="4" t="s">
        <v>812</v>
      </c>
      <c r="B220" s="4">
        <v>1</v>
      </c>
    </row>
    <row r="221" spans="1:2" x14ac:dyDescent="0.25">
      <c r="A221" s="4" t="s">
        <v>813</v>
      </c>
      <c r="B221" s="4">
        <v>4</v>
      </c>
    </row>
    <row r="222" spans="1:2" x14ac:dyDescent="0.25">
      <c r="A222" s="4" t="s">
        <v>814</v>
      </c>
      <c r="B222" s="4">
        <v>6</v>
      </c>
    </row>
    <row r="223" spans="1:2" x14ac:dyDescent="0.25">
      <c r="A223" s="4" t="s">
        <v>824</v>
      </c>
      <c r="B223" s="4">
        <v>2</v>
      </c>
    </row>
    <row r="224" spans="1:2" x14ac:dyDescent="0.25">
      <c r="A224" s="4" t="s">
        <v>817</v>
      </c>
      <c r="B224" s="4">
        <v>3</v>
      </c>
    </row>
    <row r="225" spans="1:2" x14ac:dyDescent="0.25">
      <c r="A225" s="4" t="s">
        <v>811</v>
      </c>
      <c r="B225" s="4">
        <v>4</v>
      </c>
    </row>
    <row r="226" spans="1:2" x14ac:dyDescent="0.25">
      <c r="A226" s="4" t="s">
        <v>816</v>
      </c>
      <c r="B226" s="4">
        <v>6</v>
      </c>
    </row>
    <row r="227" spans="1:2" x14ac:dyDescent="0.25">
      <c r="A227" s="4" t="s">
        <v>823</v>
      </c>
      <c r="B227" s="4">
        <v>9</v>
      </c>
    </row>
    <row r="228" spans="1:2" x14ac:dyDescent="0.25">
      <c r="A228" s="4" t="s">
        <v>816</v>
      </c>
      <c r="B228" s="4">
        <v>7</v>
      </c>
    </row>
    <row r="229" spans="1:2" x14ac:dyDescent="0.25">
      <c r="A229" s="4" t="s">
        <v>812</v>
      </c>
      <c r="B229" s="4">
        <v>9</v>
      </c>
    </row>
    <row r="230" spans="1:2" x14ac:dyDescent="0.25">
      <c r="A230" s="4" t="s">
        <v>817</v>
      </c>
      <c r="B230" s="4">
        <v>6</v>
      </c>
    </row>
    <row r="231" spans="1:2" x14ac:dyDescent="0.25">
      <c r="A231" s="4" t="s">
        <v>816</v>
      </c>
      <c r="B231" s="4">
        <v>6</v>
      </c>
    </row>
    <row r="232" spans="1:2" x14ac:dyDescent="0.25">
      <c r="A232" s="4" t="s">
        <v>820</v>
      </c>
      <c r="B232" s="4">
        <v>6</v>
      </c>
    </row>
    <row r="233" spans="1:2" x14ac:dyDescent="0.25">
      <c r="A233" s="4" t="s">
        <v>820</v>
      </c>
      <c r="B233" s="4">
        <v>1</v>
      </c>
    </row>
    <row r="234" spans="1:2" x14ac:dyDescent="0.25">
      <c r="A234" s="4" t="s">
        <v>813</v>
      </c>
      <c r="B234" s="4">
        <v>2</v>
      </c>
    </row>
    <row r="235" spans="1:2" x14ac:dyDescent="0.25">
      <c r="A235" s="4" t="s">
        <v>818</v>
      </c>
      <c r="B235" s="4">
        <v>7</v>
      </c>
    </row>
    <row r="236" spans="1:2" x14ac:dyDescent="0.25">
      <c r="A236" s="4" t="s">
        <v>814</v>
      </c>
      <c r="B236" s="4">
        <v>9</v>
      </c>
    </row>
    <row r="237" spans="1:2" x14ac:dyDescent="0.25">
      <c r="A237" s="4" t="s">
        <v>794</v>
      </c>
      <c r="B237" s="4">
        <v>5</v>
      </c>
    </row>
    <row r="238" spans="1:2" x14ac:dyDescent="0.25">
      <c r="A238" s="4" t="s">
        <v>820</v>
      </c>
      <c r="B238" s="4">
        <v>10</v>
      </c>
    </row>
    <row r="239" spans="1:2" x14ac:dyDescent="0.25">
      <c r="A239" s="4" t="s">
        <v>824</v>
      </c>
      <c r="B239" s="4">
        <v>10</v>
      </c>
    </row>
    <row r="240" spans="1:2" x14ac:dyDescent="0.25">
      <c r="A240" s="4" t="s">
        <v>818</v>
      </c>
      <c r="B240" s="4">
        <v>1</v>
      </c>
    </row>
    <row r="241" spans="1:2" x14ac:dyDescent="0.25">
      <c r="A241" s="4" t="s">
        <v>822</v>
      </c>
      <c r="B241" s="4">
        <v>1</v>
      </c>
    </row>
    <row r="242" spans="1:2" x14ac:dyDescent="0.25">
      <c r="A242" s="4" t="s">
        <v>794</v>
      </c>
      <c r="B242" s="4">
        <v>6</v>
      </c>
    </row>
    <row r="243" spans="1:2" x14ac:dyDescent="0.25">
      <c r="A243" s="4" t="s">
        <v>814</v>
      </c>
      <c r="B243" s="4">
        <v>10</v>
      </c>
    </row>
    <row r="244" spans="1:2" x14ac:dyDescent="0.25">
      <c r="A244" s="4" t="s">
        <v>824</v>
      </c>
      <c r="B244" s="4">
        <v>10</v>
      </c>
    </row>
    <row r="245" spans="1:2" x14ac:dyDescent="0.25">
      <c r="A245" s="4" t="s">
        <v>794</v>
      </c>
      <c r="B245" s="4">
        <v>1</v>
      </c>
    </row>
    <row r="246" spans="1:2" x14ac:dyDescent="0.25">
      <c r="A246" s="4" t="s">
        <v>824</v>
      </c>
      <c r="B246" s="4">
        <v>5</v>
      </c>
    </row>
    <row r="247" spans="1:2" x14ac:dyDescent="0.25">
      <c r="A247" s="4" t="s">
        <v>815</v>
      </c>
      <c r="B247" s="4">
        <v>4</v>
      </c>
    </row>
    <row r="248" spans="1:2" x14ac:dyDescent="0.25">
      <c r="A248" s="4" t="s">
        <v>817</v>
      </c>
      <c r="B248" s="4">
        <v>4</v>
      </c>
    </row>
    <row r="249" spans="1:2" x14ac:dyDescent="0.25">
      <c r="A249" s="4" t="s">
        <v>817</v>
      </c>
      <c r="B249" s="4">
        <v>4</v>
      </c>
    </row>
    <row r="250" spans="1:2" x14ac:dyDescent="0.25">
      <c r="A250" s="4" t="s">
        <v>813</v>
      </c>
      <c r="B250" s="4">
        <v>3</v>
      </c>
    </row>
    <row r="251" spans="1:2" x14ac:dyDescent="0.25">
      <c r="A251" s="4" t="s">
        <v>813</v>
      </c>
      <c r="B251" s="4">
        <v>6</v>
      </c>
    </row>
    <row r="252" spans="1:2" x14ac:dyDescent="0.25">
      <c r="A252" s="4" t="s">
        <v>824</v>
      </c>
      <c r="B252" s="4">
        <v>1</v>
      </c>
    </row>
    <row r="253" spans="1:2" x14ac:dyDescent="0.25">
      <c r="A253" s="4" t="s">
        <v>824</v>
      </c>
      <c r="B253" s="4">
        <v>5</v>
      </c>
    </row>
    <row r="254" spans="1:2" x14ac:dyDescent="0.25">
      <c r="A254" s="4" t="s">
        <v>822</v>
      </c>
      <c r="B254" s="4">
        <v>6</v>
      </c>
    </row>
    <row r="255" spans="1:2" x14ac:dyDescent="0.25">
      <c r="A255" s="4" t="s">
        <v>811</v>
      </c>
      <c r="B255" s="4">
        <v>3</v>
      </c>
    </row>
    <row r="256" spans="1:2" x14ac:dyDescent="0.25">
      <c r="A256" s="4" t="s">
        <v>794</v>
      </c>
      <c r="B256" s="4">
        <v>5</v>
      </c>
    </row>
    <row r="257" spans="1:2" x14ac:dyDescent="0.25">
      <c r="A257" s="4" t="s">
        <v>812</v>
      </c>
      <c r="B257" s="4">
        <v>7</v>
      </c>
    </row>
    <row r="258" spans="1:2" x14ac:dyDescent="0.25">
      <c r="A258" s="4" t="s">
        <v>821</v>
      </c>
      <c r="B258" s="4">
        <v>6</v>
      </c>
    </row>
    <row r="259" spans="1:2" x14ac:dyDescent="0.25">
      <c r="A259" s="4" t="s">
        <v>822</v>
      </c>
      <c r="B259" s="4">
        <v>10</v>
      </c>
    </row>
    <row r="260" spans="1:2" x14ac:dyDescent="0.25">
      <c r="A260" s="4" t="s">
        <v>816</v>
      </c>
      <c r="B260" s="4">
        <v>2</v>
      </c>
    </row>
    <row r="261" spans="1:2" x14ac:dyDescent="0.25">
      <c r="A261" s="4" t="s">
        <v>824</v>
      </c>
      <c r="B261" s="4">
        <v>10</v>
      </c>
    </row>
    <row r="262" spans="1:2" x14ac:dyDescent="0.25">
      <c r="A262" s="4" t="s">
        <v>794</v>
      </c>
      <c r="B262" s="4">
        <v>8</v>
      </c>
    </row>
    <row r="263" spans="1:2" x14ac:dyDescent="0.25">
      <c r="A263" s="4" t="s">
        <v>822</v>
      </c>
      <c r="B263" s="4">
        <v>3</v>
      </c>
    </row>
    <row r="264" spans="1:2" x14ac:dyDescent="0.25">
      <c r="A264" s="4" t="s">
        <v>821</v>
      </c>
      <c r="B264" s="4">
        <v>4</v>
      </c>
    </row>
    <row r="265" spans="1:2" x14ac:dyDescent="0.25">
      <c r="A265" s="4" t="s">
        <v>794</v>
      </c>
      <c r="B265" s="4">
        <v>8</v>
      </c>
    </row>
    <row r="266" spans="1:2" x14ac:dyDescent="0.25">
      <c r="A266" s="4" t="s">
        <v>794</v>
      </c>
      <c r="B266" s="4">
        <v>1</v>
      </c>
    </row>
    <row r="267" spans="1:2" x14ac:dyDescent="0.25">
      <c r="A267" s="4" t="s">
        <v>811</v>
      </c>
      <c r="B267" s="4">
        <v>7</v>
      </c>
    </row>
    <row r="268" spans="1:2" x14ac:dyDescent="0.25">
      <c r="A268" s="4" t="s">
        <v>814</v>
      </c>
      <c r="B268" s="4">
        <v>9</v>
      </c>
    </row>
    <row r="269" spans="1:2" x14ac:dyDescent="0.25">
      <c r="A269" s="4" t="s">
        <v>818</v>
      </c>
      <c r="B269" s="4">
        <v>2</v>
      </c>
    </row>
    <row r="270" spans="1:2" x14ac:dyDescent="0.25">
      <c r="A270" s="4" t="s">
        <v>815</v>
      </c>
      <c r="B270" s="4">
        <v>8</v>
      </c>
    </row>
    <row r="271" spans="1:2" x14ac:dyDescent="0.25">
      <c r="A271" s="4" t="s">
        <v>813</v>
      </c>
      <c r="B271" s="4">
        <v>7</v>
      </c>
    </row>
    <row r="272" spans="1:2" x14ac:dyDescent="0.25">
      <c r="A272" s="4" t="s">
        <v>820</v>
      </c>
      <c r="B272" s="4">
        <v>9</v>
      </c>
    </row>
    <row r="273" spans="1:2" x14ac:dyDescent="0.25">
      <c r="A273" s="4" t="s">
        <v>819</v>
      </c>
      <c r="B273" s="4">
        <v>7</v>
      </c>
    </row>
    <row r="274" spans="1:2" x14ac:dyDescent="0.25">
      <c r="A274" s="4" t="s">
        <v>811</v>
      </c>
      <c r="B274" s="4">
        <v>6</v>
      </c>
    </row>
    <row r="275" spans="1:2" x14ac:dyDescent="0.25">
      <c r="A275" s="4" t="s">
        <v>813</v>
      </c>
      <c r="B275" s="4">
        <v>5</v>
      </c>
    </row>
    <row r="276" spans="1:2" x14ac:dyDescent="0.25">
      <c r="A276" s="4" t="s">
        <v>819</v>
      </c>
      <c r="B276" s="4">
        <v>7</v>
      </c>
    </row>
    <row r="277" spans="1:2" x14ac:dyDescent="0.25">
      <c r="A277" s="4" t="s">
        <v>824</v>
      </c>
      <c r="B277" s="4">
        <v>8</v>
      </c>
    </row>
    <row r="278" spans="1:2" x14ac:dyDescent="0.25">
      <c r="A278" s="4" t="s">
        <v>819</v>
      </c>
      <c r="B278" s="4">
        <v>1</v>
      </c>
    </row>
    <row r="279" spans="1:2" x14ac:dyDescent="0.25">
      <c r="A279" s="4" t="s">
        <v>822</v>
      </c>
      <c r="B279" s="4">
        <v>6</v>
      </c>
    </row>
    <row r="280" spans="1:2" x14ac:dyDescent="0.25">
      <c r="A280" s="4" t="s">
        <v>794</v>
      </c>
      <c r="B280" s="4">
        <v>5</v>
      </c>
    </row>
    <row r="281" spans="1:2" x14ac:dyDescent="0.25">
      <c r="A281" s="4" t="s">
        <v>794</v>
      </c>
      <c r="B281" s="4">
        <v>10</v>
      </c>
    </row>
    <row r="282" spans="1:2" x14ac:dyDescent="0.25">
      <c r="A282" s="4" t="s">
        <v>824</v>
      </c>
      <c r="B282" s="4">
        <v>8</v>
      </c>
    </row>
    <row r="283" spans="1:2" x14ac:dyDescent="0.25">
      <c r="A283" s="4" t="s">
        <v>822</v>
      </c>
      <c r="B283" s="4">
        <v>8</v>
      </c>
    </row>
    <row r="284" spans="1:2" x14ac:dyDescent="0.25">
      <c r="A284" s="4" t="s">
        <v>820</v>
      </c>
      <c r="B284" s="4">
        <v>1</v>
      </c>
    </row>
    <row r="285" spans="1:2" x14ac:dyDescent="0.25">
      <c r="A285" s="4" t="s">
        <v>824</v>
      </c>
      <c r="B285" s="4">
        <v>4</v>
      </c>
    </row>
    <row r="286" spans="1:2" x14ac:dyDescent="0.25">
      <c r="A286" s="4" t="s">
        <v>821</v>
      </c>
      <c r="B286" s="4">
        <v>2</v>
      </c>
    </row>
    <row r="287" spans="1:2" x14ac:dyDescent="0.25">
      <c r="A287" s="4" t="s">
        <v>816</v>
      </c>
      <c r="B287" s="4">
        <v>8</v>
      </c>
    </row>
    <row r="288" spans="1:2" x14ac:dyDescent="0.25">
      <c r="A288" s="4" t="s">
        <v>822</v>
      </c>
      <c r="B288" s="4">
        <v>7</v>
      </c>
    </row>
    <row r="289" spans="1:2" x14ac:dyDescent="0.25">
      <c r="A289" s="4" t="s">
        <v>822</v>
      </c>
      <c r="B289" s="4">
        <v>8</v>
      </c>
    </row>
    <row r="290" spans="1:2" x14ac:dyDescent="0.25">
      <c r="A290" s="4" t="s">
        <v>817</v>
      </c>
      <c r="B290" s="4">
        <v>4</v>
      </c>
    </row>
    <row r="291" spans="1:2" x14ac:dyDescent="0.25">
      <c r="A291" s="4" t="s">
        <v>815</v>
      </c>
      <c r="B291" s="4">
        <v>1</v>
      </c>
    </row>
    <row r="292" spans="1:2" x14ac:dyDescent="0.25">
      <c r="A292" s="4" t="s">
        <v>822</v>
      </c>
      <c r="B292" s="4">
        <v>6</v>
      </c>
    </row>
    <row r="293" spans="1:2" x14ac:dyDescent="0.25">
      <c r="A293" s="4" t="s">
        <v>815</v>
      </c>
      <c r="B293" s="4">
        <v>7</v>
      </c>
    </row>
    <row r="294" spans="1:2" x14ac:dyDescent="0.25">
      <c r="A294" s="4" t="s">
        <v>821</v>
      </c>
      <c r="B294" s="4">
        <v>8</v>
      </c>
    </row>
    <row r="295" spans="1:2" x14ac:dyDescent="0.25">
      <c r="A295" s="4" t="s">
        <v>812</v>
      </c>
      <c r="B295" s="4">
        <v>1</v>
      </c>
    </row>
    <row r="296" spans="1:2" x14ac:dyDescent="0.25">
      <c r="A296" s="4" t="s">
        <v>821</v>
      </c>
      <c r="B296" s="4">
        <v>7</v>
      </c>
    </row>
    <row r="297" spans="1:2" x14ac:dyDescent="0.25">
      <c r="A297" s="4" t="s">
        <v>820</v>
      </c>
      <c r="B297" s="4">
        <v>5</v>
      </c>
    </row>
    <row r="298" spans="1:2" x14ac:dyDescent="0.25">
      <c r="A298" s="4" t="s">
        <v>822</v>
      </c>
      <c r="B298" s="4">
        <v>2</v>
      </c>
    </row>
    <row r="299" spans="1:2" x14ac:dyDescent="0.25">
      <c r="A299" s="4" t="s">
        <v>812</v>
      </c>
      <c r="B299" s="4">
        <v>4</v>
      </c>
    </row>
    <row r="300" spans="1:2" x14ac:dyDescent="0.25">
      <c r="A300" s="4" t="s">
        <v>819</v>
      </c>
      <c r="B300" s="4">
        <v>2</v>
      </c>
    </row>
    <row r="301" spans="1:2" x14ac:dyDescent="0.25">
      <c r="A301" s="4" t="s">
        <v>811</v>
      </c>
      <c r="B301" s="4">
        <v>8</v>
      </c>
    </row>
    <row r="302" spans="1:2" x14ac:dyDescent="0.25">
      <c r="A302" s="4" t="s">
        <v>815</v>
      </c>
      <c r="B302" s="4">
        <v>6</v>
      </c>
    </row>
    <row r="303" spans="1:2" x14ac:dyDescent="0.25">
      <c r="A303" s="4" t="s">
        <v>818</v>
      </c>
      <c r="B303" s="4">
        <v>3</v>
      </c>
    </row>
    <row r="304" spans="1:2" x14ac:dyDescent="0.25">
      <c r="A304" s="4" t="s">
        <v>821</v>
      </c>
      <c r="B304" s="4">
        <v>2</v>
      </c>
    </row>
    <row r="305" spans="1:2" x14ac:dyDescent="0.25">
      <c r="A305" s="4" t="s">
        <v>817</v>
      </c>
      <c r="B305" s="4">
        <v>7</v>
      </c>
    </row>
    <row r="306" spans="1:2" x14ac:dyDescent="0.25">
      <c r="A306" s="4" t="s">
        <v>818</v>
      </c>
      <c r="B306" s="4">
        <v>10</v>
      </c>
    </row>
    <row r="307" spans="1:2" x14ac:dyDescent="0.25">
      <c r="A307" s="4" t="s">
        <v>812</v>
      </c>
      <c r="B307" s="4">
        <v>6</v>
      </c>
    </row>
    <row r="308" spans="1:2" x14ac:dyDescent="0.25">
      <c r="A308" s="4" t="s">
        <v>813</v>
      </c>
      <c r="B308" s="4">
        <v>5</v>
      </c>
    </row>
    <row r="309" spans="1:2" x14ac:dyDescent="0.25">
      <c r="A309" s="4" t="s">
        <v>813</v>
      </c>
      <c r="B309" s="4">
        <v>8</v>
      </c>
    </row>
    <row r="310" spans="1:2" x14ac:dyDescent="0.25">
      <c r="A310" s="4" t="s">
        <v>811</v>
      </c>
      <c r="B310" s="4">
        <v>2</v>
      </c>
    </row>
    <row r="311" spans="1:2" x14ac:dyDescent="0.25">
      <c r="A311" s="4" t="s">
        <v>820</v>
      </c>
      <c r="B311" s="4">
        <v>8</v>
      </c>
    </row>
    <row r="312" spans="1:2" x14ac:dyDescent="0.25">
      <c r="A312" s="4" t="s">
        <v>815</v>
      </c>
      <c r="B312" s="4">
        <v>7</v>
      </c>
    </row>
    <row r="313" spans="1:2" x14ac:dyDescent="0.25">
      <c r="A313" s="4" t="s">
        <v>824</v>
      </c>
      <c r="B313" s="4">
        <v>8</v>
      </c>
    </row>
    <row r="314" spans="1:2" x14ac:dyDescent="0.25">
      <c r="A314" s="4" t="s">
        <v>813</v>
      </c>
      <c r="B314" s="4">
        <v>3</v>
      </c>
    </row>
    <row r="315" spans="1:2" x14ac:dyDescent="0.25">
      <c r="A315" s="4" t="s">
        <v>821</v>
      </c>
      <c r="B315" s="4">
        <v>5</v>
      </c>
    </row>
    <row r="316" spans="1:2" x14ac:dyDescent="0.25">
      <c r="A316" s="4" t="s">
        <v>824</v>
      </c>
      <c r="B316" s="4">
        <v>6</v>
      </c>
    </row>
    <row r="317" spans="1:2" x14ac:dyDescent="0.25">
      <c r="A317" s="4" t="s">
        <v>811</v>
      </c>
      <c r="B317" s="4">
        <v>4</v>
      </c>
    </row>
    <row r="318" spans="1:2" x14ac:dyDescent="0.25">
      <c r="A318" s="4" t="s">
        <v>815</v>
      </c>
      <c r="B318" s="4">
        <v>4</v>
      </c>
    </row>
    <row r="319" spans="1:2" x14ac:dyDescent="0.25">
      <c r="A319" s="4" t="s">
        <v>816</v>
      </c>
      <c r="B319" s="4">
        <v>10</v>
      </c>
    </row>
    <row r="320" spans="1:2" x14ac:dyDescent="0.25">
      <c r="A320" s="4" t="s">
        <v>822</v>
      </c>
      <c r="B320" s="4">
        <v>4</v>
      </c>
    </row>
    <row r="321" spans="1:2" x14ac:dyDescent="0.25">
      <c r="A321" s="4" t="s">
        <v>819</v>
      </c>
      <c r="B321" s="4">
        <v>8</v>
      </c>
    </row>
    <row r="322" spans="1:2" x14ac:dyDescent="0.25">
      <c r="A322" s="4" t="s">
        <v>812</v>
      </c>
      <c r="B322" s="4">
        <v>3</v>
      </c>
    </row>
    <row r="323" spans="1:2" x14ac:dyDescent="0.25">
      <c r="A323" s="4" t="s">
        <v>811</v>
      </c>
      <c r="B323" s="4">
        <v>8</v>
      </c>
    </row>
    <row r="324" spans="1:2" x14ac:dyDescent="0.25">
      <c r="A324" s="4" t="s">
        <v>814</v>
      </c>
      <c r="B324" s="4">
        <v>6</v>
      </c>
    </row>
    <row r="325" spans="1:2" x14ac:dyDescent="0.25">
      <c r="A325" s="4" t="s">
        <v>821</v>
      </c>
      <c r="B325" s="4">
        <v>4</v>
      </c>
    </row>
    <row r="326" spans="1:2" x14ac:dyDescent="0.25">
      <c r="A326" s="4" t="s">
        <v>815</v>
      </c>
      <c r="B326" s="4">
        <v>3</v>
      </c>
    </row>
    <row r="327" spans="1:2" x14ac:dyDescent="0.25">
      <c r="A327" s="4" t="s">
        <v>824</v>
      </c>
      <c r="B327" s="4">
        <v>7</v>
      </c>
    </row>
    <row r="328" spans="1:2" x14ac:dyDescent="0.25">
      <c r="A328" s="4" t="s">
        <v>821</v>
      </c>
      <c r="B328" s="4">
        <v>6</v>
      </c>
    </row>
    <row r="329" spans="1:2" x14ac:dyDescent="0.25">
      <c r="A329" s="4" t="s">
        <v>811</v>
      </c>
      <c r="B329" s="4">
        <v>6</v>
      </c>
    </row>
    <row r="330" spans="1:2" x14ac:dyDescent="0.25">
      <c r="A330" s="4" t="s">
        <v>821</v>
      </c>
      <c r="B330" s="4">
        <v>8</v>
      </c>
    </row>
    <row r="331" spans="1:2" x14ac:dyDescent="0.25">
      <c r="A331" s="4" t="s">
        <v>814</v>
      </c>
      <c r="B331" s="4">
        <v>2</v>
      </c>
    </row>
    <row r="332" spans="1:2" x14ac:dyDescent="0.25">
      <c r="A332" s="4" t="s">
        <v>815</v>
      </c>
      <c r="B332" s="4">
        <v>10</v>
      </c>
    </row>
    <row r="333" spans="1:2" x14ac:dyDescent="0.25">
      <c r="A333" s="4" t="s">
        <v>815</v>
      </c>
      <c r="B333" s="4">
        <v>10</v>
      </c>
    </row>
    <row r="334" spans="1:2" x14ac:dyDescent="0.25">
      <c r="A334" s="4" t="s">
        <v>818</v>
      </c>
      <c r="B334" s="4">
        <v>9</v>
      </c>
    </row>
    <row r="335" spans="1:2" x14ac:dyDescent="0.25">
      <c r="A335" s="4" t="s">
        <v>814</v>
      </c>
      <c r="B335" s="4">
        <v>4</v>
      </c>
    </row>
    <row r="336" spans="1:2" x14ac:dyDescent="0.25">
      <c r="A336" s="4" t="s">
        <v>813</v>
      </c>
      <c r="B336" s="4">
        <v>8</v>
      </c>
    </row>
    <row r="337" spans="1:2" x14ac:dyDescent="0.25">
      <c r="A337" s="4" t="s">
        <v>814</v>
      </c>
      <c r="B337" s="4">
        <v>8</v>
      </c>
    </row>
    <row r="338" spans="1:2" x14ac:dyDescent="0.25">
      <c r="A338" s="4" t="s">
        <v>811</v>
      </c>
      <c r="B338" s="4">
        <v>5</v>
      </c>
    </row>
    <row r="339" spans="1:2" x14ac:dyDescent="0.25">
      <c r="A339" s="4" t="s">
        <v>817</v>
      </c>
      <c r="B339" s="4">
        <v>1</v>
      </c>
    </row>
    <row r="340" spans="1:2" x14ac:dyDescent="0.25">
      <c r="A340" s="4" t="s">
        <v>794</v>
      </c>
      <c r="B340" s="4">
        <v>5</v>
      </c>
    </row>
    <row r="341" spans="1:2" x14ac:dyDescent="0.25">
      <c r="A341" s="4" t="s">
        <v>814</v>
      </c>
      <c r="B341" s="4">
        <v>7</v>
      </c>
    </row>
    <row r="342" spans="1:2" x14ac:dyDescent="0.25">
      <c r="A342" s="4" t="s">
        <v>817</v>
      </c>
      <c r="B342" s="4">
        <v>2</v>
      </c>
    </row>
    <row r="343" spans="1:2" x14ac:dyDescent="0.25">
      <c r="A343" s="4" t="s">
        <v>824</v>
      </c>
      <c r="B343" s="4">
        <v>7</v>
      </c>
    </row>
    <row r="344" spans="1:2" x14ac:dyDescent="0.25">
      <c r="A344" s="4" t="s">
        <v>813</v>
      </c>
      <c r="B344" s="4">
        <v>1</v>
      </c>
    </row>
    <row r="345" spans="1:2" x14ac:dyDescent="0.25">
      <c r="A345" s="4" t="s">
        <v>820</v>
      </c>
      <c r="B345" s="4">
        <v>4</v>
      </c>
    </row>
    <row r="346" spans="1:2" x14ac:dyDescent="0.25">
      <c r="A346" s="4" t="s">
        <v>819</v>
      </c>
      <c r="B346" s="4">
        <v>8</v>
      </c>
    </row>
    <row r="347" spans="1:2" x14ac:dyDescent="0.25">
      <c r="A347" s="4" t="s">
        <v>824</v>
      </c>
      <c r="B347" s="4">
        <v>9</v>
      </c>
    </row>
    <row r="348" spans="1:2" x14ac:dyDescent="0.25">
      <c r="A348" s="4" t="s">
        <v>821</v>
      </c>
      <c r="B348" s="4">
        <v>9</v>
      </c>
    </row>
    <row r="349" spans="1:2" x14ac:dyDescent="0.25">
      <c r="A349" s="4" t="s">
        <v>823</v>
      </c>
      <c r="B349" s="4">
        <v>6</v>
      </c>
    </row>
    <row r="350" spans="1:2" x14ac:dyDescent="0.25">
      <c r="A350" s="4" t="s">
        <v>817</v>
      </c>
      <c r="B350" s="4">
        <v>8</v>
      </c>
    </row>
    <row r="351" spans="1:2" x14ac:dyDescent="0.25">
      <c r="A351" s="4" t="s">
        <v>824</v>
      </c>
      <c r="B351" s="4">
        <v>5</v>
      </c>
    </row>
    <row r="352" spans="1:2" x14ac:dyDescent="0.25">
      <c r="A352" s="4" t="s">
        <v>813</v>
      </c>
      <c r="B352" s="4">
        <v>6</v>
      </c>
    </row>
    <row r="353" spans="1:2" x14ac:dyDescent="0.25">
      <c r="A353" s="4" t="s">
        <v>821</v>
      </c>
      <c r="B353" s="4">
        <v>10</v>
      </c>
    </row>
    <row r="354" spans="1:2" x14ac:dyDescent="0.25">
      <c r="A354" s="4" t="s">
        <v>823</v>
      </c>
      <c r="B354" s="4">
        <v>3</v>
      </c>
    </row>
    <row r="355" spans="1:2" x14ac:dyDescent="0.25">
      <c r="A355" s="4" t="s">
        <v>823</v>
      </c>
      <c r="B355" s="4">
        <v>2</v>
      </c>
    </row>
    <row r="356" spans="1:2" x14ac:dyDescent="0.25">
      <c r="A356" s="4" t="s">
        <v>812</v>
      </c>
      <c r="B356" s="4">
        <v>6</v>
      </c>
    </row>
    <row r="357" spans="1:2" x14ac:dyDescent="0.25">
      <c r="A357" s="4" t="s">
        <v>811</v>
      </c>
      <c r="B357" s="4">
        <v>4</v>
      </c>
    </row>
    <row r="358" spans="1:2" x14ac:dyDescent="0.25">
      <c r="A358" s="4" t="s">
        <v>817</v>
      </c>
      <c r="B358" s="4">
        <v>10</v>
      </c>
    </row>
    <row r="359" spans="1:2" x14ac:dyDescent="0.25">
      <c r="A359" s="4" t="s">
        <v>811</v>
      </c>
      <c r="B359" s="4">
        <v>10</v>
      </c>
    </row>
    <row r="360" spans="1:2" x14ac:dyDescent="0.25">
      <c r="A360" s="4" t="s">
        <v>815</v>
      </c>
      <c r="B360" s="4">
        <v>7</v>
      </c>
    </row>
    <row r="361" spans="1:2" x14ac:dyDescent="0.25">
      <c r="A361" s="4" t="s">
        <v>820</v>
      </c>
      <c r="B361" s="4">
        <v>2</v>
      </c>
    </row>
    <row r="362" spans="1:2" x14ac:dyDescent="0.25">
      <c r="A362" s="4" t="s">
        <v>816</v>
      </c>
      <c r="B362" s="4">
        <v>4</v>
      </c>
    </row>
    <row r="363" spans="1:2" x14ac:dyDescent="0.25">
      <c r="A363" s="4" t="s">
        <v>815</v>
      </c>
      <c r="B363" s="4">
        <v>6</v>
      </c>
    </row>
    <row r="364" spans="1:2" x14ac:dyDescent="0.25">
      <c r="A364" s="4" t="s">
        <v>815</v>
      </c>
      <c r="B364" s="4">
        <v>4</v>
      </c>
    </row>
    <row r="365" spans="1:2" x14ac:dyDescent="0.25">
      <c r="A365" s="4" t="s">
        <v>820</v>
      </c>
      <c r="B365" s="4">
        <v>10</v>
      </c>
    </row>
    <row r="366" spans="1:2" x14ac:dyDescent="0.25">
      <c r="A366" s="4" t="s">
        <v>818</v>
      </c>
      <c r="B366" s="4">
        <v>9</v>
      </c>
    </row>
    <row r="367" spans="1:2" x14ac:dyDescent="0.25">
      <c r="A367" s="4" t="s">
        <v>816</v>
      </c>
      <c r="B367" s="4">
        <v>6</v>
      </c>
    </row>
    <row r="368" spans="1:2" x14ac:dyDescent="0.25">
      <c r="A368" s="4" t="s">
        <v>821</v>
      </c>
      <c r="B368" s="4">
        <v>1</v>
      </c>
    </row>
    <row r="369" spans="1:2" x14ac:dyDescent="0.25">
      <c r="A369" s="4" t="s">
        <v>824</v>
      </c>
      <c r="B369" s="4">
        <v>4</v>
      </c>
    </row>
    <row r="370" spans="1:2" x14ac:dyDescent="0.25">
      <c r="A370" s="4" t="s">
        <v>820</v>
      </c>
      <c r="B370" s="4">
        <v>6</v>
      </c>
    </row>
    <row r="371" spans="1:2" x14ac:dyDescent="0.25">
      <c r="A371" s="4" t="s">
        <v>819</v>
      </c>
      <c r="B371" s="4">
        <v>6</v>
      </c>
    </row>
    <row r="372" spans="1:2" x14ac:dyDescent="0.25">
      <c r="A372" s="4" t="s">
        <v>823</v>
      </c>
      <c r="B372" s="4">
        <v>7</v>
      </c>
    </row>
    <row r="373" spans="1:2" x14ac:dyDescent="0.25">
      <c r="A373" s="4" t="s">
        <v>824</v>
      </c>
      <c r="B373" s="4">
        <v>4</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O222"/>
  <sheetViews>
    <sheetView workbookViewId="0">
      <selection activeCell="E5" sqref="E5:E222"/>
    </sheetView>
  </sheetViews>
  <sheetFormatPr defaultRowHeight="15" x14ac:dyDescent="0.25"/>
  <cols>
    <col min="1" max="1" width="16.42578125" bestFit="1" customWidth="1"/>
    <col min="2" max="2" width="16" customWidth="1"/>
    <col min="4" max="4" width="9.7109375" bestFit="1" customWidth="1"/>
    <col min="5" max="5" width="17.42578125" bestFit="1" customWidth="1"/>
    <col min="7" max="7" width="19.42578125" customWidth="1"/>
  </cols>
  <sheetData>
    <row r="1" spans="1:15" x14ac:dyDescent="0.25">
      <c r="O1" t="str">
        <f ca="1">INDEX($A$5:$A$19,RANDBETWEEN(1,COUNTA($A$5:$A$19)))&amp;REPT(" ",RANDBETWEEN(0,2))</f>
        <v xml:space="preserve">Dave Martin  </v>
      </c>
    </row>
    <row r="3" spans="1:15" x14ac:dyDescent="0.25">
      <c r="A3" t="s">
        <v>831</v>
      </c>
      <c r="D3" t="s">
        <v>832</v>
      </c>
    </row>
    <row r="4" spans="1:15" ht="30" x14ac:dyDescent="0.25">
      <c r="A4" s="11" t="s">
        <v>834</v>
      </c>
      <c r="B4" s="11" t="s">
        <v>810</v>
      </c>
      <c r="D4" s="5" t="s">
        <v>42</v>
      </c>
      <c r="E4" s="5" t="s">
        <v>833</v>
      </c>
      <c r="F4" s="5" t="s">
        <v>93</v>
      </c>
      <c r="G4" s="67" t="s">
        <v>835</v>
      </c>
    </row>
    <row r="5" spans="1:15" x14ac:dyDescent="0.25">
      <c r="A5" s="4" t="s">
        <v>794</v>
      </c>
      <c r="B5" s="62">
        <v>5.2999999999999999E-2</v>
      </c>
      <c r="D5" s="8">
        <f ca="1">RANDBETWEEN(41500,41555)</f>
        <v>41550</v>
      </c>
      <c r="E5" s="4" t="s">
        <v>861</v>
      </c>
      <c r="F5" s="57">
        <v>604</v>
      </c>
      <c r="G5" s="22" t="e">
        <f>VLOOKUP(E5,$A$5:$B$19,2,0)</f>
        <v>#N/A</v>
      </c>
    </row>
    <row r="6" spans="1:15" x14ac:dyDescent="0.25">
      <c r="A6" s="4" t="s">
        <v>811</v>
      </c>
      <c r="B6" s="62">
        <v>3.1E-2</v>
      </c>
      <c r="D6" s="8">
        <f t="shared" ref="D6:D69" ca="1" si="0">RANDBETWEEN(41500,41555)</f>
        <v>41523</v>
      </c>
      <c r="E6" s="4" t="s">
        <v>862</v>
      </c>
      <c r="F6" s="57">
        <v>773</v>
      </c>
      <c r="G6" s="22" t="e">
        <f t="shared" ref="G6:G69" si="1">VLOOKUP(E6,$A$5:$B$19,2,0)</f>
        <v>#N/A</v>
      </c>
    </row>
    <row r="7" spans="1:15" x14ac:dyDescent="0.25">
      <c r="A7" s="4" t="s">
        <v>812</v>
      </c>
      <c r="B7" s="62">
        <v>1.4E-2</v>
      </c>
      <c r="D7" s="8">
        <f t="shared" ca="1" si="0"/>
        <v>41544</v>
      </c>
      <c r="E7" s="4" t="s">
        <v>863</v>
      </c>
      <c r="F7" s="57">
        <v>742</v>
      </c>
      <c r="G7" s="22" t="e">
        <f t="shared" si="1"/>
        <v>#N/A</v>
      </c>
    </row>
    <row r="8" spans="1:15" x14ac:dyDescent="0.25">
      <c r="A8" s="4" t="s">
        <v>813</v>
      </c>
      <c r="B8" s="62">
        <v>4.4999999999999998E-2</v>
      </c>
      <c r="D8" s="8">
        <f t="shared" ca="1" si="0"/>
        <v>41506</v>
      </c>
      <c r="E8" s="4" t="s">
        <v>849</v>
      </c>
      <c r="F8" s="57">
        <v>234</v>
      </c>
      <c r="G8" s="22" t="e">
        <f t="shared" si="1"/>
        <v>#N/A</v>
      </c>
    </row>
    <row r="9" spans="1:15" x14ac:dyDescent="0.25">
      <c r="A9" s="4" t="s">
        <v>814</v>
      </c>
      <c r="B9" s="62">
        <v>4.2000000000000003E-2</v>
      </c>
      <c r="D9" s="8">
        <f t="shared" ca="1" si="0"/>
        <v>41548</v>
      </c>
      <c r="E9" s="4" t="s">
        <v>864</v>
      </c>
      <c r="F9" s="57">
        <v>648</v>
      </c>
      <c r="G9" s="22" t="e">
        <f t="shared" si="1"/>
        <v>#N/A</v>
      </c>
    </row>
    <row r="10" spans="1:15" x14ac:dyDescent="0.25">
      <c r="A10" s="4" t="s">
        <v>815</v>
      </c>
      <c r="B10" s="62">
        <v>0.02</v>
      </c>
      <c r="D10" s="8">
        <f t="shared" ca="1" si="0"/>
        <v>41521</v>
      </c>
      <c r="E10" s="4" t="s">
        <v>865</v>
      </c>
      <c r="F10" s="57">
        <v>361</v>
      </c>
      <c r="G10" s="22" t="e">
        <f t="shared" si="1"/>
        <v>#N/A</v>
      </c>
    </row>
    <row r="11" spans="1:15" x14ac:dyDescent="0.25">
      <c r="A11" s="4" t="s">
        <v>816</v>
      </c>
      <c r="B11" s="62">
        <v>5.6000000000000001E-2</v>
      </c>
      <c r="D11" s="8">
        <f t="shared" ca="1" si="0"/>
        <v>41550</v>
      </c>
      <c r="E11" s="4" t="s">
        <v>866</v>
      </c>
      <c r="F11" s="57">
        <v>749</v>
      </c>
      <c r="G11" s="22" t="e">
        <f t="shared" si="1"/>
        <v>#N/A</v>
      </c>
    </row>
    <row r="12" spans="1:15" x14ac:dyDescent="0.25">
      <c r="A12" s="4" t="s">
        <v>817</v>
      </c>
      <c r="B12" s="62">
        <v>1.7000000000000001E-2</v>
      </c>
      <c r="D12" s="8">
        <f t="shared" ca="1" si="0"/>
        <v>41516</v>
      </c>
      <c r="E12" s="4" t="s">
        <v>815</v>
      </c>
      <c r="F12" s="57">
        <v>491</v>
      </c>
      <c r="G12" s="22">
        <f t="shared" si="1"/>
        <v>0.02</v>
      </c>
    </row>
    <row r="13" spans="1:15" x14ac:dyDescent="0.25">
      <c r="A13" s="4" t="s">
        <v>818</v>
      </c>
      <c r="B13" s="62">
        <v>0.01</v>
      </c>
      <c r="D13" s="8">
        <f t="shared" ca="1" si="0"/>
        <v>41535</v>
      </c>
      <c r="E13" s="4" t="s">
        <v>867</v>
      </c>
      <c r="F13" s="57">
        <v>594</v>
      </c>
      <c r="G13" s="22" t="e">
        <f t="shared" si="1"/>
        <v>#N/A</v>
      </c>
    </row>
    <row r="14" spans="1:15" x14ac:dyDescent="0.25">
      <c r="A14" s="4" t="s">
        <v>819</v>
      </c>
      <c r="B14" s="62">
        <v>0.04</v>
      </c>
      <c r="D14" s="8">
        <f t="shared" ca="1" si="0"/>
        <v>41542</v>
      </c>
      <c r="E14" s="4" t="s">
        <v>861</v>
      </c>
      <c r="F14" s="57">
        <v>583</v>
      </c>
      <c r="G14" s="22" t="e">
        <f t="shared" si="1"/>
        <v>#N/A</v>
      </c>
    </row>
    <row r="15" spans="1:15" x14ac:dyDescent="0.25">
      <c r="A15" s="4" t="s">
        <v>820</v>
      </c>
      <c r="B15" s="62">
        <v>3.6999999999999998E-2</v>
      </c>
      <c r="D15" s="8">
        <f t="shared" ca="1" si="0"/>
        <v>41535</v>
      </c>
      <c r="E15" s="4" t="s">
        <v>867</v>
      </c>
      <c r="F15" s="57">
        <v>222</v>
      </c>
      <c r="G15" s="22" t="e">
        <f t="shared" si="1"/>
        <v>#N/A</v>
      </c>
    </row>
    <row r="16" spans="1:15" x14ac:dyDescent="0.25">
      <c r="A16" s="4" t="s">
        <v>821</v>
      </c>
      <c r="B16" s="62">
        <v>0.06</v>
      </c>
      <c r="D16" s="8">
        <f t="shared" ca="1" si="0"/>
        <v>41515</v>
      </c>
      <c r="E16" s="4" t="s">
        <v>837</v>
      </c>
      <c r="F16" s="57">
        <v>374</v>
      </c>
      <c r="G16" s="22" t="e">
        <f t="shared" si="1"/>
        <v>#N/A</v>
      </c>
    </row>
    <row r="17" spans="1:7" x14ac:dyDescent="0.25">
      <c r="A17" s="4" t="s">
        <v>822</v>
      </c>
      <c r="B17" s="62">
        <v>2.8000000000000001E-2</v>
      </c>
      <c r="D17" s="8">
        <f t="shared" ca="1" si="0"/>
        <v>41507</v>
      </c>
      <c r="E17" s="4" t="s">
        <v>827</v>
      </c>
      <c r="F17" s="57">
        <v>486</v>
      </c>
      <c r="G17" s="22" t="e">
        <f t="shared" si="1"/>
        <v>#N/A</v>
      </c>
    </row>
    <row r="18" spans="1:7" x14ac:dyDescent="0.25">
      <c r="A18" s="4" t="s">
        <v>823</v>
      </c>
      <c r="B18" s="62">
        <v>4.2999999999999997E-2</v>
      </c>
      <c r="D18" s="8">
        <f t="shared" ca="1" si="0"/>
        <v>41504</v>
      </c>
      <c r="E18" s="4" t="s">
        <v>868</v>
      </c>
      <c r="F18" s="57">
        <v>684</v>
      </c>
      <c r="G18" s="22" t="e">
        <f t="shared" si="1"/>
        <v>#N/A</v>
      </c>
    </row>
    <row r="19" spans="1:7" x14ac:dyDescent="0.25">
      <c r="A19" s="4" t="s">
        <v>824</v>
      </c>
      <c r="B19" s="62">
        <v>0.01</v>
      </c>
      <c r="D19" s="8">
        <f t="shared" ca="1" si="0"/>
        <v>41526</v>
      </c>
      <c r="E19" s="4" t="s">
        <v>869</v>
      </c>
      <c r="F19" s="57">
        <v>401</v>
      </c>
      <c r="G19" s="22" t="e">
        <f t="shared" si="1"/>
        <v>#N/A</v>
      </c>
    </row>
    <row r="20" spans="1:7" x14ac:dyDescent="0.25">
      <c r="D20" s="8">
        <f t="shared" ca="1" si="0"/>
        <v>41518</v>
      </c>
      <c r="E20" s="4" t="s">
        <v>870</v>
      </c>
      <c r="F20" s="57">
        <v>257</v>
      </c>
      <c r="G20" s="22" t="e">
        <f t="shared" si="1"/>
        <v>#N/A</v>
      </c>
    </row>
    <row r="21" spans="1:7" x14ac:dyDescent="0.25">
      <c r="D21" s="8">
        <f t="shared" ca="1" si="0"/>
        <v>41550</v>
      </c>
      <c r="E21" s="4" t="s">
        <v>852</v>
      </c>
      <c r="F21" s="57">
        <v>102</v>
      </c>
      <c r="G21" s="22" t="e">
        <f t="shared" si="1"/>
        <v>#N/A</v>
      </c>
    </row>
    <row r="22" spans="1:7" x14ac:dyDescent="0.25">
      <c r="D22" s="8">
        <f t="shared" ca="1" si="0"/>
        <v>41514</v>
      </c>
      <c r="E22" s="4" t="s">
        <v>871</v>
      </c>
      <c r="F22" s="57">
        <v>556</v>
      </c>
      <c r="G22" s="22" t="e">
        <f t="shared" si="1"/>
        <v>#N/A</v>
      </c>
    </row>
    <row r="23" spans="1:7" x14ac:dyDescent="0.25">
      <c r="D23" s="8">
        <f t="shared" ca="1" si="0"/>
        <v>41512</v>
      </c>
      <c r="E23" s="4" t="s">
        <v>872</v>
      </c>
      <c r="F23" s="57">
        <v>753</v>
      </c>
      <c r="G23" s="22" t="e">
        <f t="shared" si="1"/>
        <v>#N/A</v>
      </c>
    </row>
    <row r="24" spans="1:7" x14ac:dyDescent="0.25">
      <c r="D24" s="8">
        <f t="shared" ca="1" si="0"/>
        <v>41540</v>
      </c>
      <c r="E24" s="4" t="s">
        <v>873</v>
      </c>
      <c r="F24" s="57">
        <v>214</v>
      </c>
      <c r="G24" s="22" t="e">
        <f t="shared" si="1"/>
        <v>#N/A</v>
      </c>
    </row>
    <row r="25" spans="1:7" x14ac:dyDescent="0.25">
      <c r="D25" s="8">
        <f t="shared" ca="1" si="0"/>
        <v>41506</v>
      </c>
      <c r="E25" s="4" t="s">
        <v>874</v>
      </c>
      <c r="F25" s="57">
        <v>394</v>
      </c>
      <c r="G25" s="22" t="e">
        <f t="shared" si="1"/>
        <v>#N/A</v>
      </c>
    </row>
    <row r="26" spans="1:7" x14ac:dyDescent="0.25">
      <c r="D26" s="8">
        <f t="shared" ca="1" si="0"/>
        <v>41549</v>
      </c>
      <c r="E26" s="4" t="s">
        <v>875</v>
      </c>
      <c r="F26" s="57">
        <v>379</v>
      </c>
      <c r="G26" s="22" t="e">
        <f t="shared" si="1"/>
        <v>#N/A</v>
      </c>
    </row>
    <row r="27" spans="1:7" x14ac:dyDescent="0.25">
      <c r="D27" s="8">
        <f t="shared" ca="1" si="0"/>
        <v>41551</v>
      </c>
      <c r="E27" s="4" t="s">
        <v>836</v>
      </c>
      <c r="F27" s="57">
        <v>425</v>
      </c>
      <c r="G27" s="22" t="e">
        <f t="shared" si="1"/>
        <v>#N/A</v>
      </c>
    </row>
    <row r="28" spans="1:7" x14ac:dyDescent="0.25">
      <c r="D28" s="8">
        <f t="shared" ca="1" si="0"/>
        <v>41500</v>
      </c>
      <c r="E28" s="4" t="s">
        <v>875</v>
      </c>
      <c r="F28" s="57">
        <v>277</v>
      </c>
      <c r="G28" s="22" t="e">
        <f t="shared" si="1"/>
        <v>#N/A</v>
      </c>
    </row>
    <row r="29" spans="1:7" x14ac:dyDescent="0.25">
      <c r="D29" s="8">
        <f t="shared" ca="1" si="0"/>
        <v>41528</v>
      </c>
      <c r="E29" s="4" t="s">
        <v>876</v>
      </c>
      <c r="F29" s="57">
        <v>218</v>
      </c>
      <c r="G29" s="22" t="e">
        <f t="shared" si="1"/>
        <v>#N/A</v>
      </c>
    </row>
    <row r="30" spans="1:7" x14ac:dyDescent="0.25">
      <c r="D30" s="8">
        <f t="shared" ca="1" si="0"/>
        <v>41535</v>
      </c>
      <c r="E30" s="4" t="s">
        <v>877</v>
      </c>
      <c r="F30" s="57">
        <v>405</v>
      </c>
      <c r="G30" s="22" t="e">
        <f t="shared" si="1"/>
        <v>#N/A</v>
      </c>
    </row>
    <row r="31" spans="1:7" x14ac:dyDescent="0.25">
      <c r="D31" s="8">
        <f t="shared" ca="1" si="0"/>
        <v>41544</v>
      </c>
      <c r="E31" s="4" t="s">
        <v>878</v>
      </c>
      <c r="F31" s="57">
        <v>653</v>
      </c>
      <c r="G31" s="22" t="e">
        <f t="shared" si="1"/>
        <v>#N/A</v>
      </c>
    </row>
    <row r="32" spans="1:7" x14ac:dyDescent="0.25">
      <c r="D32" s="8">
        <f t="shared" ca="1" si="0"/>
        <v>41531</v>
      </c>
      <c r="E32" s="4" t="s">
        <v>866</v>
      </c>
      <c r="F32" s="57">
        <v>546</v>
      </c>
      <c r="G32" s="22" t="e">
        <f t="shared" si="1"/>
        <v>#N/A</v>
      </c>
    </row>
    <row r="33" spans="4:7" x14ac:dyDescent="0.25">
      <c r="D33" s="8">
        <f t="shared" ca="1" si="0"/>
        <v>41506</v>
      </c>
      <c r="E33" s="4" t="s">
        <v>859</v>
      </c>
      <c r="F33" s="57">
        <v>327</v>
      </c>
      <c r="G33" s="22" t="e">
        <f t="shared" si="1"/>
        <v>#N/A</v>
      </c>
    </row>
    <row r="34" spans="4:7" x14ac:dyDescent="0.25">
      <c r="D34" s="8">
        <f t="shared" ca="1" si="0"/>
        <v>41536</v>
      </c>
      <c r="E34" s="4" t="s">
        <v>846</v>
      </c>
      <c r="F34" s="57">
        <v>638</v>
      </c>
      <c r="G34" s="22" t="e">
        <f t="shared" si="1"/>
        <v>#N/A</v>
      </c>
    </row>
    <row r="35" spans="4:7" x14ac:dyDescent="0.25">
      <c r="D35" s="8">
        <f t="shared" ca="1" si="0"/>
        <v>41539</v>
      </c>
      <c r="E35" s="4" t="s">
        <v>878</v>
      </c>
      <c r="F35" s="57">
        <v>518</v>
      </c>
      <c r="G35" s="22" t="e">
        <f t="shared" si="1"/>
        <v>#N/A</v>
      </c>
    </row>
    <row r="36" spans="4:7" x14ac:dyDescent="0.25">
      <c r="D36" s="8">
        <f t="shared" ca="1" si="0"/>
        <v>41512</v>
      </c>
      <c r="E36" s="4" t="s">
        <v>879</v>
      </c>
      <c r="F36" s="57">
        <v>176</v>
      </c>
      <c r="G36" s="22" t="e">
        <f t="shared" si="1"/>
        <v>#N/A</v>
      </c>
    </row>
    <row r="37" spans="4:7" x14ac:dyDescent="0.25">
      <c r="D37" s="8">
        <f t="shared" ca="1" si="0"/>
        <v>41538</v>
      </c>
      <c r="E37" s="4" t="s">
        <v>880</v>
      </c>
      <c r="F37" s="57">
        <v>567</v>
      </c>
      <c r="G37" s="22" t="e">
        <f t="shared" si="1"/>
        <v>#N/A</v>
      </c>
    </row>
    <row r="38" spans="4:7" x14ac:dyDescent="0.25">
      <c r="D38" s="8">
        <f t="shared" ca="1" si="0"/>
        <v>41501</v>
      </c>
      <c r="E38" s="4" t="s">
        <v>843</v>
      </c>
      <c r="F38" s="57">
        <v>469</v>
      </c>
      <c r="G38" s="22" t="e">
        <f t="shared" si="1"/>
        <v>#N/A</v>
      </c>
    </row>
    <row r="39" spans="4:7" x14ac:dyDescent="0.25">
      <c r="D39" s="8">
        <f t="shared" ca="1" si="0"/>
        <v>41547</v>
      </c>
      <c r="E39" s="4" t="s">
        <v>820</v>
      </c>
      <c r="F39" s="57">
        <v>723</v>
      </c>
      <c r="G39" s="22">
        <f t="shared" si="1"/>
        <v>3.6999999999999998E-2</v>
      </c>
    </row>
    <row r="40" spans="4:7" x14ac:dyDescent="0.25">
      <c r="D40" s="8">
        <f t="shared" ca="1" si="0"/>
        <v>41502</v>
      </c>
      <c r="E40" s="4" t="s">
        <v>816</v>
      </c>
      <c r="F40" s="57">
        <v>525</v>
      </c>
      <c r="G40" s="22">
        <f t="shared" si="1"/>
        <v>5.6000000000000001E-2</v>
      </c>
    </row>
    <row r="41" spans="4:7" x14ac:dyDescent="0.25">
      <c r="D41" s="8">
        <f t="shared" ca="1" si="0"/>
        <v>41531</v>
      </c>
      <c r="E41" s="4" t="s">
        <v>881</v>
      </c>
      <c r="F41" s="57">
        <v>748</v>
      </c>
      <c r="G41" s="22" t="e">
        <f t="shared" si="1"/>
        <v>#N/A</v>
      </c>
    </row>
    <row r="42" spans="4:7" x14ac:dyDescent="0.25">
      <c r="D42" s="8">
        <f t="shared" ca="1" si="0"/>
        <v>41512</v>
      </c>
      <c r="E42" s="4" t="s">
        <v>857</v>
      </c>
      <c r="F42" s="57">
        <v>197</v>
      </c>
      <c r="G42" s="22" t="e">
        <f t="shared" si="1"/>
        <v>#N/A</v>
      </c>
    </row>
    <row r="43" spans="4:7" x14ac:dyDescent="0.25">
      <c r="D43" s="8">
        <f t="shared" ca="1" si="0"/>
        <v>41533</v>
      </c>
      <c r="E43" s="4" t="s">
        <v>882</v>
      </c>
      <c r="F43" s="57">
        <v>611</v>
      </c>
      <c r="G43" s="22" t="e">
        <f t="shared" si="1"/>
        <v>#N/A</v>
      </c>
    </row>
    <row r="44" spans="4:7" x14ac:dyDescent="0.25">
      <c r="D44" s="8">
        <f t="shared" ca="1" si="0"/>
        <v>41503</v>
      </c>
      <c r="E44" s="4" t="s">
        <v>883</v>
      </c>
      <c r="F44" s="57">
        <v>666</v>
      </c>
      <c r="G44" s="22" t="e">
        <f t="shared" si="1"/>
        <v>#N/A</v>
      </c>
    </row>
    <row r="45" spans="4:7" x14ac:dyDescent="0.25">
      <c r="D45" s="8">
        <f t="shared" ca="1" si="0"/>
        <v>41501</v>
      </c>
      <c r="E45" s="4" t="s">
        <v>884</v>
      </c>
      <c r="F45" s="57">
        <v>528</v>
      </c>
      <c r="G45" s="22" t="e">
        <f t="shared" si="1"/>
        <v>#N/A</v>
      </c>
    </row>
    <row r="46" spans="4:7" x14ac:dyDescent="0.25">
      <c r="D46" s="8">
        <f t="shared" ca="1" si="0"/>
        <v>41504</v>
      </c>
      <c r="E46" s="4" t="s">
        <v>853</v>
      </c>
      <c r="F46" s="57">
        <v>329</v>
      </c>
      <c r="G46" s="22" t="e">
        <f t="shared" si="1"/>
        <v>#N/A</v>
      </c>
    </row>
    <row r="47" spans="4:7" x14ac:dyDescent="0.25">
      <c r="D47" s="8">
        <f t="shared" ca="1" si="0"/>
        <v>41545</v>
      </c>
      <c r="E47" s="4" t="s">
        <v>885</v>
      </c>
      <c r="F47" s="57">
        <v>205</v>
      </c>
      <c r="G47" s="22" t="e">
        <f t="shared" si="1"/>
        <v>#N/A</v>
      </c>
    </row>
    <row r="48" spans="4:7" x14ac:dyDescent="0.25">
      <c r="D48" s="8">
        <f t="shared" ca="1" si="0"/>
        <v>41530</v>
      </c>
      <c r="E48" s="4" t="s">
        <v>886</v>
      </c>
      <c r="F48" s="57">
        <v>366</v>
      </c>
      <c r="G48" s="22" t="e">
        <f t="shared" si="1"/>
        <v>#N/A</v>
      </c>
    </row>
    <row r="49" spans="4:7" x14ac:dyDescent="0.25">
      <c r="D49" s="8">
        <f t="shared" ca="1" si="0"/>
        <v>41518</v>
      </c>
      <c r="E49" s="4" t="s">
        <v>887</v>
      </c>
      <c r="F49" s="57">
        <v>369</v>
      </c>
      <c r="G49" s="22" t="e">
        <f t="shared" si="1"/>
        <v>#N/A</v>
      </c>
    </row>
    <row r="50" spans="4:7" x14ac:dyDescent="0.25">
      <c r="D50" s="8">
        <f t="shared" ca="1" si="0"/>
        <v>41543</v>
      </c>
      <c r="E50" s="4" t="s">
        <v>860</v>
      </c>
      <c r="F50" s="57">
        <v>469</v>
      </c>
      <c r="G50" s="22" t="e">
        <f t="shared" si="1"/>
        <v>#N/A</v>
      </c>
    </row>
    <row r="51" spans="4:7" x14ac:dyDescent="0.25">
      <c r="D51" s="8">
        <f t="shared" ca="1" si="0"/>
        <v>41535</v>
      </c>
      <c r="E51" s="4" t="s">
        <v>836</v>
      </c>
      <c r="F51" s="57">
        <v>244</v>
      </c>
      <c r="G51" s="22" t="e">
        <f t="shared" si="1"/>
        <v>#N/A</v>
      </c>
    </row>
    <row r="52" spans="4:7" x14ac:dyDescent="0.25">
      <c r="D52" s="8">
        <f t="shared" ca="1" si="0"/>
        <v>41547</v>
      </c>
      <c r="E52" s="4" t="s">
        <v>863</v>
      </c>
      <c r="F52" s="57">
        <v>593</v>
      </c>
      <c r="G52" s="22" t="e">
        <f t="shared" si="1"/>
        <v>#N/A</v>
      </c>
    </row>
    <row r="53" spans="4:7" x14ac:dyDescent="0.25">
      <c r="D53" s="8">
        <f t="shared" ca="1" si="0"/>
        <v>41551</v>
      </c>
      <c r="E53" s="4" t="s">
        <v>836</v>
      </c>
      <c r="F53" s="57">
        <v>132</v>
      </c>
      <c r="G53" s="22" t="e">
        <f t="shared" si="1"/>
        <v>#N/A</v>
      </c>
    </row>
    <row r="54" spans="4:7" x14ac:dyDescent="0.25">
      <c r="D54" s="8">
        <f t="shared" ca="1" si="0"/>
        <v>41545</v>
      </c>
      <c r="E54" s="4" t="s">
        <v>888</v>
      </c>
      <c r="F54" s="57">
        <v>442</v>
      </c>
      <c r="G54" s="22" t="e">
        <f t="shared" si="1"/>
        <v>#N/A</v>
      </c>
    </row>
    <row r="55" spans="4:7" x14ac:dyDescent="0.25">
      <c r="D55" s="8">
        <f t="shared" ca="1" si="0"/>
        <v>41536</v>
      </c>
      <c r="E55" s="4" t="s">
        <v>881</v>
      </c>
      <c r="F55" s="57">
        <v>666</v>
      </c>
      <c r="G55" s="22" t="e">
        <f t="shared" si="1"/>
        <v>#N/A</v>
      </c>
    </row>
    <row r="56" spans="4:7" x14ac:dyDescent="0.25">
      <c r="D56" s="8">
        <f t="shared" ca="1" si="0"/>
        <v>41517</v>
      </c>
      <c r="E56" s="4" t="s">
        <v>861</v>
      </c>
      <c r="F56" s="57">
        <v>542</v>
      </c>
      <c r="G56" s="22" t="e">
        <f t="shared" si="1"/>
        <v>#N/A</v>
      </c>
    </row>
    <row r="57" spans="4:7" x14ac:dyDescent="0.25">
      <c r="D57" s="8">
        <f t="shared" ca="1" si="0"/>
        <v>41522</v>
      </c>
      <c r="E57" s="4" t="s">
        <v>867</v>
      </c>
      <c r="F57" s="57">
        <v>157</v>
      </c>
      <c r="G57" s="22" t="e">
        <f t="shared" si="1"/>
        <v>#N/A</v>
      </c>
    </row>
    <row r="58" spans="4:7" x14ac:dyDescent="0.25">
      <c r="D58" s="8">
        <f t="shared" ca="1" si="0"/>
        <v>41533</v>
      </c>
      <c r="E58" s="4" t="s">
        <v>844</v>
      </c>
      <c r="F58" s="57">
        <v>505</v>
      </c>
      <c r="G58" s="22" t="e">
        <f t="shared" si="1"/>
        <v>#N/A</v>
      </c>
    </row>
    <row r="59" spans="4:7" x14ac:dyDescent="0.25">
      <c r="D59" s="8">
        <f t="shared" ca="1" si="0"/>
        <v>41551</v>
      </c>
      <c r="E59" s="4" t="s">
        <v>861</v>
      </c>
      <c r="F59" s="57">
        <v>641</v>
      </c>
      <c r="G59" s="22" t="e">
        <f t="shared" si="1"/>
        <v>#N/A</v>
      </c>
    </row>
    <row r="60" spans="4:7" x14ac:dyDescent="0.25">
      <c r="D60" s="8">
        <f t="shared" ca="1" si="0"/>
        <v>41520</v>
      </c>
      <c r="E60" s="4" t="s">
        <v>864</v>
      </c>
      <c r="F60" s="57">
        <v>638</v>
      </c>
      <c r="G60" s="22" t="e">
        <f t="shared" si="1"/>
        <v>#N/A</v>
      </c>
    </row>
    <row r="61" spans="4:7" x14ac:dyDescent="0.25">
      <c r="D61" s="8">
        <f t="shared" ca="1" si="0"/>
        <v>41529</v>
      </c>
      <c r="E61" s="4" t="s">
        <v>889</v>
      </c>
      <c r="F61" s="57">
        <v>564</v>
      </c>
      <c r="G61" s="22" t="e">
        <f t="shared" si="1"/>
        <v>#N/A</v>
      </c>
    </row>
    <row r="62" spans="4:7" x14ac:dyDescent="0.25">
      <c r="D62" s="8">
        <f t="shared" ca="1" si="0"/>
        <v>41552</v>
      </c>
      <c r="E62" s="4" t="s">
        <v>860</v>
      </c>
      <c r="F62" s="57">
        <v>144</v>
      </c>
      <c r="G62" s="22" t="e">
        <f t="shared" si="1"/>
        <v>#N/A</v>
      </c>
    </row>
    <row r="63" spans="4:7" x14ac:dyDescent="0.25">
      <c r="D63" s="8">
        <f t="shared" ca="1" si="0"/>
        <v>41505</v>
      </c>
      <c r="E63" s="4" t="s">
        <v>847</v>
      </c>
      <c r="F63" s="57">
        <v>401</v>
      </c>
      <c r="G63" s="22" t="e">
        <f t="shared" si="1"/>
        <v>#N/A</v>
      </c>
    </row>
    <row r="64" spans="4:7" x14ac:dyDescent="0.25">
      <c r="D64" s="8">
        <f t="shared" ca="1" si="0"/>
        <v>41511</v>
      </c>
      <c r="E64" s="4" t="s">
        <v>890</v>
      </c>
      <c r="F64" s="57">
        <v>148</v>
      </c>
      <c r="G64" s="22" t="e">
        <f t="shared" si="1"/>
        <v>#N/A</v>
      </c>
    </row>
    <row r="65" spans="4:7" x14ac:dyDescent="0.25">
      <c r="D65" s="8">
        <f t="shared" ca="1" si="0"/>
        <v>41513</v>
      </c>
      <c r="E65" s="4" t="s">
        <v>855</v>
      </c>
      <c r="F65" s="57">
        <v>287</v>
      </c>
      <c r="G65" s="22" t="e">
        <f t="shared" si="1"/>
        <v>#N/A</v>
      </c>
    </row>
    <row r="66" spans="4:7" x14ac:dyDescent="0.25">
      <c r="D66" s="8">
        <f t="shared" ca="1" si="0"/>
        <v>41537</v>
      </c>
      <c r="E66" s="4" t="s">
        <v>858</v>
      </c>
      <c r="F66" s="57">
        <v>785</v>
      </c>
      <c r="G66" s="22" t="e">
        <f t="shared" si="1"/>
        <v>#N/A</v>
      </c>
    </row>
    <row r="67" spans="4:7" x14ac:dyDescent="0.25">
      <c r="D67" s="8">
        <f t="shared" ca="1" si="0"/>
        <v>41500</v>
      </c>
      <c r="E67" s="4" t="s">
        <v>875</v>
      </c>
      <c r="F67" s="57">
        <v>406</v>
      </c>
      <c r="G67" s="22" t="e">
        <f t="shared" si="1"/>
        <v>#N/A</v>
      </c>
    </row>
    <row r="68" spans="4:7" x14ac:dyDescent="0.25">
      <c r="D68" s="8">
        <f t="shared" ca="1" si="0"/>
        <v>41506</v>
      </c>
      <c r="E68" s="4" t="s">
        <v>891</v>
      </c>
      <c r="F68" s="57">
        <v>394</v>
      </c>
      <c r="G68" s="22" t="e">
        <f t="shared" si="1"/>
        <v>#N/A</v>
      </c>
    </row>
    <row r="69" spans="4:7" x14ac:dyDescent="0.25">
      <c r="D69" s="8">
        <f t="shared" ca="1" si="0"/>
        <v>41525</v>
      </c>
      <c r="E69" s="4" t="s">
        <v>892</v>
      </c>
      <c r="F69" s="57">
        <v>279</v>
      </c>
      <c r="G69" s="22" t="e">
        <f t="shared" si="1"/>
        <v>#N/A</v>
      </c>
    </row>
    <row r="70" spans="4:7" x14ac:dyDescent="0.25">
      <c r="D70" s="8">
        <f t="shared" ref="D70:D133" ca="1" si="2">RANDBETWEEN(41500,41555)</f>
        <v>41510</v>
      </c>
      <c r="E70" s="4" t="s">
        <v>845</v>
      </c>
      <c r="F70" s="57">
        <v>305</v>
      </c>
      <c r="G70" s="22" t="e">
        <f t="shared" ref="G70:G133" si="3">VLOOKUP(E70,$A$5:$B$19,2,0)</f>
        <v>#N/A</v>
      </c>
    </row>
    <row r="71" spans="4:7" x14ac:dyDescent="0.25">
      <c r="D71" s="8">
        <f t="shared" ca="1" si="2"/>
        <v>41532</v>
      </c>
      <c r="E71" s="4" t="s">
        <v>877</v>
      </c>
      <c r="F71" s="57">
        <v>177</v>
      </c>
      <c r="G71" s="22" t="e">
        <f t="shared" si="3"/>
        <v>#N/A</v>
      </c>
    </row>
    <row r="72" spans="4:7" x14ac:dyDescent="0.25">
      <c r="D72" s="8">
        <f t="shared" ca="1" si="2"/>
        <v>41500</v>
      </c>
      <c r="E72" s="4" t="s">
        <v>893</v>
      </c>
      <c r="F72" s="57">
        <v>124</v>
      </c>
      <c r="G72" s="22" t="e">
        <f t="shared" si="3"/>
        <v>#N/A</v>
      </c>
    </row>
    <row r="73" spans="4:7" x14ac:dyDescent="0.25">
      <c r="D73" s="8">
        <f t="shared" ca="1" si="2"/>
        <v>41527</v>
      </c>
      <c r="E73" s="4" t="s">
        <v>856</v>
      </c>
      <c r="F73" s="57">
        <v>223</v>
      </c>
      <c r="G73" s="22" t="e">
        <f t="shared" si="3"/>
        <v>#N/A</v>
      </c>
    </row>
    <row r="74" spans="4:7" x14ac:dyDescent="0.25">
      <c r="D74" s="8">
        <f t="shared" ca="1" si="2"/>
        <v>41541</v>
      </c>
      <c r="E74" s="4" t="s">
        <v>894</v>
      </c>
      <c r="F74" s="57">
        <v>782</v>
      </c>
      <c r="G74" s="22" t="e">
        <f t="shared" si="3"/>
        <v>#N/A</v>
      </c>
    </row>
    <row r="75" spans="4:7" x14ac:dyDescent="0.25">
      <c r="D75" s="8">
        <f t="shared" ca="1" si="2"/>
        <v>41501</v>
      </c>
      <c r="E75" s="4" t="s">
        <v>856</v>
      </c>
      <c r="F75" s="57">
        <v>301</v>
      </c>
      <c r="G75" s="22" t="e">
        <f t="shared" si="3"/>
        <v>#N/A</v>
      </c>
    </row>
    <row r="76" spans="4:7" x14ac:dyDescent="0.25">
      <c r="D76" s="8">
        <f t="shared" ca="1" si="2"/>
        <v>41549</v>
      </c>
      <c r="E76" s="4" t="s">
        <v>895</v>
      </c>
      <c r="F76" s="57">
        <v>224</v>
      </c>
      <c r="G76" s="22" t="e">
        <f t="shared" si="3"/>
        <v>#N/A</v>
      </c>
    </row>
    <row r="77" spans="4:7" x14ac:dyDescent="0.25">
      <c r="D77" s="8">
        <f t="shared" ca="1" si="2"/>
        <v>41544</v>
      </c>
      <c r="E77" s="4" t="s">
        <v>842</v>
      </c>
      <c r="F77" s="57">
        <v>517</v>
      </c>
      <c r="G77" s="22" t="e">
        <f t="shared" si="3"/>
        <v>#N/A</v>
      </c>
    </row>
    <row r="78" spans="4:7" x14ac:dyDescent="0.25">
      <c r="D78" s="8">
        <f t="shared" ca="1" si="2"/>
        <v>41551</v>
      </c>
      <c r="E78" s="4" t="s">
        <v>820</v>
      </c>
      <c r="F78" s="57">
        <v>292</v>
      </c>
      <c r="G78" s="22">
        <f t="shared" si="3"/>
        <v>3.6999999999999998E-2</v>
      </c>
    </row>
    <row r="79" spans="4:7" x14ac:dyDescent="0.25">
      <c r="D79" s="8">
        <f t="shared" ca="1" si="2"/>
        <v>41504</v>
      </c>
      <c r="E79" s="4" t="s">
        <v>870</v>
      </c>
      <c r="F79" s="57">
        <v>408</v>
      </c>
      <c r="G79" s="22" t="e">
        <f t="shared" si="3"/>
        <v>#N/A</v>
      </c>
    </row>
    <row r="80" spans="4:7" x14ac:dyDescent="0.25">
      <c r="D80" s="8">
        <f t="shared" ca="1" si="2"/>
        <v>41525</v>
      </c>
      <c r="E80" s="4" t="s">
        <v>896</v>
      </c>
      <c r="F80" s="57">
        <v>454</v>
      </c>
      <c r="G80" s="22" t="e">
        <f t="shared" si="3"/>
        <v>#N/A</v>
      </c>
    </row>
    <row r="81" spans="4:7" x14ac:dyDescent="0.25">
      <c r="D81" s="8">
        <f t="shared" ca="1" si="2"/>
        <v>41525</v>
      </c>
      <c r="E81" s="4" t="s">
        <v>816</v>
      </c>
      <c r="F81" s="57">
        <v>653</v>
      </c>
      <c r="G81" s="22">
        <f t="shared" si="3"/>
        <v>5.6000000000000001E-2</v>
      </c>
    </row>
    <row r="82" spans="4:7" x14ac:dyDescent="0.25">
      <c r="D82" s="8">
        <f t="shared" ca="1" si="2"/>
        <v>41523</v>
      </c>
      <c r="E82" s="4" t="s">
        <v>888</v>
      </c>
      <c r="F82" s="57">
        <v>727</v>
      </c>
      <c r="G82" s="22" t="e">
        <f t="shared" si="3"/>
        <v>#N/A</v>
      </c>
    </row>
    <row r="83" spans="4:7" x14ac:dyDescent="0.25">
      <c r="D83" s="8">
        <f t="shared" ca="1" si="2"/>
        <v>41531</v>
      </c>
      <c r="E83" s="4" t="s">
        <v>858</v>
      </c>
      <c r="F83" s="57">
        <v>201</v>
      </c>
      <c r="G83" s="22" t="e">
        <f t="shared" si="3"/>
        <v>#N/A</v>
      </c>
    </row>
    <row r="84" spans="4:7" x14ac:dyDescent="0.25">
      <c r="D84" s="8">
        <f t="shared" ca="1" si="2"/>
        <v>41523</v>
      </c>
      <c r="E84" s="4" t="s">
        <v>897</v>
      </c>
      <c r="F84" s="57">
        <v>707</v>
      </c>
      <c r="G84" s="22" t="e">
        <f t="shared" si="3"/>
        <v>#N/A</v>
      </c>
    </row>
    <row r="85" spans="4:7" x14ac:dyDescent="0.25">
      <c r="D85" s="8">
        <f t="shared" ca="1" si="2"/>
        <v>41536</v>
      </c>
      <c r="E85" s="4" t="s">
        <v>854</v>
      </c>
      <c r="F85" s="57">
        <v>347</v>
      </c>
      <c r="G85" s="22" t="e">
        <f t="shared" si="3"/>
        <v>#N/A</v>
      </c>
    </row>
    <row r="86" spans="4:7" x14ac:dyDescent="0.25">
      <c r="D86" s="8">
        <f t="shared" ca="1" si="2"/>
        <v>41523</v>
      </c>
      <c r="E86" s="4" t="s">
        <v>898</v>
      </c>
      <c r="F86" s="57">
        <v>229</v>
      </c>
      <c r="G86" s="22" t="e">
        <f t="shared" si="3"/>
        <v>#N/A</v>
      </c>
    </row>
    <row r="87" spans="4:7" x14ac:dyDescent="0.25">
      <c r="D87" s="8">
        <f t="shared" ca="1" si="2"/>
        <v>41505</v>
      </c>
      <c r="E87" s="4" t="s">
        <v>815</v>
      </c>
      <c r="F87" s="57">
        <v>403</v>
      </c>
      <c r="G87" s="22">
        <f t="shared" si="3"/>
        <v>0.02</v>
      </c>
    </row>
    <row r="88" spans="4:7" x14ac:dyDescent="0.25">
      <c r="D88" s="8">
        <f t="shared" ca="1" si="2"/>
        <v>41547</v>
      </c>
      <c r="E88" s="4" t="s">
        <v>873</v>
      </c>
      <c r="F88" s="57">
        <v>208</v>
      </c>
      <c r="G88" s="22" t="e">
        <f t="shared" si="3"/>
        <v>#N/A</v>
      </c>
    </row>
    <row r="89" spans="4:7" x14ac:dyDescent="0.25">
      <c r="D89" s="8">
        <f t="shared" ca="1" si="2"/>
        <v>41545</v>
      </c>
      <c r="E89" s="4" t="s">
        <v>899</v>
      </c>
      <c r="F89" s="57">
        <v>774</v>
      </c>
      <c r="G89" s="22" t="e">
        <f t="shared" si="3"/>
        <v>#N/A</v>
      </c>
    </row>
    <row r="90" spans="4:7" x14ac:dyDescent="0.25">
      <c r="D90" s="8">
        <f t="shared" ca="1" si="2"/>
        <v>41510</v>
      </c>
      <c r="E90" s="4" t="s">
        <v>900</v>
      </c>
      <c r="F90" s="57">
        <v>366</v>
      </c>
      <c r="G90" s="22" t="e">
        <f t="shared" si="3"/>
        <v>#N/A</v>
      </c>
    </row>
    <row r="91" spans="4:7" x14ac:dyDescent="0.25">
      <c r="D91" s="8">
        <f t="shared" ca="1" si="2"/>
        <v>41513</v>
      </c>
      <c r="E91" s="4" t="s">
        <v>847</v>
      </c>
      <c r="F91" s="57">
        <v>450</v>
      </c>
      <c r="G91" s="22" t="e">
        <f t="shared" si="3"/>
        <v>#N/A</v>
      </c>
    </row>
    <row r="92" spans="4:7" x14ac:dyDescent="0.25">
      <c r="D92" s="8">
        <f t="shared" ca="1" si="2"/>
        <v>41536</v>
      </c>
      <c r="E92" s="4" t="s">
        <v>840</v>
      </c>
      <c r="F92" s="57">
        <v>601</v>
      </c>
      <c r="G92" s="22" t="e">
        <f t="shared" si="3"/>
        <v>#N/A</v>
      </c>
    </row>
    <row r="93" spans="4:7" x14ac:dyDescent="0.25">
      <c r="D93" s="8">
        <f t="shared" ca="1" si="2"/>
        <v>41504</v>
      </c>
      <c r="E93" s="4" t="s">
        <v>820</v>
      </c>
      <c r="F93" s="57">
        <v>525</v>
      </c>
      <c r="G93" s="22">
        <f t="shared" si="3"/>
        <v>3.6999999999999998E-2</v>
      </c>
    </row>
    <row r="94" spans="4:7" x14ac:dyDescent="0.25">
      <c r="D94" s="8">
        <f t="shared" ca="1" si="2"/>
        <v>41526</v>
      </c>
      <c r="E94" s="4" t="s">
        <v>901</v>
      </c>
      <c r="F94" s="57">
        <v>425</v>
      </c>
      <c r="G94" s="22" t="e">
        <f t="shared" si="3"/>
        <v>#N/A</v>
      </c>
    </row>
    <row r="95" spans="4:7" x14ac:dyDescent="0.25">
      <c r="D95" s="8">
        <f t="shared" ca="1" si="2"/>
        <v>41528</v>
      </c>
      <c r="E95" s="4" t="s">
        <v>878</v>
      </c>
      <c r="F95" s="57">
        <v>585</v>
      </c>
      <c r="G95" s="22" t="e">
        <f t="shared" si="3"/>
        <v>#N/A</v>
      </c>
    </row>
    <row r="96" spans="4:7" x14ac:dyDescent="0.25">
      <c r="D96" s="8">
        <f t="shared" ca="1" si="2"/>
        <v>41512</v>
      </c>
      <c r="E96" s="4" t="s">
        <v>873</v>
      </c>
      <c r="F96" s="57">
        <v>318</v>
      </c>
      <c r="G96" s="22" t="e">
        <f t="shared" si="3"/>
        <v>#N/A</v>
      </c>
    </row>
    <row r="97" spans="4:7" x14ac:dyDescent="0.25">
      <c r="D97" s="8">
        <f t="shared" ca="1" si="2"/>
        <v>41521</v>
      </c>
      <c r="E97" s="4" t="s">
        <v>902</v>
      </c>
      <c r="F97" s="57">
        <v>707</v>
      </c>
      <c r="G97" s="22" t="e">
        <f t="shared" si="3"/>
        <v>#N/A</v>
      </c>
    </row>
    <row r="98" spans="4:7" x14ac:dyDescent="0.25">
      <c r="D98" s="8">
        <f t="shared" ca="1" si="2"/>
        <v>41531</v>
      </c>
      <c r="E98" s="4" t="s">
        <v>848</v>
      </c>
      <c r="F98" s="57">
        <v>197</v>
      </c>
      <c r="G98" s="22" t="e">
        <f t="shared" si="3"/>
        <v>#N/A</v>
      </c>
    </row>
    <row r="99" spans="4:7" x14ac:dyDescent="0.25">
      <c r="D99" s="8">
        <f t="shared" ca="1" si="2"/>
        <v>41528</v>
      </c>
      <c r="E99" s="4" t="s">
        <v>903</v>
      </c>
      <c r="F99" s="57">
        <v>487</v>
      </c>
      <c r="G99" s="22" t="e">
        <f t="shared" si="3"/>
        <v>#N/A</v>
      </c>
    </row>
    <row r="100" spans="4:7" x14ac:dyDescent="0.25">
      <c r="D100" s="8">
        <f t="shared" ca="1" si="2"/>
        <v>41550</v>
      </c>
      <c r="E100" s="4" t="s">
        <v>813</v>
      </c>
      <c r="F100" s="57">
        <v>379</v>
      </c>
      <c r="G100" s="22">
        <f t="shared" si="3"/>
        <v>4.4999999999999998E-2</v>
      </c>
    </row>
    <row r="101" spans="4:7" x14ac:dyDescent="0.25">
      <c r="D101" s="8">
        <f t="shared" ca="1" si="2"/>
        <v>41519</v>
      </c>
      <c r="E101" s="4" t="s">
        <v>880</v>
      </c>
      <c r="F101" s="57">
        <v>204</v>
      </c>
      <c r="G101" s="22" t="e">
        <f t="shared" si="3"/>
        <v>#N/A</v>
      </c>
    </row>
    <row r="102" spans="4:7" x14ac:dyDescent="0.25">
      <c r="D102" s="8">
        <f t="shared" ca="1" si="2"/>
        <v>41539</v>
      </c>
      <c r="E102" s="4" t="s">
        <v>904</v>
      </c>
      <c r="F102" s="57">
        <v>280</v>
      </c>
      <c r="G102" s="22" t="e">
        <f t="shared" si="3"/>
        <v>#N/A</v>
      </c>
    </row>
    <row r="103" spans="4:7" x14ac:dyDescent="0.25">
      <c r="D103" s="8">
        <f t="shared" ca="1" si="2"/>
        <v>41507</v>
      </c>
      <c r="E103" s="4" t="s">
        <v>860</v>
      </c>
      <c r="F103" s="57">
        <v>767</v>
      </c>
      <c r="G103" s="22" t="e">
        <f t="shared" si="3"/>
        <v>#N/A</v>
      </c>
    </row>
    <row r="104" spans="4:7" x14ac:dyDescent="0.25">
      <c r="D104" s="8">
        <f t="shared" ca="1" si="2"/>
        <v>41507</v>
      </c>
      <c r="E104" s="4" t="s">
        <v>892</v>
      </c>
      <c r="F104" s="57">
        <v>423</v>
      </c>
      <c r="G104" s="22" t="e">
        <f t="shared" si="3"/>
        <v>#N/A</v>
      </c>
    </row>
    <row r="105" spans="4:7" x14ac:dyDescent="0.25">
      <c r="D105" s="8">
        <f t="shared" ca="1" si="2"/>
        <v>41511</v>
      </c>
      <c r="E105" s="4" t="s">
        <v>851</v>
      </c>
      <c r="F105" s="57">
        <v>129</v>
      </c>
      <c r="G105" s="22" t="e">
        <f t="shared" si="3"/>
        <v>#N/A</v>
      </c>
    </row>
    <row r="106" spans="4:7" x14ac:dyDescent="0.25">
      <c r="D106" s="8">
        <f t="shared" ca="1" si="2"/>
        <v>41514</v>
      </c>
      <c r="E106" s="4" t="s">
        <v>865</v>
      </c>
      <c r="F106" s="57">
        <v>662</v>
      </c>
      <c r="G106" s="22" t="e">
        <f t="shared" si="3"/>
        <v>#N/A</v>
      </c>
    </row>
    <row r="107" spans="4:7" x14ac:dyDescent="0.25">
      <c r="D107" s="8">
        <f t="shared" ca="1" si="2"/>
        <v>41504</v>
      </c>
      <c r="E107" s="4" t="s">
        <v>867</v>
      </c>
      <c r="F107" s="57">
        <v>581</v>
      </c>
      <c r="G107" s="22" t="e">
        <f t="shared" si="3"/>
        <v>#N/A</v>
      </c>
    </row>
    <row r="108" spans="4:7" x14ac:dyDescent="0.25">
      <c r="D108" s="8">
        <f t="shared" ca="1" si="2"/>
        <v>41535</v>
      </c>
      <c r="E108" s="4" t="s">
        <v>905</v>
      </c>
      <c r="F108" s="57">
        <v>774</v>
      </c>
      <c r="G108" s="22" t="e">
        <f t="shared" si="3"/>
        <v>#N/A</v>
      </c>
    </row>
    <row r="109" spans="4:7" x14ac:dyDescent="0.25">
      <c r="D109" s="8">
        <f t="shared" ca="1" si="2"/>
        <v>41512</v>
      </c>
      <c r="E109" s="4" t="s">
        <v>906</v>
      </c>
      <c r="F109" s="57">
        <v>382</v>
      </c>
      <c r="G109" s="22" t="e">
        <f t="shared" si="3"/>
        <v>#N/A</v>
      </c>
    </row>
    <row r="110" spans="4:7" x14ac:dyDescent="0.25">
      <c r="D110" s="8">
        <f t="shared" ca="1" si="2"/>
        <v>41543</v>
      </c>
      <c r="E110" s="4" t="s">
        <v>836</v>
      </c>
      <c r="F110" s="57">
        <v>669</v>
      </c>
      <c r="G110" s="22" t="e">
        <f t="shared" si="3"/>
        <v>#N/A</v>
      </c>
    </row>
    <row r="111" spans="4:7" x14ac:dyDescent="0.25">
      <c r="D111" s="8">
        <f t="shared" ca="1" si="2"/>
        <v>41532</v>
      </c>
      <c r="E111" s="4" t="s">
        <v>867</v>
      </c>
      <c r="F111" s="57">
        <v>752</v>
      </c>
      <c r="G111" s="22" t="e">
        <f t="shared" si="3"/>
        <v>#N/A</v>
      </c>
    </row>
    <row r="112" spans="4:7" x14ac:dyDescent="0.25">
      <c r="D112" s="8">
        <f t="shared" ca="1" si="2"/>
        <v>41500</v>
      </c>
      <c r="E112" s="4" t="s">
        <v>893</v>
      </c>
      <c r="F112" s="57">
        <v>250</v>
      </c>
      <c r="G112" s="22" t="e">
        <f t="shared" si="3"/>
        <v>#N/A</v>
      </c>
    </row>
    <row r="113" spans="4:7" x14ac:dyDescent="0.25">
      <c r="D113" s="8">
        <f t="shared" ca="1" si="2"/>
        <v>41530</v>
      </c>
      <c r="E113" s="4" t="s">
        <v>875</v>
      </c>
      <c r="F113" s="57">
        <v>630</v>
      </c>
      <c r="G113" s="22" t="e">
        <f t="shared" si="3"/>
        <v>#N/A</v>
      </c>
    </row>
    <row r="114" spans="4:7" x14ac:dyDescent="0.25">
      <c r="D114" s="8">
        <f t="shared" ca="1" si="2"/>
        <v>41527</v>
      </c>
      <c r="E114" s="4" t="s">
        <v>842</v>
      </c>
      <c r="F114" s="57">
        <v>235</v>
      </c>
      <c r="G114" s="22" t="e">
        <f t="shared" si="3"/>
        <v>#N/A</v>
      </c>
    </row>
    <row r="115" spans="4:7" x14ac:dyDescent="0.25">
      <c r="D115" s="8">
        <f t="shared" ca="1" si="2"/>
        <v>41517</v>
      </c>
      <c r="E115" s="4" t="s">
        <v>865</v>
      </c>
      <c r="F115" s="57">
        <v>650</v>
      </c>
      <c r="G115" s="22" t="e">
        <f t="shared" si="3"/>
        <v>#N/A</v>
      </c>
    </row>
    <row r="116" spans="4:7" x14ac:dyDescent="0.25">
      <c r="D116" s="8">
        <f t="shared" ca="1" si="2"/>
        <v>41511</v>
      </c>
      <c r="E116" s="4" t="s">
        <v>907</v>
      </c>
      <c r="F116" s="57">
        <v>562</v>
      </c>
      <c r="G116" s="22" t="e">
        <f t="shared" si="3"/>
        <v>#N/A</v>
      </c>
    </row>
    <row r="117" spans="4:7" x14ac:dyDescent="0.25">
      <c r="D117" s="8">
        <f t="shared" ca="1" si="2"/>
        <v>41539</v>
      </c>
      <c r="E117" s="4" t="s">
        <v>908</v>
      </c>
      <c r="F117" s="57">
        <v>684</v>
      </c>
      <c r="G117" s="22" t="e">
        <f t="shared" si="3"/>
        <v>#N/A</v>
      </c>
    </row>
    <row r="118" spans="4:7" x14ac:dyDescent="0.25">
      <c r="D118" s="8">
        <f t="shared" ca="1" si="2"/>
        <v>41543</v>
      </c>
      <c r="E118" s="4" t="s">
        <v>909</v>
      </c>
      <c r="F118" s="57">
        <v>492</v>
      </c>
      <c r="G118" s="22" t="e">
        <f t="shared" si="3"/>
        <v>#N/A</v>
      </c>
    </row>
    <row r="119" spans="4:7" x14ac:dyDescent="0.25">
      <c r="D119" s="8">
        <f t="shared" ca="1" si="2"/>
        <v>41542</v>
      </c>
      <c r="E119" s="4" t="s">
        <v>910</v>
      </c>
      <c r="F119" s="57">
        <v>657</v>
      </c>
      <c r="G119" s="22" t="e">
        <f t="shared" si="3"/>
        <v>#N/A</v>
      </c>
    </row>
    <row r="120" spans="4:7" x14ac:dyDescent="0.25">
      <c r="D120" s="8">
        <f t="shared" ca="1" si="2"/>
        <v>41524</v>
      </c>
      <c r="E120" s="4" t="s">
        <v>911</v>
      </c>
      <c r="F120" s="57">
        <v>197</v>
      </c>
      <c r="G120" s="22" t="e">
        <f t="shared" si="3"/>
        <v>#N/A</v>
      </c>
    </row>
    <row r="121" spans="4:7" x14ac:dyDescent="0.25">
      <c r="D121" s="8">
        <f t="shared" ca="1" si="2"/>
        <v>41535</v>
      </c>
      <c r="E121" s="4" t="s">
        <v>840</v>
      </c>
      <c r="F121" s="57">
        <v>562</v>
      </c>
      <c r="G121" s="22" t="e">
        <f t="shared" si="3"/>
        <v>#N/A</v>
      </c>
    </row>
    <row r="122" spans="4:7" x14ac:dyDescent="0.25">
      <c r="D122" s="8">
        <f t="shared" ca="1" si="2"/>
        <v>41547</v>
      </c>
      <c r="E122" s="4" t="s">
        <v>904</v>
      </c>
      <c r="F122" s="57">
        <v>125</v>
      </c>
      <c r="G122" s="22" t="e">
        <f t="shared" si="3"/>
        <v>#N/A</v>
      </c>
    </row>
    <row r="123" spans="4:7" x14ac:dyDescent="0.25">
      <c r="D123" s="8">
        <f t="shared" ca="1" si="2"/>
        <v>41554</v>
      </c>
      <c r="E123" s="4" t="s">
        <v>863</v>
      </c>
      <c r="F123" s="57">
        <v>527</v>
      </c>
      <c r="G123" s="22" t="e">
        <f t="shared" si="3"/>
        <v>#N/A</v>
      </c>
    </row>
    <row r="124" spans="4:7" x14ac:dyDescent="0.25">
      <c r="D124" s="8">
        <f t="shared" ca="1" si="2"/>
        <v>41500</v>
      </c>
      <c r="E124" s="4" t="s">
        <v>890</v>
      </c>
      <c r="F124" s="57">
        <v>500</v>
      </c>
      <c r="G124" s="22" t="e">
        <f t="shared" si="3"/>
        <v>#N/A</v>
      </c>
    </row>
    <row r="125" spans="4:7" x14ac:dyDescent="0.25">
      <c r="D125" s="8">
        <f t="shared" ca="1" si="2"/>
        <v>41527</v>
      </c>
      <c r="E125" s="4" t="s">
        <v>912</v>
      </c>
      <c r="F125" s="57">
        <v>241</v>
      </c>
      <c r="G125" s="22" t="e">
        <f t="shared" si="3"/>
        <v>#N/A</v>
      </c>
    </row>
    <row r="126" spans="4:7" x14ac:dyDescent="0.25">
      <c r="D126" s="8">
        <f t="shared" ca="1" si="2"/>
        <v>41509</v>
      </c>
      <c r="E126" s="4" t="s">
        <v>868</v>
      </c>
      <c r="F126" s="57">
        <v>719</v>
      </c>
      <c r="G126" s="22" t="e">
        <f t="shared" si="3"/>
        <v>#N/A</v>
      </c>
    </row>
    <row r="127" spans="4:7" x14ac:dyDescent="0.25">
      <c r="D127" s="8">
        <f t="shared" ca="1" si="2"/>
        <v>41533</v>
      </c>
      <c r="E127" s="4" t="s">
        <v>913</v>
      </c>
      <c r="F127" s="57">
        <v>624</v>
      </c>
      <c r="G127" s="22" t="e">
        <f t="shared" si="3"/>
        <v>#N/A</v>
      </c>
    </row>
    <row r="128" spans="4:7" x14ac:dyDescent="0.25">
      <c r="D128" s="8">
        <f t="shared" ca="1" si="2"/>
        <v>41519</v>
      </c>
      <c r="E128" s="4" t="s">
        <v>879</v>
      </c>
      <c r="F128" s="57">
        <v>500</v>
      </c>
      <c r="G128" s="22" t="e">
        <f t="shared" si="3"/>
        <v>#N/A</v>
      </c>
    </row>
    <row r="129" spans="4:7" x14ac:dyDescent="0.25">
      <c r="D129" s="8">
        <f t="shared" ca="1" si="2"/>
        <v>41532</v>
      </c>
      <c r="E129" s="4" t="s">
        <v>901</v>
      </c>
      <c r="F129" s="57">
        <v>174</v>
      </c>
      <c r="G129" s="22" t="e">
        <f t="shared" si="3"/>
        <v>#N/A</v>
      </c>
    </row>
    <row r="130" spans="4:7" x14ac:dyDescent="0.25">
      <c r="D130" s="8">
        <f t="shared" ca="1" si="2"/>
        <v>41516</v>
      </c>
      <c r="E130" s="4" t="s">
        <v>910</v>
      </c>
      <c r="F130" s="57">
        <v>327</v>
      </c>
      <c r="G130" s="22" t="e">
        <f t="shared" si="3"/>
        <v>#N/A</v>
      </c>
    </row>
    <row r="131" spans="4:7" x14ac:dyDescent="0.25">
      <c r="D131" s="8">
        <f t="shared" ca="1" si="2"/>
        <v>41511</v>
      </c>
      <c r="E131" s="4" t="s">
        <v>801</v>
      </c>
      <c r="F131" s="57">
        <v>375</v>
      </c>
      <c r="G131" s="22" t="e">
        <f t="shared" si="3"/>
        <v>#N/A</v>
      </c>
    </row>
    <row r="132" spans="4:7" x14ac:dyDescent="0.25">
      <c r="D132" s="8">
        <f t="shared" ca="1" si="2"/>
        <v>41533</v>
      </c>
      <c r="E132" s="4" t="s">
        <v>820</v>
      </c>
      <c r="F132" s="57">
        <v>467</v>
      </c>
      <c r="G132" s="22">
        <f t="shared" si="3"/>
        <v>3.6999999999999998E-2</v>
      </c>
    </row>
    <row r="133" spans="4:7" x14ac:dyDescent="0.25">
      <c r="D133" s="8">
        <f t="shared" ca="1" si="2"/>
        <v>41532</v>
      </c>
      <c r="E133" s="4" t="s">
        <v>914</v>
      </c>
      <c r="F133" s="57">
        <v>211</v>
      </c>
      <c r="G133" s="22" t="e">
        <f t="shared" si="3"/>
        <v>#N/A</v>
      </c>
    </row>
    <row r="134" spans="4:7" x14ac:dyDescent="0.25">
      <c r="D134" s="8">
        <f t="shared" ref="D134:D197" ca="1" si="4">RANDBETWEEN(41500,41555)</f>
        <v>41530</v>
      </c>
      <c r="E134" s="4" t="s">
        <v>820</v>
      </c>
      <c r="F134" s="57">
        <v>463</v>
      </c>
      <c r="G134" s="22">
        <f t="shared" ref="G134:G197" si="5">VLOOKUP(E134,$A$5:$B$19,2,0)</f>
        <v>3.6999999999999998E-2</v>
      </c>
    </row>
    <row r="135" spans="4:7" x14ac:dyDescent="0.25">
      <c r="D135" s="8">
        <f t="shared" ca="1" si="4"/>
        <v>41533</v>
      </c>
      <c r="E135" s="4" t="s">
        <v>901</v>
      </c>
      <c r="F135" s="57">
        <v>266</v>
      </c>
      <c r="G135" s="22" t="e">
        <f t="shared" si="5"/>
        <v>#N/A</v>
      </c>
    </row>
    <row r="136" spans="4:7" x14ac:dyDescent="0.25">
      <c r="D136" s="8">
        <f t="shared" ca="1" si="4"/>
        <v>41539</v>
      </c>
      <c r="E136" s="4" t="s">
        <v>888</v>
      </c>
      <c r="F136" s="57">
        <v>384</v>
      </c>
      <c r="G136" s="22" t="e">
        <f t="shared" si="5"/>
        <v>#N/A</v>
      </c>
    </row>
    <row r="137" spans="4:7" x14ac:dyDescent="0.25">
      <c r="D137" s="8">
        <f t="shared" ca="1" si="4"/>
        <v>41528</v>
      </c>
      <c r="E137" s="4" t="s">
        <v>849</v>
      </c>
      <c r="F137" s="57">
        <v>347</v>
      </c>
      <c r="G137" s="22" t="e">
        <f t="shared" si="5"/>
        <v>#N/A</v>
      </c>
    </row>
    <row r="138" spans="4:7" x14ac:dyDescent="0.25">
      <c r="D138" s="8">
        <f t="shared" ca="1" si="4"/>
        <v>41501</v>
      </c>
      <c r="E138" s="4" t="s">
        <v>858</v>
      </c>
      <c r="F138" s="57">
        <v>575</v>
      </c>
      <c r="G138" s="22" t="e">
        <f t="shared" si="5"/>
        <v>#N/A</v>
      </c>
    </row>
    <row r="139" spans="4:7" x14ac:dyDescent="0.25">
      <c r="D139" s="8">
        <f t="shared" ca="1" si="4"/>
        <v>41519</v>
      </c>
      <c r="E139" s="4" t="s">
        <v>915</v>
      </c>
      <c r="F139" s="57">
        <v>452</v>
      </c>
      <c r="G139" s="22" t="e">
        <f t="shared" si="5"/>
        <v>#N/A</v>
      </c>
    </row>
    <row r="140" spans="4:7" x14ac:dyDescent="0.25">
      <c r="D140" s="8">
        <f t="shared" ca="1" si="4"/>
        <v>41529</v>
      </c>
      <c r="E140" s="4" t="s">
        <v>859</v>
      </c>
      <c r="F140" s="57">
        <v>470</v>
      </c>
      <c r="G140" s="22" t="e">
        <f t="shared" si="5"/>
        <v>#N/A</v>
      </c>
    </row>
    <row r="141" spans="4:7" x14ac:dyDescent="0.25">
      <c r="D141" s="8">
        <f t="shared" ca="1" si="4"/>
        <v>41511</v>
      </c>
      <c r="E141" s="4" t="s">
        <v>881</v>
      </c>
      <c r="F141" s="57">
        <v>710</v>
      </c>
      <c r="G141" s="22" t="e">
        <f t="shared" si="5"/>
        <v>#N/A</v>
      </c>
    </row>
    <row r="142" spans="4:7" x14ac:dyDescent="0.25">
      <c r="D142" s="8">
        <f t="shared" ca="1" si="4"/>
        <v>41535</v>
      </c>
      <c r="E142" s="4" t="s">
        <v>854</v>
      </c>
      <c r="F142" s="57">
        <v>304</v>
      </c>
      <c r="G142" s="22" t="e">
        <f t="shared" si="5"/>
        <v>#N/A</v>
      </c>
    </row>
    <row r="143" spans="4:7" x14ac:dyDescent="0.25">
      <c r="D143" s="8">
        <f t="shared" ca="1" si="4"/>
        <v>41506</v>
      </c>
      <c r="E143" s="4" t="s">
        <v>841</v>
      </c>
      <c r="F143" s="57">
        <v>403</v>
      </c>
      <c r="G143" s="22" t="e">
        <f t="shared" si="5"/>
        <v>#N/A</v>
      </c>
    </row>
    <row r="144" spans="4:7" x14ac:dyDescent="0.25">
      <c r="D144" s="8">
        <f t="shared" ca="1" si="4"/>
        <v>41514</v>
      </c>
      <c r="E144" s="4" t="s">
        <v>839</v>
      </c>
      <c r="F144" s="57">
        <v>776</v>
      </c>
      <c r="G144" s="22" t="e">
        <f t="shared" si="5"/>
        <v>#N/A</v>
      </c>
    </row>
    <row r="145" spans="4:7" x14ac:dyDescent="0.25">
      <c r="D145" s="8">
        <f t="shared" ca="1" si="4"/>
        <v>41504</v>
      </c>
      <c r="E145" s="4" t="s">
        <v>880</v>
      </c>
      <c r="F145" s="57">
        <v>404</v>
      </c>
      <c r="G145" s="22" t="e">
        <f t="shared" si="5"/>
        <v>#N/A</v>
      </c>
    </row>
    <row r="146" spans="4:7" x14ac:dyDescent="0.25">
      <c r="D146" s="8">
        <f t="shared" ca="1" si="4"/>
        <v>41554</v>
      </c>
      <c r="E146" s="4" t="s">
        <v>916</v>
      </c>
      <c r="F146" s="57">
        <v>690</v>
      </c>
      <c r="G146" s="22" t="e">
        <f t="shared" si="5"/>
        <v>#N/A</v>
      </c>
    </row>
    <row r="147" spans="4:7" x14ac:dyDescent="0.25">
      <c r="D147" s="8">
        <f t="shared" ca="1" si="4"/>
        <v>41540</v>
      </c>
      <c r="E147" s="4" t="s">
        <v>857</v>
      </c>
      <c r="F147" s="57">
        <v>519</v>
      </c>
      <c r="G147" s="22" t="e">
        <f t="shared" si="5"/>
        <v>#N/A</v>
      </c>
    </row>
    <row r="148" spans="4:7" x14ac:dyDescent="0.25">
      <c r="D148" s="8">
        <f t="shared" ca="1" si="4"/>
        <v>41528</v>
      </c>
      <c r="E148" s="4" t="s">
        <v>896</v>
      </c>
      <c r="F148" s="57">
        <v>325</v>
      </c>
      <c r="G148" s="22" t="e">
        <f t="shared" si="5"/>
        <v>#N/A</v>
      </c>
    </row>
    <row r="149" spans="4:7" x14ac:dyDescent="0.25">
      <c r="D149" s="8">
        <f t="shared" ca="1" si="4"/>
        <v>41505</v>
      </c>
      <c r="E149" s="4" t="s">
        <v>895</v>
      </c>
      <c r="F149" s="57">
        <v>577</v>
      </c>
      <c r="G149" s="22" t="e">
        <f t="shared" si="5"/>
        <v>#N/A</v>
      </c>
    </row>
    <row r="150" spans="4:7" x14ac:dyDescent="0.25">
      <c r="D150" s="8">
        <f t="shared" ca="1" si="4"/>
        <v>41542</v>
      </c>
      <c r="E150" s="4" t="s">
        <v>915</v>
      </c>
      <c r="F150" s="57">
        <v>595</v>
      </c>
      <c r="G150" s="22" t="e">
        <f t="shared" si="5"/>
        <v>#N/A</v>
      </c>
    </row>
    <row r="151" spans="4:7" x14ac:dyDescent="0.25">
      <c r="D151" s="8">
        <f t="shared" ca="1" si="4"/>
        <v>41536</v>
      </c>
      <c r="E151" s="4" t="s">
        <v>894</v>
      </c>
      <c r="F151" s="57">
        <v>133</v>
      </c>
      <c r="G151" s="22" t="e">
        <f t="shared" si="5"/>
        <v>#N/A</v>
      </c>
    </row>
    <row r="152" spans="4:7" x14ac:dyDescent="0.25">
      <c r="D152" s="8">
        <f t="shared" ca="1" si="4"/>
        <v>41526</v>
      </c>
      <c r="E152" s="4" t="s">
        <v>864</v>
      </c>
      <c r="F152" s="57">
        <v>328</v>
      </c>
      <c r="G152" s="22" t="e">
        <f t="shared" si="5"/>
        <v>#N/A</v>
      </c>
    </row>
    <row r="153" spans="4:7" x14ac:dyDescent="0.25">
      <c r="D153" s="8">
        <f t="shared" ca="1" si="4"/>
        <v>41501</v>
      </c>
      <c r="E153" s="4" t="s">
        <v>872</v>
      </c>
      <c r="F153" s="57">
        <v>339</v>
      </c>
      <c r="G153" s="22" t="e">
        <f t="shared" si="5"/>
        <v>#N/A</v>
      </c>
    </row>
    <row r="154" spans="4:7" x14ac:dyDescent="0.25">
      <c r="D154" s="8">
        <f t="shared" ca="1" si="4"/>
        <v>41530</v>
      </c>
      <c r="E154" s="4" t="s">
        <v>884</v>
      </c>
      <c r="F154" s="57">
        <v>642</v>
      </c>
      <c r="G154" s="22" t="e">
        <f t="shared" si="5"/>
        <v>#N/A</v>
      </c>
    </row>
    <row r="155" spans="4:7" x14ac:dyDescent="0.25">
      <c r="D155" s="8">
        <f t="shared" ca="1" si="4"/>
        <v>41520</v>
      </c>
      <c r="E155" s="4" t="s">
        <v>853</v>
      </c>
      <c r="F155" s="57">
        <v>227</v>
      </c>
      <c r="G155" s="22" t="e">
        <f t="shared" si="5"/>
        <v>#N/A</v>
      </c>
    </row>
    <row r="156" spans="4:7" x14ac:dyDescent="0.25">
      <c r="D156" s="8">
        <f t="shared" ca="1" si="4"/>
        <v>41515</v>
      </c>
      <c r="E156" s="4" t="s">
        <v>917</v>
      </c>
      <c r="F156" s="57">
        <v>549</v>
      </c>
      <c r="G156" s="22" t="e">
        <f t="shared" si="5"/>
        <v>#N/A</v>
      </c>
    </row>
    <row r="157" spans="4:7" x14ac:dyDescent="0.25">
      <c r="D157" s="8">
        <f t="shared" ca="1" si="4"/>
        <v>41548</v>
      </c>
      <c r="E157" s="4" t="s">
        <v>908</v>
      </c>
      <c r="F157" s="57">
        <v>210</v>
      </c>
      <c r="G157" s="22" t="e">
        <f t="shared" si="5"/>
        <v>#N/A</v>
      </c>
    </row>
    <row r="158" spans="4:7" x14ac:dyDescent="0.25">
      <c r="D158" s="8">
        <f t="shared" ca="1" si="4"/>
        <v>41514</v>
      </c>
      <c r="E158" s="4" t="s">
        <v>899</v>
      </c>
      <c r="F158" s="57">
        <v>209</v>
      </c>
      <c r="G158" s="22" t="e">
        <f t="shared" si="5"/>
        <v>#N/A</v>
      </c>
    </row>
    <row r="159" spans="4:7" x14ac:dyDescent="0.25">
      <c r="D159" s="8">
        <f t="shared" ca="1" si="4"/>
        <v>41517</v>
      </c>
      <c r="E159" s="4" t="s">
        <v>908</v>
      </c>
      <c r="F159" s="57">
        <v>645</v>
      </c>
      <c r="G159" s="22" t="e">
        <f t="shared" si="5"/>
        <v>#N/A</v>
      </c>
    </row>
    <row r="160" spans="4:7" x14ac:dyDescent="0.25">
      <c r="D160" s="8">
        <f t="shared" ca="1" si="4"/>
        <v>41518</v>
      </c>
      <c r="E160" s="4" t="s">
        <v>907</v>
      </c>
      <c r="F160" s="57">
        <v>666</v>
      </c>
      <c r="G160" s="22" t="e">
        <f t="shared" si="5"/>
        <v>#N/A</v>
      </c>
    </row>
    <row r="161" spans="4:7" x14ac:dyDescent="0.25">
      <c r="D161" s="8">
        <f t="shared" ca="1" si="4"/>
        <v>41534</v>
      </c>
      <c r="E161" s="4" t="s">
        <v>877</v>
      </c>
      <c r="F161" s="57">
        <v>124</v>
      </c>
      <c r="G161" s="22" t="e">
        <f t="shared" si="5"/>
        <v>#N/A</v>
      </c>
    </row>
    <row r="162" spans="4:7" x14ac:dyDescent="0.25">
      <c r="D162" s="8">
        <f t="shared" ca="1" si="4"/>
        <v>41505</v>
      </c>
      <c r="E162" s="4" t="s">
        <v>918</v>
      </c>
      <c r="F162" s="57">
        <v>116</v>
      </c>
      <c r="G162" s="22" t="e">
        <f t="shared" si="5"/>
        <v>#N/A</v>
      </c>
    </row>
    <row r="163" spans="4:7" x14ac:dyDescent="0.25">
      <c r="D163" s="8">
        <f t="shared" ca="1" si="4"/>
        <v>41555</v>
      </c>
      <c r="E163" s="4" t="s">
        <v>877</v>
      </c>
      <c r="F163" s="57">
        <v>231</v>
      </c>
      <c r="G163" s="22" t="e">
        <f t="shared" si="5"/>
        <v>#N/A</v>
      </c>
    </row>
    <row r="164" spans="4:7" x14ac:dyDescent="0.25">
      <c r="D164" s="8">
        <f t="shared" ca="1" si="4"/>
        <v>41536</v>
      </c>
      <c r="E164" s="4" t="s">
        <v>816</v>
      </c>
      <c r="F164" s="57">
        <v>138</v>
      </c>
      <c r="G164" s="22">
        <f t="shared" si="5"/>
        <v>5.6000000000000001E-2</v>
      </c>
    </row>
    <row r="165" spans="4:7" x14ac:dyDescent="0.25">
      <c r="D165" s="8">
        <f t="shared" ca="1" si="4"/>
        <v>41545</v>
      </c>
      <c r="E165" s="4" t="s">
        <v>860</v>
      </c>
      <c r="F165" s="57">
        <v>558</v>
      </c>
      <c r="G165" s="22" t="e">
        <f t="shared" si="5"/>
        <v>#N/A</v>
      </c>
    </row>
    <row r="166" spans="4:7" x14ac:dyDescent="0.25">
      <c r="D166" s="8">
        <f t="shared" ca="1" si="4"/>
        <v>41515</v>
      </c>
      <c r="E166" s="4" t="s">
        <v>813</v>
      </c>
      <c r="F166" s="57">
        <v>256</v>
      </c>
      <c r="G166" s="22">
        <f t="shared" si="5"/>
        <v>4.4999999999999998E-2</v>
      </c>
    </row>
    <row r="167" spans="4:7" x14ac:dyDescent="0.25">
      <c r="D167" s="8">
        <f t="shared" ca="1" si="4"/>
        <v>41502</v>
      </c>
      <c r="E167" s="4" t="s">
        <v>850</v>
      </c>
      <c r="F167" s="57">
        <v>490</v>
      </c>
      <c r="G167" s="22" t="e">
        <f t="shared" si="5"/>
        <v>#N/A</v>
      </c>
    </row>
    <row r="168" spans="4:7" x14ac:dyDescent="0.25">
      <c r="D168" s="8">
        <f t="shared" ca="1" si="4"/>
        <v>41546</v>
      </c>
      <c r="E168" s="4" t="s">
        <v>919</v>
      </c>
      <c r="F168" s="57">
        <v>486</v>
      </c>
      <c r="G168" s="22" t="e">
        <f t="shared" si="5"/>
        <v>#N/A</v>
      </c>
    </row>
    <row r="169" spans="4:7" x14ac:dyDescent="0.25">
      <c r="D169" s="8">
        <f t="shared" ca="1" si="4"/>
        <v>41551</v>
      </c>
      <c r="E169" s="4" t="s">
        <v>920</v>
      </c>
      <c r="F169" s="57">
        <v>401</v>
      </c>
      <c r="G169" s="22" t="e">
        <f t="shared" si="5"/>
        <v>#N/A</v>
      </c>
    </row>
    <row r="170" spans="4:7" x14ac:dyDescent="0.25">
      <c r="D170" s="8">
        <f t="shared" ca="1" si="4"/>
        <v>41517</v>
      </c>
      <c r="E170" s="4" t="s">
        <v>837</v>
      </c>
      <c r="F170" s="57">
        <v>754</v>
      </c>
      <c r="G170" s="22" t="e">
        <f t="shared" si="5"/>
        <v>#N/A</v>
      </c>
    </row>
    <row r="171" spans="4:7" x14ac:dyDescent="0.25">
      <c r="D171" s="8">
        <f t="shared" ca="1" si="4"/>
        <v>41521</v>
      </c>
      <c r="E171" s="4" t="s">
        <v>921</v>
      </c>
      <c r="F171" s="57">
        <v>226</v>
      </c>
      <c r="G171" s="22" t="e">
        <f t="shared" si="5"/>
        <v>#N/A</v>
      </c>
    </row>
    <row r="172" spans="4:7" x14ac:dyDescent="0.25">
      <c r="D172" s="8">
        <f t="shared" ca="1" si="4"/>
        <v>41529</v>
      </c>
      <c r="E172" s="4" t="s">
        <v>838</v>
      </c>
      <c r="F172" s="57">
        <v>764</v>
      </c>
      <c r="G172" s="22" t="e">
        <f t="shared" si="5"/>
        <v>#N/A</v>
      </c>
    </row>
    <row r="173" spans="4:7" x14ac:dyDescent="0.25">
      <c r="D173" s="8">
        <f t="shared" ca="1" si="4"/>
        <v>41501</v>
      </c>
      <c r="E173" s="4" t="s">
        <v>849</v>
      </c>
      <c r="F173" s="57">
        <v>722</v>
      </c>
      <c r="G173" s="22" t="e">
        <f t="shared" si="5"/>
        <v>#N/A</v>
      </c>
    </row>
    <row r="174" spans="4:7" x14ac:dyDescent="0.25">
      <c r="D174" s="8">
        <f t="shared" ca="1" si="4"/>
        <v>41524</v>
      </c>
      <c r="E174" s="4" t="s">
        <v>836</v>
      </c>
      <c r="F174" s="57">
        <v>560</v>
      </c>
      <c r="G174" s="22" t="e">
        <f t="shared" si="5"/>
        <v>#N/A</v>
      </c>
    </row>
    <row r="175" spans="4:7" x14ac:dyDescent="0.25">
      <c r="D175" s="8">
        <f t="shared" ca="1" si="4"/>
        <v>41502</v>
      </c>
      <c r="E175" s="4" t="s">
        <v>922</v>
      </c>
      <c r="F175" s="57">
        <v>620</v>
      </c>
      <c r="G175" s="22" t="e">
        <f t="shared" si="5"/>
        <v>#N/A</v>
      </c>
    </row>
    <row r="176" spans="4:7" x14ac:dyDescent="0.25">
      <c r="D176" s="8">
        <f t="shared" ca="1" si="4"/>
        <v>41543</v>
      </c>
      <c r="E176" s="4" t="s">
        <v>896</v>
      </c>
      <c r="F176" s="57">
        <v>480</v>
      </c>
      <c r="G176" s="22" t="e">
        <f t="shared" si="5"/>
        <v>#N/A</v>
      </c>
    </row>
    <row r="177" spans="4:7" x14ac:dyDescent="0.25">
      <c r="D177" s="8">
        <f t="shared" ca="1" si="4"/>
        <v>41500</v>
      </c>
      <c r="E177" s="4" t="s">
        <v>837</v>
      </c>
      <c r="F177" s="57">
        <v>340</v>
      </c>
      <c r="G177" s="22" t="e">
        <f t="shared" si="5"/>
        <v>#N/A</v>
      </c>
    </row>
    <row r="178" spans="4:7" x14ac:dyDescent="0.25">
      <c r="D178" s="8">
        <f t="shared" ca="1" si="4"/>
        <v>41530</v>
      </c>
      <c r="E178" s="4" t="s">
        <v>800</v>
      </c>
      <c r="F178" s="57">
        <v>123</v>
      </c>
      <c r="G178" s="22" t="e">
        <f t="shared" si="5"/>
        <v>#N/A</v>
      </c>
    </row>
    <row r="179" spans="4:7" x14ac:dyDescent="0.25">
      <c r="D179" s="8">
        <f t="shared" ca="1" si="4"/>
        <v>41525</v>
      </c>
      <c r="E179" s="4" t="s">
        <v>862</v>
      </c>
      <c r="F179" s="57">
        <v>286</v>
      </c>
      <c r="G179" s="22" t="e">
        <f t="shared" si="5"/>
        <v>#N/A</v>
      </c>
    </row>
    <row r="180" spans="4:7" x14ac:dyDescent="0.25">
      <c r="D180" s="8">
        <f t="shared" ca="1" si="4"/>
        <v>41510</v>
      </c>
      <c r="E180" s="4" t="s">
        <v>858</v>
      </c>
      <c r="F180" s="57">
        <v>235</v>
      </c>
      <c r="G180" s="22" t="e">
        <f t="shared" si="5"/>
        <v>#N/A</v>
      </c>
    </row>
    <row r="181" spans="4:7" x14ac:dyDescent="0.25">
      <c r="D181" s="8">
        <f t="shared" ca="1" si="4"/>
        <v>41505</v>
      </c>
      <c r="E181" s="4" t="s">
        <v>907</v>
      </c>
      <c r="F181" s="57">
        <v>408</v>
      </c>
      <c r="G181" s="22" t="e">
        <f t="shared" si="5"/>
        <v>#N/A</v>
      </c>
    </row>
    <row r="182" spans="4:7" x14ac:dyDescent="0.25">
      <c r="D182" s="8">
        <f t="shared" ca="1" si="4"/>
        <v>41505</v>
      </c>
      <c r="E182" s="4" t="s">
        <v>881</v>
      </c>
      <c r="F182" s="57">
        <v>764</v>
      </c>
      <c r="G182" s="22" t="e">
        <f t="shared" si="5"/>
        <v>#N/A</v>
      </c>
    </row>
    <row r="183" spans="4:7" x14ac:dyDescent="0.25">
      <c r="D183" s="8">
        <f t="shared" ca="1" si="4"/>
        <v>41512</v>
      </c>
      <c r="E183" s="4" t="s">
        <v>864</v>
      </c>
      <c r="F183" s="57">
        <v>129</v>
      </c>
      <c r="G183" s="22" t="e">
        <f t="shared" si="5"/>
        <v>#N/A</v>
      </c>
    </row>
    <row r="184" spans="4:7" x14ac:dyDescent="0.25">
      <c r="D184" s="8">
        <f t="shared" ca="1" si="4"/>
        <v>41529</v>
      </c>
      <c r="E184" s="4" t="s">
        <v>902</v>
      </c>
      <c r="F184" s="57">
        <v>360</v>
      </c>
      <c r="G184" s="22" t="e">
        <f t="shared" si="5"/>
        <v>#N/A</v>
      </c>
    </row>
    <row r="185" spans="4:7" x14ac:dyDescent="0.25">
      <c r="D185" s="8">
        <f t="shared" ca="1" si="4"/>
        <v>41524</v>
      </c>
      <c r="E185" s="4" t="s">
        <v>883</v>
      </c>
      <c r="F185" s="57">
        <v>662</v>
      </c>
      <c r="G185" s="22" t="e">
        <f t="shared" si="5"/>
        <v>#N/A</v>
      </c>
    </row>
    <row r="186" spans="4:7" x14ac:dyDescent="0.25">
      <c r="D186" s="8">
        <f t="shared" ca="1" si="4"/>
        <v>41507</v>
      </c>
      <c r="E186" s="4" t="s">
        <v>848</v>
      </c>
      <c r="F186" s="57">
        <v>557</v>
      </c>
      <c r="G186" s="22" t="e">
        <f t="shared" si="5"/>
        <v>#N/A</v>
      </c>
    </row>
    <row r="187" spans="4:7" x14ac:dyDescent="0.25">
      <c r="D187" s="8">
        <f t="shared" ca="1" si="4"/>
        <v>41552</v>
      </c>
      <c r="E187" s="4" t="s">
        <v>904</v>
      </c>
      <c r="F187" s="57">
        <v>245</v>
      </c>
      <c r="G187" s="22" t="e">
        <f t="shared" si="5"/>
        <v>#N/A</v>
      </c>
    </row>
    <row r="188" spans="4:7" x14ac:dyDescent="0.25">
      <c r="D188" s="8">
        <f t="shared" ca="1" si="4"/>
        <v>41544</v>
      </c>
      <c r="E188" s="4" t="s">
        <v>893</v>
      </c>
      <c r="F188" s="57">
        <v>257</v>
      </c>
      <c r="G188" s="22" t="e">
        <f t="shared" si="5"/>
        <v>#N/A</v>
      </c>
    </row>
    <row r="189" spans="4:7" x14ac:dyDescent="0.25">
      <c r="D189" s="8">
        <f t="shared" ca="1" si="4"/>
        <v>41544</v>
      </c>
      <c r="E189" s="4" t="s">
        <v>822</v>
      </c>
      <c r="F189" s="57">
        <v>200</v>
      </c>
      <c r="G189" s="22">
        <f t="shared" si="5"/>
        <v>2.8000000000000001E-2</v>
      </c>
    </row>
    <row r="190" spans="4:7" x14ac:dyDescent="0.25">
      <c r="D190" s="8">
        <f t="shared" ca="1" si="4"/>
        <v>41522</v>
      </c>
      <c r="E190" s="4" t="s">
        <v>801</v>
      </c>
      <c r="F190" s="57">
        <v>718</v>
      </c>
      <c r="G190" s="22" t="e">
        <f t="shared" si="5"/>
        <v>#N/A</v>
      </c>
    </row>
    <row r="191" spans="4:7" x14ac:dyDescent="0.25">
      <c r="D191" s="8">
        <f t="shared" ca="1" si="4"/>
        <v>41507</v>
      </c>
      <c r="E191" s="4" t="s">
        <v>882</v>
      </c>
      <c r="F191" s="57">
        <v>770</v>
      </c>
      <c r="G191" s="22" t="e">
        <f t="shared" si="5"/>
        <v>#N/A</v>
      </c>
    </row>
    <row r="192" spans="4:7" x14ac:dyDescent="0.25">
      <c r="D192" s="8">
        <f t="shared" ca="1" si="4"/>
        <v>41526</v>
      </c>
      <c r="E192" s="4" t="s">
        <v>871</v>
      </c>
      <c r="F192" s="57">
        <v>473</v>
      </c>
      <c r="G192" s="22" t="e">
        <f t="shared" si="5"/>
        <v>#N/A</v>
      </c>
    </row>
    <row r="193" spans="4:7" x14ac:dyDescent="0.25">
      <c r="D193" s="8">
        <f t="shared" ca="1" si="4"/>
        <v>41524</v>
      </c>
      <c r="E193" s="4" t="s">
        <v>893</v>
      </c>
      <c r="F193" s="57">
        <v>328</v>
      </c>
      <c r="G193" s="22" t="e">
        <f t="shared" si="5"/>
        <v>#N/A</v>
      </c>
    </row>
    <row r="194" spans="4:7" x14ac:dyDescent="0.25">
      <c r="D194" s="8">
        <f t="shared" ca="1" si="4"/>
        <v>41506</v>
      </c>
      <c r="E194" s="4" t="s">
        <v>923</v>
      </c>
      <c r="F194" s="57">
        <v>762</v>
      </c>
      <c r="G194" s="22" t="e">
        <f t="shared" si="5"/>
        <v>#N/A</v>
      </c>
    </row>
    <row r="195" spans="4:7" x14ac:dyDescent="0.25">
      <c r="D195" s="8">
        <f t="shared" ca="1" si="4"/>
        <v>41500</v>
      </c>
      <c r="E195" s="4" t="s">
        <v>851</v>
      </c>
      <c r="F195" s="57">
        <v>257</v>
      </c>
      <c r="G195" s="22" t="e">
        <f t="shared" si="5"/>
        <v>#N/A</v>
      </c>
    </row>
    <row r="196" spans="4:7" x14ac:dyDescent="0.25">
      <c r="D196" s="8">
        <f t="shared" ca="1" si="4"/>
        <v>41527</v>
      </c>
      <c r="E196" s="4" t="s">
        <v>918</v>
      </c>
      <c r="F196" s="57">
        <v>516</v>
      </c>
      <c r="G196" s="22" t="e">
        <f t="shared" si="5"/>
        <v>#N/A</v>
      </c>
    </row>
    <row r="197" spans="4:7" x14ac:dyDescent="0.25">
      <c r="D197" s="8">
        <f t="shared" ca="1" si="4"/>
        <v>41555</v>
      </c>
      <c r="E197" s="4" t="s">
        <v>924</v>
      </c>
      <c r="F197" s="57">
        <v>204</v>
      </c>
      <c r="G197" s="22" t="e">
        <f t="shared" si="5"/>
        <v>#N/A</v>
      </c>
    </row>
    <row r="198" spans="4:7" x14ac:dyDescent="0.25">
      <c r="D198" s="8">
        <f t="shared" ref="D198:D222" ca="1" si="6">RANDBETWEEN(41500,41555)</f>
        <v>41538</v>
      </c>
      <c r="E198" s="4" t="s">
        <v>866</v>
      </c>
      <c r="F198" s="57">
        <v>459</v>
      </c>
      <c r="G198" s="22" t="e">
        <f t="shared" ref="G198:G222" si="7">VLOOKUP(E198,$A$5:$B$19,2,0)</f>
        <v>#N/A</v>
      </c>
    </row>
    <row r="199" spans="4:7" x14ac:dyDescent="0.25">
      <c r="D199" s="8">
        <f t="shared" ca="1" si="6"/>
        <v>41532</v>
      </c>
      <c r="E199" s="4" t="s">
        <v>925</v>
      </c>
      <c r="F199" s="57">
        <v>763</v>
      </c>
      <c r="G199" s="22" t="e">
        <f t="shared" si="7"/>
        <v>#N/A</v>
      </c>
    </row>
    <row r="200" spans="4:7" x14ac:dyDescent="0.25">
      <c r="D200" s="8">
        <f t="shared" ca="1" si="6"/>
        <v>41523</v>
      </c>
      <c r="E200" s="4" t="s">
        <v>904</v>
      </c>
      <c r="F200" s="57">
        <v>240</v>
      </c>
      <c r="G200" s="22" t="e">
        <f t="shared" si="7"/>
        <v>#N/A</v>
      </c>
    </row>
    <row r="201" spans="4:7" x14ac:dyDescent="0.25">
      <c r="D201" s="8">
        <f t="shared" ca="1" si="6"/>
        <v>41536</v>
      </c>
      <c r="E201" s="4" t="s">
        <v>800</v>
      </c>
      <c r="F201" s="57">
        <v>185</v>
      </c>
      <c r="G201" s="22" t="e">
        <f t="shared" si="7"/>
        <v>#N/A</v>
      </c>
    </row>
    <row r="202" spans="4:7" x14ac:dyDescent="0.25">
      <c r="D202" s="8">
        <f t="shared" ca="1" si="6"/>
        <v>41506</v>
      </c>
      <c r="E202" s="4" t="s">
        <v>921</v>
      </c>
      <c r="F202" s="57">
        <v>622</v>
      </c>
      <c r="G202" s="22" t="e">
        <f t="shared" si="7"/>
        <v>#N/A</v>
      </c>
    </row>
    <row r="203" spans="4:7" x14ac:dyDescent="0.25">
      <c r="D203" s="8">
        <f t="shared" ca="1" si="6"/>
        <v>41545</v>
      </c>
      <c r="E203" s="4" t="s">
        <v>887</v>
      </c>
      <c r="F203" s="57">
        <v>449</v>
      </c>
      <c r="G203" s="22" t="e">
        <f t="shared" si="7"/>
        <v>#N/A</v>
      </c>
    </row>
    <row r="204" spans="4:7" x14ac:dyDescent="0.25">
      <c r="D204" s="8">
        <f t="shared" ca="1" si="6"/>
        <v>41525</v>
      </c>
      <c r="E204" s="4" t="s">
        <v>900</v>
      </c>
      <c r="F204" s="57">
        <v>696</v>
      </c>
      <c r="G204" s="22" t="e">
        <f t="shared" si="7"/>
        <v>#N/A</v>
      </c>
    </row>
    <row r="205" spans="4:7" x14ac:dyDescent="0.25">
      <c r="D205" s="8">
        <f t="shared" ca="1" si="6"/>
        <v>41548</v>
      </c>
      <c r="E205" s="4" t="s">
        <v>840</v>
      </c>
      <c r="F205" s="57">
        <v>205</v>
      </c>
      <c r="G205" s="22" t="e">
        <f t="shared" si="7"/>
        <v>#N/A</v>
      </c>
    </row>
    <row r="206" spans="4:7" x14ac:dyDescent="0.25">
      <c r="D206" s="8">
        <f t="shared" ca="1" si="6"/>
        <v>41519</v>
      </c>
      <c r="E206" s="4" t="s">
        <v>926</v>
      </c>
      <c r="F206" s="57">
        <v>128</v>
      </c>
      <c r="G206" s="22" t="e">
        <f t="shared" si="7"/>
        <v>#N/A</v>
      </c>
    </row>
    <row r="207" spans="4:7" x14ac:dyDescent="0.25">
      <c r="D207" s="8">
        <f t="shared" ca="1" si="6"/>
        <v>41512</v>
      </c>
      <c r="E207" s="4" t="s">
        <v>816</v>
      </c>
      <c r="F207" s="57">
        <v>617</v>
      </c>
      <c r="G207" s="22">
        <f t="shared" si="7"/>
        <v>5.6000000000000001E-2</v>
      </c>
    </row>
    <row r="208" spans="4:7" x14ac:dyDescent="0.25">
      <c r="D208" s="8">
        <f t="shared" ca="1" si="6"/>
        <v>41540</v>
      </c>
      <c r="E208" s="4" t="s">
        <v>822</v>
      </c>
      <c r="F208" s="57">
        <v>141</v>
      </c>
      <c r="G208" s="22">
        <f t="shared" si="7"/>
        <v>2.8000000000000001E-2</v>
      </c>
    </row>
    <row r="209" spans="4:7" x14ac:dyDescent="0.25">
      <c r="D209" s="8">
        <f t="shared" ca="1" si="6"/>
        <v>41540</v>
      </c>
      <c r="E209" s="4" t="s">
        <v>927</v>
      </c>
      <c r="F209" s="57">
        <v>486</v>
      </c>
      <c r="G209" s="22" t="e">
        <f t="shared" si="7"/>
        <v>#N/A</v>
      </c>
    </row>
    <row r="210" spans="4:7" x14ac:dyDescent="0.25">
      <c r="D210" s="8">
        <f t="shared" ca="1" si="6"/>
        <v>41512</v>
      </c>
      <c r="E210" s="4" t="s">
        <v>928</v>
      </c>
      <c r="F210" s="57">
        <v>504</v>
      </c>
      <c r="G210" s="22" t="e">
        <f t="shared" si="7"/>
        <v>#N/A</v>
      </c>
    </row>
    <row r="211" spans="4:7" x14ac:dyDescent="0.25">
      <c r="D211" s="8">
        <f t="shared" ca="1" si="6"/>
        <v>41505</v>
      </c>
      <c r="E211" s="4" t="s">
        <v>878</v>
      </c>
      <c r="F211" s="57">
        <v>671</v>
      </c>
      <c r="G211" s="22" t="e">
        <f t="shared" si="7"/>
        <v>#N/A</v>
      </c>
    </row>
    <row r="212" spans="4:7" x14ac:dyDescent="0.25">
      <c r="D212" s="8">
        <f t="shared" ca="1" si="6"/>
        <v>41519</v>
      </c>
      <c r="E212" s="4" t="s">
        <v>920</v>
      </c>
      <c r="F212" s="57">
        <v>122</v>
      </c>
      <c r="G212" s="22" t="e">
        <f t="shared" si="7"/>
        <v>#N/A</v>
      </c>
    </row>
    <row r="213" spans="4:7" x14ac:dyDescent="0.25">
      <c r="D213" s="8">
        <f t="shared" ca="1" si="6"/>
        <v>41531</v>
      </c>
      <c r="E213" s="4" t="s">
        <v>917</v>
      </c>
      <c r="F213" s="57">
        <v>799</v>
      </c>
      <c r="G213" s="22" t="e">
        <f t="shared" si="7"/>
        <v>#N/A</v>
      </c>
    </row>
    <row r="214" spans="4:7" x14ac:dyDescent="0.25">
      <c r="D214" s="8">
        <f t="shared" ca="1" si="6"/>
        <v>41502</v>
      </c>
      <c r="E214" s="4" t="s">
        <v>929</v>
      </c>
      <c r="F214" s="57">
        <v>495</v>
      </c>
      <c r="G214" s="22" t="e">
        <f t="shared" si="7"/>
        <v>#N/A</v>
      </c>
    </row>
    <row r="215" spans="4:7" x14ac:dyDescent="0.25">
      <c r="D215" s="8">
        <f t="shared" ca="1" si="6"/>
        <v>41522</v>
      </c>
      <c r="E215" s="4" t="s">
        <v>867</v>
      </c>
      <c r="F215" s="57">
        <v>325</v>
      </c>
      <c r="G215" s="22" t="e">
        <f t="shared" si="7"/>
        <v>#N/A</v>
      </c>
    </row>
    <row r="216" spans="4:7" x14ac:dyDescent="0.25">
      <c r="D216" s="8">
        <f t="shared" ca="1" si="6"/>
        <v>41509</v>
      </c>
      <c r="E216" s="4" t="s">
        <v>930</v>
      </c>
      <c r="F216" s="57">
        <v>543</v>
      </c>
      <c r="G216" s="22" t="e">
        <f t="shared" si="7"/>
        <v>#N/A</v>
      </c>
    </row>
    <row r="217" spans="4:7" x14ac:dyDescent="0.25">
      <c r="D217" s="8">
        <f t="shared" ca="1" si="6"/>
        <v>41550</v>
      </c>
      <c r="E217" s="4" t="s">
        <v>820</v>
      </c>
      <c r="F217" s="57">
        <v>597</v>
      </c>
      <c r="G217" s="22">
        <f t="shared" si="7"/>
        <v>3.6999999999999998E-2</v>
      </c>
    </row>
    <row r="218" spans="4:7" x14ac:dyDescent="0.25">
      <c r="D218" s="8">
        <f t="shared" ca="1" si="6"/>
        <v>41526</v>
      </c>
      <c r="E218" s="4" t="s">
        <v>931</v>
      </c>
      <c r="F218" s="57">
        <v>552</v>
      </c>
      <c r="G218" s="22" t="e">
        <f t="shared" si="7"/>
        <v>#N/A</v>
      </c>
    </row>
    <row r="219" spans="4:7" x14ac:dyDescent="0.25">
      <c r="D219" s="8">
        <f t="shared" ca="1" si="6"/>
        <v>41528</v>
      </c>
      <c r="E219" s="4" t="s">
        <v>876</v>
      </c>
      <c r="F219" s="57">
        <v>722</v>
      </c>
      <c r="G219" s="22" t="e">
        <f t="shared" si="7"/>
        <v>#N/A</v>
      </c>
    </row>
    <row r="220" spans="4:7" x14ac:dyDescent="0.25">
      <c r="D220" s="8">
        <f t="shared" ca="1" si="6"/>
        <v>41543</v>
      </c>
      <c r="E220" s="4" t="s">
        <v>801</v>
      </c>
      <c r="F220" s="57">
        <v>674</v>
      </c>
      <c r="G220" s="22" t="e">
        <f t="shared" si="7"/>
        <v>#N/A</v>
      </c>
    </row>
    <row r="221" spans="4:7" x14ac:dyDescent="0.25">
      <c r="D221" s="8">
        <f t="shared" ca="1" si="6"/>
        <v>41536</v>
      </c>
      <c r="E221" s="4" t="s">
        <v>919</v>
      </c>
      <c r="F221" s="57">
        <v>547</v>
      </c>
      <c r="G221" s="22" t="e">
        <f t="shared" si="7"/>
        <v>#N/A</v>
      </c>
    </row>
    <row r="222" spans="4:7" x14ac:dyDescent="0.25">
      <c r="D222" s="8">
        <f t="shared" ca="1" si="6"/>
        <v>41527</v>
      </c>
      <c r="E222" s="4" t="s">
        <v>932</v>
      </c>
      <c r="F222" s="57">
        <v>162</v>
      </c>
      <c r="G222" s="22" t="e">
        <f t="shared" si="7"/>
        <v>#N/A</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V222"/>
  <sheetViews>
    <sheetView workbookViewId="0">
      <selection activeCell="G5" sqref="G5"/>
    </sheetView>
  </sheetViews>
  <sheetFormatPr defaultRowHeight="15" x14ac:dyDescent="0.25"/>
  <cols>
    <col min="1" max="1" width="16.42578125" bestFit="1" customWidth="1"/>
    <col min="2" max="2" width="16" customWidth="1"/>
    <col min="4" max="4" width="9.7109375" bestFit="1" customWidth="1"/>
    <col min="5" max="5" width="17.42578125" bestFit="1" customWidth="1"/>
    <col min="7" max="7" width="19.42578125" customWidth="1"/>
    <col min="8" max="8" width="1" customWidth="1"/>
    <col min="9" max="9" width="5.28515625" customWidth="1"/>
    <col min="10" max="10" width="1" customWidth="1"/>
    <col min="11" max="11" width="9.7109375" bestFit="1" customWidth="1"/>
    <col min="12" max="12" width="17.85546875" bestFit="1" customWidth="1"/>
    <col min="13" max="13" width="8.28515625" bestFit="1" customWidth="1"/>
    <col min="14" max="14" width="9" bestFit="1" customWidth="1"/>
    <col min="15" max="15" width="16.42578125" bestFit="1" customWidth="1"/>
  </cols>
  <sheetData>
    <row r="1" spans="1:22" x14ac:dyDescent="0.25">
      <c r="V1" t="str">
        <f ca="1">INDEX($A$5:$A$19,RANDBETWEEN(1,COUNTA($A$5:$A$19)))&amp;REPT(" ",RANDBETWEEN(0,2))</f>
        <v xml:space="preserve">Bradley Hodges  </v>
      </c>
    </row>
    <row r="3" spans="1:22" x14ac:dyDescent="0.25">
      <c r="A3" t="s">
        <v>831</v>
      </c>
      <c r="D3" t="s">
        <v>832</v>
      </c>
      <c r="K3" t="s">
        <v>832</v>
      </c>
    </row>
    <row r="4" spans="1:22" ht="45" x14ac:dyDescent="0.25">
      <c r="A4" s="11" t="s">
        <v>834</v>
      </c>
      <c r="B4" s="11" t="s">
        <v>810</v>
      </c>
      <c r="D4" s="5" t="s">
        <v>42</v>
      </c>
      <c r="E4" s="5" t="s">
        <v>833</v>
      </c>
      <c r="F4" s="5" t="s">
        <v>93</v>
      </c>
      <c r="G4" s="67" t="s">
        <v>835</v>
      </c>
      <c r="K4" s="5" t="s">
        <v>42</v>
      </c>
      <c r="L4" s="5" t="s">
        <v>833</v>
      </c>
      <c r="M4" s="5" t="s">
        <v>93</v>
      </c>
      <c r="N4" s="67" t="s">
        <v>835</v>
      </c>
      <c r="O4" s="67" t="s">
        <v>835</v>
      </c>
    </row>
    <row r="5" spans="1:22" x14ac:dyDescent="0.25">
      <c r="A5" s="4" t="s">
        <v>794</v>
      </c>
      <c r="B5" s="62">
        <v>5.2999999999999999E-2</v>
      </c>
      <c r="D5" s="8">
        <f ca="1">RANDBETWEEN(41500,41555)</f>
        <v>41542</v>
      </c>
      <c r="E5" s="4" t="s">
        <v>861</v>
      </c>
      <c r="F5" s="57">
        <v>604</v>
      </c>
      <c r="G5" s="22">
        <f>VLOOKUP(TRIM(E5),$A$5:$B$19,2,0)</f>
        <v>0.01</v>
      </c>
      <c r="I5" s="66" t="s">
        <v>829</v>
      </c>
      <c r="K5" s="8">
        <f ca="1">RANDBETWEEN(41500,41555)</f>
        <v>41537</v>
      </c>
      <c r="L5" s="4" t="s">
        <v>861</v>
      </c>
      <c r="M5" s="57">
        <v>604</v>
      </c>
      <c r="N5" s="22">
        <f>VLOOKUP(O5,$A$5:$B$19,2,0)</f>
        <v>0.01</v>
      </c>
      <c r="O5" s="22" t="str">
        <f>TRIM(L5)</f>
        <v>Diana Holt</v>
      </c>
    </row>
    <row r="6" spans="1:22" x14ac:dyDescent="0.25">
      <c r="A6" s="4" t="s">
        <v>811</v>
      </c>
      <c r="B6" s="62">
        <v>3.1E-2</v>
      </c>
      <c r="D6" s="8">
        <f t="shared" ref="D6:D69" ca="1" si="0">RANDBETWEEN(41500,41555)</f>
        <v>41510</v>
      </c>
      <c r="E6" s="4" t="s">
        <v>862</v>
      </c>
      <c r="F6" s="57">
        <v>773</v>
      </c>
      <c r="G6" s="22">
        <f t="shared" ref="G6:G69" si="1">VLOOKUP(TRIM(E6),$A$5:$B$19,2,0)</f>
        <v>5.6000000000000001E-2</v>
      </c>
      <c r="K6" s="8">
        <f t="shared" ref="K6:K69" ca="1" si="2">RANDBETWEEN(41500,41555)</f>
        <v>41524</v>
      </c>
      <c r="L6" s="4" t="s">
        <v>862</v>
      </c>
      <c r="M6" s="57">
        <v>773</v>
      </c>
      <c r="N6" s="22">
        <f t="shared" ref="N6:N69" si="3">VLOOKUP(O6,$A$5:$B$19,2,0)</f>
        <v>5.6000000000000001E-2</v>
      </c>
      <c r="O6" s="22" t="str">
        <f t="shared" ref="O6:O69" si="4">TRIM(L6)</f>
        <v>Ray Silva</v>
      </c>
    </row>
    <row r="7" spans="1:22" x14ac:dyDescent="0.25">
      <c r="A7" s="4" t="s">
        <v>812</v>
      </c>
      <c r="B7" s="62">
        <v>1.4E-2</v>
      </c>
      <c r="D7" s="8">
        <f t="shared" ca="1" si="0"/>
        <v>41534</v>
      </c>
      <c r="E7" s="4" t="s">
        <v>863</v>
      </c>
      <c r="F7" s="57">
        <v>742</v>
      </c>
      <c r="G7" s="22">
        <f t="shared" si="1"/>
        <v>3.6999999999999998E-2</v>
      </c>
      <c r="K7" s="8">
        <f t="shared" ca="1" si="2"/>
        <v>41531</v>
      </c>
      <c r="L7" s="4" t="s">
        <v>863</v>
      </c>
      <c r="M7" s="57">
        <v>742</v>
      </c>
      <c r="N7" s="22">
        <f t="shared" si="3"/>
        <v>3.6999999999999998E-2</v>
      </c>
      <c r="O7" s="22" t="str">
        <f t="shared" si="4"/>
        <v>Beulah Howell</v>
      </c>
    </row>
    <row r="8" spans="1:22" x14ac:dyDescent="0.25">
      <c r="A8" s="4" t="s">
        <v>813</v>
      </c>
      <c r="B8" s="62">
        <v>4.4999999999999998E-2</v>
      </c>
      <c r="D8" s="8">
        <f t="shared" ca="1" si="0"/>
        <v>41552</v>
      </c>
      <c r="E8" s="4" t="s">
        <v>849</v>
      </c>
      <c r="F8" s="57">
        <v>234</v>
      </c>
      <c r="G8" s="22">
        <f t="shared" si="1"/>
        <v>1.7000000000000001E-2</v>
      </c>
      <c r="K8" s="8">
        <f t="shared" ca="1" si="2"/>
        <v>41513</v>
      </c>
      <c r="L8" s="4" t="s">
        <v>849</v>
      </c>
      <c r="M8" s="57">
        <v>234</v>
      </c>
      <c r="N8" s="22">
        <f t="shared" si="3"/>
        <v>1.7000000000000001E-2</v>
      </c>
      <c r="O8" s="22" t="str">
        <f t="shared" si="4"/>
        <v>Roderick White</v>
      </c>
    </row>
    <row r="9" spans="1:22" x14ac:dyDescent="0.25">
      <c r="A9" s="4" t="s">
        <v>814</v>
      </c>
      <c r="B9" s="62">
        <v>4.2000000000000003E-2</v>
      </c>
      <c r="D9" s="8">
        <f t="shared" ca="1" si="0"/>
        <v>41535</v>
      </c>
      <c r="E9" s="4" t="s">
        <v>864</v>
      </c>
      <c r="F9" s="57">
        <v>648</v>
      </c>
      <c r="G9" s="22">
        <f t="shared" si="1"/>
        <v>0.01</v>
      </c>
      <c r="K9" s="8">
        <f t="shared" ca="1" si="2"/>
        <v>41508</v>
      </c>
      <c r="L9" s="4" t="s">
        <v>864</v>
      </c>
      <c r="M9" s="57">
        <v>648</v>
      </c>
      <c r="N9" s="22">
        <f t="shared" si="3"/>
        <v>0.01</v>
      </c>
      <c r="O9" s="22" t="str">
        <f t="shared" si="4"/>
        <v>Diana Holt</v>
      </c>
    </row>
    <row r="10" spans="1:22" x14ac:dyDescent="0.25">
      <c r="A10" s="4" t="s">
        <v>815</v>
      </c>
      <c r="B10" s="62">
        <v>0.02</v>
      </c>
      <c r="D10" s="8">
        <f t="shared" ca="1" si="0"/>
        <v>41518</v>
      </c>
      <c r="E10" s="4" t="s">
        <v>865</v>
      </c>
      <c r="F10" s="57">
        <v>361</v>
      </c>
      <c r="G10" s="22">
        <f t="shared" si="1"/>
        <v>1.7000000000000001E-2</v>
      </c>
      <c r="K10" s="8">
        <f t="shared" ca="1" si="2"/>
        <v>41535</v>
      </c>
      <c r="L10" s="4" t="s">
        <v>865</v>
      </c>
      <c r="M10" s="57">
        <v>361</v>
      </c>
      <c r="N10" s="22">
        <f t="shared" si="3"/>
        <v>1.7000000000000001E-2</v>
      </c>
      <c r="O10" s="22" t="str">
        <f t="shared" si="4"/>
        <v>Roderick White</v>
      </c>
    </row>
    <row r="11" spans="1:22" x14ac:dyDescent="0.25">
      <c r="A11" s="4" t="s">
        <v>816</v>
      </c>
      <c r="B11" s="62">
        <v>5.6000000000000001E-2</v>
      </c>
      <c r="D11" s="8">
        <f t="shared" ca="1" si="0"/>
        <v>41509</v>
      </c>
      <c r="E11" s="4" t="s">
        <v>866</v>
      </c>
      <c r="F11" s="57">
        <v>749</v>
      </c>
      <c r="G11" s="22">
        <f t="shared" si="1"/>
        <v>2.8000000000000001E-2</v>
      </c>
      <c r="K11" s="8">
        <f t="shared" ca="1" si="2"/>
        <v>41529</v>
      </c>
      <c r="L11" s="4" t="s">
        <v>866</v>
      </c>
      <c r="M11" s="57">
        <v>749</v>
      </c>
      <c r="N11" s="22">
        <f t="shared" si="3"/>
        <v>2.8000000000000001E-2</v>
      </c>
      <c r="O11" s="22" t="str">
        <f t="shared" si="4"/>
        <v>Roger Henderson</v>
      </c>
    </row>
    <row r="12" spans="1:22" x14ac:dyDescent="0.25">
      <c r="A12" s="4" t="s">
        <v>817</v>
      </c>
      <c r="B12" s="62">
        <v>1.7000000000000001E-2</v>
      </c>
      <c r="D12" s="8">
        <f t="shared" ca="1" si="0"/>
        <v>41513</v>
      </c>
      <c r="E12" s="4" t="s">
        <v>815</v>
      </c>
      <c r="F12" s="57">
        <v>491</v>
      </c>
      <c r="G12" s="22">
        <f t="shared" si="1"/>
        <v>0.02</v>
      </c>
      <c r="K12" s="8">
        <f t="shared" ca="1" si="2"/>
        <v>41534</v>
      </c>
      <c r="L12" s="4" t="s">
        <v>815</v>
      </c>
      <c r="M12" s="57">
        <v>491</v>
      </c>
      <c r="N12" s="22">
        <f t="shared" si="3"/>
        <v>0.02</v>
      </c>
      <c r="O12" s="22" t="str">
        <f t="shared" si="4"/>
        <v>Bradley Hodges</v>
      </c>
    </row>
    <row r="13" spans="1:22" x14ac:dyDescent="0.25">
      <c r="A13" s="4" t="s">
        <v>818</v>
      </c>
      <c r="B13" s="62">
        <v>0.01</v>
      </c>
      <c r="D13" s="8">
        <f t="shared" ca="1" si="0"/>
        <v>41520</v>
      </c>
      <c r="E13" s="4" t="s">
        <v>867</v>
      </c>
      <c r="F13" s="57">
        <v>594</v>
      </c>
      <c r="G13" s="22">
        <f t="shared" si="1"/>
        <v>0.01</v>
      </c>
      <c r="K13" s="8">
        <f t="shared" ca="1" si="2"/>
        <v>41551</v>
      </c>
      <c r="L13" s="4" t="s">
        <v>867</v>
      </c>
      <c r="M13" s="57">
        <v>594</v>
      </c>
      <c r="N13" s="22">
        <f t="shared" si="3"/>
        <v>0.01</v>
      </c>
      <c r="O13" s="22" t="str">
        <f t="shared" si="4"/>
        <v>Nathan Nguyen</v>
      </c>
    </row>
    <row r="14" spans="1:22" x14ac:dyDescent="0.25">
      <c r="A14" s="4" t="s">
        <v>819</v>
      </c>
      <c r="B14" s="62">
        <v>0.04</v>
      </c>
      <c r="D14" s="8">
        <f t="shared" ca="1" si="0"/>
        <v>41521</v>
      </c>
      <c r="E14" s="4" t="s">
        <v>861</v>
      </c>
      <c r="F14" s="57">
        <v>583</v>
      </c>
      <c r="G14" s="22">
        <f t="shared" si="1"/>
        <v>0.01</v>
      </c>
      <c r="K14" s="8">
        <f t="shared" ca="1" si="2"/>
        <v>41535</v>
      </c>
      <c r="L14" s="4" t="s">
        <v>861</v>
      </c>
      <c r="M14" s="57">
        <v>583</v>
      </c>
      <c r="N14" s="22">
        <f t="shared" si="3"/>
        <v>0.01</v>
      </c>
      <c r="O14" s="22" t="str">
        <f t="shared" si="4"/>
        <v>Diana Holt</v>
      </c>
    </row>
    <row r="15" spans="1:22" x14ac:dyDescent="0.25">
      <c r="A15" s="4" t="s">
        <v>820</v>
      </c>
      <c r="B15" s="62">
        <v>3.6999999999999998E-2</v>
      </c>
      <c r="D15" s="8">
        <f t="shared" ca="1" si="0"/>
        <v>41517</v>
      </c>
      <c r="E15" s="4" t="s">
        <v>867</v>
      </c>
      <c r="F15" s="57">
        <v>222</v>
      </c>
      <c r="G15" s="22">
        <f t="shared" si="1"/>
        <v>0.01</v>
      </c>
      <c r="K15" s="8">
        <f t="shared" ca="1" si="2"/>
        <v>41509</v>
      </c>
      <c r="L15" s="4" t="s">
        <v>867</v>
      </c>
      <c r="M15" s="57">
        <v>222</v>
      </c>
      <c r="N15" s="22">
        <f t="shared" si="3"/>
        <v>0.01</v>
      </c>
      <c r="O15" s="22" t="str">
        <f t="shared" si="4"/>
        <v>Nathan Nguyen</v>
      </c>
    </row>
    <row r="16" spans="1:22" x14ac:dyDescent="0.25">
      <c r="A16" s="4" t="s">
        <v>821</v>
      </c>
      <c r="B16" s="62">
        <v>0.06</v>
      </c>
      <c r="D16" s="8">
        <f t="shared" ca="1" si="0"/>
        <v>41549</v>
      </c>
      <c r="E16" s="4" t="s">
        <v>837</v>
      </c>
      <c r="F16" s="57">
        <v>374</v>
      </c>
      <c r="G16" s="22">
        <f t="shared" si="1"/>
        <v>0.04</v>
      </c>
      <c r="K16" s="8">
        <f t="shared" ca="1" si="2"/>
        <v>41518</v>
      </c>
      <c r="L16" s="4" t="s">
        <v>837</v>
      </c>
      <c r="M16" s="57">
        <v>374</v>
      </c>
      <c r="N16" s="22">
        <f t="shared" si="3"/>
        <v>0.04</v>
      </c>
      <c r="O16" s="22" t="str">
        <f t="shared" si="4"/>
        <v>Pat Anderson</v>
      </c>
    </row>
    <row r="17" spans="1:15" x14ac:dyDescent="0.25">
      <c r="A17" s="4" t="s">
        <v>822</v>
      </c>
      <c r="B17" s="62">
        <v>2.8000000000000001E-2</v>
      </c>
      <c r="D17" s="8">
        <f t="shared" ca="1" si="0"/>
        <v>41530</v>
      </c>
      <c r="E17" s="4" t="s">
        <v>827</v>
      </c>
      <c r="F17" s="57">
        <v>486</v>
      </c>
      <c r="G17" s="22">
        <f t="shared" si="1"/>
        <v>5.2999999999999999E-2</v>
      </c>
      <c r="K17" s="8">
        <f t="shared" ca="1" si="2"/>
        <v>41534</v>
      </c>
      <c r="L17" s="4" t="s">
        <v>827</v>
      </c>
      <c r="M17" s="57">
        <v>486</v>
      </c>
      <c r="N17" s="22">
        <f t="shared" si="3"/>
        <v>5.2999999999999999E-2</v>
      </c>
      <c r="O17" s="22" t="str">
        <f t="shared" si="4"/>
        <v>Darin Jenkins</v>
      </c>
    </row>
    <row r="18" spans="1:15" x14ac:dyDescent="0.25">
      <c r="A18" s="4" t="s">
        <v>823</v>
      </c>
      <c r="B18" s="62">
        <v>4.2999999999999997E-2</v>
      </c>
      <c r="D18" s="8">
        <f t="shared" ca="1" si="0"/>
        <v>41521</v>
      </c>
      <c r="E18" s="4" t="s">
        <v>868</v>
      </c>
      <c r="F18" s="57">
        <v>684</v>
      </c>
      <c r="G18" s="22">
        <f t="shared" si="1"/>
        <v>1.4E-2</v>
      </c>
      <c r="K18" s="8">
        <f t="shared" ca="1" si="2"/>
        <v>41554</v>
      </c>
      <c r="L18" s="4" t="s">
        <v>868</v>
      </c>
      <c r="M18" s="57">
        <v>684</v>
      </c>
      <c r="N18" s="22">
        <f t="shared" si="3"/>
        <v>1.4E-2</v>
      </c>
      <c r="O18" s="22" t="str">
        <f t="shared" si="4"/>
        <v>Lois Luna</v>
      </c>
    </row>
    <row r="19" spans="1:15" x14ac:dyDescent="0.25">
      <c r="A19" s="4" t="s">
        <v>824</v>
      </c>
      <c r="B19" s="62">
        <v>0.01</v>
      </c>
      <c r="D19" s="8">
        <f t="shared" ca="1" si="0"/>
        <v>41502</v>
      </c>
      <c r="E19" s="4" t="s">
        <v>869</v>
      </c>
      <c r="F19" s="57">
        <v>401</v>
      </c>
      <c r="G19" s="22">
        <f t="shared" si="1"/>
        <v>2.8000000000000001E-2</v>
      </c>
      <c r="K19" s="8">
        <f t="shared" ca="1" si="2"/>
        <v>41521</v>
      </c>
      <c r="L19" s="4" t="s">
        <v>869</v>
      </c>
      <c r="M19" s="57">
        <v>401</v>
      </c>
      <c r="N19" s="22">
        <f t="shared" si="3"/>
        <v>2.8000000000000001E-2</v>
      </c>
      <c r="O19" s="22" t="str">
        <f t="shared" si="4"/>
        <v>Roger Henderson</v>
      </c>
    </row>
    <row r="20" spans="1:15" x14ac:dyDescent="0.25">
      <c r="D20" s="8">
        <f t="shared" ca="1" si="0"/>
        <v>41543</v>
      </c>
      <c r="E20" s="4" t="s">
        <v>870</v>
      </c>
      <c r="F20" s="57">
        <v>257</v>
      </c>
      <c r="G20" s="22">
        <f t="shared" si="1"/>
        <v>0.06</v>
      </c>
      <c r="K20" s="8">
        <f t="shared" ca="1" si="2"/>
        <v>41503</v>
      </c>
      <c r="L20" s="4" t="s">
        <v>870</v>
      </c>
      <c r="M20" s="57">
        <v>257</v>
      </c>
      <c r="N20" s="22">
        <f t="shared" si="3"/>
        <v>0.06</v>
      </c>
      <c r="O20" s="22" t="str">
        <f t="shared" si="4"/>
        <v>Krystal Hubbard</v>
      </c>
    </row>
    <row r="21" spans="1:15" x14ac:dyDescent="0.25">
      <c r="D21" s="8">
        <f t="shared" ca="1" si="0"/>
        <v>41547</v>
      </c>
      <c r="E21" s="4" t="s">
        <v>852</v>
      </c>
      <c r="F21" s="57">
        <v>102</v>
      </c>
      <c r="G21" s="22">
        <f t="shared" si="1"/>
        <v>4.2000000000000003E-2</v>
      </c>
      <c r="K21" s="8">
        <f t="shared" ca="1" si="2"/>
        <v>41532</v>
      </c>
      <c r="L21" s="4" t="s">
        <v>852</v>
      </c>
      <c r="M21" s="57">
        <v>102</v>
      </c>
      <c r="N21" s="22">
        <f t="shared" si="3"/>
        <v>4.2000000000000003E-2</v>
      </c>
      <c r="O21" s="22" t="str">
        <f t="shared" si="4"/>
        <v>Kelly Fowler</v>
      </c>
    </row>
    <row r="22" spans="1:15" x14ac:dyDescent="0.25">
      <c r="D22" s="8">
        <f t="shared" ca="1" si="0"/>
        <v>41531</v>
      </c>
      <c r="E22" s="4" t="s">
        <v>871</v>
      </c>
      <c r="F22" s="57">
        <v>556</v>
      </c>
      <c r="G22" s="22">
        <f t="shared" si="1"/>
        <v>0.04</v>
      </c>
      <c r="K22" s="8">
        <f t="shared" ca="1" si="2"/>
        <v>41532</v>
      </c>
      <c r="L22" s="4" t="s">
        <v>871</v>
      </c>
      <c r="M22" s="57">
        <v>556</v>
      </c>
      <c r="N22" s="22">
        <f t="shared" si="3"/>
        <v>0.04</v>
      </c>
      <c r="O22" s="22" t="str">
        <f t="shared" si="4"/>
        <v>Pat Anderson</v>
      </c>
    </row>
    <row r="23" spans="1:15" x14ac:dyDescent="0.25">
      <c r="D23" s="8">
        <f t="shared" ca="1" si="0"/>
        <v>41539</v>
      </c>
      <c r="E23" s="4" t="s">
        <v>872</v>
      </c>
      <c r="F23" s="57">
        <v>753</v>
      </c>
      <c r="G23" s="22">
        <f t="shared" si="1"/>
        <v>5.2999999999999999E-2</v>
      </c>
      <c r="K23" s="8">
        <f t="shared" ca="1" si="2"/>
        <v>41509</v>
      </c>
      <c r="L23" s="4" t="s">
        <v>872</v>
      </c>
      <c r="M23" s="57">
        <v>753</v>
      </c>
      <c r="N23" s="22">
        <f t="shared" si="3"/>
        <v>5.2999999999999999E-2</v>
      </c>
      <c r="O23" s="22" t="str">
        <f t="shared" si="4"/>
        <v>Darin Jenkins</v>
      </c>
    </row>
    <row r="24" spans="1:15" x14ac:dyDescent="0.25">
      <c r="D24" s="8">
        <f t="shared" ca="1" si="0"/>
        <v>41512</v>
      </c>
      <c r="E24" s="4" t="s">
        <v>873</v>
      </c>
      <c r="F24" s="57">
        <v>214</v>
      </c>
      <c r="G24" s="22">
        <f t="shared" si="1"/>
        <v>1.4E-2</v>
      </c>
      <c r="K24" s="8">
        <f t="shared" ca="1" si="2"/>
        <v>41524</v>
      </c>
      <c r="L24" s="4" t="s">
        <v>873</v>
      </c>
      <c r="M24" s="57">
        <v>214</v>
      </c>
      <c r="N24" s="22">
        <f t="shared" si="3"/>
        <v>1.4E-2</v>
      </c>
      <c r="O24" s="22" t="str">
        <f t="shared" si="4"/>
        <v>Lois Luna</v>
      </c>
    </row>
    <row r="25" spans="1:15" x14ac:dyDescent="0.25">
      <c r="D25" s="8">
        <f t="shared" ca="1" si="0"/>
        <v>41535</v>
      </c>
      <c r="E25" s="4" t="s">
        <v>874</v>
      </c>
      <c r="F25" s="57">
        <v>394</v>
      </c>
      <c r="G25" s="22">
        <f t="shared" si="1"/>
        <v>0.02</v>
      </c>
      <c r="K25" s="8">
        <f t="shared" ca="1" si="2"/>
        <v>41538</v>
      </c>
      <c r="L25" s="4" t="s">
        <v>874</v>
      </c>
      <c r="M25" s="57">
        <v>394</v>
      </c>
      <c r="N25" s="22">
        <f t="shared" si="3"/>
        <v>0.02</v>
      </c>
      <c r="O25" s="22" t="str">
        <f t="shared" si="4"/>
        <v>Bradley Hodges</v>
      </c>
    </row>
    <row r="26" spans="1:15" x14ac:dyDescent="0.25">
      <c r="D26" s="8">
        <f t="shared" ca="1" si="0"/>
        <v>41514</v>
      </c>
      <c r="E26" s="4" t="s">
        <v>875</v>
      </c>
      <c r="F26" s="57">
        <v>379</v>
      </c>
      <c r="G26" s="22">
        <f t="shared" si="1"/>
        <v>5.6000000000000001E-2</v>
      </c>
      <c r="K26" s="8">
        <f t="shared" ca="1" si="2"/>
        <v>41542</v>
      </c>
      <c r="L26" s="4" t="s">
        <v>875</v>
      </c>
      <c r="M26" s="57">
        <v>379</v>
      </c>
      <c r="N26" s="22">
        <f t="shared" si="3"/>
        <v>5.6000000000000001E-2</v>
      </c>
      <c r="O26" s="22" t="str">
        <f t="shared" si="4"/>
        <v>Ray Silva</v>
      </c>
    </row>
    <row r="27" spans="1:15" x14ac:dyDescent="0.25">
      <c r="D27" s="8">
        <f t="shared" ca="1" si="0"/>
        <v>41547</v>
      </c>
      <c r="E27" s="4" t="s">
        <v>836</v>
      </c>
      <c r="F27" s="57">
        <v>425</v>
      </c>
      <c r="G27" s="22">
        <f t="shared" si="1"/>
        <v>0.06</v>
      </c>
      <c r="K27" s="8">
        <f t="shared" ca="1" si="2"/>
        <v>41549</v>
      </c>
      <c r="L27" s="4" t="s">
        <v>836</v>
      </c>
      <c r="M27" s="57">
        <v>425</v>
      </c>
      <c r="N27" s="22">
        <f t="shared" si="3"/>
        <v>0.06</v>
      </c>
      <c r="O27" s="22" t="str">
        <f t="shared" si="4"/>
        <v>Krystal Hubbard</v>
      </c>
    </row>
    <row r="28" spans="1:15" x14ac:dyDescent="0.25">
      <c r="D28" s="8">
        <f t="shared" ca="1" si="0"/>
        <v>41516</v>
      </c>
      <c r="E28" s="4" t="s">
        <v>875</v>
      </c>
      <c r="F28" s="57">
        <v>277</v>
      </c>
      <c r="G28" s="22">
        <f t="shared" si="1"/>
        <v>5.6000000000000001E-2</v>
      </c>
      <c r="K28" s="8">
        <f t="shared" ca="1" si="2"/>
        <v>41513</v>
      </c>
      <c r="L28" s="4" t="s">
        <v>875</v>
      </c>
      <c r="M28" s="57">
        <v>277</v>
      </c>
      <c r="N28" s="22">
        <f t="shared" si="3"/>
        <v>5.6000000000000001E-2</v>
      </c>
      <c r="O28" s="22" t="str">
        <f t="shared" si="4"/>
        <v>Ray Silva</v>
      </c>
    </row>
    <row r="29" spans="1:15" x14ac:dyDescent="0.25">
      <c r="D29" s="8">
        <f t="shared" ca="1" si="0"/>
        <v>41525</v>
      </c>
      <c r="E29" s="4" t="s">
        <v>876</v>
      </c>
      <c r="F29" s="57">
        <v>218</v>
      </c>
      <c r="G29" s="22">
        <f t="shared" si="1"/>
        <v>0.01</v>
      </c>
      <c r="K29" s="8">
        <f t="shared" ca="1" si="2"/>
        <v>41543</v>
      </c>
      <c r="L29" s="4" t="s">
        <v>876</v>
      </c>
      <c r="M29" s="57">
        <v>218</v>
      </c>
      <c r="N29" s="22">
        <f t="shared" si="3"/>
        <v>0.01</v>
      </c>
      <c r="O29" s="22" t="str">
        <f t="shared" si="4"/>
        <v>Nathan Nguyen</v>
      </c>
    </row>
    <row r="30" spans="1:15" x14ac:dyDescent="0.25">
      <c r="D30" s="8">
        <f t="shared" ca="1" si="0"/>
        <v>41554</v>
      </c>
      <c r="E30" s="4" t="s">
        <v>877</v>
      </c>
      <c r="F30" s="57">
        <v>405</v>
      </c>
      <c r="G30" s="22">
        <f t="shared" si="1"/>
        <v>0.04</v>
      </c>
      <c r="K30" s="8">
        <f t="shared" ca="1" si="2"/>
        <v>41546</v>
      </c>
      <c r="L30" s="4" t="s">
        <v>877</v>
      </c>
      <c r="M30" s="57">
        <v>405</v>
      </c>
      <c r="N30" s="22">
        <f t="shared" si="3"/>
        <v>0.04</v>
      </c>
      <c r="O30" s="22" t="str">
        <f t="shared" si="4"/>
        <v>Pat Anderson</v>
      </c>
    </row>
    <row r="31" spans="1:15" x14ac:dyDescent="0.25">
      <c r="D31" s="8">
        <f t="shared" ca="1" si="0"/>
        <v>41547</v>
      </c>
      <c r="E31" s="4" t="s">
        <v>878</v>
      </c>
      <c r="F31" s="57">
        <v>653</v>
      </c>
      <c r="G31" s="22">
        <f t="shared" si="1"/>
        <v>4.4999999999999998E-2</v>
      </c>
      <c r="K31" s="8">
        <f t="shared" ca="1" si="2"/>
        <v>41531</v>
      </c>
      <c r="L31" s="4" t="s">
        <v>878</v>
      </c>
      <c r="M31" s="57">
        <v>653</v>
      </c>
      <c r="N31" s="22">
        <f t="shared" si="3"/>
        <v>4.4999999999999998E-2</v>
      </c>
      <c r="O31" s="22" t="str">
        <f t="shared" si="4"/>
        <v>Gregg Lawson</v>
      </c>
    </row>
    <row r="32" spans="1:15" x14ac:dyDescent="0.25">
      <c r="D32" s="8">
        <f t="shared" ca="1" si="0"/>
        <v>41508</v>
      </c>
      <c r="E32" s="4" t="s">
        <v>866</v>
      </c>
      <c r="F32" s="57">
        <v>546</v>
      </c>
      <c r="G32" s="22">
        <f t="shared" si="1"/>
        <v>2.8000000000000001E-2</v>
      </c>
      <c r="K32" s="8">
        <f t="shared" ca="1" si="2"/>
        <v>41512</v>
      </c>
      <c r="L32" s="4" t="s">
        <v>866</v>
      </c>
      <c r="M32" s="57">
        <v>546</v>
      </c>
      <c r="N32" s="22">
        <f t="shared" si="3"/>
        <v>2.8000000000000001E-2</v>
      </c>
      <c r="O32" s="22" t="str">
        <f t="shared" si="4"/>
        <v>Roger Henderson</v>
      </c>
    </row>
    <row r="33" spans="4:15" x14ac:dyDescent="0.25">
      <c r="D33" s="8">
        <f t="shared" ca="1" si="0"/>
        <v>41513</v>
      </c>
      <c r="E33" s="4" t="s">
        <v>859</v>
      </c>
      <c r="F33" s="57">
        <v>327</v>
      </c>
      <c r="G33" s="22">
        <f t="shared" si="1"/>
        <v>0.02</v>
      </c>
      <c r="K33" s="8">
        <f t="shared" ca="1" si="2"/>
        <v>41512</v>
      </c>
      <c r="L33" s="4" t="s">
        <v>859</v>
      </c>
      <c r="M33" s="57">
        <v>327</v>
      </c>
      <c r="N33" s="22">
        <f t="shared" si="3"/>
        <v>0.02</v>
      </c>
      <c r="O33" s="22" t="str">
        <f t="shared" si="4"/>
        <v>Bradley Hodges</v>
      </c>
    </row>
    <row r="34" spans="4:15" x14ac:dyDescent="0.25">
      <c r="D34" s="8">
        <f t="shared" ca="1" si="0"/>
        <v>41533</v>
      </c>
      <c r="E34" s="4" t="s">
        <v>846</v>
      </c>
      <c r="F34" s="57">
        <v>638</v>
      </c>
      <c r="G34" s="22">
        <f t="shared" si="1"/>
        <v>4.4999999999999998E-2</v>
      </c>
      <c r="K34" s="8">
        <f t="shared" ca="1" si="2"/>
        <v>41549</v>
      </c>
      <c r="L34" s="4" t="s">
        <v>846</v>
      </c>
      <c r="M34" s="57">
        <v>638</v>
      </c>
      <c r="N34" s="22">
        <f t="shared" si="3"/>
        <v>4.4999999999999998E-2</v>
      </c>
      <c r="O34" s="22" t="str">
        <f t="shared" si="4"/>
        <v>Gregg Lawson</v>
      </c>
    </row>
    <row r="35" spans="4:15" x14ac:dyDescent="0.25">
      <c r="D35" s="8">
        <f t="shared" ca="1" si="0"/>
        <v>41504</v>
      </c>
      <c r="E35" s="4" t="s">
        <v>878</v>
      </c>
      <c r="F35" s="57">
        <v>518</v>
      </c>
      <c r="G35" s="22">
        <f t="shared" si="1"/>
        <v>4.4999999999999998E-2</v>
      </c>
      <c r="K35" s="8">
        <f t="shared" ca="1" si="2"/>
        <v>41526</v>
      </c>
      <c r="L35" s="4" t="s">
        <v>878</v>
      </c>
      <c r="M35" s="57">
        <v>518</v>
      </c>
      <c r="N35" s="22">
        <f t="shared" si="3"/>
        <v>4.4999999999999998E-2</v>
      </c>
      <c r="O35" s="22" t="str">
        <f t="shared" si="4"/>
        <v>Gregg Lawson</v>
      </c>
    </row>
    <row r="36" spans="4:15" x14ac:dyDescent="0.25">
      <c r="D36" s="8">
        <f t="shared" ca="1" si="0"/>
        <v>41538</v>
      </c>
      <c r="E36" s="4" t="s">
        <v>879</v>
      </c>
      <c r="F36" s="57">
        <v>176</v>
      </c>
      <c r="G36" s="22">
        <f t="shared" si="1"/>
        <v>5.2999999999999999E-2</v>
      </c>
      <c r="K36" s="8">
        <f t="shared" ca="1" si="2"/>
        <v>41526</v>
      </c>
      <c r="L36" s="4" t="s">
        <v>879</v>
      </c>
      <c r="M36" s="57">
        <v>176</v>
      </c>
      <c r="N36" s="22">
        <f t="shared" si="3"/>
        <v>5.2999999999999999E-2</v>
      </c>
      <c r="O36" s="22" t="str">
        <f t="shared" si="4"/>
        <v>Darin Jenkins</v>
      </c>
    </row>
    <row r="37" spans="4:15" x14ac:dyDescent="0.25">
      <c r="D37" s="8">
        <f t="shared" ca="1" si="0"/>
        <v>41524</v>
      </c>
      <c r="E37" s="4" t="s">
        <v>880</v>
      </c>
      <c r="F37" s="57">
        <v>567</v>
      </c>
      <c r="G37" s="22">
        <f t="shared" si="1"/>
        <v>5.6000000000000001E-2</v>
      </c>
      <c r="K37" s="8">
        <f t="shared" ca="1" si="2"/>
        <v>41532</v>
      </c>
      <c r="L37" s="4" t="s">
        <v>880</v>
      </c>
      <c r="M37" s="57">
        <v>567</v>
      </c>
      <c r="N37" s="22">
        <f t="shared" si="3"/>
        <v>5.6000000000000001E-2</v>
      </c>
      <c r="O37" s="22" t="str">
        <f t="shared" si="4"/>
        <v>Ray Silva</v>
      </c>
    </row>
    <row r="38" spans="4:15" x14ac:dyDescent="0.25">
      <c r="D38" s="8">
        <f t="shared" ca="1" si="0"/>
        <v>41536</v>
      </c>
      <c r="E38" s="4" t="s">
        <v>843</v>
      </c>
      <c r="F38" s="57">
        <v>469</v>
      </c>
      <c r="G38" s="22">
        <f t="shared" si="1"/>
        <v>4.2999999999999997E-2</v>
      </c>
      <c r="K38" s="8">
        <f t="shared" ca="1" si="2"/>
        <v>41501</v>
      </c>
      <c r="L38" s="4" t="s">
        <v>843</v>
      </c>
      <c r="M38" s="57">
        <v>469</v>
      </c>
      <c r="N38" s="22">
        <f t="shared" si="3"/>
        <v>4.2999999999999997E-2</v>
      </c>
      <c r="O38" s="22" t="str">
        <f t="shared" si="4"/>
        <v>Dave Martin</v>
      </c>
    </row>
    <row r="39" spans="4:15" x14ac:dyDescent="0.25">
      <c r="D39" s="8">
        <f t="shared" ca="1" si="0"/>
        <v>41541</v>
      </c>
      <c r="E39" s="4" t="s">
        <v>820</v>
      </c>
      <c r="F39" s="57">
        <v>723</v>
      </c>
      <c r="G39" s="22">
        <f t="shared" si="1"/>
        <v>3.6999999999999998E-2</v>
      </c>
      <c r="K39" s="8">
        <f t="shared" ca="1" si="2"/>
        <v>41543</v>
      </c>
      <c r="L39" s="4" t="s">
        <v>820</v>
      </c>
      <c r="M39" s="57">
        <v>723</v>
      </c>
      <c r="N39" s="22">
        <f t="shared" si="3"/>
        <v>3.6999999999999998E-2</v>
      </c>
      <c r="O39" s="22" t="str">
        <f t="shared" si="4"/>
        <v>Beulah Howell</v>
      </c>
    </row>
    <row r="40" spans="4:15" x14ac:dyDescent="0.25">
      <c r="D40" s="8">
        <f t="shared" ca="1" si="0"/>
        <v>41507</v>
      </c>
      <c r="E40" s="4" t="s">
        <v>816</v>
      </c>
      <c r="F40" s="57">
        <v>525</v>
      </c>
      <c r="G40" s="22">
        <f t="shared" si="1"/>
        <v>5.6000000000000001E-2</v>
      </c>
      <c r="K40" s="8">
        <f t="shared" ca="1" si="2"/>
        <v>41504</v>
      </c>
      <c r="L40" s="4" t="s">
        <v>816</v>
      </c>
      <c r="M40" s="57">
        <v>525</v>
      </c>
      <c r="N40" s="22">
        <f t="shared" si="3"/>
        <v>5.6000000000000001E-2</v>
      </c>
      <c r="O40" s="22" t="str">
        <f t="shared" si="4"/>
        <v>Ray Silva</v>
      </c>
    </row>
    <row r="41" spans="4:15" x14ac:dyDescent="0.25">
      <c r="D41" s="8">
        <f t="shared" ca="1" si="0"/>
        <v>41553</v>
      </c>
      <c r="E41" s="4" t="s">
        <v>881</v>
      </c>
      <c r="F41" s="57">
        <v>748</v>
      </c>
      <c r="G41" s="22">
        <f t="shared" si="1"/>
        <v>0.01</v>
      </c>
      <c r="K41" s="8">
        <f t="shared" ca="1" si="2"/>
        <v>41548</v>
      </c>
      <c r="L41" s="4" t="s">
        <v>881</v>
      </c>
      <c r="M41" s="57">
        <v>748</v>
      </c>
      <c r="N41" s="22">
        <f t="shared" si="3"/>
        <v>0.01</v>
      </c>
      <c r="O41" s="22" t="str">
        <f t="shared" si="4"/>
        <v>Nathan Nguyen</v>
      </c>
    </row>
    <row r="42" spans="4:15" x14ac:dyDescent="0.25">
      <c r="D42" s="8">
        <f t="shared" ca="1" si="0"/>
        <v>41553</v>
      </c>
      <c r="E42" s="4" t="s">
        <v>857</v>
      </c>
      <c r="F42" s="57">
        <v>197</v>
      </c>
      <c r="G42" s="22">
        <f t="shared" si="1"/>
        <v>5.6000000000000001E-2</v>
      </c>
      <c r="K42" s="8">
        <f t="shared" ca="1" si="2"/>
        <v>41520</v>
      </c>
      <c r="L42" s="4" t="s">
        <v>857</v>
      </c>
      <c r="M42" s="57">
        <v>197</v>
      </c>
      <c r="N42" s="22">
        <f t="shared" si="3"/>
        <v>5.6000000000000001E-2</v>
      </c>
      <c r="O42" s="22" t="str">
        <f t="shared" si="4"/>
        <v>Ray Silva</v>
      </c>
    </row>
    <row r="43" spans="4:15" x14ac:dyDescent="0.25">
      <c r="D43" s="8">
        <f t="shared" ca="1" si="0"/>
        <v>41533</v>
      </c>
      <c r="E43" s="4" t="s">
        <v>882</v>
      </c>
      <c r="F43" s="57">
        <v>611</v>
      </c>
      <c r="G43" s="22">
        <f t="shared" si="1"/>
        <v>3.6999999999999998E-2</v>
      </c>
      <c r="K43" s="8">
        <f t="shared" ca="1" si="2"/>
        <v>41524</v>
      </c>
      <c r="L43" s="4" t="s">
        <v>882</v>
      </c>
      <c r="M43" s="57">
        <v>611</v>
      </c>
      <c r="N43" s="22">
        <f t="shared" si="3"/>
        <v>3.6999999999999998E-2</v>
      </c>
      <c r="O43" s="22" t="str">
        <f t="shared" si="4"/>
        <v>Beulah Howell</v>
      </c>
    </row>
    <row r="44" spans="4:15" x14ac:dyDescent="0.25">
      <c r="D44" s="8">
        <f t="shared" ca="1" si="0"/>
        <v>41521</v>
      </c>
      <c r="E44" s="4" t="s">
        <v>883</v>
      </c>
      <c r="F44" s="57">
        <v>666</v>
      </c>
      <c r="G44" s="22">
        <f t="shared" si="1"/>
        <v>3.6999999999999998E-2</v>
      </c>
      <c r="K44" s="8">
        <f t="shared" ca="1" si="2"/>
        <v>41553</v>
      </c>
      <c r="L44" s="4" t="s">
        <v>883</v>
      </c>
      <c r="M44" s="57">
        <v>666</v>
      </c>
      <c r="N44" s="22">
        <f t="shared" si="3"/>
        <v>3.6999999999999998E-2</v>
      </c>
      <c r="O44" s="22" t="str">
        <f t="shared" si="4"/>
        <v>Beulah Howell</v>
      </c>
    </row>
    <row r="45" spans="4:15" x14ac:dyDescent="0.25">
      <c r="D45" s="8">
        <f t="shared" ca="1" si="0"/>
        <v>41549</v>
      </c>
      <c r="E45" s="4" t="s">
        <v>884</v>
      </c>
      <c r="F45" s="57">
        <v>528</v>
      </c>
      <c r="G45" s="22">
        <f t="shared" si="1"/>
        <v>0.04</v>
      </c>
      <c r="K45" s="8">
        <f t="shared" ca="1" si="2"/>
        <v>41537</v>
      </c>
      <c r="L45" s="4" t="s">
        <v>884</v>
      </c>
      <c r="M45" s="57">
        <v>528</v>
      </c>
      <c r="N45" s="22">
        <f t="shared" si="3"/>
        <v>0.04</v>
      </c>
      <c r="O45" s="22" t="str">
        <f t="shared" si="4"/>
        <v>Pat Anderson</v>
      </c>
    </row>
    <row r="46" spans="4:15" x14ac:dyDescent="0.25">
      <c r="D46" s="8">
        <f t="shared" ca="1" si="0"/>
        <v>41513</v>
      </c>
      <c r="E46" s="4" t="s">
        <v>853</v>
      </c>
      <c r="F46" s="57">
        <v>329</v>
      </c>
      <c r="G46" s="22">
        <f t="shared" si="1"/>
        <v>2.8000000000000001E-2</v>
      </c>
      <c r="K46" s="8">
        <f t="shared" ca="1" si="2"/>
        <v>41539</v>
      </c>
      <c r="L46" s="4" t="s">
        <v>853</v>
      </c>
      <c r="M46" s="57">
        <v>329</v>
      </c>
      <c r="N46" s="22">
        <f t="shared" si="3"/>
        <v>2.8000000000000001E-2</v>
      </c>
      <c r="O46" s="22" t="str">
        <f t="shared" si="4"/>
        <v>Roger Henderson</v>
      </c>
    </row>
    <row r="47" spans="4:15" x14ac:dyDescent="0.25">
      <c r="D47" s="8">
        <f t="shared" ca="1" si="0"/>
        <v>41547</v>
      </c>
      <c r="E47" s="4" t="s">
        <v>885</v>
      </c>
      <c r="F47" s="57">
        <v>205</v>
      </c>
      <c r="G47" s="22">
        <f t="shared" si="1"/>
        <v>1.7000000000000001E-2</v>
      </c>
      <c r="K47" s="8">
        <f t="shared" ca="1" si="2"/>
        <v>41515</v>
      </c>
      <c r="L47" s="4" t="s">
        <v>885</v>
      </c>
      <c r="M47" s="57">
        <v>205</v>
      </c>
      <c r="N47" s="22">
        <f t="shared" si="3"/>
        <v>1.7000000000000001E-2</v>
      </c>
      <c r="O47" s="22" t="str">
        <f t="shared" si="4"/>
        <v>Roderick White</v>
      </c>
    </row>
    <row r="48" spans="4:15" x14ac:dyDescent="0.25">
      <c r="D48" s="8">
        <f t="shared" ca="1" si="0"/>
        <v>41517</v>
      </c>
      <c r="E48" s="4" t="s">
        <v>886</v>
      </c>
      <c r="F48" s="57">
        <v>366</v>
      </c>
      <c r="G48" s="22">
        <f t="shared" si="1"/>
        <v>4.2999999999999997E-2</v>
      </c>
      <c r="K48" s="8">
        <f t="shared" ca="1" si="2"/>
        <v>41508</v>
      </c>
      <c r="L48" s="4" t="s">
        <v>886</v>
      </c>
      <c r="M48" s="57">
        <v>366</v>
      </c>
      <c r="N48" s="22">
        <f t="shared" si="3"/>
        <v>4.2999999999999997E-2</v>
      </c>
      <c r="O48" s="22" t="str">
        <f t="shared" si="4"/>
        <v>Dave Martin</v>
      </c>
    </row>
    <row r="49" spans="4:15" x14ac:dyDescent="0.25">
      <c r="D49" s="8">
        <f t="shared" ca="1" si="0"/>
        <v>41526</v>
      </c>
      <c r="E49" s="4" t="s">
        <v>887</v>
      </c>
      <c r="F49" s="57">
        <v>369</v>
      </c>
      <c r="G49" s="22">
        <f t="shared" si="1"/>
        <v>1.4E-2</v>
      </c>
      <c r="K49" s="8">
        <f t="shared" ca="1" si="2"/>
        <v>41539</v>
      </c>
      <c r="L49" s="4" t="s">
        <v>887</v>
      </c>
      <c r="M49" s="57">
        <v>369</v>
      </c>
      <c r="N49" s="22">
        <f t="shared" si="3"/>
        <v>1.4E-2</v>
      </c>
      <c r="O49" s="22" t="str">
        <f t="shared" si="4"/>
        <v>Lois Luna</v>
      </c>
    </row>
    <row r="50" spans="4:15" x14ac:dyDescent="0.25">
      <c r="D50" s="8">
        <f t="shared" ca="1" si="0"/>
        <v>41500</v>
      </c>
      <c r="E50" s="4" t="s">
        <v>860</v>
      </c>
      <c r="F50" s="57">
        <v>469</v>
      </c>
      <c r="G50" s="22">
        <f t="shared" si="1"/>
        <v>5.2999999999999999E-2</v>
      </c>
      <c r="K50" s="8">
        <f t="shared" ca="1" si="2"/>
        <v>41535</v>
      </c>
      <c r="L50" s="4" t="s">
        <v>860</v>
      </c>
      <c r="M50" s="57">
        <v>469</v>
      </c>
      <c r="N50" s="22">
        <f t="shared" si="3"/>
        <v>5.2999999999999999E-2</v>
      </c>
      <c r="O50" s="22" t="str">
        <f t="shared" si="4"/>
        <v>Darin Jenkins</v>
      </c>
    </row>
    <row r="51" spans="4:15" x14ac:dyDescent="0.25">
      <c r="D51" s="8">
        <f t="shared" ca="1" si="0"/>
        <v>41542</v>
      </c>
      <c r="E51" s="4" t="s">
        <v>836</v>
      </c>
      <c r="F51" s="57">
        <v>244</v>
      </c>
      <c r="G51" s="22">
        <f t="shared" si="1"/>
        <v>0.06</v>
      </c>
      <c r="K51" s="8">
        <f t="shared" ca="1" si="2"/>
        <v>41539</v>
      </c>
      <c r="L51" s="4" t="s">
        <v>836</v>
      </c>
      <c r="M51" s="57">
        <v>244</v>
      </c>
      <c r="N51" s="22">
        <f t="shared" si="3"/>
        <v>0.06</v>
      </c>
      <c r="O51" s="22" t="str">
        <f t="shared" si="4"/>
        <v>Krystal Hubbard</v>
      </c>
    </row>
    <row r="52" spans="4:15" x14ac:dyDescent="0.25">
      <c r="D52" s="8">
        <f t="shared" ca="1" si="0"/>
        <v>41519</v>
      </c>
      <c r="E52" s="4" t="s">
        <v>863</v>
      </c>
      <c r="F52" s="57">
        <v>593</v>
      </c>
      <c r="G52" s="22">
        <f t="shared" si="1"/>
        <v>3.6999999999999998E-2</v>
      </c>
      <c r="K52" s="8">
        <f t="shared" ca="1" si="2"/>
        <v>41516</v>
      </c>
      <c r="L52" s="4" t="s">
        <v>863</v>
      </c>
      <c r="M52" s="57">
        <v>593</v>
      </c>
      <c r="N52" s="22">
        <f t="shared" si="3"/>
        <v>3.6999999999999998E-2</v>
      </c>
      <c r="O52" s="22" t="str">
        <f t="shared" si="4"/>
        <v>Beulah Howell</v>
      </c>
    </row>
    <row r="53" spans="4:15" x14ac:dyDescent="0.25">
      <c r="D53" s="8">
        <f t="shared" ca="1" si="0"/>
        <v>41530</v>
      </c>
      <c r="E53" s="4" t="s">
        <v>836</v>
      </c>
      <c r="F53" s="57">
        <v>132</v>
      </c>
      <c r="G53" s="22">
        <f t="shared" si="1"/>
        <v>0.06</v>
      </c>
      <c r="K53" s="8">
        <f t="shared" ca="1" si="2"/>
        <v>41505</v>
      </c>
      <c r="L53" s="4" t="s">
        <v>836</v>
      </c>
      <c r="M53" s="57">
        <v>132</v>
      </c>
      <c r="N53" s="22">
        <f t="shared" si="3"/>
        <v>0.06</v>
      </c>
      <c r="O53" s="22" t="str">
        <f t="shared" si="4"/>
        <v>Krystal Hubbard</v>
      </c>
    </row>
    <row r="54" spans="4:15" x14ac:dyDescent="0.25">
      <c r="D54" s="8">
        <f t="shared" ca="1" si="0"/>
        <v>41552</v>
      </c>
      <c r="E54" s="4" t="s">
        <v>888</v>
      </c>
      <c r="F54" s="57">
        <v>442</v>
      </c>
      <c r="G54" s="22">
        <f t="shared" si="1"/>
        <v>3.1E-2</v>
      </c>
      <c r="K54" s="8">
        <f t="shared" ca="1" si="2"/>
        <v>41515</v>
      </c>
      <c r="L54" s="4" t="s">
        <v>888</v>
      </c>
      <c r="M54" s="57">
        <v>442</v>
      </c>
      <c r="N54" s="22">
        <f t="shared" si="3"/>
        <v>3.1E-2</v>
      </c>
      <c r="O54" s="22" t="str">
        <f t="shared" si="4"/>
        <v>Gina Stone</v>
      </c>
    </row>
    <row r="55" spans="4:15" x14ac:dyDescent="0.25">
      <c r="D55" s="8">
        <f t="shared" ca="1" si="0"/>
        <v>41538</v>
      </c>
      <c r="E55" s="4" t="s">
        <v>881</v>
      </c>
      <c r="F55" s="57">
        <v>666</v>
      </c>
      <c r="G55" s="22">
        <f t="shared" si="1"/>
        <v>0.01</v>
      </c>
      <c r="K55" s="8">
        <f t="shared" ca="1" si="2"/>
        <v>41500</v>
      </c>
      <c r="L55" s="4" t="s">
        <v>881</v>
      </c>
      <c r="M55" s="57">
        <v>666</v>
      </c>
      <c r="N55" s="22">
        <f t="shared" si="3"/>
        <v>0.01</v>
      </c>
      <c r="O55" s="22" t="str">
        <f t="shared" si="4"/>
        <v>Nathan Nguyen</v>
      </c>
    </row>
    <row r="56" spans="4:15" x14ac:dyDescent="0.25">
      <c r="D56" s="8">
        <f t="shared" ca="1" si="0"/>
        <v>41545</v>
      </c>
      <c r="E56" s="4" t="s">
        <v>861</v>
      </c>
      <c r="F56" s="57">
        <v>542</v>
      </c>
      <c r="G56" s="22">
        <f t="shared" si="1"/>
        <v>0.01</v>
      </c>
      <c r="K56" s="8">
        <f t="shared" ca="1" si="2"/>
        <v>41537</v>
      </c>
      <c r="L56" s="4" t="s">
        <v>861</v>
      </c>
      <c r="M56" s="57">
        <v>542</v>
      </c>
      <c r="N56" s="22">
        <f t="shared" si="3"/>
        <v>0.01</v>
      </c>
      <c r="O56" s="22" t="str">
        <f t="shared" si="4"/>
        <v>Diana Holt</v>
      </c>
    </row>
    <row r="57" spans="4:15" x14ac:dyDescent="0.25">
      <c r="D57" s="8">
        <f t="shared" ca="1" si="0"/>
        <v>41510</v>
      </c>
      <c r="E57" s="4" t="s">
        <v>867</v>
      </c>
      <c r="F57" s="57">
        <v>157</v>
      </c>
      <c r="G57" s="22">
        <f t="shared" si="1"/>
        <v>0.01</v>
      </c>
      <c r="K57" s="8">
        <f t="shared" ca="1" si="2"/>
        <v>41532</v>
      </c>
      <c r="L57" s="4" t="s">
        <v>867</v>
      </c>
      <c r="M57" s="57">
        <v>157</v>
      </c>
      <c r="N57" s="22">
        <f t="shared" si="3"/>
        <v>0.01</v>
      </c>
      <c r="O57" s="22" t="str">
        <f t="shared" si="4"/>
        <v>Nathan Nguyen</v>
      </c>
    </row>
    <row r="58" spans="4:15" x14ac:dyDescent="0.25">
      <c r="D58" s="8">
        <f t="shared" ca="1" si="0"/>
        <v>41532</v>
      </c>
      <c r="E58" s="4" t="s">
        <v>844</v>
      </c>
      <c r="F58" s="57">
        <v>505</v>
      </c>
      <c r="G58" s="22">
        <f t="shared" si="1"/>
        <v>3.6999999999999998E-2</v>
      </c>
      <c r="K58" s="8">
        <f t="shared" ca="1" si="2"/>
        <v>41537</v>
      </c>
      <c r="L58" s="4" t="s">
        <v>844</v>
      </c>
      <c r="M58" s="57">
        <v>505</v>
      </c>
      <c r="N58" s="22">
        <f t="shared" si="3"/>
        <v>3.6999999999999998E-2</v>
      </c>
      <c r="O58" s="22" t="str">
        <f t="shared" si="4"/>
        <v>Beulah Howell</v>
      </c>
    </row>
    <row r="59" spans="4:15" x14ac:dyDescent="0.25">
      <c r="D59" s="8">
        <f t="shared" ca="1" si="0"/>
        <v>41524</v>
      </c>
      <c r="E59" s="4" t="s">
        <v>861</v>
      </c>
      <c r="F59" s="57">
        <v>641</v>
      </c>
      <c r="G59" s="22">
        <f t="shared" si="1"/>
        <v>0.01</v>
      </c>
      <c r="K59" s="8">
        <f t="shared" ca="1" si="2"/>
        <v>41552</v>
      </c>
      <c r="L59" s="4" t="s">
        <v>861</v>
      </c>
      <c r="M59" s="57">
        <v>641</v>
      </c>
      <c r="N59" s="22">
        <f t="shared" si="3"/>
        <v>0.01</v>
      </c>
      <c r="O59" s="22" t="str">
        <f t="shared" si="4"/>
        <v>Diana Holt</v>
      </c>
    </row>
    <row r="60" spans="4:15" x14ac:dyDescent="0.25">
      <c r="D60" s="8">
        <f t="shared" ca="1" si="0"/>
        <v>41542</v>
      </c>
      <c r="E60" s="4" t="s">
        <v>864</v>
      </c>
      <c r="F60" s="57">
        <v>638</v>
      </c>
      <c r="G60" s="22">
        <f t="shared" si="1"/>
        <v>0.01</v>
      </c>
      <c r="K60" s="8">
        <f t="shared" ca="1" si="2"/>
        <v>41536</v>
      </c>
      <c r="L60" s="4" t="s">
        <v>864</v>
      </c>
      <c r="M60" s="57">
        <v>638</v>
      </c>
      <c r="N60" s="22">
        <f t="shared" si="3"/>
        <v>0.01</v>
      </c>
      <c r="O60" s="22" t="str">
        <f t="shared" si="4"/>
        <v>Diana Holt</v>
      </c>
    </row>
    <row r="61" spans="4:15" x14ac:dyDescent="0.25">
      <c r="D61" s="8">
        <f t="shared" ca="1" si="0"/>
        <v>41504</v>
      </c>
      <c r="E61" s="4" t="s">
        <v>889</v>
      </c>
      <c r="F61" s="57">
        <v>564</v>
      </c>
      <c r="G61" s="22">
        <f t="shared" si="1"/>
        <v>4.2000000000000003E-2</v>
      </c>
      <c r="K61" s="8">
        <f t="shared" ca="1" si="2"/>
        <v>41539</v>
      </c>
      <c r="L61" s="4" t="s">
        <v>889</v>
      </c>
      <c r="M61" s="57">
        <v>564</v>
      </c>
      <c r="N61" s="22">
        <f t="shared" si="3"/>
        <v>4.2000000000000003E-2</v>
      </c>
      <c r="O61" s="22" t="str">
        <f t="shared" si="4"/>
        <v>Kelly Fowler</v>
      </c>
    </row>
    <row r="62" spans="4:15" x14ac:dyDescent="0.25">
      <c r="D62" s="8">
        <f t="shared" ca="1" si="0"/>
        <v>41545</v>
      </c>
      <c r="E62" s="4" t="s">
        <v>860</v>
      </c>
      <c r="F62" s="57">
        <v>144</v>
      </c>
      <c r="G62" s="22">
        <f t="shared" si="1"/>
        <v>5.2999999999999999E-2</v>
      </c>
      <c r="K62" s="8">
        <f t="shared" ca="1" si="2"/>
        <v>41529</v>
      </c>
      <c r="L62" s="4" t="s">
        <v>860</v>
      </c>
      <c r="M62" s="57">
        <v>144</v>
      </c>
      <c r="N62" s="22">
        <f t="shared" si="3"/>
        <v>5.2999999999999999E-2</v>
      </c>
      <c r="O62" s="22" t="str">
        <f t="shared" si="4"/>
        <v>Darin Jenkins</v>
      </c>
    </row>
    <row r="63" spans="4:15" x14ac:dyDescent="0.25">
      <c r="D63" s="8">
        <f t="shared" ca="1" si="0"/>
        <v>41538</v>
      </c>
      <c r="E63" s="4" t="s">
        <v>847</v>
      </c>
      <c r="F63" s="57">
        <v>401</v>
      </c>
      <c r="G63" s="22">
        <f t="shared" si="1"/>
        <v>4.4999999999999998E-2</v>
      </c>
      <c r="K63" s="8">
        <f t="shared" ca="1" si="2"/>
        <v>41522</v>
      </c>
      <c r="L63" s="4" t="s">
        <v>847</v>
      </c>
      <c r="M63" s="57">
        <v>401</v>
      </c>
      <c r="N63" s="22">
        <f t="shared" si="3"/>
        <v>4.4999999999999998E-2</v>
      </c>
      <c r="O63" s="22" t="str">
        <f t="shared" si="4"/>
        <v>Gregg Lawson</v>
      </c>
    </row>
    <row r="64" spans="4:15" x14ac:dyDescent="0.25">
      <c r="D64" s="8">
        <f t="shared" ca="1" si="0"/>
        <v>41503</v>
      </c>
      <c r="E64" s="4" t="s">
        <v>890</v>
      </c>
      <c r="F64" s="57">
        <v>148</v>
      </c>
      <c r="G64" s="22">
        <f t="shared" si="1"/>
        <v>4.4999999999999998E-2</v>
      </c>
      <c r="K64" s="8">
        <f t="shared" ca="1" si="2"/>
        <v>41517</v>
      </c>
      <c r="L64" s="4" t="s">
        <v>890</v>
      </c>
      <c r="M64" s="57">
        <v>148</v>
      </c>
      <c r="N64" s="22">
        <f t="shared" si="3"/>
        <v>4.4999999999999998E-2</v>
      </c>
      <c r="O64" s="22" t="str">
        <f t="shared" si="4"/>
        <v>Gregg Lawson</v>
      </c>
    </row>
    <row r="65" spans="4:15" x14ac:dyDescent="0.25">
      <c r="D65" s="8">
        <f t="shared" ca="1" si="0"/>
        <v>41526</v>
      </c>
      <c r="E65" s="4" t="s">
        <v>855</v>
      </c>
      <c r="F65" s="57">
        <v>287</v>
      </c>
      <c r="G65" s="22">
        <f t="shared" si="1"/>
        <v>3.6999999999999998E-2</v>
      </c>
      <c r="K65" s="8">
        <f t="shared" ca="1" si="2"/>
        <v>41511</v>
      </c>
      <c r="L65" s="4" t="s">
        <v>855</v>
      </c>
      <c r="M65" s="57">
        <v>287</v>
      </c>
      <c r="N65" s="22">
        <f t="shared" si="3"/>
        <v>3.6999999999999998E-2</v>
      </c>
      <c r="O65" s="22" t="str">
        <f t="shared" si="4"/>
        <v>Beulah Howell</v>
      </c>
    </row>
    <row r="66" spans="4:15" x14ac:dyDescent="0.25">
      <c r="D66" s="8">
        <f t="shared" ca="1" si="0"/>
        <v>41521</v>
      </c>
      <c r="E66" s="4" t="s">
        <v>858</v>
      </c>
      <c r="F66" s="57">
        <v>785</v>
      </c>
      <c r="G66" s="22">
        <f t="shared" si="1"/>
        <v>3.1E-2</v>
      </c>
      <c r="K66" s="8">
        <f t="shared" ca="1" si="2"/>
        <v>41531</v>
      </c>
      <c r="L66" s="4" t="s">
        <v>858</v>
      </c>
      <c r="M66" s="57">
        <v>785</v>
      </c>
      <c r="N66" s="22">
        <f t="shared" si="3"/>
        <v>3.1E-2</v>
      </c>
      <c r="O66" s="22" t="str">
        <f t="shared" si="4"/>
        <v>Gina Stone</v>
      </c>
    </row>
    <row r="67" spans="4:15" x14ac:dyDescent="0.25">
      <c r="D67" s="8">
        <f t="shared" ca="1" si="0"/>
        <v>41525</v>
      </c>
      <c r="E67" s="4" t="s">
        <v>875</v>
      </c>
      <c r="F67" s="57">
        <v>406</v>
      </c>
      <c r="G67" s="22">
        <f t="shared" si="1"/>
        <v>5.6000000000000001E-2</v>
      </c>
      <c r="K67" s="8">
        <f t="shared" ca="1" si="2"/>
        <v>41537</v>
      </c>
      <c r="L67" s="4" t="s">
        <v>875</v>
      </c>
      <c r="M67" s="57">
        <v>406</v>
      </c>
      <c r="N67" s="22">
        <f t="shared" si="3"/>
        <v>5.6000000000000001E-2</v>
      </c>
      <c r="O67" s="22" t="str">
        <f t="shared" si="4"/>
        <v>Ray Silva</v>
      </c>
    </row>
    <row r="68" spans="4:15" x14ac:dyDescent="0.25">
      <c r="D68" s="8">
        <f t="shared" ca="1" si="0"/>
        <v>41550</v>
      </c>
      <c r="E68" s="4" t="s">
        <v>891</v>
      </c>
      <c r="F68" s="57">
        <v>394</v>
      </c>
      <c r="G68" s="22">
        <f t="shared" si="1"/>
        <v>0.01</v>
      </c>
      <c r="K68" s="8">
        <f t="shared" ca="1" si="2"/>
        <v>41546</v>
      </c>
      <c r="L68" s="4" t="s">
        <v>891</v>
      </c>
      <c r="M68" s="57">
        <v>394</v>
      </c>
      <c r="N68" s="22">
        <f t="shared" si="3"/>
        <v>0.01</v>
      </c>
      <c r="O68" s="22" t="str">
        <f t="shared" si="4"/>
        <v>Diana Holt</v>
      </c>
    </row>
    <row r="69" spans="4:15" x14ac:dyDescent="0.25">
      <c r="D69" s="8">
        <f t="shared" ca="1" si="0"/>
        <v>41525</v>
      </c>
      <c r="E69" s="4" t="s">
        <v>892</v>
      </c>
      <c r="F69" s="57">
        <v>279</v>
      </c>
      <c r="G69" s="22">
        <f t="shared" si="1"/>
        <v>0.02</v>
      </c>
      <c r="K69" s="8">
        <f t="shared" ca="1" si="2"/>
        <v>41532</v>
      </c>
      <c r="L69" s="4" t="s">
        <v>892</v>
      </c>
      <c r="M69" s="57">
        <v>279</v>
      </c>
      <c r="N69" s="22">
        <f t="shared" si="3"/>
        <v>0.02</v>
      </c>
      <c r="O69" s="22" t="str">
        <f t="shared" si="4"/>
        <v>Bradley Hodges</v>
      </c>
    </row>
    <row r="70" spans="4:15" x14ac:dyDescent="0.25">
      <c r="D70" s="8">
        <f t="shared" ref="D70:D133" ca="1" si="5">RANDBETWEEN(41500,41555)</f>
        <v>41549</v>
      </c>
      <c r="E70" s="4" t="s">
        <v>845</v>
      </c>
      <c r="F70" s="57">
        <v>305</v>
      </c>
      <c r="G70" s="22">
        <f t="shared" ref="G70:G133" si="6">VLOOKUP(TRIM(E70),$A$5:$B$19,2,0)</f>
        <v>3.1E-2</v>
      </c>
      <c r="K70" s="8">
        <f t="shared" ref="K70:K133" ca="1" si="7">RANDBETWEEN(41500,41555)</f>
        <v>41518</v>
      </c>
      <c r="L70" s="4" t="s">
        <v>845</v>
      </c>
      <c r="M70" s="57">
        <v>305</v>
      </c>
      <c r="N70" s="22">
        <f t="shared" ref="N70:N133" si="8">VLOOKUP(O70,$A$5:$B$19,2,0)</f>
        <v>3.1E-2</v>
      </c>
      <c r="O70" s="22" t="str">
        <f t="shared" ref="O70:O133" si="9">TRIM(L70)</f>
        <v>Gina Stone</v>
      </c>
    </row>
    <row r="71" spans="4:15" x14ac:dyDescent="0.25">
      <c r="D71" s="8">
        <f t="shared" ca="1" si="5"/>
        <v>41531</v>
      </c>
      <c r="E71" s="4" t="s">
        <v>877</v>
      </c>
      <c r="F71" s="57">
        <v>177</v>
      </c>
      <c r="G71" s="22">
        <f t="shared" si="6"/>
        <v>0.04</v>
      </c>
      <c r="K71" s="8">
        <f t="shared" ca="1" si="7"/>
        <v>41508</v>
      </c>
      <c r="L71" s="4" t="s">
        <v>877</v>
      </c>
      <c r="M71" s="57">
        <v>177</v>
      </c>
      <c r="N71" s="22">
        <f t="shared" si="8"/>
        <v>0.04</v>
      </c>
      <c r="O71" s="22" t="str">
        <f t="shared" si="9"/>
        <v>Pat Anderson</v>
      </c>
    </row>
    <row r="72" spans="4:15" x14ac:dyDescent="0.25">
      <c r="D72" s="8">
        <f t="shared" ca="1" si="5"/>
        <v>41504</v>
      </c>
      <c r="E72" s="4" t="s">
        <v>893</v>
      </c>
      <c r="F72" s="57">
        <v>124</v>
      </c>
      <c r="G72" s="22">
        <f t="shared" si="6"/>
        <v>4.4999999999999998E-2</v>
      </c>
      <c r="K72" s="8">
        <f t="shared" ca="1" si="7"/>
        <v>41528</v>
      </c>
      <c r="L72" s="4" t="s">
        <v>893</v>
      </c>
      <c r="M72" s="57">
        <v>124</v>
      </c>
      <c r="N72" s="22">
        <f t="shared" si="8"/>
        <v>4.4999999999999998E-2</v>
      </c>
      <c r="O72" s="22" t="str">
        <f t="shared" si="9"/>
        <v>Gregg Lawson</v>
      </c>
    </row>
    <row r="73" spans="4:15" x14ac:dyDescent="0.25">
      <c r="D73" s="8">
        <f t="shared" ca="1" si="5"/>
        <v>41545</v>
      </c>
      <c r="E73" s="4" t="s">
        <v>856</v>
      </c>
      <c r="F73" s="57">
        <v>223</v>
      </c>
      <c r="G73" s="22">
        <f t="shared" si="6"/>
        <v>4.2999999999999997E-2</v>
      </c>
      <c r="K73" s="8">
        <f t="shared" ca="1" si="7"/>
        <v>41554</v>
      </c>
      <c r="L73" s="4" t="s">
        <v>856</v>
      </c>
      <c r="M73" s="57">
        <v>223</v>
      </c>
      <c r="N73" s="22">
        <f t="shared" si="8"/>
        <v>4.2999999999999997E-2</v>
      </c>
      <c r="O73" s="22" t="str">
        <f t="shared" si="9"/>
        <v>Dave Martin</v>
      </c>
    </row>
    <row r="74" spans="4:15" x14ac:dyDescent="0.25">
      <c r="D74" s="8">
        <f t="shared" ca="1" si="5"/>
        <v>41508</v>
      </c>
      <c r="E74" s="4" t="s">
        <v>894</v>
      </c>
      <c r="F74" s="57">
        <v>782</v>
      </c>
      <c r="G74" s="22">
        <f t="shared" si="6"/>
        <v>0.01</v>
      </c>
      <c r="K74" s="8">
        <f t="shared" ca="1" si="7"/>
        <v>41545</v>
      </c>
      <c r="L74" s="4" t="s">
        <v>894</v>
      </c>
      <c r="M74" s="57">
        <v>782</v>
      </c>
      <c r="N74" s="22">
        <f t="shared" si="8"/>
        <v>0.01</v>
      </c>
      <c r="O74" s="22" t="str">
        <f t="shared" si="9"/>
        <v>Diana Holt</v>
      </c>
    </row>
    <row r="75" spans="4:15" x14ac:dyDescent="0.25">
      <c r="D75" s="8">
        <f t="shared" ca="1" si="5"/>
        <v>41516</v>
      </c>
      <c r="E75" s="4" t="s">
        <v>856</v>
      </c>
      <c r="F75" s="57">
        <v>301</v>
      </c>
      <c r="G75" s="22">
        <f t="shared" si="6"/>
        <v>4.2999999999999997E-2</v>
      </c>
      <c r="K75" s="8">
        <f t="shared" ca="1" si="7"/>
        <v>41503</v>
      </c>
      <c r="L75" s="4" t="s">
        <v>856</v>
      </c>
      <c r="M75" s="57">
        <v>301</v>
      </c>
      <c r="N75" s="22">
        <f t="shared" si="8"/>
        <v>4.2999999999999997E-2</v>
      </c>
      <c r="O75" s="22" t="str">
        <f t="shared" si="9"/>
        <v>Dave Martin</v>
      </c>
    </row>
    <row r="76" spans="4:15" x14ac:dyDescent="0.25">
      <c r="D76" s="8">
        <f t="shared" ca="1" si="5"/>
        <v>41523</v>
      </c>
      <c r="E76" s="4" t="s">
        <v>895</v>
      </c>
      <c r="F76" s="57">
        <v>224</v>
      </c>
      <c r="G76" s="22">
        <f t="shared" si="6"/>
        <v>1.7000000000000001E-2</v>
      </c>
      <c r="K76" s="8">
        <f t="shared" ca="1" si="7"/>
        <v>41510</v>
      </c>
      <c r="L76" s="4" t="s">
        <v>895</v>
      </c>
      <c r="M76" s="57">
        <v>224</v>
      </c>
      <c r="N76" s="22">
        <f t="shared" si="8"/>
        <v>1.7000000000000001E-2</v>
      </c>
      <c r="O76" s="22" t="str">
        <f t="shared" si="9"/>
        <v>Roderick White</v>
      </c>
    </row>
    <row r="77" spans="4:15" x14ac:dyDescent="0.25">
      <c r="D77" s="8">
        <f t="shared" ca="1" si="5"/>
        <v>41523</v>
      </c>
      <c r="E77" s="4" t="s">
        <v>842</v>
      </c>
      <c r="F77" s="57">
        <v>517</v>
      </c>
      <c r="G77" s="22">
        <f t="shared" si="6"/>
        <v>2.8000000000000001E-2</v>
      </c>
      <c r="K77" s="8">
        <f t="shared" ca="1" si="7"/>
        <v>41513</v>
      </c>
      <c r="L77" s="4" t="s">
        <v>842</v>
      </c>
      <c r="M77" s="57">
        <v>517</v>
      </c>
      <c r="N77" s="22">
        <f t="shared" si="8"/>
        <v>2.8000000000000001E-2</v>
      </c>
      <c r="O77" s="22" t="str">
        <f t="shared" si="9"/>
        <v>Roger Henderson</v>
      </c>
    </row>
    <row r="78" spans="4:15" x14ac:dyDescent="0.25">
      <c r="D78" s="8">
        <f t="shared" ca="1" si="5"/>
        <v>41531</v>
      </c>
      <c r="E78" s="4" t="s">
        <v>820</v>
      </c>
      <c r="F78" s="57">
        <v>292</v>
      </c>
      <c r="G78" s="22">
        <f t="shared" si="6"/>
        <v>3.6999999999999998E-2</v>
      </c>
      <c r="K78" s="8">
        <f t="shared" ca="1" si="7"/>
        <v>41520</v>
      </c>
      <c r="L78" s="4" t="s">
        <v>820</v>
      </c>
      <c r="M78" s="57">
        <v>292</v>
      </c>
      <c r="N78" s="22">
        <f t="shared" si="8"/>
        <v>3.6999999999999998E-2</v>
      </c>
      <c r="O78" s="22" t="str">
        <f t="shared" si="9"/>
        <v>Beulah Howell</v>
      </c>
    </row>
    <row r="79" spans="4:15" x14ac:dyDescent="0.25">
      <c r="D79" s="8">
        <f t="shared" ca="1" si="5"/>
        <v>41500</v>
      </c>
      <c r="E79" s="4" t="s">
        <v>870</v>
      </c>
      <c r="F79" s="57">
        <v>408</v>
      </c>
      <c r="G79" s="22">
        <f t="shared" si="6"/>
        <v>0.06</v>
      </c>
      <c r="K79" s="8">
        <f t="shared" ca="1" si="7"/>
        <v>41504</v>
      </c>
      <c r="L79" s="4" t="s">
        <v>870</v>
      </c>
      <c r="M79" s="57">
        <v>408</v>
      </c>
      <c r="N79" s="22">
        <f t="shared" si="8"/>
        <v>0.06</v>
      </c>
      <c r="O79" s="22" t="str">
        <f t="shared" si="9"/>
        <v>Krystal Hubbard</v>
      </c>
    </row>
    <row r="80" spans="4:15" x14ac:dyDescent="0.25">
      <c r="D80" s="8">
        <f t="shared" ca="1" si="5"/>
        <v>41508</v>
      </c>
      <c r="E80" s="4" t="s">
        <v>896</v>
      </c>
      <c r="F80" s="57">
        <v>454</v>
      </c>
      <c r="G80" s="22">
        <f t="shared" si="6"/>
        <v>4.2000000000000003E-2</v>
      </c>
      <c r="K80" s="8">
        <f t="shared" ca="1" si="7"/>
        <v>41555</v>
      </c>
      <c r="L80" s="4" t="s">
        <v>896</v>
      </c>
      <c r="M80" s="57">
        <v>454</v>
      </c>
      <c r="N80" s="22">
        <f t="shared" si="8"/>
        <v>4.2000000000000003E-2</v>
      </c>
      <c r="O80" s="22" t="str">
        <f t="shared" si="9"/>
        <v>Kelly Fowler</v>
      </c>
    </row>
    <row r="81" spans="4:15" x14ac:dyDescent="0.25">
      <c r="D81" s="8">
        <f t="shared" ca="1" si="5"/>
        <v>41506</v>
      </c>
      <c r="E81" s="4" t="s">
        <v>816</v>
      </c>
      <c r="F81" s="57">
        <v>653</v>
      </c>
      <c r="G81" s="22">
        <f t="shared" si="6"/>
        <v>5.6000000000000001E-2</v>
      </c>
      <c r="K81" s="8">
        <f t="shared" ca="1" si="7"/>
        <v>41529</v>
      </c>
      <c r="L81" s="4" t="s">
        <v>816</v>
      </c>
      <c r="M81" s="57">
        <v>653</v>
      </c>
      <c r="N81" s="22">
        <f t="shared" si="8"/>
        <v>5.6000000000000001E-2</v>
      </c>
      <c r="O81" s="22" t="str">
        <f t="shared" si="9"/>
        <v>Ray Silva</v>
      </c>
    </row>
    <row r="82" spans="4:15" x14ac:dyDescent="0.25">
      <c r="D82" s="8">
        <f t="shared" ca="1" si="5"/>
        <v>41507</v>
      </c>
      <c r="E82" s="4" t="s">
        <v>888</v>
      </c>
      <c r="F82" s="57">
        <v>727</v>
      </c>
      <c r="G82" s="22">
        <f t="shared" si="6"/>
        <v>3.1E-2</v>
      </c>
      <c r="K82" s="8">
        <f t="shared" ca="1" si="7"/>
        <v>41524</v>
      </c>
      <c r="L82" s="4" t="s">
        <v>888</v>
      </c>
      <c r="M82" s="57">
        <v>727</v>
      </c>
      <c r="N82" s="22">
        <f t="shared" si="8"/>
        <v>3.1E-2</v>
      </c>
      <c r="O82" s="22" t="str">
        <f t="shared" si="9"/>
        <v>Gina Stone</v>
      </c>
    </row>
    <row r="83" spans="4:15" x14ac:dyDescent="0.25">
      <c r="D83" s="8">
        <f t="shared" ca="1" si="5"/>
        <v>41500</v>
      </c>
      <c r="E83" s="4" t="s">
        <v>858</v>
      </c>
      <c r="F83" s="57">
        <v>201</v>
      </c>
      <c r="G83" s="22">
        <f t="shared" si="6"/>
        <v>3.1E-2</v>
      </c>
      <c r="K83" s="8">
        <f t="shared" ca="1" si="7"/>
        <v>41523</v>
      </c>
      <c r="L83" s="4" t="s">
        <v>858</v>
      </c>
      <c r="M83" s="57">
        <v>201</v>
      </c>
      <c r="N83" s="22">
        <f t="shared" si="8"/>
        <v>3.1E-2</v>
      </c>
      <c r="O83" s="22" t="str">
        <f t="shared" si="9"/>
        <v>Gina Stone</v>
      </c>
    </row>
    <row r="84" spans="4:15" x14ac:dyDescent="0.25">
      <c r="D84" s="8">
        <f t="shared" ca="1" si="5"/>
        <v>41519</v>
      </c>
      <c r="E84" s="4" t="s">
        <v>897</v>
      </c>
      <c r="F84" s="57">
        <v>707</v>
      </c>
      <c r="G84" s="22">
        <f t="shared" si="6"/>
        <v>0.01</v>
      </c>
      <c r="K84" s="8">
        <f t="shared" ca="1" si="7"/>
        <v>41554</v>
      </c>
      <c r="L84" s="4" t="s">
        <v>897</v>
      </c>
      <c r="M84" s="57">
        <v>707</v>
      </c>
      <c r="N84" s="22">
        <f t="shared" si="8"/>
        <v>0.01</v>
      </c>
      <c r="O84" s="22" t="str">
        <f t="shared" si="9"/>
        <v>Nathan Nguyen</v>
      </c>
    </row>
    <row r="85" spans="4:15" x14ac:dyDescent="0.25">
      <c r="D85" s="8">
        <f t="shared" ca="1" si="5"/>
        <v>41537</v>
      </c>
      <c r="E85" s="4" t="s">
        <v>854</v>
      </c>
      <c r="F85" s="57">
        <v>347</v>
      </c>
      <c r="G85" s="22">
        <f t="shared" si="6"/>
        <v>0.01</v>
      </c>
      <c r="K85" s="8">
        <f t="shared" ca="1" si="7"/>
        <v>41503</v>
      </c>
      <c r="L85" s="4" t="s">
        <v>854</v>
      </c>
      <c r="M85" s="57">
        <v>347</v>
      </c>
      <c r="N85" s="22">
        <f t="shared" si="8"/>
        <v>0.01</v>
      </c>
      <c r="O85" s="22" t="str">
        <f t="shared" si="9"/>
        <v>Diana Holt</v>
      </c>
    </row>
    <row r="86" spans="4:15" x14ac:dyDescent="0.25">
      <c r="D86" s="8">
        <f t="shared" ca="1" si="5"/>
        <v>41532</v>
      </c>
      <c r="E86" s="4" t="s">
        <v>898</v>
      </c>
      <c r="F86" s="57">
        <v>229</v>
      </c>
      <c r="G86" s="22">
        <f t="shared" si="6"/>
        <v>0.06</v>
      </c>
      <c r="K86" s="8">
        <f t="shared" ca="1" si="7"/>
        <v>41553</v>
      </c>
      <c r="L86" s="4" t="s">
        <v>898</v>
      </c>
      <c r="M86" s="57">
        <v>229</v>
      </c>
      <c r="N86" s="22">
        <f t="shared" si="8"/>
        <v>0.06</v>
      </c>
      <c r="O86" s="22" t="str">
        <f t="shared" si="9"/>
        <v>Krystal Hubbard</v>
      </c>
    </row>
    <row r="87" spans="4:15" x14ac:dyDescent="0.25">
      <c r="D87" s="8">
        <f t="shared" ca="1" si="5"/>
        <v>41534</v>
      </c>
      <c r="E87" s="4" t="s">
        <v>815</v>
      </c>
      <c r="F87" s="57">
        <v>403</v>
      </c>
      <c r="G87" s="22">
        <f t="shared" si="6"/>
        <v>0.02</v>
      </c>
      <c r="K87" s="8">
        <f t="shared" ca="1" si="7"/>
        <v>41538</v>
      </c>
      <c r="L87" s="4" t="s">
        <v>815</v>
      </c>
      <c r="M87" s="57">
        <v>403</v>
      </c>
      <c r="N87" s="22">
        <f t="shared" si="8"/>
        <v>0.02</v>
      </c>
      <c r="O87" s="22" t="str">
        <f t="shared" si="9"/>
        <v>Bradley Hodges</v>
      </c>
    </row>
    <row r="88" spans="4:15" x14ac:dyDescent="0.25">
      <c r="D88" s="8">
        <f t="shared" ca="1" si="5"/>
        <v>41518</v>
      </c>
      <c r="E88" s="4" t="s">
        <v>873</v>
      </c>
      <c r="F88" s="57">
        <v>208</v>
      </c>
      <c r="G88" s="22">
        <f t="shared" si="6"/>
        <v>1.4E-2</v>
      </c>
      <c r="K88" s="8">
        <f t="shared" ca="1" si="7"/>
        <v>41552</v>
      </c>
      <c r="L88" s="4" t="s">
        <v>873</v>
      </c>
      <c r="M88" s="57">
        <v>208</v>
      </c>
      <c r="N88" s="22">
        <f t="shared" si="8"/>
        <v>1.4E-2</v>
      </c>
      <c r="O88" s="22" t="str">
        <f t="shared" si="9"/>
        <v>Lois Luna</v>
      </c>
    </row>
    <row r="89" spans="4:15" x14ac:dyDescent="0.25">
      <c r="D89" s="8">
        <f t="shared" ca="1" si="5"/>
        <v>41521</v>
      </c>
      <c r="E89" s="4" t="s">
        <v>899</v>
      </c>
      <c r="F89" s="57">
        <v>774</v>
      </c>
      <c r="G89" s="22">
        <f t="shared" si="6"/>
        <v>0.04</v>
      </c>
      <c r="K89" s="8">
        <f t="shared" ca="1" si="7"/>
        <v>41507</v>
      </c>
      <c r="L89" s="4" t="s">
        <v>899</v>
      </c>
      <c r="M89" s="57">
        <v>774</v>
      </c>
      <c r="N89" s="22">
        <f t="shared" si="8"/>
        <v>0.04</v>
      </c>
      <c r="O89" s="22" t="str">
        <f t="shared" si="9"/>
        <v>Pat Anderson</v>
      </c>
    </row>
    <row r="90" spans="4:15" x14ac:dyDescent="0.25">
      <c r="D90" s="8">
        <f t="shared" ca="1" si="5"/>
        <v>41542</v>
      </c>
      <c r="E90" s="4" t="s">
        <v>900</v>
      </c>
      <c r="F90" s="57">
        <v>366</v>
      </c>
      <c r="G90" s="22">
        <f t="shared" si="6"/>
        <v>5.6000000000000001E-2</v>
      </c>
      <c r="K90" s="8">
        <f t="shared" ca="1" si="7"/>
        <v>41546</v>
      </c>
      <c r="L90" s="4" t="s">
        <v>900</v>
      </c>
      <c r="M90" s="57">
        <v>366</v>
      </c>
      <c r="N90" s="22">
        <f t="shared" si="8"/>
        <v>5.6000000000000001E-2</v>
      </c>
      <c r="O90" s="22" t="str">
        <f t="shared" si="9"/>
        <v>Ray Silva</v>
      </c>
    </row>
    <row r="91" spans="4:15" x14ac:dyDescent="0.25">
      <c r="D91" s="8">
        <f t="shared" ca="1" si="5"/>
        <v>41533</v>
      </c>
      <c r="E91" s="4" t="s">
        <v>847</v>
      </c>
      <c r="F91" s="57">
        <v>450</v>
      </c>
      <c r="G91" s="22">
        <f t="shared" si="6"/>
        <v>4.4999999999999998E-2</v>
      </c>
      <c r="K91" s="8">
        <f t="shared" ca="1" si="7"/>
        <v>41512</v>
      </c>
      <c r="L91" s="4" t="s">
        <v>847</v>
      </c>
      <c r="M91" s="57">
        <v>450</v>
      </c>
      <c r="N91" s="22">
        <f t="shared" si="8"/>
        <v>4.4999999999999998E-2</v>
      </c>
      <c r="O91" s="22" t="str">
        <f t="shared" si="9"/>
        <v>Gregg Lawson</v>
      </c>
    </row>
    <row r="92" spans="4:15" x14ac:dyDescent="0.25">
      <c r="D92" s="8">
        <f t="shared" ca="1" si="5"/>
        <v>41523</v>
      </c>
      <c r="E92" s="4" t="s">
        <v>840</v>
      </c>
      <c r="F92" s="57">
        <v>601</v>
      </c>
      <c r="G92" s="22">
        <f t="shared" si="6"/>
        <v>1.4E-2</v>
      </c>
      <c r="K92" s="8">
        <f t="shared" ca="1" si="7"/>
        <v>41508</v>
      </c>
      <c r="L92" s="4" t="s">
        <v>840</v>
      </c>
      <c r="M92" s="57">
        <v>601</v>
      </c>
      <c r="N92" s="22">
        <f t="shared" si="8"/>
        <v>1.4E-2</v>
      </c>
      <c r="O92" s="22" t="str">
        <f t="shared" si="9"/>
        <v>Lois Luna</v>
      </c>
    </row>
    <row r="93" spans="4:15" x14ac:dyDescent="0.25">
      <c r="D93" s="8">
        <f t="shared" ca="1" si="5"/>
        <v>41509</v>
      </c>
      <c r="E93" s="4" t="s">
        <v>820</v>
      </c>
      <c r="F93" s="57">
        <v>525</v>
      </c>
      <c r="G93" s="22">
        <f t="shared" si="6"/>
        <v>3.6999999999999998E-2</v>
      </c>
      <c r="K93" s="8">
        <f t="shared" ca="1" si="7"/>
        <v>41546</v>
      </c>
      <c r="L93" s="4" t="s">
        <v>820</v>
      </c>
      <c r="M93" s="57">
        <v>525</v>
      </c>
      <c r="N93" s="22">
        <f t="shared" si="8"/>
        <v>3.6999999999999998E-2</v>
      </c>
      <c r="O93" s="22" t="str">
        <f t="shared" si="9"/>
        <v>Beulah Howell</v>
      </c>
    </row>
    <row r="94" spans="4:15" x14ac:dyDescent="0.25">
      <c r="D94" s="8">
        <f t="shared" ca="1" si="5"/>
        <v>41527</v>
      </c>
      <c r="E94" s="4" t="s">
        <v>901</v>
      </c>
      <c r="F94" s="57">
        <v>425</v>
      </c>
      <c r="G94" s="22">
        <f t="shared" si="6"/>
        <v>2.8000000000000001E-2</v>
      </c>
      <c r="K94" s="8">
        <f t="shared" ca="1" si="7"/>
        <v>41553</v>
      </c>
      <c r="L94" s="4" t="s">
        <v>901</v>
      </c>
      <c r="M94" s="57">
        <v>425</v>
      </c>
      <c r="N94" s="22">
        <f t="shared" si="8"/>
        <v>2.8000000000000001E-2</v>
      </c>
      <c r="O94" s="22" t="str">
        <f t="shared" si="9"/>
        <v>Roger Henderson</v>
      </c>
    </row>
    <row r="95" spans="4:15" x14ac:dyDescent="0.25">
      <c r="D95" s="8">
        <f t="shared" ca="1" si="5"/>
        <v>41555</v>
      </c>
      <c r="E95" s="4" t="s">
        <v>878</v>
      </c>
      <c r="F95" s="57">
        <v>585</v>
      </c>
      <c r="G95" s="22">
        <f t="shared" si="6"/>
        <v>4.4999999999999998E-2</v>
      </c>
      <c r="K95" s="8">
        <f t="shared" ca="1" si="7"/>
        <v>41530</v>
      </c>
      <c r="L95" s="4" t="s">
        <v>878</v>
      </c>
      <c r="M95" s="57">
        <v>585</v>
      </c>
      <c r="N95" s="22">
        <f t="shared" si="8"/>
        <v>4.4999999999999998E-2</v>
      </c>
      <c r="O95" s="22" t="str">
        <f t="shared" si="9"/>
        <v>Gregg Lawson</v>
      </c>
    </row>
    <row r="96" spans="4:15" x14ac:dyDescent="0.25">
      <c r="D96" s="8">
        <f t="shared" ca="1" si="5"/>
        <v>41532</v>
      </c>
      <c r="E96" s="4" t="s">
        <v>873</v>
      </c>
      <c r="F96" s="57">
        <v>318</v>
      </c>
      <c r="G96" s="22">
        <f t="shared" si="6"/>
        <v>1.4E-2</v>
      </c>
      <c r="K96" s="8">
        <f t="shared" ca="1" si="7"/>
        <v>41515</v>
      </c>
      <c r="L96" s="4" t="s">
        <v>873</v>
      </c>
      <c r="M96" s="57">
        <v>318</v>
      </c>
      <c r="N96" s="22">
        <f t="shared" si="8"/>
        <v>1.4E-2</v>
      </c>
      <c r="O96" s="22" t="str">
        <f t="shared" si="9"/>
        <v>Lois Luna</v>
      </c>
    </row>
    <row r="97" spans="4:15" x14ac:dyDescent="0.25">
      <c r="D97" s="8">
        <f t="shared" ca="1" si="5"/>
        <v>41552</v>
      </c>
      <c r="E97" s="4" t="s">
        <v>902</v>
      </c>
      <c r="F97" s="57">
        <v>707</v>
      </c>
      <c r="G97" s="22">
        <f t="shared" si="6"/>
        <v>0.06</v>
      </c>
      <c r="K97" s="8">
        <f t="shared" ca="1" si="7"/>
        <v>41501</v>
      </c>
      <c r="L97" s="4" t="s">
        <v>902</v>
      </c>
      <c r="M97" s="57">
        <v>707</v>
      </c>
      <c r="N97" s="22">
        <f t="shared" si="8"/>
        <v>0.06</v>
      </c>
      <c r="O97" s="22" t="str">
        <f t="shared" si="9"/>
        <v>Krystal Hubbard</v>
      </c>
    </row>
    <row r="98" spans="4:15" x14ac:dyDescent="0.25">
      <c r="D98" s="8">
        <f t="shared" ca="1" si="5"/>
        <v>41518</v>
      </c>
      <c r="E98" s="4" t="s">
        <v>848</v>
      </c>
      <c r="F98" s="57">
        <v>197</v>
      </c>
      <c r="G98" s="22">
        <f t="shared" si="6"/>
        <v>5.6000000000000001E-2</v>
      </c>
      <c r="K98" s="8">
        <f t="shared" ca="1" si="7"/>
        <v>41555</v>
      </c>
      <c r="L98" s="4" t="s">
        <v>848</v>
      </c>
      <c r="M98" s="57">
        <v>197</v>
      </c>
      <c r="N98" s="22">
        <f t="shared" si="8"/>
        <v>5.6000000000000001E-2</v>
      </c>
      <c r="O98" s="22" t="str">
        <f t="shared" si="9"/>
        <v>Ray Silva</v>
      </c>
    </row>
    <row r="99" spans="4:15" x14ac:dyDescent="0.25">
      <c r="D99" s="8">
        <f t="shared" ca="1" si="5"/>
        <v>41532</v>
      </c>
      <c r="E99" s="4" t="s">
        <v>903</v>
      </c>
      <c r="F99" s="57">
        <v>487</v>
      </c>
      <c r="G99" s="22">
        <f t="shared" si="6"/>
        <v>4.4999999999999998E-2</v>
      </c>
      <c r="K99" s="8">
        <f t="shared" ca="1" si="7"/>
        <v>41548</v>
      </c>
      <c r="L99" s="4" t="s">
        <v>903</v>
      </c>
      <c r="M99" s="57">
        <v>487</v>
      </c>
      <c r="N99" s="22">
        <f t="shared" si="8"/>
        <v>4.4999999999999998E-2</v>
      </c>
      <c r="O99" s="22" t="str">
        <f t="shared" si="9"/>
        <v>Gregg Lawson</v>
      </c>
    </row>
    <row r="100" spans="4:15" x14ac:dyDescent="0.25">
      <c r="D100" s="8">
        <f t="shared" ca="1" si="5"/>
        <v>41546</v>
      </c>
      <c r="E100" s="4" t="s">
        <v>813</v>
      </c>
      <c r="F100" s="57">
        <v>379</v>
      </c>
      <c r="G100" s="22">
        <f t="shared" si="6"/>
        <v>4.4999999999999998E-2</v>
      </c>
      <c r="K100" s="8">
        <f t="shared" ca="1" si="7"/>
        <v>41549</v>
      </c>
      <c r="L100" s="4" t="s">
        <v>813</v>
      </c>
      <c r="M100" s="57">
        <v>379</v>
      </c>
      <c r="N100" s="22">
        <f t="shared" si="8"/>
        <v>4.4999999999999998E-2</v>
      </c>
      <c r="O100" s="22" t="str">
        <f t="shared" si="9"/>
        <v>Gregg Lawson</v>
      </c>
    </row>
    <row r="101" spans="4:15" x14ac:dyDescent="0.25">
      <c r="D101" s="8">
        <f t="shared" ca="1" si="5"/>
        <v>41508</v>
      </c>
      <c r="E101" s="4" t="s">
        <v>880</v>
      </c>
      <c r="F101" s="57">
        <v>204</v>
      </c>
      <c r="G101" s="22">
        <f t="shared" si="6"/>
        <v>5.6000000000000001E-2</v>
      </c>
      <c r="K101" s="8">
        <f t="shared" ca="1" si="7"/>
        <v>41552</v>
      </c>
      <c r="L101" s="4" t="s">
        <v>880</v>
      </c>
      <c r="M101" s="57">
        <v>204</v>
      </c>
      <c r="N101" s="22">
        <f t="shared" si="8"/>
        <v>5.6000000000000001E-2</v>
      </c>
      <c r="O101" s="22" t="str">
        <f t="shared" si="9"/>
        <v>Ray Silva</v>
      </c>
    </row>
    <row r="102" spans="4:15" x14ac:dyDescent="0.25">
      <c r="D102" s="8">
        <f t="shared" ca="1" si="5"/>
        <v>41534</v>
      </c>
      <c r="E102" s="4" t="s">
        <v>904</v>
      </c>
      <c r="F102" s="57">
        <v>280</v>
      </c>
      <c r="G102" s="22">
        <f t="shared" si="6"/>
        <v>4.2999999999999997E-2</v>
      </c>
      <c r="K102" s="8">
        <f t="shared" ca="1" si="7"/>
        <v>41537</v>
      </c>
      <c r="L102" s="4" t="s">
        <v>904</v>
      </c>
      <c r="M102" s="57">
        <v>280</v>
      </c>
      <c r="N102" s="22">
        <f t="shared" si="8"/>
        <v>4.2999999999999997E-2</v>
      </c>
      <c r="O102" s="22" t="str">
        <f t="shared" si="9"/>
        <v>Dave Martin</v>
      </c>
    </row>
    <row r="103" spans="4:15" x14ac:dyDescent="0.25">
      <c r="D103" s="8">
        <f t="shared" ca="1" si="5"/>
        <v>41501</v>
      </c>
      <c r="E103" s="4" t="s">
        <v>860</v>
      </c>
      <c r="F103" s="57">
        <v>767</v>
      </c>
      <c r="G103" s="22">
        <f t="shared" si="6"/>
        <v>5.2999999999999999E-2</v>
      </c>
      <c r="K103" s="8">
        <f t="shared" ca="1" si="7"/>
        <v>41551</v>
      </c>
      <c r="L103" s="4" t="s">
        <v>860</v>
      </c>
      <c r="M103" s="57">
        <v>767</v>
      </c>
      <c r="N103" s="22">
        <f t="shared" si="8"/>
        <v>5.2999999999999999E-2</v>
      </c>
      <c r="O103" s="22" t="str">
        <f t="shared" si="9"/>
        <v>Darin Jenkins</v>
      </c>
    </row>
    <row r="104" spans="4:15" x14ac:dyDescent="0.25">
      <c r="D104" s="8">
        <f t="shared" ca="1" si="5"/>
        <v>41546</v>
      </c>
      <c r="E104" s="4" t="s">
        <v>892</v>
      </c>
      <c r="F104" s="57">
        <v>423</v>
      </c>
      <c r="G104" s="22">
        <f t="shared" si="6"/>
        <v>0.02</v>
      </c>
      <c r="K104" s="8">
        <f t="shared" ca="1" si="7"/>
        <v>41529</v>
      </c>
      <c r="L104" s="4" t="s">
        <v>892</v>
      </c>
      <c r="M104" s="57">
        <v>423</v>
      </c>
      <c r="N104" s="22">
        <f t="shared" si="8"/>
        <v>0.02</v>
      </c>
      <c r="O104" s="22" t="str">
        <f t="shared" si="9"/>
        <v>Bradley Hodges</v>
      </c>
    </row>
    <row r="105" spans="4:15" x14ac:dyDescent="0.25">
      <c r="D105" s="8">
        <f t="shared" ca="1" si="5"/>
        <v>41548</v>
      </c>
      <c r="E105" s="4" t="s">
        <v>851</v>
      </c>
      <c r="F105" s="57">
        <v>129</v>
      </c>
      <c r="G105" s="22">
        <f t="shared" si="6"/>
        <v>0.01</v>
      </c>
      <c r="K105" s="8">
        <f t="shared" ca="1" si="7"/>
        <v>41532</v>
      </c>
      <c r="L105" s="4" t="s">
        <v>851</v>
      </c>
      <c r="M105" s="57">
        <v>129</v>
      </c>
      <c r="N105" s="22">
        <f t="shared" si="8"/>
        <v>0.01</v>
      </c>
      <c r="O105" s="22" t="str">
        <f t="shared" si="9"/>
        <v>Nathan Nguyen</v>
      </c>
    </row>
    <row r="106" spans="4:15" x14ac:dyDescent="0.25">
      <c r="D106" s="8">
        <f t="shared" ca="1" si="5"/>
        <v>41552</v>
      </c>
      <c r="E106" s="4" t="s">
        <v>865</v>
      </c>
      <c r="F106" s="57">
        <v>662</v>
      </c>
      <c r="G106" s="22">
        <f t="shared" si="6"/>
        <v>1.7000000000000001E-2</v>
      </c>
      <c r="K106" s="8">
        <f t="shared" ca="1" si="7"/>
        <v>41513</v>
      </c>
      <c r="L106" s="4" t="s">
        <v>865</v>
      </c>
      <c r="M106" s="57">
        <v>662</v>
      </c>
      <c r="N106" s="22">
        <f t="shared" si="8"/>
        <v>1.7000000000000001E-2</v>
      </c>
      <c r="O106" s="22" t="str">
        <f t="shared" si="9"/>
        <v>Roderick White</v>
      </c>
    </row>
    <row r="107" spans="4:15" x14ac:dyDescent="0.25">
      <c r="D107" s="8">
        <f t="shared" ca="1" si="5"/>
        <v>41552</v>
      </c>
      <c r="E107" s="4" t="s">
        <v>867</v>
      </c>
      <c r="F107" s="57">
        <v>581</v>
      </c>
      <c r="G107" s="22">
        <f t="shared" si="6"/>
        <v>0.01</v>
      </c>
      <c r="K107" s="8">
        <f t="shared" ca="1" si="7"/>
        <v>41526</v>
      </c>
      <c r="L107" s="4" t="s">
        <v>867</v>
      </c>
      <c r="M107" s="57">
        <v>581</v>
      </c>
      <c r="N107" s="22">
        <f t="shared" si="8"/>
        <v>0.01</v>
      </c>
      <c r="O107" s="22" t="str">
        <f t="shared" si="9"/>
        <v>Nathan Nguyen</v>
      </c>
    </row>
    <row r="108" spans="4:15" x14ac:dyDescent="0.25">
      <c r="D108" s="8">
        <f t="shared" ca="1" si="5"/>
        <v>41535</v>
      </c>
      <c r="E108" s="4" t="s">
        <v>905</v>
      </c>
      <c r="F108" s="57">
        <v>774</v>
      </c>
      <c r="G108" s="22">
        <f t="shared" si="6"/>
        <v>4.2000000000000003E-2</v>
      </c>
      <c r="K108" s="8">
        <f t="shared" ca="1" si="7"/>
        <v>41508</v>
      </c>
      <c r="L108" s="4" t="s">
        <v>905</v>
      </c>
      <c r="M108" s="57">
        <v>774</v>
      </c>
      <c r="N108" s="22">
        <f t="shared" si="8"/>
        <v>4.2000000000000003E-2</v>
      </c>
      <c r="O108" s="22" t="str">
        <f t="shared" si="9"/>
        <v>Kelly Fowler</v>
      </c>
    </row>
    <row r="109" spans="4:15" x14ac:dyDescent="0.25">
      <c r="D109" s="8">
        <f t="shared" ca="1" si="5"/>
        <v>41527</v>
      </c>
      <c r="E109" s="4" t="s">
        <v>906</v>
      </c>
      <c r="F109" s="57">
        <v>382</v>
      </c>
      <c r="G109" s="22">
        <f t="shared" si="6"/>
        <v>0.01</v>
      </c>
      <c r="K109" s="8">
        <f t="shared" ca="1" si="7"/>
        <v>41532</v>
      </c>
      <c r="L109" s="4" t="s">
        <v>906</v>
      </c>
      <c r="M109" s="57">
        <v>382</v>
      </c>
      <c r="N109" s="22">
        <f t="shared" si="8"/>
        <v>0.01</v>
      </c>
      <c r="O109" s="22" t="str">
        <f t="shared" si="9"/>
        <v>Nathan Nguyen</v>
      </c>
    </row>
    <row r="110" spans="4:15" x14ac:dyDescent="0.25">
      <c r="D110" s="8">
        <f t="shared" ca="1" si="5"/>
        <v>41553</v>
      </c>
      <c r="E110" s="4" t="s">
        <v>836</v>
      </c>
      <c r="F110" s="57">
        <v>669</v>
      </c>
      <c r="G110" s="22">
        <f t="shared" si="6"/>
        <v>0.06</v>
      </c>
      <c r="K110" s="8">
        <f t="shared" ca="1" si="7"/>
        <v>41525</v>
      </c>
      <c r="L110" s="4" t="s">
        <v>836</v>
      </c>
      <c r="M110" s="57">
        <v>669</v>
      </c>
      <c r="N110" s="22">
        <f t="shared" si="8"/>
        <v>0.06</v>
      </c>
      <c r="O110" s="22" t="str">
        <f t="shared" si="9"/>
        <v>Krystal Hubbard</v>
      </c>
    </row>
    <row r="111" spans="4:15" x14ac:dyDescent="0.25">
      <c r="D111" s="8">
        <f t="shared" ca="1" si="5"/>
        <v>41550</v>
      </c>
      <c r="E111" s="4" t="s">
        <v>867</v>
      </c>
      <c r="F111" s="57">
        <v>752</v>
      </c>
      <c r="G111" s="22">
        <f t="shared" si="6"/>
        <v>0.01</v>
      </c>
      <c r="K111" s="8">
        <f t="shared" ca="1" si="7"/>
        <v>41517</v>
      </c>
      <c r="L111" s="4" t="s">
        <v>867</v>
      </c>
      <c r="M111" s="57">
        <v>752</v>
      </c>
      <c r="N111" s="22">
        <f t="shared" si="8"/>
        <v>0.01</v>
      </c>
      <c r="O111" s="22" t="str">
        <f t="shared" si="9"/>
        <v>Nathan Nguyen</v>
      </c>
    </row>
    <row r="112" spans="4:15" x14ac:dyDescent="0.25">
      <c r="D112" s="8">
        <f t="shared" ca="1" si="5"/>
        <v>41511</v>
      </c>
      <c r="E112" s="4" t="s">
        <v>893</v>
      </c>
      <c r="F112" s="57">
        <v>250</v>
      </c>
      <c r="G112" s="22">
        <f t="shared" si="6"/>
        <v>4.4999999999999998E-2</v>
      </c>
      <c r="K112" s="8">
        <f t="shared" ca="1" si="7"/>
        <v>41507</v>
      </c>
      <c r="L112" s="4" t="s">
        <v>893</v>
      </c>
      <c r="M112" s="57">
        <v>250</v>
      </c>
      <c r="N112" s="22">
        <f t="shared" si="8"/>
        <v>4.4999999999999998E-2</v>
      </c>
      <c r="O112" s="22" t="str">
        <f t="shared" si="9"/>
        <v>Gregg Lawson</v>
      </c>
    </row>
    <row r="113" spans="4:15" x14ac:dyDescent="0.25">
      <c r="D113" s="8">
        <f t="shared" ca="1" si="5"/>
        <v>41539</v>
      </c>
      <c r="E113" s="4" t="s">
        <v>875</v>
      </c>
      <c r="F113" s="57">
        <v>630</v>
      </c>
      <c r="G113" s="22">
        <f t="shared" si="6"/>
        <v>5.6000000000000001E-2</v>
      </c>
      <c r="K113" s="8">
        <f t="shared" ca="1" si="7"/>
        <v>41521</v>
      </c>
      <c r="L113" s="4" t="s">
        <v>875</v>
      </c>
      <c r="M113" s="57">
        <v>630</v>
      </c>
      <c r="N113" s="22">
        <f t="shared" si="8"/>
        <v>5.6000000000000001E-2</v>
      </c>
      <c r="O113" s="22" t="str">
        <f t="shared" si="9"/>
        <v>Ray Silva</v>
      </c>
    </row>
    <row r="114" spans="4:15" x14ac:dyDescent="0.25">
      <c r="D114" s="8">
        <f t="shared" ca="1" si="5"/>
        <v>41524</v>
      </c>
      <c r="E114" s="4" t="s">
        <v>842</v>
      </c>
      <c r="F114" s="57">
        <v>235</v>
      </c>
      <c r="G114" s="22">
        <f t="shared" si="6"/>
        <v>2.8000000000000001E-2</v>
      </c>
      <c r="K114" s="8">
        <f t="shared" ca="1" si="7"/>
        <v>41513</v>
      </c>
      <c r="L114" s="4" t="s">
        <v>842</v>
      </c>
      <c r="M114" s="57">
        <v>235</v>
      </c>
      <c r="N114" s="22">
        <f t="shared" si="8"/>
        <v>2.8000000000000001E-2</v>
      </c>
      <c r="O114" s="22" t="str">
        <f t="shared" si="9"/>
        <v>Roger Henderson</v>
      </c>
    </row>
    <row r="115" spans="4:15" x14ac:dyDescent="0.25">
      <c r="D115" s="8">
        <f t="shared" ca="1" si="5"/>
        <v>41554</v>
      </c>
      <c r="E115" s="4" t="s">
        <v>865</v>
      </c>
      <c r="F115" s="57">
        <v>650</v>
      </c>
      <c r="G115" s="22">
        <f t="shared" si="6"/>
        <v>1.7000000000000001E-2</v>
      </c>
      <c r="K115" s="8">
        <f t="shared" ca="1" si="7"/>
        <v>41511</v>
      </c>
      <c r="L115" s="4" t="s">
        <v>865</v>
      </c>
      <c r="M115" s="57">
        <v>650</v>
      </c>
      <c r="N115" s="22">
        <f t="shared" si="8"/>
        <v>1.7000000000000001E-2</v>
      </c>
      <c r="O115" s="22" t="str">
        <f t="shared" si="9"/>
        <v>Roderick White</v>
      </c>
    </row>
    <row r="116" spans="4:15" x14ac:dyDescent="0.25">
      <c r="D116" s="8">
        <f t="shared" ca="1" si="5"/>
        <v>41547</v>
      </c>
      <c r="E116" s="4" t="s">
        <v>907</v>
      </c>
      <c r="F116" s="57">
        <v>562</v>
      </c>
      <c r="G116" s="22">
        <f t="shared" si="6"/>
        <v>3.6999999999999998E-2</v>
      </c>
      <c r="K116" s="8">
        <f t="shared" ca="1" si="7"/>
        <v>41508</v>
      </c>
      <c r="L116" s="4" t="s">
        <v>907</v>
      </c>
      <c r="M116" s="57">
        <v>562</v>
      </c>
      <c r="N116" s="22">
        <f t="shared" si="8"/>
        <v>3.6999999999999998E-2</v>
      </c>
      <c r="O116" s="22" t="str">
        <f t="shared" si="9"/>
        <v>Beulah Howell</v>
      </c>
    </row>
    <row r="117" spans="4:15" x14ac:dyDescent="0.25">
      <c r="D117" s="8">
        <f t="shared" ca="1" si="5"/>
        <v>41550</v>
      </c>
      <c r="E117" s="4" t="s">
        <v>908</v>
      </c>
      <c r="F117" s="57">
        <v>684</v>
      </c>
      <c r="G117" s="22">
        <f t="shared" si="6"/>
        <v>1.4E-2</v>
      </c>
      <c r="K117" s="8">
        <f t="shared" ca="1" si="7"/>
        <v>41503</v>
      </c>
      <c r="L117" s="4" t="s">
        <v>908</v>
      </c>
      <c r="M117" s="57">
        <v>684</v>
      </c>
      <c r="N117" s="22">
        <f t="shared" si="8"/>
        <v>1.4E-2</v>
      </c>
      <c r="O117" s="22" t="str">
        <f t="shared" si="9"/>
        <v>Lois Luna</v>
      </c>
    </row>
    <row r="118" spans="4:15" x14ac:dyDescent="0.25">
      <c r="D118" s="8">
        <f t="shared" ca="1" si="5"/>
        <v>41547</v>
      </c>
      <c r="E118" s="4" t="s">
        <v>909</v>
      </c>
      <c r="F118" s="57">
        <v>492</v>
      </c>
      <c r="G118" s="22">
        <f t="shared" si="6"/>
        <v>3.1E-2</v>
      </c>
      <c r="K118" s="8">
        <f t="shared" ca="1" si="7"/>
        <v>41554</v>
      </c>
      <c r="L118" s="4" t="s">
        <v>909</v>
      </c>
      <c r="M118" s="57">
        <v>492</v>
      </c>
      <c r="N118" s="22">
        <f t="shared" si="8"/>
        <v>3.1E-2</v>
      </c>
      <c r="O118" s="22" t="str">
        <f t="shared" si="9"/>
        <v>Gina Stone</v>
      </c>
    </row>
    <row r="119" spans="4:15" x14ac:dyDescent="0.25">
      <c r="D119" s="8">
        <f t="shared" ca="1" si="5"/>
        <v>41502</v>
      </c>
      <c r="E119" s="4" t="s">
        <v>910</v>
      </c>
      <c r="F119" s="57">
        <v>657</v>
      </c>
      <c r="G119" s="22">
        <f t="shared" si="6"/>
        <v>1.7000000000000001E-2</v>
      </c>
      <c r="K119" s="8">
        <f t="shared" ca="1" si="7"/>
        <v>41513</v>
      </c>
      <c r="L119" s="4" t="s">
        <v>910</v>
      </c>
      <c r="M119" s="57">
        <v>657</v>
      </c>
      <c r="N119" s="22">
        <f t="shared" si="8"/>
        <v>1.7000000000000001E-2</v>
      </c>
      <c r="O119" s="22" t="str">
        <f t="shared" si="9"/>
        <v>Roderick White</v>
      </c>
    </row>
    <row r="120" spans="4:15" x14ac:dyDescent="0.25">
      <c r="D120" s="8">
        <f t="shared" ca="1" si="5"/>
        <v>41521</v>
      </c>
      <c r="E120" s="4" t="s">
        <v>911</v>
      </c>
      <c r="F120" s="57">
        <v>197</v>
      </c>
      <c r="G120" s="22">
        <f t="shared" si="6"/>
        <v>0.02</v>
      </c>
      <c r="K120" s="8">
        <f t="shared" ca="1" si="7"/>
        <v>41507</v>
      </c>
      <c r="L120" s="4" t="s">
        <v>911</v>
      </c>
      <c r="M120" s="57">
        <v>197</v>
      </c>
      <c r="N120" s="22">
        <f t="shared" si="8"/>
        <v>0.02</v>
      </c>
      <c r="O120" s="22" t="str">
        <f t="shared" si="9"/>
        <v>Bradley Hodges</v>
      </c>
    </row>
    <row r="121" spans="4:15" x14ac:dyDescent="0.25">
      <c r="D121" s="8">
        <f t="shared" ca="1" si="5"/>
        <v>41554</v>
      </c>
      <c r="E121" s="4" t="s">
        <v>840</v>
      </c>
      <c r="F121" s="57">
        <v>562</v>
      </c>
      <c r="G121" s="22">
        <f t="shared" si="6"/>
        <v>1.4E-2</v>
      </c>
      <c r="K121" s="8">
        <f t="shared" ca="1" si="7"/>
        <v>41501</v>
      </c>
      <c r="L121" s="4" t="s">
        <v>840</v>
      </c>
      <c r="M121" s="57">
        <v>562</v>
      </c>
      <c r="N121" s="22">
        <f t="shared" si="8"/>
        <v>1.4E-2</v>
      </c>
      <c r="O121" s="22" t="str">
        <f t="shared" si="9"/>
        <v>Lois Luna</v>
      </c>
    </row>
    <row r="122" spans="4:15" x14ac:dyDescent="0.25">
      <c r="D122" s="8">
        <f t="shared" ca="1" si="5"/>
        <v>41533</v>
      </c>
      <c r="E122" s="4" t="s">
        <v>904</v>
      </c>
      <c r="F122" s="57">
        <v>125</v>
      </c>
      <c r="G122" s="22">
        <f t="shared" si="6"/>
        <v>4.2999999999999997E-2</v>
      </c>
      <c r="K122" s="8">
        <f t="shared" ca="1" si="7"/>
        <v>41513</v>
      </c>
      <c r="L122" s="4" t="s">
        <v>904</v>
      </c>
      <c r="M122" s="57">
        <v>125</v>
      </c>
      <c r="N122" s="22">
        <f t="shared" si="8"/>
        <v>4.2999999999999997E-2</v>
      </c>
      <c r="O122" s="22" t="str">
        <f t="shared" si="9"/>
        <v>Dave Martin</v>
      </c>
    </row>
    <row r="123" spans="4:15" x14ac:dyDescent="0.25">
      <c r="D123" s="8">
        <f t="shared" ca="1" si="5"/>
        <v>41506</v>
      </c>
      <c r="E123" s="4" t="s">
        <v>863</v>
      </c>
      <c r="F123" s="57">
        <v>527</v>
      </c>
      <c r="G123" s="22">
        <f t="shared" si="6"/>
        <v>3.6999999999999998E-2</v>
      </c>
      <c r="K123" s="8">
        <f t="shared" ca="1" si="7"/>
        <v>41518</v>
      </c>
      <c r="L123" s="4" t="s">
        <v>863</v>
      </c>
      <c r="M123" s="57">
        <v>527</v>
      </c>
      <c r="N123" s="22">
        <f t="shared" si="8"/>
        <v>3.6999999999999998E-2</v>
      </c>
      <c r="O123" s="22" t="str">
        <f t="shared" si="9"/>
        <v>Beulah Howell</v>
      </c>
    </row>
    <row r="124" spans="4:15" x14ac:dyDescent="0.25">
      <c r="D124" s="8">
        <f t="shared" ca="1" si="5"/>
        <v>41504</v>
      </c>
      <c r="E124" s="4" t="s">
        <v>890</v>
      </c>
      <c r="F124" s="57">
        <v>500</v>
      </c>
      <c r="G124" s="22">
        <f t="shared" si="6"/>
        <v>4.4999999999999998E-2</v>
      </c>
      <c r="K124" s="8">
        <f t="shared" ca="1" si="7"/>
        <v>41510</v>
      </c>
      <c r="L124" s="4" t="s">
        <v>890</v>
      </c>
      <c r="M124" s="57">
        <v>500</v>
      </c>
      <c r="N124" s="22">
        <f t="shared" si="8"/>
        <v>4.4999999999999998E-2</v>
      </c>
      <c r="O124" s="22" t="str">
        <f t="shared" si="9"/>
        <v>Gregg Lawson</v>
      </c>
    </row>
    <row r="125" spans="4:15" x14ac:dyDescent="0.25">
      <c r="D125" s="8">
        <f t="shared" ca="1" si="5"/>
        <v>41532</v>
      </c>
      <c r="E125" s="4" t="s">
        <v>912</v>
      </c>
      <c r="F125" s="57">
        <v>241</v>
      </c>
      <c r="G125" s="22">
        <f t="shared" si="6"/>
        <v>3.1E-2</v>
      </c>
      <c r="K125" s="8">
        <f t="shared" ca="1" si="7"/>
        <v>41511</v>
      </c>
      <c r="L125" s="4" t="s">
        <v>912</v>
      </c>
      <c r="M125" s="57">
        <v>241</v>
      </c>
      <c r="N125" s="22">
        <f t="shared" si="8"/>
        <v>3.1E-2</v>
      </c>
      <c r="O125" s="22" t="str">
        <f t="shared" si="9"/>
        <v>Gina Stone</v>
      </c>
    </row>
    <row r="126" spans="4:15" x14ac:dyDescent="0.25">
      <c r="D126" s="8">
        <f t="shared" ca="1" si="5"/>
        <v>41554</v>
      </c>
      <c r="E126" s="4" t="s">
        <v>868</v>
      </c>
      <c r="F126" s="57">
        <v>719</v>
      </c>
      <c r="G126" s="22">
        <f t="shared" si="6"/>
        <v>1.4E-2</v>
      </c>
      <c r="K126" s="8">
        <f t="shared" ca="1" si="7"/>
        <v>41509</v>
      </c>
      <c r="L126" s="4" t="s">
        <v>868</v>
      </c>
      <c r="M126" s="57">
        <v>719</v>
      </c>
      <c r="N126" s="22">
        <f t="shared" si="8"/>
        <v>1.4E-2</v>
      </c>
      <c r="O126" s="22" t="str">
        <f t="shared" si="9"/>
        <v>Lois Luna</v>
      </c>
    </row>
    <row r="127" spans="4:15" x14ac:dyDescent="0.25">
      <c r="D127" s="8">
        <f t="shared" ca="1" si="5"/>
        <v>41550</v>
      </c>
      <c r="E127" s="4" t="s">
        <v>913</v>
      </c>
      <c r="F127" s="57">
        <v>624</v>
      </c>
      <c r="G127" s="22">
        <f t="shared" si="6"/>
        <v>4.2999999999999997E-2</v>
      </c>
      <c r="K127" s="8">
        <f t="shared" ca="1" si="7"/>
        <v>41547</v>
      </c>
      <c r="L127" s="4" t="s">
        <v>913</v>
      </c>
      <c r="M127" s="57">
        <v>624</v>
      </c>
      <c r="N127" s="22">
        <f t="shared" si="8"/>
        <v>4.2999999999999997E-2</v>
      </c>
      <c r="O127" s="22" t="str">
        <f t="shared" si="9"/>
        <v>Dave Martin</v>
      </c>
    </row>
    <row r="128" spans="4:15" x14ac:dyDescent="0.25">
      <c r="D128" s="8">
        <f t="shared" ca="1" si="5"/>
        <v>41504</v>
      </c>
      <c r="E128" s="4" t="s">
        <v>879</v>
      </c>
      <c r="F128" s="57">
        <v>500</v>
      </c>
      <c r="G128" s="22">
        <f t="shared" si="6"/>
        <v>5.2999999999999999E-2</v>
      </c>
      <c r="K128" s="8">
        <f t="shared" ca="1" si="7"/>
        <v>41524</v>
      </c>
      <c r="L128" s="4" t="s">
        <v>879</v>
      </c>
      <c r="M128" s="57">
        <v>500</v>
      </c>
      <c r="N128" s="22">
        <f t="shared" si="8"/>
        <v>5.2999999999999999E-2</v>
      </c>
      <c r="O128" s="22" t="str">
        <f t="shared" si="9"/>
        <v>Darin Jenkins</v>
      </c>
    </row>
    <row r="129" spans="4:15" x14ac:dyDescent="0.25">
      <c r="D129" s="8">
        <f t="shared" ca="1" si="5"/>
        <v>41509</v>
      </c>
      <c r="E129" s="4" t="s">
        <v>901</v>
      </c>
      <c r="F129" s="57">
        <v>174</v>
      </c>
      <c r="G129" s="22">
        <f t="shared" si="6"/>
        <v>2.8000000000000001E-2</v>
      </c>
      <c r="K129" s="8">
        <f t="shared" ca="1" si="7"/>
        <v>41549</v>
      </c>
      <c r="L129" s="4" t="s">
        <v>901</v>
      </c>
      <c r="M129" s="57">
        <v>174</v>
      </c>
      <c r="N129" s="22">
        <f t="shared" si="8"/>
        <v>2.8000000000000001E-2</v>
      </c>
      <c r="O129" s="22" t="str">
        <f t="shared" si="9"/>
        <v>Roger Henderson</v>
      </c>
    </row>
    <row r="130" spans="4:15" x14ac:dyDescent="0.25">
      <c r="D130" s="8">
        <f t="shared" ca="1" si="5"/>
        <v>41532</v>
      </c>
      <c r="E130" s="4" t="s">
        <v>910</v>
      </c>
      <c r="F130" s="57">
        <v>327</v>
      </c>
      <c r="G130" s="22">
        <f t="shared" si="6"/>
        <v>1.7000000000000001E-2</v>
      </c>
      <c r="K130" s="8">
        <f t="shared" ca="1" si="7"/>
        <v>41526</v>
      </c>
      <c r="L130" s="4" t="s">
        <v>910</v>
      </c>
      <c r="M130" s="57">
        <v>327</v>
      </c>
      <c r="N130" s="22">
        <f t="shared" si="8"/>
        <v>1.7000000000000001E-2</v>
      </c>
      <c r="O130" s="22" t="str">
        <f t="shared" si="9"/>
        <v>Roderick White</v>
      </c>
    </row>
    <row r="131" spans="4:15" x14ac:dyDescent="0.25">
      <c r="D131" s="8">
        <f t="shared" ca="1" si="5"/>
        <v>41506</v>
      </c>
      <c r="E131" s="4" t="s">
        <v>801</v>
      </c>
      <c r="F131" s="57">
        <v>375</v>
      </c>
      <c r="G131" s="22">
        <f t="shared" si="6"/>
        <v>1.7000000000000001E-2</v>
      </c>
      <c r="K131" s="8">
        <f t="shared" ca="1" si="7"/>
        <v>41528</v>
      </c>
      <c r="L131" s="4" t="s">
        <v>801</v>
      </c>
      <c r="M131" s="57">
        <v>375</v>
      </c>
      <c r="N131" s="22">
        <f t="shared" si="8"/>
        <v>1.7000000000000001E-2</v>
      </c>
      <c r="O131" s="22" t="str">
        <f t="shared" si="9"/>
        <v>Roderick White</v>
      </c>
    </row>
    <row r="132" spans="4:15" x14ac:dyDescent="0.25">
      <c r="D132" s="8">
        <f t="shared" ca="1" si="5"/>
        <v>41501</v>
      </c>
      <c r="E132" s="4" t="s">
        <v>820</v>
      </c>
      <c r="F132" s="57">
        <v>467</v>
      </c>
      <c r="G132" s="22">
        <f t="shared" si="6"/>
        <v>3.6999999999999998E-2</v>
      </c>
      <c r="K132" s="8">
        <f t="shared" ca="1" si="7"/>
        <v>41554</v>
      </c>
      <c r="L132" s="4" t="s">
        <v>820</v>
      </c>
      <c r="M132" s="57">
        <v>467</v>
      </c>
      <c r="N132" s="22">
        <f t="shared" si="8"/>
        <v>3.6999999999999998E-2</v>
      </c>
      <c r="O132" s="22" t="str">
        <f t="shared" si="9"/>
        <v>Beulah Howell</v>
      </c>
    </row>
    <row r="133" spans="4:15" x14ac:dyDescent="0.25">
      <c r="D133" s="8">
        <f t="shared" ca="1" si="5"/>
        <v>41522</v>
      </c>
      <c r="E133" s="4" t="s">
        <v>914</v>
      </c>
      <c r="F133" s="57">
        <v>211</v>
      </c>
      <c r="G133" s="22">
        <f t="shared" si="6"/>
        <v>4.2999999999999997E-2</v>
      </c>
      <c r="K133" s="8">
        <f t="shared" ca="1" si="7"/>
        <v>41532</v>
      </c>
      <c r="L133" s="4" t="s">
        <v>914</v>
      </c>
      <c r="M133" s="57">
        <v>211</v>
      </c>
      <c r="N133" s="22">
        <f t="shared" si="8"/>
        <v>4.2999999999999997E-2</v>
      </c>
      <c r="O133" s="22" t="str">
        <f t="shared" si="9"/>
        <v>Dave Martin</v>
      </c>
    </row>
    <row r="134" spans="4:15" x14ac:dyDescent="0.25">
      <c r="D134" s="8">
        <f t="shared" ref="D134:D197" ca="1" si="10">RANDBETWEEN(41500,41555)</f>
        <v>41516</v>
      </c>
      <c r="E134" s="4" t="s">
        <v>820</v>
      </c>
      <c r="F134" s="57">
        <v>463</v>
      </c>
      <c r="G134" s="22">
        <f t="shared" ref="G134:G197" si="11">VLOOKUP(TRIM(E134),$A$5:$B$19,2,0)</f>
        <v>3.6999999999999998E-2</v>
      </c>
      <c r="K134" s="8">
        <f t="shared" ref="K134:K197" ca="1" si="12">RANDBETWEEN(41500,41555)</f>
        <v>41532</v>
      </c>
      <c r="L134" s="4" t="s">
        <v>820</v>
      </c>
      <c r="M134" s="57">
        <v>463</v>
      </c>
      <c r="N134" s="22">
        <f t="shared" ref="N134:N197" si="13">VLOOKUP(O134,$A$5:$B$19,2,0)</f>
        <v>3.6999999999999998E-2</v>
      </c>
      <c r="O134" s="22" t="str">
        <f t="shared" ref="O134:O197" si="14">TRIM(L134)</f>
        <v>Beulah Howell</v>
      </c>
    </row>
    <row r="135" spans="4:15" x14ac:dyDescent="0.25">
      <c r="D135" s="8">
        <f t="shared" ca="1" si="10"/>
        <v>41501</v>
      </c>
      <c r="E135" s="4" t="s">
        <v>901</v>
      </c>
      <c r="F135" s="57">
        <v>266</v>
      </c>
      <c r="G135" s="22">
        <f t="shared" si="11"/>
        <v>2.8000000000000001E-2</v>
      </c>
      <c r="K135" s="8">
        <f t="shared" ca="1" si="12"/>
        <v>41508</v>
      </c>
      <c r="L135" s="4" t="s">
        <v>901</v>
      </c>
      <c r="M135" s="57">
        <v>266</v>
      </c>
      <c r="N135" s="22">
        <f t="shared" si="13"/>
        <v>2.8000000000000001E-2</v>
      </c>
      <c r="O135" s="22" t="str">
        <f t="shared" si="14"/>
        <v>Roger Henderson</v>
      </c>
    </row>
    <row r="136" spans="4:15" x14ac:dyDescent="0.25">
      <c r="D136" s="8">
        <f t="shared" ca="1" si="10"/>
        <v>41529</v>
      </c>
      <c r="E136" s="4" t="s">
        <v>888</v>
      </c>
      <c r="F136" s="57">
        <v>384</v>
      </c>
      <c r="G136" s="22">
        <f t="shared" si="11"/>
        <v>3.1E-2</v>
      </c>
      <c r="K136" s="8">
        <f t="shared" ca="1" si="12"/>
        <v>41547</v>
      </c>
      <c r="L136" s="4" t="s">
        <v>888</v>
      </c>
      <c r="M136" s="57">
        <v>384</v>
      </c>
      <c r="N136" s="22">
        <f t="shared" si="13"/>
        <v>3.1E-2</v>
      </c>
      <c r="O136" s="22" t="str">
        <f t="shared" si="14"/>
        <v>Gina Stone</v>
      </c>
    </row>
    <row r="137" spans="4:15" x14ac:dyDescent="0.25">
      <c r="D137" s="8">
        <f t="shared" ca="1" si="10"/>
        <v>41510</v>
      </c>
      <c r="E137" s="4" t="s">
        <v>849</v>
      </c>
      <c r="F137" s="57">
        <v>347</v>
      </c>
      <c r="G137" s="22">
        <f t="shared" si="11"/>
        <v>1.7000000000000001E-2</v>
      </c>
      <c r="K137" s="8">
        <f t="shared" ca="1" si="12"/>
        <v>41524</v>
      </c>
      <c r="L137" s="4" t="s">
        <v>849</v>
      </c>
      <c r="M137" s="57">
        <v>347</v>
      </c>
      <c r="N137" s="22">
        <f t="shared" si="13"/>
        <v>1.7000000000000001E-2</v>
      </c>
      <c r="O137" s="22" t="str">
        <f t="shared" si="14"/>
        <v>Roderick White</v>
      </c>
    </row>
    <row r="138" spans="4:15" x14ac:dyDescent="0.25">
      <c r="D138" s="8">
        <f t="shared" ca="1" si="10"/>
        <v>41522</v>
      </c>
      <c r="E138" s="4" t="s">
        <v>858</v>
      </c>
      <c r="F138" s="57">
        <v>575</v>
      </c>
      <c r="G138" s="22">
        <f t="shared" si="11"/>
        <v>3.1E-2</v>
      </c>
      <c r="K138" s="8">
        <f t="shared" ca="1" si="12"/>
        <v>41552</v>
      </c>
      <c r="L138" s="4" t="s">
        <v>858</v>
      </c>
      <c r="M138" s="57">
        <v>575</v>
      </c>
      <c r="N138" s="22">
        <f t="shared" si="13"/>
        <v>3.1E-2</v>
      </c>
      <c r="O138" s="22" t="str">
        <f t="shared" si="14"/>
        <v>Gina Stone</v>
      </c>
    </row>
    <row r="139" spans="4:15" x14ac:dyDescent="0.25">
      <c r="D139" s="8">
        <f t="shared" ca="1" si="10"/>
        <v>41553</v>
      </c>
      <c r="E139" s="4" t="s">
        <v>915</v>
      </c>
      <c r="F139" s="57">
        <v>452</v>
      </c>
      <c r="G139" s="22">
        <f t="shared" si="11"/>
        <v>0.01</v>
      </c>
      <c r="K139" s="8">
        <f t="shared" ca="1" si="12"/>
        <v>41534</v>
      </c>
      <c r="L139" s="4" t="s">
        <v>915</v>
      </c>
      <c r="M139" s="57">
        <v>452</v>
      </c>
      <c r="N139" s="22">
        <f t="shared" si="13"/>
        <v>0.01</v>
      </c>
      <c r="O139" s="22" t="str">
        <f t="shared" si="14"/>
        <v>Diana Holt</v>
      </c>
    </row>
    <row r="140" spans="4:15" x14ac:dyDescent="0.25">
      <c r="D140" s="8">
        <f t="shared" ca="1" si="10"/>
        <v>41517</v>
      </c>
      <c r="E140" s="4" t="s">
        <v>859</v>
      </c>
      <c r="F140" s="57">
        <v>470</v>
      </c>
      <c r="G140" s="22">
        <f t="shared" si="11"/>
        <v>0.02</v>
      </c>
      <c r="K140" s="8">
        <f t="shared" ca="1" si="12"/>
        <v>41555</v>
      </c>
      <c r="L140" s="4" t="s">
        <v>859</v>
      </c>
      <c r="M140" s="57">
        <v>470</v>
      </c>
      <c r="N140" s="22">
        <f t="shared" si="13"/>
        <v>0.02</v>
      </c>
      <c r="O140" s="22" t="str">
        <f t="shared" si="14"/>
        <v>Bradley Hodges</v>
      </c>
    </row>
    <row r="141" spans="4:15" x14ac:dyDescent="0.25">
      <c r="D141" s="8">
        <f t="shared" ca="1" si="10"/>
        <v>41530</v>
      </c>
      <c r="E141" s="4" t="s">
        <v>881</v>
      </c>
      <c r="F141" s="57">
        <v>710</v>
      </c>
      <c r="G141" s="22">
        <f t="shared" si="11"/>
        <v>0.01</v>
      </c>
      <c r="K141" s="8">
        <f t="shared" ca="1" si="12"/>
        <v>41510</v>
      </c>
      <c r="L141" s="4" t="s">
        <v>881</v>
      </c>
      <c r="M141" s="57">
        <v>710</v>
      </c>
      <c r="N141" s="22">
        <f t="shared" si="13"/>
        <v>0.01</v>
      </c>
      <c r="O141" s="22" t="str">
        <f t="shared" si="14"/>
        <v>Nathan Nguyen</v>
      </c>
    </row>
    <row r="142" spans="4:15" x14ac:dyDescent="0.25">
      <c r="D142" s="8">
        <f t="shared" ca="1" si="10"/>
        <v>41544</v>
      </c>
      <c r="E142" s="4" t="s">
        <v>854</v>
      </c>
      <c r="F142" s="57">
        <v>304</v>
      </c>
      <c r="G142" s="22">
        <f t="shared" si="11"/>
        <v>0.01</v>
      </c>
      <c r="K142" s="8">
        <f t="shared" ca="1" si="12"/>
        <v>41506</v>
      </c>
      <c r="L142" s="4" t="s">
        <v>854</v>
      </c>
      <c r="M142" s="57">
        <v>304</v>
      </c>
      <c r="N142" s="22">
        <f t="shared" si="13"/>
        <v>0.01</v>
      </c>
      <c r="O142" s="22" t="str">
        <f t="shared" si="14"/>
        <v>Diana Holt</v>
      </c>
    </row>
    <row r="143" spans="4:15" x14ac:dyDescent="0.25">
      <c r="D143" s="8">
        <f t="shared" ca="1" si="10"/>
        <v>41514</v>
      </c>
      <c r="E143" s="4" t="s">
        <v>841</v>
      </c>
      <c r="F143" s="57">
        <v>403</v>
      </c>
      <c r="G143" s="22">
        <f t="shared" si="11"/>
        <v>0.01</v>
      </c>
      <c r="K143" s="8">
        <f t="shared" ca="1" si="12"/>
        <v>41531</v>
      </c>
      <c r="L143" s="4" t="s">
        <v>841</v>
      </c>
      <c r="M143" s="57">
        <v>403</v>
      </c>
      <c r="N143" s="22">
        <f t="shared" si="13"/>
        <v>0.01</v>
      </c>
      <c r="O143" s="22" t="str">
        <f t="shared" si="14"/>
        <v>Diana Holt</v>
      </c>
    </row>
    <row r="144" spans="4:15" x14ac:dyDescent="0.25">
      <c r="D144" s="8">
        <f t="shared" ca="1" si="10"/>
        <v>41517</v>
      </c>
      <c r="E144" s="4" t="s">
        <v>839</v>
      </c>
      <c r="F144" s="57">
        <v>776</v>
      </c>
      <c r="G144" s="22">
        <f t="shared" si="11"/>
        <v>0.02</v>
      </c>
      <c r="K144" s="8">
        <f t="shared" ca="1" si="12"/>
        <v>41514</v>
      </c>
      <c r="L144" s="4" t="s">
        <v>839</v>
      </c>
      <c r="M144" s="57">
        <v>776</v>
      </c>
      <c r="N144" s="22">
        <f t="shared" si="13"/>
        <v>0.02</v>
      </c>
      <c r="O144" s="22" t="str">
        <f t="shared" si="14"/>
        <v>Bradley Hodges</v>
      </c>
    </row>
    <row r="145" spans="4:15" x14ac:dyDescent="0.25">
      <c r="D145" s="8">
        <f t="shared" ca="1" si="10"/>
        <v>41504</v>
      </c>
      <c r="E145" s="4" t="s">
        <v>880</v>
      </c>
      <c r="F145" s="57">
        <v>404</v>
      </c>
      <c r="G145" s="22">
        <f t="shared" si="11"/>
        <v>5.6000000000000001E-2</v>
      </c>
      <c r="K145" s="8">
        <f t="shared" ca="1" si="12"/>
        <v>41514</v>
      </c>
      <c r="L145" s="4" t="s">
        <v>880</v>
      </c>
      <c r="M145" s="57">
        <v>404</v>
      </c>
      <c r="N145" s="22">
        <f t="shared" si="13"/>
        <v>5.6000000000000001E-2</v>
      </c>
      <c r="O145" s="22" t="str">
        <f t="shared" si="14"/>
        <v>Ray Silva</v>
      </c>
    </row>
    <row r="146" spans="4:15" x14ac:dyDescent="0.25">
      <c r="D146" s="8">
        <f t="shared" ca="1" si="10"/>
        <v>41544</v>
      </c>
      <c r="E146" s="4" t="s">
        <v>916</v>
      </c>
      <c r="F146" s="57">
        <v>690</v>
      </c>
      <c r="G146" s="22">
        <f t="shared" si="11"/>
        <v>4.2999999999999997E-2</v>
      </c>
      <c r="K146" s="8">
        <f t="shared" ca="1" si="12"/>
        <v>41527</v>
      </c>
      <c r="L146" s="4" t="s">
        <v>916</v>
      </c>
      <c r="M146" s="57">
        <v>690</v>
      </c>
      <c r="N146" s="22">
        <f t="shared" si="13"/>
        <v>4.2999999999999997E-2</v>
      </c>
      <c r="O146" s="22" t="str">
        <f t="shared" si="14"/>
        <v>Dave Martin</v>
      </c>
    </row>
    <row r="147" spans="4:15" x14ac:dyDescent="0.25">
      <c r="D147" s="8">
        <f t="shared" ca="1" si="10"/>
        <v>41541</v>
      </c>
      <c r="E147" s="4" t="s">
        <v>857</v>
      </c>
      <c r="F147" s="57">
        <v>519</v>
      </c>
      <c r="G147" s="22">
        <f t="shared" si="11"/>
        <v>5.6000000000000001E-2</v>
      </c>
      <c r="K147" s="8">
        <f t="shared" ca="1" si="12"/>
        <v>41510</v>
      </c>
      <c r="L147" s="4" t="s">
        <v>857</v>
      </c>
      <c r="M147" s="57">
        <v>519</v>
      </c>
      <c r="N147" s="22">
        <f t="shared" si="13"/>
        <v>5.6000000000000001E-2</v>
      </c>
      <c r="O147" s="22" t="str">
        <f t="shared" si="14"/>
        <v>Ray Silva</v>
      </c>
    </row>
    <row r="148" spans="4:15" x14ac:dyDescent="0.25">
      <c r="D148" s="8">
        <f t="shared" ca="1" si="10"/>
        <v>41542</v>
      </c>
      <c r="E148" s="4" t="s">
        <v>896</v>
      </c>
      <c r="F148" s="57">
        <v>325</v>
      </c>
      <c r="G148" s="22">
        <f t="shared" si="11"/>
        <v>4.2000000000000003E-2</v>
      </c>
      <c r="K148" s="8">
        <f t="shared" ca="1" si="12"/>
        <v>41522</v>
      </c>
      <c r="L148" s="4" t="s">
        <v>896</v>
      </c>
      <c r="M148" s="57">
        <v>325</v>
      </c>
      <c r="N148" s="22">
        <f t="shared" si="13"/>
        <v>4.2000000000000003E-2</v>
      </c>
      <c r="O148" s="22" t="str">
        <f t="shared" si="14"/>
        <v>Kelly Fowler</v>
      </c>
    </row>
    <row r="149" spans="4:15" x14ac:dyDescent="0.25">
      <c r="D149" s="8">
        <f t="shared" ca="1" si="10"/>
        <v>41544</v>
      </c>
      <c r="E149" s="4" t="s">
        <v>895</v>
      </c>
      <c r="F149" s="57">
        <v>577</v>
      </c>
      <c r="G149" s="22">
        <f t="shared" si="11"/>
        <v>1.7000000000000001E-2</v>
      </c>
      <c r="K149" s="8">
        <f t="shared" ca="1" si="12"/>
        <v>41553</v>
      </c>
      <c r="L149" s="4" t="s">
        <v>895</v>
      </c>
      <c r="M149" s="57">
        <v>577</v>
      </c>
      <c r="N149" s="22">
        <f t="shared" si="13"/>
        <v>1.7000000000000001E-2</v>
      </c>
      <c r="O149" s="22" t="str">
        <f t="shared" si="14"/>
        <v>Roderick White</v>
      </c>
    </row>
    <row r="150" spans="4:15" x14ac:dyDescent="0.25">
      <c r="D150" s="8">
        <f t="shared" ca="1" si="10"/>
        <v>41535</v>
      </c>
      <c r="E150" s="4" t="s">
        <v>915</v>
      </c>
      <c r="F150" s="57">
        <v>595</v>
      </c>
      <c r="G150" s="22">
        <f t="shared" si="11"/>
        <v>0.01</v>
      </c>
      <c r="K150" s="8">
        <f t="shared" ca="1" si="12"/>
        <v>41536</v>
      </c>
      <c r="L150" s="4" t="s">
        <v>915</v>
      </c>
      <c r="M150" s="57">
        <v>595</v>
      </c>
      <c r="N150" s="22">
        <f t="shared" si="13"/>
        <v>0.01</v>
      </c>
      <c r="O150" s="22" t="str">
        <f t="shared" si="14"/>
        <v>Diana Holt</v>
      </c>
    </row>
    <row r="151" spans="4:15" x14ac:dyDescent="0.25">
      <c r="D151" s="8">
        <f t="shared" ca="1" si="10"/>
        <v>41518</v>
      </c>
      <c r="E151" s="4" t="s">
        <v>894</v>
      </c>
      <c r="F151" s="57">
        <v>133</v>
      </c>
      <c r="G151" s="22">
        <f t="shared" si="11"/>
        <v>0.01</v>
      </c>
      <c r="K151" s="8">
        <f t="shared" ca="1" si="12"/>
        <v>41510</v>
      </c>
      <c r="L151" s="4" t="s">
        <v>894</v>
      </c>
      <c r="M151" s="57">
        <v>133</v>
      </c>
      <c r="N151" s="22">
        <f t="shared" si="13"/>
        <v>0.01</v>
      </c>
      <c r="O151" s="22" t="str">
        <f t="shared" si="14"/>
        <v>Diana Holt</v>
      </c>
    </row>
    <row r="152" spans="4:15" x14ac:dyDescent="0.25">
      <c r="D152" s="8">
        <f t="shared" ca="1" si="10"/>
        <v>41551</v>
      </c>
      <c r="E152" s="4" t="s">
        <v>864</v>
      </c>
      <c r="F152" s="57">
        <v>328</v>
      </c>
      <c r="G152" s="22">
        <f t="shared" si="11"/>
        <v>0.01</v>
      </c>
      <c r="K152" s="8">
        <f t="shared" ca="1" si="12"/>
        <v>41546</v>
      </c>
      <c r="L152" s="4" t="s">
        <v>864</v>
      </c>
      <c r="M152" s="57">
        <v>328</v>
      </c>
      <c r="N152" s="22">
        <f t="shared" si="13"/>
        <v>0.01</v>
      </c>
      <c r="O152" s="22" t="str">
        <f t="shared" si="14"/>
        <v>Diana Holt</v>
      </c>
    </row>
    <row r="153" spans="4:15" x14ac:dyDescent="0.25">
      <c r="D153" s="8">
        <f t="shared" ca="1" si="10"/>
        <v>41526</v>
      </c>
      <c r="E153" s="4" t="s">
        <v>872</v>
      </c>
      <c r="F153" s="57">
        <v>339</v>
      </c>
      <c r="G153" s="22">
        <f t="shared" si="11"/>
        <v>5.2999999999999999E-2</v>
      </c>
      <c r="K153" s="8">
        <f t="shared" ca="1" si="12"/>
        <v>41503</v>
      </c>
      <c r="L153" s="4" t="s">
        <v>872</v>
      </c>
      <c r="M153" s="57">
        <v>339</v>
      </c>
      <c r="N153" s="22">
        <f t="shared" si="13"/>
        <v>5.2999999999999999E-2</v>
      </c>
      <c r="O153" s="22" t="str">
        <f t="shared" si="14"/>
        <v>Darin Jenkins</v>
      </c>
    </row>
    <row r="154" spans="4:15" x14ac:dyDescent="0.25">
      <c r="D154" s="8">
        <f t="shared" ca="1" si="10"/>
        <v>41522</v>
      </c>
      <c r="E154" s="4" t="s">
        <v>884</v>
      </c>
      <c r="F154" s="57">
        <v>642</v>
      </c>
      <c r="G154" s="22">
        <f t="shared" si="11"/>
        <v>0.04</v>
      </c>
      <c r="K154" s="8">
        <f t="shared" ca="1" si="12"/>
        <v>41513</v>
      </c>
      <c r="L154" s="4" t="s">
        <v>884</v>
      </c>
      <c r="M154" s="57">
        <v>642</v>
      </c>
      <c r="N154" s="22">
        <f t="shared" si="13"/>
        <v>0.04</v>
      </c>
      <c r="O154" s="22" t="str">
        <f t="shared" si="14"/>
        <v>Pat Anderson</v>
      </c>
    </row>
    <row r="155" spans="4:15" x14ac:dyDescent="0.25">
      <c r="D155" s="8">
        <f t="shared" ca="1" si="10"/>
        <v>41546</v>
      </c>
      <c r="E155" s="4" t="s">
        <v>853</v>
      </c>
      <c r="F155" s="57">
        <v>227</v>
      </c>
      <c r="G155" s="22">
        <f t="shared" si="11"/>
        <v>2.8000000000000001E-2</v>
      </c>
      <c r="K155" s="8">
        <f t="shared" ca="1" si="12"/>
        <v>41502</v>
      </c>
      <c r="L155" s="4" t="s">
        <v>853</v>
      </c>
      <c r="M155" s="57">
        <v>227</v>
      </c>
      <c r="N155" s="22">
        <f t="shared" si="13"/>
        <v>2.8000000000000001E-2</v>
      </c>
      <c r="O155" s="22" t="str">
        <f t="shared" si="14"/>
        <v>Roger Henderson</v>
      </c>
    </row>
    <row r="156" spans="4:15" x14ac:dyDescent="0.25">
      <c r="D156" s="8">
        <f t="shared" ca="1" si="10"/>
        <v>41547</v>
      </c>
      <c r="E156" s="4" t="s">
        <v>917</v>
      </c>
      <c r="F156" s="57">
        <v>549</v>
      </c>
      <c r="G156" s="22">
        <f t="shared" si="11"/>
        <v>1.4E-2</v>
      </c>
      <c r="K156" s="8">
        <f t="shared" ca="1" si="12"/>
        <v>41552</v>
      </c>
      <c r="L156" s="4" t="s">
        <v>917</v>
      </c>
      <c r="M156" s="57">
        <v>549</v>
      </c>
      <c r="N156" s="22">
        <f t="shared" si="13"/>
        <v>1.4E-2</v>
      </c>
      <c r="O156" s="22" t="str">
        <f t="shared" si="14"/>
        <v>Lois Luna</v>
      </c>
    </row>
    <row r="157" spans="4:15" x14ac:dyDescent="0.25">
      <c r="D157" s="8">
        <f t="shared" ca="1" si="10"/>
        <v>41534</v>
      </c>
      <c r="E157" s="4" t="s">
        <v>908</v>
      </c>
      <c r="F157" s="57">
        <v>210</v>
      </c>
      <c r="G157" s="22">
        <f t="shared" si="11"/>
        <v>1.4E-2</v>
      </c>
      <c r="K157" s="8">
        <f t="shared" ca="1" si="12"/>
        <v>41530</v>
      </c>
      <c r="L157" s="4" t="s">
        <v>908</v>
      </c>
      <c r="M157" s="57">
        <v>210</v>
      </c>
      <c r="N157" s="22">
        <f t="shared" si="13"/>
        <v>1.4E-2</v>
      </c>
      <c r="O157" s="22" t="str">
        <f t="shared" si="14"/>
        <v>Lois Luna</v>
      </c>
    </row>
    <row r="158" spans="4:15" x14ac:dyDescent="0.25">
      <c r="D158" s="8">
        <f t="shared" ca="1" si="10"/>
        <v>41550</v>
      </c>
      <c r="E158" s="4" t="s">
        <v>899</v>
      </c>
      <c r="F158" s="57">
        <v>209</v>
      </c>
      <c r="G158" s="22">
        <f t="shared" si="11"/>
        <v>0.04</v>
      </c>
      <c r="K158" s="8">
        <f t="shared" ca="1" si="12"/>
        <v>41544</v>
      </c>
      <c r="L158" s="4" t="s">
        <v>899</v>
      </c>
      <c r="M158" s="57">
        <v>209</v>
      </c>
      <c r="N158" s="22">
        <f t="shared" si="13"/>
        <v>0.04</v>
      </c>
      <c r="O158" s="22" t="str">
        <f t="shared" si="14"/>
        <v>Pat Anderson</v>
      </c>
    </row>
    <row r="159" spans="4:15" x14ac:dyDescent="0.25">
      <c r="D159" s="8">
        <f t="shared" ca="1" si="10"/>
        <v>41537</v>
      </c>
      <c r="E159" s="4" t="s">
        <v>908</v>
      </c>
      <c r="F159" s="57">
        <v>645</v>
      </c>
      <c r="G159" s="22">
        <f t="shared" si="11"/>
        <v>1.4E-2</v>
      </c>
      <c r="K159" s="8">
        <f t="shared" ca="1" si="12"/>
        <v>41523</v>
      </c>
      <c r="L159" s="4" t="s">
        <v>908</v>
      </c>
      <c r="M159" s="57">
        <v>645</v>
      </c>
      <c r="N159" s="22">
        <f t="shared" si="13"/>
        <v>1.4E-2</v>
      </c>
      <c r="O159" s="22" t="str">
        <f t="shared" si="14"/>
        <v>Lois Luna</v>
      </c>
    </row>
    <row r="160" spans="4:15" x14ac:dyDescent="0.25">
      <c r="D160" s="8">
        <f t="shared" ca="1" si="10"/>
        <v>41505</v>
      </c>
      <c r="E160" s="4" t="s">
        <v>907</v>
      </c>
      <c r="F160" s="57">
        <v>666</v>
      </c>
      <c r="G160" s="22">
        <f t="shared" si="11"/>
        <v>3.6999999999999998E-2</v>
      </c>
      <c r="K160" s="8">
        <f t="shared" ca="1" si="12"/>
        <v>41546</v>
      </c>
      <c r="L160" s="4" t="s">
        <v>907</v>
      </c>
      <c r="M160" s="57">
        <v>666</v>
      </c>
      <c r="N160" s="22">
        <f t="shared" si="13"/>
        <v>3.6999999999999998E-2</v>
      </c>
      <c r="O160" s="22" t="str">
        <f t="shared" si="14"/>
        <v>Beulah Howell</v>
      </c>
    </row>
    <row r="161" spans="4:15" x14ac:dyDescent="0.25">
      <c r="D161" s="8">
        <f t="shared" ca="1" si="10"/>
        <v>41518</v>
      </c>
      <c r="E161" s="4" t="s">
        <v>877</v>
      </c>
      <c r="F161" s="57">
        <v>124</v>
      </c>
      <c r="G161" s="22">
        <f t="shared" si="11"/>
        <v>0.04</v>
      </c>
      <c r="K161" s="8">
        <f t="shared" ca="1" si="12"/>
        <v>41553</v>
      </c>
      <c r="L161" s="4" t="s">
        <v>877</v>
      </c>
      <c r="M161" s="57">
        <v>124</v>
      </c>
      <c r="N161" s="22">
        <f t="shared" si="13"/>
        <v>0.04</v>
      </c>
      <c r="O161" s="22" t="str">
        <f t="shared" si="14"/>
        <v>Pat Anderson</v>
      </c>
    </row>
    <row r="162" spans="4:15" x14ac:dyDescent="0.25">
      <c r="D162" s="8">
        <f t="shared" ca="1" si="10"/>
        <v>41504</v>
      </c>
      <c r="E162" s="4" t="s">
        <v>918</v>
      </c>
      <c r="F162" s="57">
        <v>116</v>
      </c>
      <c r="G162" s="22">
        <f t="shared" si="11"/>
        <v>0.04</v>
      </c>
      <c r="K162" s="8">
        <f t="shared" ca="1" si="12"/>
        <v>41522</v>
      </c>
      <c r="L162" s="4" t="s">
        <v>918</v>
      </c>
      <c r="M162" s="57">
        <v>116</v>
      </c>
      <c r="N162" s="22">
        <f t="shared" si="13"/>
        <v>0.04</v>
      </c>
      <c r="O162" s="22" t="str">
        <f t="shared" si="14"/>
        <v>Pat Anderson</v>
      </c>
    </row>
    <row r="163" spans="4:15" x14ac:dyDescent="0.25">
      <c r="D163" s="8">
        <f t="shared" ca="1" si="10"/>
        <v>41516</v>
      </c>
      <c r="E163" s="4" t="s">
        <v>877</v>
      </c>
      <c r="F163" s="57">
        <v>231</v>
      </c>
      <c r="G163" s="22">
        <f t="shared" si="11"/>
        <v>0.04</v>
      </c>
      <c r="K163" s="8">
        <f t="shared" ca="1" si="12"/>
        <v>41512</v>
      </c>
      <c r="L163" s="4" t="s">
        <v>877</v>
      </c>
      <c r="M163" s="57">
        <v>231</v>
      </c>
      <c r="N163" s="22">
        <f t="shared" si="13"/>
        <v>0.04</v>
      </c>
      <c r="O163" s="22" t="str">
        <f t="shared" si="14"/>
        <v>Pat Anderson</v>
      </c>
    </row>
    <row r="164" spans="4:15" x14ac:dyDescent="0.25">
      <c r="D164" s="8">
        <f t="shared" ca="1" si="10"/>
        <v>41527</v>
      </c>
      <c r="E164" s="4" t="s">
        <v>816</v>
      </c>
      <c r="F164" s="57">
        <v>138</v>
      </c>
      <c r="G164" s="22">
        <f t="shared" si="11"/>
        <v>5.6000000000000001E-2</v>
      </c>
      <c r="K164" s="8">
        <f t="shared" ca="1" si="12"/>
        <v>41540</v>
      </c>
      <c r="L164" s="4" t="s">
        <v>816</v>
      </c>
      <c r="M164" s="57">
        <v>138</v>
      </c>
      <c r="N164" s="22">
        <f t="shared" si="13"/>
        <v>5.6000000000000001E-2</v>
      </c>
      <c r="O164" s="22" t="str">
        <f t="shared" si="14"/>
        <v>Ray Silva</v>
      </c>
    </row>
    <row r="165" spans="4:15" x14ac:dyDescent="0.25">
      <c r="D165" s="8">
        <f t="shared" ca="1" si="10"/>
        <v>41512</v>
      </c>
      <c r="E165" s="4" t="s">
        <v>860</v>
      </c>
      <c r="F165" s="57">
        <v>558</v>
      </c>
      <c r="G165" s="22">
        <f t="shared" si="11"/>
        <v>5.2999999999999999E-2</v>
      </c>
      <c r="K165" s="8">
        <f t="shared" ca="1" si="12"/>
        <v>41505</v>
      </c>
      <c r="L165" s="4" t="s">
        <v>860</v>
      </c>
      <c r="M165" s="57">
        <v>558</v>
      </c>
      <c r="N165" s="22">
        <f t="shared" si="13"/>
        <v>5.2999999999999999E-2</v>
      </c>
      <c r="O165" s="22" t="str">
        <f t="shared" si="14"/>
        <v>Darin Jenkins</v>
      </c>
    </row>
    <row r="166" spans="4:15" x14ac:dyDescent="0.25">
      <c r="D166" s="8">
        <f t="shared" ca="1" si="10"/>
        <v>41554</v>
      </c>
      <c r="E166" s="4" t="s">
        <v>813</v>
      </c>
      <c r="F166" s="57">
        <v>256</v>
      </c>
      <c r="G166" s="22">
        <f t="shared" si="11"/>
        <v>4.4999999999999998E-2</v>
      </c>
      <c r="K166" s="8">
        <f t="shared" ca="1" si="12"/>
        <v>41513</v>
      </c>
      <c r="L166" s="4" t="s">
        <v>813</v>
      </c>
      <c r="M166" s="57">
        <v>256</v>
      </c>
      <c r="N166" s="22">
        <f t="shared" si="13"/>
        <v>4.4999999999999998E-2</v>
      </c>
      <c r="O166" s="22" t="str">
        <f t="shared" si="14"/>
        <v>Gregg Lawson</v>
      </c>
    </row>
    <row r="167" spans="4:15" x14ac:dyDescent="0.25">
      <c r="D167" s="8">
        <f t="shared" ca="1" si="10"/>
        <v>41551</v>
      </c>
      <c r="E167" s="4" t="s">
        <v>850</v>
      </c>
      <c r="F167" s="57">
        <v>490</v>
      </c>
      <c r="G167" s="22">
        <f t="shared" si="11"/>
        <v>1.4E-2</v>
      </c>
      <c r="K167" s="8">
        <f t="shared" ca="1" si="12"/>
        <v>41547</v>
      </c>
      <c r="L167" s="4" t="s">
        <v>850</v>
      </c>
      <c r="M167" s="57">
        <v>490</v>
      </c>
      <c r="N167" s="22">
        <f t="shared" si="13"/>
        <v>1.4E-2</v>
      </c>
      <c r="O167" s="22" t="str">
        <f t="shared" si="14"/>
        <v>Lois Luna</v>
      </c>
    </row>
    <row r="168" spans="4:15" x14ac:dyDescent="0.25">
      <c r="D168" s="8">
        <f t="shared" ca="1" si="10"/>
        <v>41513</v>
      </c>
      <c r="E168" s="4" t="s">
        <v>919</v>
      </c>
      <c r="F168" s="57">
        <v>486</v>
      </c>
      <c r="G168" s="22">
        <f t="shared" si="11"/>
        <v>0.06</v>
      </c>
      <c r="K168" s="8">
        <f t="shared" ca="1" si="12"/>
        <v>41500</v>
      </c>
      <c r="L168" s="4" t="s">
        <v>919</v>
      </c>
      <c r="M168" s="57">
        <v>486</v>
      </c>
      <c r="N168" s="22">
        <f t="shared" si="13"/>
        <v>0.06</v>
      </c>
      <c r="O168" s="22" t="str">
        <f t="shared" si="14"/>
        <v>Krystal Hubbard</v>
      </c>
    </row>
    <row r="169" spans="4:15" x14ac:dyDescent="0.25">
      <c r="D169" s="8">
        <f t="shared" ca="1" si="10"/>
        <v>41512</v>
      </c>
      <c r="E169" s="4" t="s">
        <v>920</v>
      </c>
      <c r="F169" s="57">
        <v>401</v>
      </c>
      <c r="G169" s="22">
        <f t="shared" si="11"/>
        <v>4.2000000000000003E-2</v>
      </c>
      <c r="K169" s="8">
        <f t="shared" ca="1" si="12"/>
        <v>41555</v>
      </c>
      <c r="L169" s="4" t="s">
        <v>920</v>
      </c>
      <c r="M169" s="57">
        <v>401</v>
      </c>
      <c r="N169" s="22">
        <f t="shared" si="13"/>
        <v>4.2000000000000003E-2</v>
      </c>
      <c r="O169" s="22" t="str">
        <f t="shared" si="14"/>
        <v>Kelly Fowler</v>
      </c>
    </row>
    <row r="170" spans="4:15" x14ac:dyDescent="0.25">
      <c r="D170" s="8">
        <f t="shared" ca="1" si="10"/>
        <v>41520</v>
      </c>
      <c r="E170" s="4" t="s">
        <v>837</v>
      </c>
      <c r="F170" s="57">
        <v>754</v>
      </c>
      <c r="G170" s="22">
        <f t="shared" si="11"/>
        <v>0.04</v>
      </c>
      <c r="K170" s="8">
        <f t="shared" ca="1" si="12"/>
        <v>41542</v>
      </c>
      <c r="L170" s="4" t="s">
        <v>837</v>
      </c>
      <c r="M170" s="57">
        <v>754</v>
      </c>
      <c r="N170" s="22">
        <f t="shared" si="13"/>
        <v>0.04</v>
      </c>
      <c r="O170" s="22" t="str">
        <f t="shared" si="14"/>
        <v>Pat Anderson</v>
      </c>
    </row>
    <row r="171" spans="4:15" x14ac:dyDescent="0.25">
      <c r="D171" s="8">
        <f t="shared" ca="1" si="10"/>
        <v>41514</v>
      </c>
      <c r="E171" s="4" t="s">
        <v>921</v>
      </c>
      <c r="F171" s="57">
        <v>226</v>
      </c>
      <c r="G171" s="22">
        <f t="shared" si="11"/>
        <v>1.7000000000000001E-2</v>
      </c>
      <c r="K171" s="8">
        <f t="shared" ca="1" si="12"/>
        <v>41522</v>
      </c>
      <c r="L171" s="4" t="s">
        <v>921</v>
      </c>
      <c r="M171" s="57">
        <v>226</v>
      </c>
      <c r="N171" s="22">
        <f t="shared" si="13"/>
        <v>1.7000000000000001E-2</v>
      </c>
      <c r="O171" s="22" t="str">
        <f t="shared" si="14"/>
        <v>Roderick White</v>
      </c>
    </row>
    <row r="172" spans="4:15" x14ac:dyDescent="0.25">
      <c r="D172" s="8">
        <f t="shared" ca="1" si="10"/>
        <v>41500</v>
      </c>
      <c r="E172" s="4" t="s">
        <v>838</v>
      </c>
      <c r="F172" s="57">
        <v>764</v>
      </c>
      <c r="G172" s="22">
        <f t="shared" si="11"/>
        <v>0.01</v>
      </c>
      <c r="K172" s="8">
        <f t="shared" ca="1" si="12"/>
        <v>41516</v>
      </c>
      <c r="L172" s="4" t="s">
        <v>838</v>
      </c>
      <c r="M172" s="57">
        <v>764</v>
      </c>
      <c r="N172" s="22">
        <f t="shared" si="13"/>
        <v>0.01</v>
      </c>
      <c r="O172" s="22" t="str">
        <f t="shared" si="14"/>
        <v>Nathan Nguyen</v>
      </c>
    </row>
    <row r="173" spans="4:15" x14ac:dyDescent="0.25">
      <c r="D173" s="8">
        <f t="shared" ca="1" si="10"/>
        <v>41510</v>
      </c>
      <c r="E173" s="4" t="s">
        <v>849</v>
      </c>
      <c r="F173" s="57">
        <v>722</v>
      </c>
      <c r="G173" s="22">
        <f t="shared" si="11"/>
        <v>1.7000000000000001E-2</v>
      </c>
      <c r="K173" s="8">
        <f t="shared" ca="1" si="12"/>
        <v>41515</v>
      </c>
      <c r="L173" s="4" t="s">
        <v>849</v>
      </c>
      <c r="M173" s="57">
        <v>722</v>
      </c>
      <c r="N173" s="22">
        <f t="shared" si="13"/>
        <v>1.7000000000000001E-2</v>
      </c>
      <c r="O173" s="22" t="str">
        <f t="shared" si="14"/>
        <v>Roderick White</v>
      </c>
    </row>
    <row r="174" spans="4:15" x14ac:dyDescent="0.25">
      <c r="D174" s="8">
        <f t="shared" ca="1" si="10"/>
        <v>41505</v>
      </c>
      <c r="E174" s="4" t="s">
        <v>836</v>
      </c>
      <c r="F174" s="57">
        <v>560</v>
      </c>
      <c r="G174" s="22">
        <f t="shared" si="11"/>
        <v>0.06</v>
      </c>
      <c r="K174" s="8">
        <f t="shared" ca="1" si="12"/>
        <v>41516</v>
      </c>
      <c r="L174" s="4" t="s">
        <v>836</v>
      </c>
      <c r="M174" s="57">
        <v>560</v>
      </c>
      <c r="N174" s="22">
        <f t="shared" si="13"/>
        <v>0.06</v>
      </c>
      <c r="O174" s="22" t="str">
        <f t="shared" si="14"/>
        <v>Krystal Hubbard</v>
      </c>
    </row>
    <row r="175" spans="4:15" x14ac:dyDescent="0.25">
      <c r="D175" s="8">
        <f t="shared" ca="1" si="10"/>
        <v>41550</v>
      </c>
      <c r="E175" s="4" t="s">
        <v>922</v>
      </c>
      <c r="F175" s="57">
        <v>620</v>
      </c>
      <c r="G175" s="22">
        <f t="shared" si="11"/>
        <v>1.7000000000000001E-2</v>
      </c>
      <c r="K175" s="8">
        <f t="shared" ca="1" si="12"/>
        <v>41539</v>
      </c>
      <c r="L175" s="4" t="s">
        <v>922</v>
      </c>
      <c r="M175" s="57">
        <v>620</v>
      </c>
      <c r="N175" s="22">
        <f t="shared" si="13"/>
        <v>1.7000000000000001E-2</v>
      </c>
      <c r="O175" s="22" t="str">
        <f t="shared" si="14"/>
        <v>Roderick White</v>
      </c>
    </row>
    <row r="176" spans="4:15" x14ac:dyDescent="0.25">
      <c r="D176" s="8">
        <f t="shared" ca="1" si="10"/>
        <v>41537</v>
      </c>
      <c r="E176" s="4" t="s">
        <v>896</v>
      </c>
      <c r="F176" s="57">
        <v>480</v>
      </c>
      <c r="G176" s="22">
        <f t="shared" si="11"/>
        <v>4.2000000000000003E-2</v>
      </c>
      <c r="K176" s="8">
        <f t="shared" ca="1" si="12"/>
        <v>41514</v>
      </c>
      <c r="L176" s="4" t="s">
        <v>896</v>
      </c>
      <c r="M176" s="57">
        <v>480</v>
      </c>
      <c r="N176" s="22">
        <f t="shared" si="13"/>
        <v>4.2000000000000003E-2</v>
      </c>
      <c r="O176" s="22" t="str">
        <f t="shared" si="14"/>
        <v>Kelly Fowler</v>
      </c>
    </row>
    <row r="177" spans="4:15" x14ac:dyDescent="0.25">
      <c r="D177" s="8">
        <f t="shared" ca="1" si="10"/>
        <v>41551</v>
      </c>
      <c r="E177" s="4" t="s">
        <v>837</v>
      </c>
      <c r="F177" s="57">
        <v>340</v>
      </c>
      <c r="G177" s="22">
        <f t="shared" si="11"/>
        <v>0.04</v>
      </c>
      <c r="K177" s="8">
        <f t="shared" ca="1" si="12"/>
        <v>41507</v>
      </c>
      <c r="L177" s="4" t="s">
        <v>837</v>
      </c>
      <c r="M177" s="57">
        <v>340</v>
      </c>
      <c r="N177" s="22">
        <f t="shared" si="13"/>
        <v>0.04</v>
      </c>
      <c r="O177" s="22" t="str">
        <f t="shared" si="14"/>
        <v>Pat Anderson</v>
      </c>
    </row>
    <row r="178" spans="4:15" x14ac:dyDescent="0.25">
      <c r="D178" s="8">
        <f t="shared" ca="1" si="10"/>
        <v>41505</v>
      </c>
      <c r="E178" s="4" t="s">
        <v>800</v>
      </c>
      <c r="F178" s="57">
        <v>123</v>
      </c>
      <c r="G178" s="22">
        <f t="shared" si="11"/>
        <v>5.6000000000000001E-2</v>
      </c>
      <c r="K178" s="8">
        <f t="shared" ca="1" si="12"/>
        <v>41507</v>
      </c>
      <c r="L178" s="4" t="s">
        <v>800</v>
      </c>
      <c r="M178" s="57">
        <v>123</v>
      </c>
      <c r="N178" s="22">
        <f t="shared" si="13"/>
        <v>5.6000000000000001E-2</v>
      </c>
      <c r="O178" s="22" t="str">
        <f t="shared" si="14"/>
        <v>Ray Silva</v>
      </c>
    </row>
    <row r="179" spans="4:15" x14ac:dyDescent="0.25">
      <c r="D179" s="8">
        <f t="shared" ca="1" si="10"/>
        <v>41517</v>
      </c>
      <c r="E179" s="4" t="s">
        <v>862</v>
      </c>
      <c r="F179" s="57">
        <v>286</v>
      </c>
      <c r="G179" s="22">
        <f t="shared" si="11"/>
        <v>5.6000000000000001E-2</v>
      </c>
      <c r="K179" s="8">
        <f t="shared" ca="1" si="12"/>
        <v>41508</v>
      </c>
      <c r="L179" s="4" t="s">
        <v>862</v>
      </c>
      <c r="M179" s="57">
        <v>286</v>
      </c>
      <c r="N179" s="22">
        <f t="shared" si="13"/>
        <v>5.6000000000000001E-2</v>
      </c>
      <c r="O179" s="22" t="str">
        <f t="shared" si="14"/>
        <v>Ray Silva</v>
      </c>
    </row>
    <row r="180" spans="4:15" x14ac:dyDescent="0.25">
      <c r="D180" s="8">
        <f t="shared" ca="1" si="10"/>
        <v>41502</v>
      </c>
      <c r="E180" s="4" t="s">
        <v>858</v>
      </c>
      <c r="F180" s="57">
        <v>235</v>
      </c>
      <c r="G180" s="22">
        <f t="shared" si="11"/>
        <v>3.1E-2</v>
      </c>
      <c r="K180" s="8">
        <f t="shared" ca="1" si="12"/>
        <v>41513</v>
      </c>
      <c r="L180" s="4" t="s">
        <v>858</v>
      </c>
      <c r="M180" s="57">
        <v>235</v>
      </c>
      <c r="N180" s="22">
        <f t="shared" si="13"/>
        <v>3.1E-2</v>
      </c>
      <c r="O180" s="22" t="str">
        <f t="shared" si="14"/>
        <v>Gina Stone</v>
      </c>
    </row>
    <row r="181" spans="4:15" x14ac:dyDescent="0.25">
      <c r="D181" s="8">
        <f t="shared" ca="1" si="10"/>
        <v>41508</v>
      </c>
      <c r="E181" s="4" t="s">
        <v>907</v>
      </c>
      <c r="F181" s="57">
        <v>408</v>
      </c>
      <c r="G181" s="22">
        <f t="shared" si="11"/>
        <v>3.6999999999999998E-2</v>
      </c>
      <c r="K181" s="8">
        <f t="shared" ca="1" si="12"/>
        <v>41520</v>
      </c>
      <c r="L181" s="4" t="s">
        <v>907</v>
      </c>
      <c r="M181" s="57">
        <v>408</v>
      </c>
      <c r="N181" s="22">
        <f t="shared" si="13"/>
        <v>3.6999999999999998E-2</v>
      </c>
      <c r="O181" s="22" t="str">
        <f t="shared" si="14"/>
        <v>Beulah Howell</v>
      </c>
    </row>
    <row r="182" spans="4:15" x14ac:dyDescent="0.25">
      <c r="D182" s="8">
        <f t="shared" ca="1" si="10"/>
        <v>41530</v>
      </c>
      <c r="E182" s="4" t="s">
        <v>881</v>
      </c>
      <c r="F182" s="57">
        <v>764</v>
      </c>
      <c r="G182" s="22">
        <f t="shared" si="11"/>
        <v>0.01</v>
      </c>
      <c r="K182" s="8">
        <f t="shared" ca="1" si="12"/>
        <v>41545</v>
      </c>
      <c r="L182" s="4" t="s">
        <v>881</v>
      </c>
      <c r="M182" s="57">
        <v>764</v>
      </c>
      <c r="N182" s="22">
        <f t="shared" si="13"/>
        <v>0.01</v>
      </c>
      <c r="O182" s="22" t="str">
        <f t="shared" si="14"/>
        <v>Nathan Nguyen</v>
      </c>
    </row>
    <row r="183" spans="4:15" x14ac:dyDescent="0.25">
      <c r="D183" s="8">
        <f t="shared" ca="1" si="10"/>
        <v>41539</v>
      </c>
      <c r="E183" s="4" t="s">
        <v>864</v>
      </c>
      <c r="F183" s="57">
        <v>129</v>
      </c>
      <c r="G183" s="22">
        <f t="shared" si="11"/>
        <v>0.01</v>
      </c>
      <c r="K183" s="8">
        <f t="shared" ca="1" si="12"/>
        <v>41520</v>
      </c>
      <c r="L183" s="4" t="s">
        <v>864</v>
      </c>
      <c r="M183" s="57">
        <v>129</v>
      </c>
      <c r="N183" s="22">
        <f t="shared" si="13"/>
        <v>0.01</v>
      </c>
      <c r="O183" s="22" t="str">
        <f t="shared" si="14"/>
        <v>Diana Holt</v>
      </c>
    </row>
    <row r="184" spans="4:15" x14ac:dyDescent="0.25">
      <c r="D184" s="8">
        <f t="shared" ca="1" si="10"/>
        <v>41541</v>
      </c>
      <c r="E184" s="4" t="s">
        <v>902</v>
      </c>
      <c r="F184" s="57">
        <v>360</v>
      </c>
      <c r="G184" s="22">
        <f t="shared" si="11"/>
        <v>0.06</v>
      </c>
      <c r="K184" s="8">
        <f t="shared" ca="1" si="12"/>
        <v>41516</v>
      </c>
      <c r="L184" s="4" t="s">
        <v>902</v>
      </c>
      <c r="M184" s="57">
        <v>360</v>
      </c>
      <c r="N184" s="22">
        <f t="shared" si="13"/>
        <v>0.06</v>
      </c>
      <c r="O184" s="22" t="str">
        <f t="shared" si="14"/>
        <v>Krystal Hubbard</v>
      </c>
    </row>
    <row r="185" spans="4:15" x14ac:dyDescent="0.25">
      <c r="D185" s="8">
        <f t="shared" ca="1" si="10"/>
        <v>41524</v>
      </c>
      <c r="E185" s="4" t="s">
        <v>883</v>
      </c>
      <c r="F185" s="57">
        <v>662</v>
      </c>
      <c r="G185" s="22">
        <f t="shared" si="11"/>
        <v>3.6999999999999998E-2</v>
      </c>
      <c r="K185" s="8">
        <f t="shared" ca="1" si="12"/>
        <v>41523</v>
      </c>
      <c r="L185" s="4" t="s">
        <v>883</v>
      </c>
      <c r="M185" s="57">
        <v>662</v>
      </c>
      <c r="N185" s="22">
        <f t="shared" si="13"/>
        <v>3.6999999999999998E-2</v>
      </c>
      <c r="O185" s="22" t="str">
        <f t="shared" si="14"/>
        <v>Beulah Howell</v>
      </c>
    </row>
    <row r="186" spans="4:15" x14ac:dyDescent="0.25">
      <c r="D186" s="8">
        <f t="shared" ca="1" si="10"/>
        <v>41534</v>
      </c>
      <c r="E186" s="4" t="s">
        <v>848</v>
      </c>
      <c r="F186" s="57">
        <v>557</v>
      </c>
      <c r="G186" s="22">
        <f t="shared" si="11"/>
        <v>5.6000000000000001E-2</v>
      </c>
      <c r="K186" s="8">
        <f t="shared" ca="1" si="12"/>
        <v>41528</v>
      </c>
      <c r="L186" s="4" t="s">
        <v>848</v>
      </c>
      <c r="M186" s="57">
        <v>557</v>
      </c>
      <c r="N186" s="22">
        <f t="shared" si="13"/>
        <v>5.6000000000000001E-2</v>
      </c>
      <c r="O186" s="22" t="str">
        <f t="shared" si="14"/>
        <v>Ray Silva</v>
      </c>
    </row>
    <row r="187" spans="4:15" x14ac:dyDescent="0.25">
      <c r="D187" s="8">
        <f t="shared" ca="1" si="10"/>
        <v>41502</v>
      </c>
      <c r="E187" s="4" t="s">
        <v>904</v>
      </c>
      <c r="F187" s="57">
        <v>245</v>
      </c>
      <c r="G187" s="22">
        <f t="shared" si="11"/>
        <v>4.2999999999999997E-2</v>
      </c>
      <c r="K187" s="8">
        <f t="shared" ca="1" si="12"/>
        <v>41519</v>
      </c>
      <c r="L187" s="4" t="s">
        <v>904</v>
      </c>
      <c r="M187" s="57">
        <v>245</v>
      </c>
      <c r="N187" s="22">
        <f t="shared" si="13"/>
        <v>4.2999999999999997E-2</v>
      </c>
      <c r="O187" s="22" t="str">
        <f t="shared" si="14"/>
        <v>Dave Martin</v>
      </c>
    </row>
    <row r="188" spans="4:15" x14ac:dyDescent="0.25">
      <c r="D188" s="8">
        <f t="shared" ca="1" si="10"/>
        <v>41513</v>
      </c>
      <c r="E188" s="4" t="s">
        <v>893</v>
      </c>
      <c r="F188" s="57">
        <v>257</v>
      </c>
      <c r="G188" s="22">
        <f t="shared" si="11"/>
        <v>4.4999999999999998E-2</v>
      </c>
      <c r="K188" s="8">
        <f t="shared" ca="1" si="12"/>
        <v>41510</v>
      </c>
      <c r="L188" s="4" t="s">
        <v>893</v>
      </c>
      <c r="M188" s="57">
        <v>257</v>
      </c>
      <c r="N188" s="22">
        <f t="shared" si="13"/>
        <v>4.4999999999999998E-2</v>
      </c>
      <c r="O188" s="22" t="str">
        <f t="shared" si="14"/>
        <v>Gregg Lawson</v>
      </c>
    </row>
    <row r="189" spans="4:15" x14ac:dyDescent="0.25">
      <c r="D189" s="8">
        <f t="shared" ca="1" si="10"/>
        <v>41510</v>
      </c>
      <c r="E189" s="4" t="s">
        <v>822</v>
      </c>
      <c r="F189" s="57">
        <v>200</v>
      </c>
      <c r="G189" s="22">
        <f t="shared" si="11"/>
        <v>2.8000000000000001E-2</v>
      </c>
      <c r="K189" s="8">
        <f t="shared" ca="1" si="12"/>
        <v>41549</v>
      </c>
      <c r="L189" s="4" t="s">
        <v>822</v>
      </c>
      <c r="M189" s="57">
        <v>200</v>
      </c>
      <c r="N189" s="22">
        <f t="shared" si="13"/>
        <v>2.8000000000000001E-2</v>
      </c>
      <c r="O189" s="22" t="str">
        <f t="shared" si="14"/>
        <v>Roger Henderson</v>
      </c>
    </row>
    <row r="190" spans="4:15" x14ac:dyDescent="0.25">
      <c r="D190" s="8">
        <f t="shared" ca="1" si="10"/>
        <v>41502</v>
      </c>
      <c r="E190" s="4" t="s">
        <v>801</v>
      </c>
      <c r="F190" s="57">
        <v>718</v>
      </c>
      <c r="G190" s="22">
        <f t="shared" si="11"/>
        <v>1.7000000000000001E-2</v>
      </c>
      <c r="K190" s="8">
        <f t="shared" ca="1" si="12"/>
        <v>41506</v>
      </c>
      <c r="L190" s="4" t="s">
        <v>801</v>
      </c>
      <c r="M190" s="57">
        <v>718</v>
      </c>
      <c r="N190" s="22">
        <f t="shared" si="13"/>
        <v>1.7000000000000001E-2</v>
      </c>
      <c r="O190" s="22" t="str">
        <f t="shared" si="14"/>
        <v>Roderick White</v>
      </c>
    </row>
    <row r="191" spans="4:15" x14ac:dyDescent="0.25">
      <c r="D191" s="8">
        <f t="shared" ca="1" si="10"/>
        <v>41553</v>
      </c>
      <c r="E191" s="4" t="s">
        <v>882</v>
      </c>
      <c r="F191" s="57">
        <v>770</v>
      </c>
      <c r="G191" s="22">
        <f t="shared" si="11"/>
        <v>3.6999999999999998E-2</v>
      </c>
      <c r="K191" s="8">
        <f t="shared" ca="1" si="12"/>
        <v>41534</v>
      </c>
      <c r="L191" s="4" t="s">
        <v>882</v>
      </c>
      <c r="M191" s="57">
        <v>770</v>
      </c>
      <c r="N191" s="22">
        <f t="shared" si="13"/>
        <v>3.6999999999999998E-2</v>
      </c>
      <c r="O191" s="22" t="str">
        <f t="shared" si="14"/>
        <v>Beulah Howell</v>
      </c>
    </row>
    <row r="192" spans="4:15" x14ac:dyDescent="0.25">
      <c r="D192" s="8">
        <f t="shared" ca="1" si="10"/>
        <v>41555</v>
      </c>
      <c r="E192" s="4" t="s">
        <v>871</v>
      </c>
      <c r="F192" s="57">
        <v>473</v>
      </c>
      <c r="G192" s="22">
        <f t="shared" si="11"/>
        <v>0.04</v>
      </c>
      <c r="K192" s="8">
        <f t="shared" ca="1" si="12"/>
        <v>41549</v>
      </c>
      <c r="L192" s="4" t="s">
        <v>871</v>
      </c>
      <c r="M192" s="57">
        <v>473</v>
      </c>
      <c r="N192" s="22">
        <f t="shared" si="13"/>
        <v>0.04</v>
      </c>
      <c r="O192" s="22" t="str">
        <f t="shared" si="14"/>
        <v>Pat Anderson</v>
      </c>
    </row>
    <row r="193" spans="4:15" x14ac:dyDescent="0.25">
      <c r="D193" s="8">
        <f t="shared" ca="1" si="10"/>
        <v>41548</v>
      </c>
      <c r="E193" s="4" t="s">
        <v>893</v>
      </c>
      <c r="F193" s="57">
        <v>328</v>
      </c>
      <c r="G193" s="22">
        <f t="shared" si="11"/>
        <v>4.4999999999999998E-2</v>
      </c>
      <c r="K193" s="8">
        <f t="shared" ca="1" si="12"/>
        <v>41554</v>
      </c>
      <c r="L193" s="4" t="s">
        <v>893</v>
      </c>
      <c r="M193" s="57">
        <v>328</v>
      </c>
      <c r="N193" s="22">
        <f t="shared" si="13"/>
        <v>4.4999999999999998E-2</v>
      </c>
      <c r="O193" s="22" t="str">
        <f t="shared" si="14"/>
        <v>Gregg Lawson</v>
      </c>
    </row>
    <row r="194" spans="4:15" x14ac:dyDescent="0.25">
      <c r="D194" s="8">
        <f t="shared" ca="1" si="10"/>
        <v>41539</v>
      </c>
      <c r="E194" s="4" t="s">
        <v>923</v>
      </c>
      <c r="F194" s="57">
        <v>762</v>
      </c>
      <c r="G194" s="22">
        <f t="shared" si="11"/>
        <v>2.8000000000000001E-2</v>
      </c>
      <c r="K194" s="8">
        <f t="shared" ca="1" si="12"/>
        <v>41554</v>
      </c>
      <c r="L194" s="4" t="s">
        <v>923</v>
      </c>
      <c r="M194" s="57">
        <v>762</v>
      </c>
      <c r="N194" s="22">
        <f t="shared" si="13"/>
        <v>2.8000000000000001E-2</v>
      </c>
      <c r="O194" s="22" t="str">
        <f t="shared" si="14"/>
        <v>Roger Henderson</v>
      </c>
    </row>
    <row r="195" spans="4:15" x14ac:dyDescent="0.25">
      <c r="D195" s="8">
        <f t="shared" ca="1" si="10"/>
        <v>41537</v>
      </c>
      <c r="E195" s="4" t="s">
        <v>851</v>
      </c>
      <c r="F195" s="57">
        <v>257</v>
      </c>
      <c r="G195" s="22">
        <f t="shared" si="11"/>
        <v>0.01</v>
      </c>
      <c r="K195" s="8">
        <f t="shared" ca="1" si="12"/>
        <v>41527</v>
      </c>
      <c r="L195" s="4" t="s">
        <v>851</v>
      </c>
      <c r="M195" s="57">
        <v>257</v>
      </c>
      <c r="N195" s="22">
        <f t="shared" si="13"/>
        <v>0.01</v>
      </c>
      <c r="O195" s="22" t="str">
        <f t="shared" si="14"/>
        <v>Nathan Nguyen</v>
      </c>
    </row>
    <row r="196" spans="4:15" x14ac:dyDescent="0.25">
      <c r="D196" s="8">
        <f t="shared" ca="1" si="10"/>
        <v>41503</v>
      </c>
      <c r="E196" s="4" t="s">
        <v>918</v>
      </c>
      <c r="F196" s="57">
        <v>516</v>
      </c>
      <c r="G196" s="22">
        <f t="shared" si="11"/>
        <v>0.04</v>
      </c>
      <c r="K196" s="8">
        <f t="shared" ca="1" si="12"/>
        <v>41553</v>
      </c>
      <c r="L196" s="4" t="s">
        <v>918</v>
      </c>
      <c r="M196" s="57">
        <v>516</v>
      </c>
      <c r="N196" s="22">
        <f t="shared" si="13"/>
        <v>0.04</v>
      </c>
      <c r="O196" s="22" t="str">
        <f t="shared" si="14"/>
        <v>Pat Anderson</v>
      </c>
    </row>
    <row r="197" spans="4:15" x14ac:dyDescent="0.25">
      <c r="D197" s="8">
        <f t="shared" ca="1" si="10"/>
        <v>41502</v>
      </c>
      <c r="E197" s="4" t="s">
        <v>924</v>
      </c>
      <c r="F197" s="57">
        <v>204</v>
      </c>
      <c r="G197" s="22">
        <f t="shared" si="11"/>
        <v>0.06</v>
      </c>
      <c r="K197" s="8">
        <f t="shared" ca="1" si="12"/>
        <v>41543</v>
      </c>
      <c r="L197" s="4" t="s">
        <v>924</v>
      </c>
      <c r="M197" s="57">
        <v>204</v>
      </c>
      <c r="N197" s="22">
        <f t="shared" si="13"/>
        <v>0.06</v>
      </c>
      <c r="O197" s="22" t="str">
        <f t="shared" si="14"/>
        <v>Krystal Hubbard</v>
      </c>
    </row>
    <row r="198" spans="4:15" x14ac:dyDescent="0.25">
      <c r="D198" s="8">
        <f t="shared" ref="D198:D222" ca="1" si="15">RANDBETWEEN(41500,41555)</f>
        <v>41554</v>
      </c>
      <c r="E198" s="4" t="s">
        <v>866</v>
      </c>
      <c r="F198" s="57">
        <v>459</v>
      </c>
      <c r="G198" s="22">
        <f t="shared" ref="G198:G222" si="16">VLOOKUP(TRIM(E198),$A$5:$B$19,2,0)</f>
        <v>2.8000000000000001E-2</v>
      </c>
      <c r="K198" s="8">
        <f t="shared" ref="K198:K222" ca="1" si="17">RANDBETWEEN(41500,41555)</f>
        <v>41512</v>
      </c>
      <c r="L198" s="4" t="s">
        <v>866</v>
      </c>
      <c r="M198" s="57">
        <v>459</v>
      </c>
      <c r="N198" s="22">
        <f t="shared" ref="N198:N222" si="18">VLOOKUP(O198,$A$5:$B$19,2,0)</f>
        <v>2.8000000000000001E-2</v>
      </c>
      <c r="O198" s="22" t="str">
        <f t="shared" ref="O198:O222" si="19">TRIM(L198)</f>
        <v>Roger Henderson</v>
      </c>
    </row>
    <row r="199" spans="4:15" x14ac:dyDescent="0.25">
      <c r="D199" s="8">
        <f t="shared" ca="1" si="15"/>
        <v>41504</v>
      </c>
      <c r="E199" s="4" t="s">
        <v>925</v>
      </c>
      <c r="F199" s="57">
        <v>763</v>
      </c>
      <c r="G199" s="22">
        <f t="shared" si="16"/>
        <v>3.1E-2</v>
      </c>
      <c r="K199" s="8">
        <f t="shared" ca="1" si="17"/>
        <v>41508</v>
      </c>
      <c r="L199" s="4" t="s">
        <v>925</v>
      </c>
      <c r="M199" s="57">
        <v>763</v>
      </c>
      <c r="N199" s="22">
        <f t="shared" si="18"/>
        <v>3.1E-2</v>
      </c>
      <c r="O199" s="22" t="str">
        <f t="shared" si="19"/>
        <v>Gina Stone</v>
      </c>
    </row>
    <row r="200" spans="4:15" x14ac:dyDescent="0.25">
      <c r="D200" s="8">
        <f t="shared" ca="1" si="15"/>
        <v>41502</v>
      </c>
      <c r="E200" s="4" t="s">
        <v>904</v>
      </c>
      <c r="F200" s="57">
        <v>240</v>
      </c>
      <c r="G200" s="22">
        <f t="shared" si="16"/>
        <v>4.2999999999999997E-2</v>
      </c>
      <c r="K200" s="8">
        <f t="shared" ca="1" si="17"/>
        <v>41508</v>
      </c>
      <c r="L200" s="4" t="s">
        <v>904</v>
      </c>
      <c r="M200" s="57">
        <v>240</v>
      </c>
      <c r="N200" s="22">
        <f t="shared" si="18"/>
        <v>4.2999999999999997E-2</v>
      </c>
      <c r="O200" s="22" t="str">
        <f t="shared" si="19"/>
        <v>Dave Martin</v>
      </c>
    </row>
    <row r="201" spans="4:15" x14ac:dyDescent="0.25">
      <c r="D201" s="8">
        <f t="shared" ca="1" si="15"/>
        <v>41508</v>
      </c>
      <c r="E201" s="4" t="s">
        <v>800</v>
      </c>
      <c r="F201" s="57">
        <v>185</v>
      </c>
      <c r="G201" s="22">
        <f t="shared" si="16"/>
        <v>5.6000000000000001E-2</v>
      </c>
      <c r="K201" s="8">
        <f t="shared" ca="1" si="17"/>
        <v>41534</v>
      </c>
      <c r="L201" s="4" t="s">
        <v>800</v>
      </c>
      <c r="M201" s="57">
        <v>185</v>
      </c>
      <c r="N201" s="22">
        <f t="shared" si="18"/>
        <v>5.6000000000000001E-2</v>
      </c>
      <c r="O201" s="22" t="str">
        <f t="shared" si="19"/>
        <v>Ray Silva</v>
      </c>
    </row>
    <row r="202" spans="4:15" x14ac:dyDescent="0.25">
      <c r="D202" s="8">
        <f t="shared" ca="1" si="15"/>
        <v>41550</v>
      </c>
      <c r="E202" s="4" t="s">
        <v>921</v>
      </c>
      <c r="F202" s="57">
        <v>622</v>
      </c>
      <c r="G202" s="22">
        <f t="shared" si="16"/>
        <v>1.7000000000000001E-2</v>
      </c>
      <c r="K202" s="8">
        <f t="shared" ca="1" si="17"/>
        <v>41517</v>
      </c>
      <c r="L202" s="4" t="s">
        <v>921</v>
      </c>
      <c r="M202" s="57">
        <v>622</v>
      </c>
      <c r="N202" s="22">
        <f t="shared" si="18"/>
        <v>1.7000000000000001E-2</v>
      </c>
      <c r="O202" s="22" t="str">
        <f t="shared" si="19"/>
        <v>Roderick White</v>
      </c>
    </row>
    <row r="203" spans="4:15" x14ac:dyDescent="0.25">
      <c r="D203" s="8">
        <f t="shared" ca="1" si="15"/>
        <v>41503</v>
      </c>
      <c r="E203" s="4" t="s">
        <v>887</v>
      </c>
      <c r="F203" s="57">
        <v>449</v>
      </c>
      <c r="G203" s="22">
        <f t="shared" si="16"/>
        <v>1.4E-2</v>
      </c>
      <c r="K203" s="8">
        <f t="shared" ca="1" si="17"/>
        <v>41552</v>
      </c>
      <c r="L203" s="4" t="s">
        <v>887</v>
      </c>
      <c r="M203" s="57">
        <v>449</v>
      </c>
      <c r="N203" s="22">
        <f t="shared" si="18"/>
        <v>1.4E-2</v>
      </c>
      <c r="O203" s="22" t="str">
        <f t="shared" si="19"/>
        <v>Lois Luna</v>
      </c>
    </row>
    <row r="204" spans="4:15" x14ac:dyDescent="0.25">
      <c r="D204" s="8">
        <f t="shared" ca="1" si="15"/>
        <v>41531</v>
      </c>
      <c r="E204" s="4" t="s">
        <v>900</v>
      </c>
      <c r="F204" s="57">
        <v>696</v>
      </c>
      <c r="G204" s="22">
        <f t="shared" si="16"/>
        <v>5.6000000000000001E-2</v>
      </c>
      <c r="K204" s="8">
        <f t="shared" ca="1" si="17"/>
        <v>41528</v>
      </c>
      <c r="L204" s="4" t="s">
        <v>900</v>
      </c>
      <c r="M204" s="57">
        <v>696</v>
      </c>
      <c r="N204" s="22">
        <f t="shared" si="18"/>
        <v>5.6000000000000001E-2</v>
      </c>
      <c r="O204" s="22" t="str">
        <f t="shared" si="19"/>
        <v>Ray Silva</v>
      </c>
    </row>
    <row r="205" spans="4:15" x14ac:dyDescent="0.25">
      <c r="D205" s="8">
        <f t="shared" ca="1" si="15"/>
        <v>41503</v>
      </c>
      <c r="E205" s="4" t="s">
        <v>840</v>
      </c>
      <c r="F205" s="57">
        <v>205</v>
      </c>
      <c r="G205" s="22">
        <f t="shared" si="16"/>
        <v>1.4E-2</v>
      </c>
      <c r="K205" s="8">
        <f t="shared" ca="1" si="17"/>
        <v>41543</v>
      </c>
      <c r="L205" s="4" t="s">
        <v>840</v>
      </c>
      <c r="M205" s="57">
        <v>205</v>
      </c>
      <c r="N205" s="22">
        <f t="shared" si="18"/>
        <v>1.4E-2</v>
      </c>
      <c r="O205" s="22" t="str">
        <f t="shared" si="19"/>
        <v>Lois Luna</v>
      </c>
    </row>
    <row r="206" spans="4:15" x14ac:dyDescent="0.25">
      <c r="D206" s="8">
        <f t="shared" ca="1" si="15"/>
        <v>41541</v>
      </c>
      <c r="E206" s="4" t="s">
        <v>926</v>
      </c>
      <c r="F206" s="57">
        <v>128</v>
      </c>
      <c r="G206" s="22">
        <f t="shared" si="16"/>
        <v>5.2999999999999999E-2</v>
      </c>
      <c r="K206" s="8">
        <f t="shared" ca="1" si="17"/>
        <v>41528</v>
      </c>
      <c r="L206" s="4" t="s">
        <v>926</v>
      </c>
      <c r="M206" s="57">
        <v>128</v>
      </c>
      <c r="N206" s="22">
        <f t="shared" si="18"/>
        <v>5.2999999999999999E-2</v>
      </c>
      <c r="O206" s="22" t="str">
        <f t="shared" si="19"/>
        <v>Darin Jenkins</v>
      </c>
    </row>
    <row r="207" spans="4:15" x14ac:dyDescent="0.25">
      <c r="D207" s="8">
        <f t="shared" ca="1" si="15"/>
        <v>41545</v>
      </c>
      <c r="E207" s="4" t="s">
        <v>816</v>
      </c>
      <c r="F207" s="57">
        <v>617</v>
      </c>
      <c r="G207" s="22">
        <f t="shared" si="16"/>
        <v>5.6000000000000001E-2</v>
      </c>
      <c r="K207" s="8">
        <f t="shared" ca="1" si="17"/>
        <v>41522</v>
      </c>
      <c r="L207" s="4" t="s">
        <v>816</v>
      </c>
      <c r="M207" s="57">
        <v>617</v>
      </c>
      <c r="N207" s="22">
        <f t="shared" si="18"/>
        <v>5.6000000000000001E-2</v>
      </c>
      <c r="O207" s="22" t="str">
        <f t="shared" si="19"/>
        <v>Ray Silva</v>
      </c>
    </row>
    <row r="208" spans="4:15" x14ac:dyDescent="0.25">
      <c r="D208" s="8">
        <f t="shared" ca="1" si="15"/>
        <v>41544</v>
      </c>
      <c r="E208" s="4" t="s">
        <v>822</v>
      </c>
      <c r="F208" s="57">
        <v>141</v>
      </c>
      <c r="G208" s="22">
        <f t="shared" si="16"/>
        <v>2.8000000000000001E-2</v>
      </c>
      <c r="K208" s="8">
        <f t="shared" ca="1" si="17"/>
        <v>41525</v>
      </c>
      <c r="L208" s="4" t="s">
        <v>822</v>
      </c>
      <c r="M208" s="57">
        <v>141</v>
      </c>
      <c r="N208" s="22">
        <f t="shared" si="18"/>
        <v>2.8000000000000001E-2</v>
      </c>
      <c r="O208" s="22" t="str">
        <f t="shared" si="19"/>
        <v>Roger Henderson</v>
      </c>
    </row>
    <row r="209" spans="4:15" x14ac:dyDescent="0.25">
      <c r="D209" s="8">
        <f t="shared" ca="1" si="15"/>
        <v>41547</v>
      </c>
      <c r="E209" s="4" t="s">
        <v>927</v>
      </c>
      <c r="F209" s="57">
        <v>486</v>
      </c>
      <c r="G209" s="22">
        <f t="shared" si="16"/>
        <v>4.2999999999999997E-2</v>
      </c>
      <c r="K209" s="8">
        <f t="shared" ca="1" si="17"/>
        <v>41517</v>
      </c>
      <c r="L209" s="4" t="s">
        <v>927</v>
      </c>
      <c r="M209" s="57">
        <v>486</v>
      </c>
      <c r="N209" s="22">
        <f t="shared" si="18"/>
        <v>4.2999999999999997E-2</v>
      </c>
      <c r="O209" s="22" t="str">
        <f t="shared" si="19"/>
        <v>Dave Martin</v>
      </c>
    </row>
    <row r="210" spans="4:15" x14ac:dyDescent="0.25">
      <c r="D210" s="8">
        <f t="shared" ca="1" si="15"/>
        <v>41536</v>
      </c>
      <c r="E210" s="4" t="s">
        <v>928</v>
      </c>
      <c r="F210" s="57">
        <v>504</v>
      </c>
      <c r="G210" s="22">
        <f t="shared" si="16"/>
        <v>3.1E-2</v>
      </c>
      <c r="K210" s="8">
        <f t="shared" ca="1" si="17"/>
        <v>41513</v>
      </c>
      <c r="L210" s="4" t="s">
        <v>928</v>
      </c>
      <c r="M210" s="57">
        <v>504</v>
      </c>
      <c r="N210" s="22">
        <f t="shared" si="18"/>
        <v>3.1E-2</v>
      </c>
      <c r="O210" s="22" t="str">
        <f t="shared" si="19"/>
        <v>Gina Stone</v>
      </c>
    </row>
    <row r="211" spans="4:15" x14ac:dyDescent="0.25">
      <c r="D211" s="8">
        <f t="shared" ca="1" si="15"/>
        <v>41507</v>
      </c>
      <c r="E211" s="4" t="s">
        <v>878</v>
      </c>
      <c r="F211" s="57">
        <v>671</v>
      </c>
      <c r="G211" s="22">
        <f t="shared" si="16"/>
        <v>4.4999999999999998E-2</v>
      </c>
      <c r="K211" s="8">
        <f t="shared" ca="1" si="17"/>
        <v>41538</v>
      </c>
      <c r="L211" s="4" t="s">
        <v>878</v>
      </c>
      <c r="M211" s="57">
        <v>671</v>
      </c>
      <c r="N211" s="22">
        <f t="shared" si="18"/>
        <v>4.4999999999999998E-2</v>
      </c>
      <c r="O211" s="22" t="str">
        <f t="shared" si="19"/>
        <v>Gregg Lawson</v>
      </c>
    </row>
    <row r="212" spans="4:15" x14ac:dyDescent="0.25">
      <c r="D212" s="8">
        <f t="shared" ca="1" si="15"/>
        <v>41521</v>
      </c>
      <c r="E212" s="4" t="s">
        <v>920</v>
      </c>
      <c r="F212" s="57">
        <v>122</v>
      </c>
      <c r="G212" s="22">
        <f t="shared" si="16"/>
        <v>4.2000000000000003E-2</v>
      </c>
      <c r="K212" s="8">
        <f t="shared" ca="1" si="17"/>
        <v>41528</v>
      </c>
      <c r="L212" s="4" t="s">
        <v>920</v>
      </c>
      <c r="M212" s="57">
        <v>122</v>
      </c>
      <c r="N212" s="22">
        <f t="shared" si="18"/>
        <v>4.2000000000000003E-2</v>
      </c>
      <c r="O212" s="22" t="str">
        <f t="shared" si="19"/>
        <v>Kelly Fowler</v>
      </c>
    </row>
    <row r="213" spans="4:15" x14ac:dyDescent="0.25">
      <c r="D213" s="8">
        <f t="shared" ca="1" si="15"/>
        <v>41548</v>
      </c>
      <c r="E213" s="4" t="s">
        <v>917</v>
      </c>
      <c r="F213" s="57">
        <v>799</v>
      </c>
      <c r="G213" s="22">
        <f t="shared" si="16"/>
        <v>1.4E-2</v>
      </c>
      <c r="K213" s="8">
        <f t="shared" ca="1" si="17"/>
        <v>41534</v>
      </c>
      <c r="L213" s="4" t="s">
        <v>917</v>
      </c>
      <c r="M213" s="57">
        <v>799</v>
      </c>
      <c r="N213" s="22">
        <f t="shared" si="18"/>
        <v>1.4E-2</v>
      </c>
      <c r="O213" s="22" t="str">
        <f t="shared" si="19"/>
        <v>Lois Luna</v>
      </c>
    </row>
    <row r="214" spans="4:15" x14ac:dyDescent="0.25">
      <c r="D214" s="8">
        <f t="shared" ca="1" si="15"/>
        <v>41545</v>
      </c>
      <c r="E214" s="4" t="s">
        <v>929</v>
      </c>
      <c r="F214" s="57">
        <v>495</v>
      </c>
      <c r="G214" s="22">
        <f t="shared" si="16"/>
        <v>0.02</v>
      </c>
      <c r="K214" s="8">
        <f t="shared" ca="1" si="17"/>
        <v>41539</v>
      </c>
      <c r="L214" s="4" t="s">
        <v>929</v>
      </c>
      <c r="M214" s="57">
        <v>495</v>
      </c>
      <c r="N214" s="22">
        <f t="shared" si="18"/>
        <v>0.02</v>
      </c>
      <c r="O214" s="22" t="str">
        <f t="shared" si="19"/>
        <v>Bradley Hodges</v>
      </c>
    </row>
    <row r="215" spans="4:15" x14ac:dyDescent="0.25">
      <c r="D215" s="8">
        <f t="shared" ca="1" si="15"/>
        <v>41516</v>
      </c>
      <c r="E215" s="4" t="s">
        <v>867</v>
      </c>
      <c r="F215" s="57">
        <v>325</v>
      </c>
      <c r="G215" s="22">
        <f t="shared" si="16"/>
        <v>0.01</v>
      </c>
      <c r="K215" s="8">
        <f t="shared" ca="1" si="17"/>
        <v>41522</v>
      </c>
      <c r="L215" s="4" t="s">
        <v>867</v>
      </c>
      <c r="M215" s="57">
        <v>325</v>
      </c>
      <c r="N215" s="22">
        <f t="shared" si="18"/>
        <v>0.01</v>
      </c>
      <c r="O215" s="22" t="str">
        <f t="shared" si="19"/>
        <v>Nathan Nguyen</v>
      </c>
    </row>
    <row r="216" spans="4:15" x14ac:dyDescent="0.25">
      <c r="D216" s="8">
        <f t="shared" ca="1" si="15"/>
        <v>41506</v>
      </c>
      <c r="E216" s="4" t="s">
        <v>930</v>
      </c>
      <c r="F216" s="57">
        <v>543</v>
      </c>
      <c r="G216" s="22">
        <f t="shared" si="16"/>
        <v>3.6999999999999998E-2</v>
      </c>
      <c r="K216" s="8">
        <f t="shared" ca="1" si="17"/>
        <v>41531</v>
      </c>
      <c r="L216" s="4" t="s">
        <v>930</v>
      </c>
      <c r="M216" s="57">
        <v>543</v>
      </c>
      <c r="N216" s="22">
        <f t="shared" si="18"/>
        <v>3.6999999999999998E-2</v>
      </c>
      <c r="O216" s="22" t="str">
        <f t="shared" si="19"/>
        <v>Beulah Howell</v>
      </c>
    </row>
    <row r="217" spans="4:15" x14ac:dyDescent="0.25">
      <c r="D217" s="8">
        <f t="shared" ca="1" si="15"/>
        <v>41500</v>
      </c>
      <c r="E217" s="4" t="s">
        <v>820</v>
      </c>
      <c r="F217" s="57">
        <v>597</v>
      </c>
      <c r="G217" s="22">
        <f t="shared" si="16"/>
        <v>3.6999999999999998E-2</v>
      </c>
      <c r="K217" s="8">
        <f t="shared" ca="1" si="17"/>
        <v>41529</v>
      </c>
      <c r="L217" s="4" t="s">
        <v>820</v>
      </c>
      <c r="M217" s="57">
        <v>597</v>
      </c>
      <c r="N217" s="22">
        <f t="shared" si="18"/>
        <v>3.6999999999999998E-2</v>
      </c>
      <c r="O217" s="22" t="str">
        <f t="shared" si="19"/>
        <v>Beulah Howell</v>
      </c>
    </row>
    <row r="218" spans="4:15" x14ac:dyDescent="0.25">
      <c r="D218" s="8">
        <f t="shared" ca="1" si="15"/>
        <v>41507</v>
      </c>
      <c r="E218" s="4" t="s">
        <v>931</v>
      </c>
      <c r="F218" s="57">
        <v>552</v>
      </c>
      <c r="G218" s="22">
        <f t="shared" si="16"/>
        <v>4.4999999999999998E-2</v>
      </c>
      <c r="K218" s="8">
        <f t="shared" ca="1" si="17"/>
        <v>41525</v>
      </c>
      <c r="L218" s="4" t="s">
        <v>931</v>
      </c>
      <c r="M218" s="57">
        <v>552</v>
      </c>
      <c r="N218" s="22">
        <f t="shared" si="18"/>
        <v>4.4999999999999998E-2</v>
      </c>
      <c r="O218" s="22" t="str">
        <f t="shared" si="19"/>
        <v>Gregg Lawson</v>
      </c>
    </row>
    <row r="219" spans="4:15" x14ac:dyDescent="0.25">
      <c r="D219" s="8">
        <f t="shared" ca="1" si="15"/>
        <v>41512</v>
      </c>
      <c r="E219" s="4" t="s">
        <v>876</v>
      </c>
      <c r="F219" s="57">
        <v>722</v>
      </c>
      <c r="G219" s="22">
        <f t="shared" si="16"/>
        <v>0.01</v>
      </c>
      <c r="K219" s="8">
        <f t="shared" ca="1" si="17"/>
        <v>41547</v>
      </c>
      <c r="L219" s="4" t="s">
        <v>876</v>
      </c>
      <c r="M219" s="57">
        <v>722</v>
      </c>
      <c r="N219" s="22">
        <f t="shared" si="18"/>
        <v>0.01</v>
      </c>
      <c r="O219" s="22" t="str">
        <f t="shared" si="19"/>
        <v>Nathan Nguyen</v>
      </c>
    </row>
    <row r="220" spans="4:15" x14ac:dyDescent="0.25">
      <c r="D220" s="8">
        <f t="shared" ca="1" si="15"/>
        <v>41529</v>
      </c>
      <c r="E220" s="4" t="s">
        <v>801</v>
      </c>
      <c r="F220" s="57">
        <v>674</v>
      </c>
      <c r="G220" s="22">
        <f t="shared" si="16"/>
        <v>1.7000000000000001E-2</v>
      </c>
      <c r="K220" s="8">
        <f t="shared" ca="1" si="17"/>
        <v>41554</v>
      </c>
      <c r="L220" s="4" t="s">
        <v>801</v>
      </c>
      <c r="M220" s="57">
        <v>674</v>
      </c>
      <c r="N220" s="22">
        <f t="shared" si="18"/>
        <v>1.7000000000000001E-2</v>
      </c>
      <c r="O220" s="22" t="str">
        <f t="shared" si="19"/>
        <v>Roderick White</v>
      </c>
    </row>
    <row r="221" spans="4:15" x14ac:dyDescent="0.25">
      <c r="D221" s="8">
        <f t="shared" ca="1" si="15"/>
        <v>41554</v>
      </c>
      <c r="E221" s="4" t="s">
        <v>919</v>
      </c>
      <c r="F221" s="57">
        <v>547</v>
      </c>
      <c r="G221" s="22">
        <f t="shared" si="16"/>
        <v>0.06</v>
      </c>
      <c r="K221" s="8">
        <f t="shared" ca="1" si="17"/>
        <v>41517</v>
      </c>
      <c r="L221" s="4" t="s">
        <v>919</v>
      </c>
      <c r="M221" s="57">
        <v>547</v>
      </c>
      <c r="N221" s="22">
        <f t="shared" si="18"/>
        <v>0.06</v>
      </c>
      <c r="O221" s="22" t="str">
        <f t="shared" si="19"/>
        <v>Krystal Hubbard</v>
      </c>
    </row>
    <row r="222" spans="4:15" x14ac:dyDescent="0.25">
      <c r="D222" s="8">
        <f t="shared" ca="1" si="15"/>
        <v>41535</v>
      </c>
      <c r="E222" s="4" t="s">
        <v>932</v>
      </c>
      <c r="F222" s="57">
        <v>162</v>
      </c>
      <c r="G222" s="22">
        <f t="shared" si="16"/>
        <v>2.8000000000000001E-2</v>
      </c>
      <c r="K222" s="8">
        <f t="shared" ca="1" si="17"/>
        <v>41534</v>
      </c>
      <c r="L222" s="4" t="s">
        <v>932</v>
      </c>
      <c r="M222" s="57">
        <v>162</v>
      </c>
      <c r="N222" s="22">
        <f t="shared" si="18"/>
        <v>2.8000000000000001E-2</v>
      </c>
      <c r="O222" s="22" t="str">
        <f t="shared" si="19"/>
        <v>Roger Henderson</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K17"/>
  <sheetViews>
    <sheetView zoomScale="115" zoomScaleNormal="115" workbookViewId="0">
      <selection activeCell="C5" sqref="C5"/>
    </sheetView>
  </sheetViews>
  <sheetFormatPr defaultRowHeight="15" x14ac:dyDescent="0.25"/>
  <cols>
    <col min="1" max="1" width="13.7109375" customWidth="1"/>
  </cols>
  <sheetData>
    <row r="1" spans="1:11" x14ac:dyDescent="0.25">
      <c r="A1" s="86" t="s">
        <v>966</v>
      </c>
      <c r="B1" s="87"/>
      <c r="C1" s="87"/>
      <c r="D1" s="87"/>
      <c r="E1" s="87"/>
      <c r="F1" s="87"/>
      <c r="G1" s="87"/>
      <c r="H1" s="87"/>
      <c r="I1" s="87"/>
      <c r="J1" s="87"/>
      <c r="K1" s="88"/>
    </row>
    <row r="3" spans="1:11" x14ac:dyDescent="0.25">
      <c r="A3" t="s">
        <v>961</v>
      </c>
    </row>
    <row r="4" spans="1:11" x14ac:dyDescent="0.25">
      <c r="A4" s="77" t="s">
        <v>28</v>
      </c>
      <c r="B4" s="78" t="s">
        <v>30</v>
      </c>
      <c r="C4" s="78" t="s">
        <v>962</v>
      </c>
      <c r="D4" s="79" t="s">
        <v>82</v>
      </c>
    </row>
    <row r="5" spans="1:11" x14ac:dyDescent="0.25">
      <c r="A5" s="80" t="s">
        <v>29</v>
      </c>
      <c r="B5" s="89"/>
      <c r="C5" s="82"/>
      <c r="D5" s="89" t="str">
        <f t="shared" ref="D5:D8" si="0">IF(COUNT(B5:C5)=2,B5*C5,"")</f>
        <v/>
      </c>
    </row>
    <row r="6" spans="1:11" x14ac:dyDescent="0.25">
      <c r="A6" s="80" t="s">
        <v>959</v>
      </c>
      <c r="B6" s="89"/>
      <c r="C6" s="82"/>
      <c r="D6" s="89" t="str">
        <f t="shared" si="0"/>
        <v/>
      </c>
    </row>
    <row r="7" spans="1:11" x14ac:dyDescent="0.25">
      <c r="A7" s="80" t="s">
        <v>960</v>
      </c>
      <c r="B7" s="89"/>
      <c r="C7" s="82"/>
      <c r="D7" s="89" t="str">
        <f t="shared" si="0"/>
        <v/>
      </c>
    </row>
    <row r="8" spans="1:11" x14ac:dyDescent="0.25">
      <c r="A8" s="81" t="s">
        <v>963</v>
      </c>
      <c r="B8" s="89"/>
      <c r="C8" s="82"/>
      <c r="D8" s="89" t="str">
        <f t="shared" si="0"/>
        <v/>
      </c>
    </row>
    <row r="11" spans="1:11" x14ac:dyDescent="0.25">
      <c r="A11" s="83" t="s">
        <v>965</v>
      </c>
      <c r="B11" s="84"/>
      <c r="C11" s="85"/>
    </row>
    <row r="12" spans="1:11" x14ac:dyDescent="0.25">
      <c r="A12" s="83" t="s">
        <v>964</v>
      </c>
      <c r="B12" s="84"/>
      <c r="C12" s="85"/>
    </row>
    <row r="13" spans="1:11" x14ac:dyDescent="0.25">
      <c r="A13" s="27" t="s">
        <v>28</v>
      </c>
      <c r="B13" s="27" t="s">
        <v>30</v>
      </c>
      <c r="C13" s="27" t="s">
        <v>962</v>
      </c>
    </row>
    <row r="14" spans="1:11" x14ac:dyDescent="0.25">
      <c r="A14" s="4" t="s">
        <v>29</v>
      </c>
      <c r="B14" s="57">
        <v>15</v>
      </c>
      <c r="C14" s="4">
        <v>5</v>
      </c>
    </row>
    <row r="15" spans="1:11" x14ac:dyDescent="0.25">
      <c r="A15" s="4" t="s">
        <v>959</v>
      </c>
      <c r="B15" s="57">
        <v>16</v>
      </c>
      <c r="C15" s="4">
        <v>25</v>
      </c>
    </row>
    <row r="16" spans="1:11" x14ac:dyDescent="0.25">
      <c r="A16" s="4" t="s">
        <v>960</v>
      </c>
      <c r="B16" s="57">
        <v>7</v>
      </c>
      <c r="C16" s="4">
        <v>5</v>
      </c>
    </row>
    <row r="17" spans="1:3" x14ac:dyDescent="0.25">
      <c r="A17" s="4" t="s">
        <v>963</v>
      </c>
      <c r="B17" s="57">
        <v>38</v>
      </c>
      <c r="C17" s="4">
        <v>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17"/>
  <sheetViews>
    <sheetView zoomScale="115" zoomScaleNormal="115" workbookViewId="0">
      <selection activeCell="B5" sqref="B5"/>
    </sheetView>
  </sheetViews>
  <sheetFormatPr defaultRowHeight="15" x14ac:dyDescent="0.25"/>
  <cols>
    <col min="1" max="1" width="13.7109375" customWidth="1"/>
  </cols>
  <sheetData>
    <row r="1" spans="1:11" x14ac:dyDescent="0.25">
      <c r="A1" s="86" t="s">
        <v>966</v>
      </c>
      <c r="B1" s="87"/>
      <c r="C1" s="87"/>
      <c r="D1" s="87"/>
      <c r="E1" s="87"/>
      <c r="F1" s="87"/>
      <c r="G1" s="87"/>
      <c r="H1" s="87"/>
      <c r="I1" s="87"/>
      <c r="J1" s="87"/>
      <c r="K1" s="88"/>
    </row>
    <row r="3" spans="1:11" x14ac:dyDescent="0.25">
      <c r="A3" t="s">
        <v>961</v>
      </c>
    </row>
    <row r="4" spans="1:11" x14ac:dyDescent="0.25">
      <c r="A4" s="77" t="s">
        <v>28</v>
      </c>
      <c r="B4" s="78" t="s">
        <v>30</v>
      </c>
      <c r="C4" s="78" t="s">
        <v>962</v>
      </c>
      <c r="D4" s="79" t="s">
        <v>82</v>
      </c>
    </row>
    <row r="5" spans="1:11" x14ac:dyDescent="0.25">
      <c r="A5" s="80" t="s">
        <v>29</v>
      </c>
      <c r="B5" s="89">
        <v>15.5</v>
      </c>
      <c r="C5" s="82">
        <v>4</v>
      </c>
      <c r="D5" s="89">
        <f>IF(COUNT(B5:C5)=2,B5*C5,"")</f>
        <v>62</v>
      </c>
    </row>
    <row r="6" spans="1:11" x14ac:dyDescent="0.25">
      <c r="A6" s="80" t="s">
        <v>959</v>
      </c>
      <c r="B6" s="89"/>
      <c r="C6" s="82"/>
      <c r="D6" s="89" t="str">
        <f t="shared" ref="D6:D8" si="0">IF(COUNT(B6:C6)=2,B6*C6,"")</f>
        <v/>
      </c>
    </row>
    <row r="7" spans="1:11" x14ac:dyDescent="0.25">
      <c r="A7" s="80" t="s">
        <v>960</v>
      </c>
      <c r="B7" s="89"/>
      <c r="C7" s="82"/>
      <c r="D7" s="89" t="str">
        <f t="shared" si="0"/>
        <v/>
      </c>
    </row>
    <row r="8" spans="1:11" x14ac:dyDescent="0.25">
      <c r="A8" s="81" t="s">
        <v>963</v>
      </c>
      <c r="B8" s="89"/>
      <c r="C8" s="82"/>
      <c r="D8" s="89" t="str">
        <f t="shared" si="0"/>
        <v/>
      </c>
    </row>
    <row r="11" spans="1:11" x14ac:dyDescent="0.25">
      <c r="A11" s="83" t="s">
        <v>965</v>
      </c>
      <c r="B11" s="84"/>
      <c r="C11" s="85"/>
    </row>
    <row r="12" spans="1:11" x14ac:dyDescent="0.25">
      <c r="A12" s="83" t="s">
        <v>964</v>
      </c>
      <c r="B12" s="84"/>
      <c r="C12" s="85"/>
    </row>
    <row r="13" spans="1:11" x14ac:dyDescent="0.25">
      <c r="A13" s="27" t="s">
        <v>28</v>
      </c>
      <c r="B13" s="27" t="s">
        <v>30</v>
      </c>
      <c r="C13" s="27" t="s">
        <v>962</v>
      </c>
    </row>
    <row r="14" spans="1:11" x14ac:dyDescent="0.25">
      <c r="A14" s="4" t="s">
        <v>29</v>
      </c>
      <c r="B14" s="57">
        <v>15.5</v>
      </c>
      <c r="C14" s="4">
        <v>5</v>
      </c>
    </row>
    <row r="15" spans="1:11" x14ac:dyDescent="0.25">
      <c r="A15" s="4" t="s">
        <v>959</v>
      </c>
      <c r="B15" s="57">
        <v>16</v>
      </c>
      <c r="C15" s="4">
        <v>25</v>
      </c>
    </row>
    <row r="16" spans="1:11" x14ac:dyDescent="0.25">
      <c r="A16" s="4" t="s">
        <v>960</v>
      </c>
      <c r="B16" s="57">
        <v>7.75</v>
      </c>
      <c r="C16" s="4">
        <v>5</v>
      </c>
    </row>
    <row r="17" spans="1:3" x14ac:dyDescent="0.25">
      <c r="A17" s="4" t="s">
        <v>963</v>
      </c>
      <c r="B17" s="57">
        <v>38</v>
      </c>
      <c r="C17" s="4">
        <v>1</v>
      </c>
    </row>
  </sheetData>
  <dataValidations count="2">
    <dataValidation type="decimal" operator="lessThanOrEqual" allowBlank="1" showInputMessage="1" showErrorMessage="1" errorTitle="Must Be Below Max Lmit!" error="Look below for maximum allowed cost." sqref="B5:B8">
      <formula1>B14</formula1>
    </dataValidation>
    <dataValidation type="whole" operator="lessThanOrEqual" allowBlank="1" showInputMessage="1" showErrorMessage="1" errorTitle="Must Be Below Max!" error="Look below for maximum allowed whole number." sqref="C5:C8">
      <formula1>C14</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13"/>
  <sheetViews>
    <sheetView zoomScale="130" zoomScaleNormal="130" workbookViewId="0">
      <selection activeCell="B6" sqref="B6"/>
    </sheetView>
  </sheetViews>
  <sheetFormatPr defaultRowHeight="15" x14ac:dyDescent="0.25"/>
  <cols>
    <col min="1" max="1" width="13.140625" customWidth="1"/>
    <col min="2" max="5" width="13.7109375" customWidth="1"/>
  </cols>
  <sheetData>
    <row r="1" spans="1:10" x14ac:dyDescent="0.25">
      <c r="A1" s="68" t="s">
        <v>950</v>
      </c>
      <c r="B1" s="69"/>
      <c r="C1" s="69"/>
      <c r="D1" s="69"/>
      <c r="E1" s="69"/>
      <c r="F1" s="69"/>
      <c r="G1" s="69"/>
      <c r="H1" s="69"/>
      <c r="I1" s="69"/>
      <c r="J1" s="70"/>
    </row>
    <row r="2" spans="1:10" x14ac:dyDescent="0.25">
      <c r="A2" s="71" t="s">
        <v>952</v>
      </c>
      <c r="B2" s="72"/>
      <c r="C2" s="72"/>
      <c r="D2" s="72"/>
      <c r="E2" s="72"/>
      <c r="F2" s="72"/>
      <c r="G2" s="72"/>
      <c r="H2" s="72"/>
      <c r="I2" s="72"/>
      <c r="J2" s="73"/>
    </row>
    <row r="3" spans="1:10" x14ac:dyDescent="0.25">
      <c r="A3" s="74" t="s">
        <v>951</v>
      </c>
      <c r="B3" s="75"/>
      <c r="C3" s="75"/>
      <c r="D3" s="75"/>
      <c r="E3" s="75"/>
      <c r="F3" s="75"/>
      <c r="G3" s="75"/>
      <c r="H3" s="75"/>
      <c r="I3" s="75"/>
      <c r="J3" s="76"/>
    </row>
    <row r="5" spans="1:10" x14ac:dyDescent="0.25">
      <c r="A5" s="4" t="s">
        <v>933</v>
      </c>
      <c r="B5" s="4" t="s">
        <v>934</v>
      </c>
    </row>
    <row r="6" spans="1:10" x14ac:dyDescent="0.25">
      <c r="A6" s="4"/>
      <c r="B6" s="4"/>
    </row>
    <row r="8" spans="1:10" x14ac:dyDescent="0.25">
      <c r="A8" t="s">
        <v>948</v>
      </c>
      <c r="B8" s="2" t="s">
        <v>936</v>
      </c>
      <c r="C8" s="2" t="s">
        <v>953</v>
      </c>
      <c r="D8" s="2" t="s">
        <v>954</v>
      </c>
      <c r="E8" s="2" t="s">
        <v>96</v>
      </c>
    </row>
    <row r="9" spans="1:10" x14ac:dyDescent="0.25">
      <c r="A9" t="s">
        <v>949</v>
      </c>
      <c r="B9" t="s">
        <v>95</v>
      </c>
      <c r="C9" t="s">
        <v>938</v>
      </c>
      <c r="D9" t="s">
        <v>941</v>
      </c>
      <c r="E9" t="s">
        <v>704</v>
      </c>
    </row>
    <row r="10" spans="1:10" x14ac:dyDescent="0.25">
      <c r="B10" t="s">
        <v>935</v>
      </c>
      <c r="C10" t="s">
        <v>939</v>
      </c>
      <c r="D10" t="s">
        <v>942</v>
      </c>
      <c r="E10" t="s">
        <v>944</v>
      </c>
    </row>
    <row r="11" spans="1:10" x14ac:dyDescent="0.25">
      <c r="B11" t="s">
        <v>936</v>
      </c>
      <c r="C11" t="s">
        <v>940</v>
      </c>
      <c r="D11" t="s">
        <v>943</v>
      </c>
      <c r="E11" t="s">
        <v>945</v>
      </c>
    </row>
    <row r="12" spans="1:10" x14ac:dyDescent="0.25">
      <c r="B12" t="s">
        <v>937</v>
      </c>
      <c r="E12" t="s">
        <v>946</v>
      </c>
    </row>
    <row r="13" spans="1:10" x14ac:dyDescent="0.25">
      <c r="E13" t="s">
        <v>947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13"/>
  <sheetViews>
    <sheetView zoomScale="130" zoomScaleNormal="130" workbookViewId="0">
      <selection activeCell="B6" sqref="B6"/>
    </sheetView>
  </sheetViews>
  <sheetFormatPr defaultRowHeight="15" x14ac:dyDescent="0.25"/>
  <cols>
    <col min="1" max="1" width="22.7109375" customWidth="1"/>
    <col min="2" max="5" width="23.5703125" customWidth="1"/>
  </cols>
  <sheetData>
    <row r="1" spans="1:10" x14ac:dyDescent="0.25">
      <c r="A1" s="68" t="s">
        <v>950</v>
      </c>
      <c r="B1" s="69"/>
      <c r="C1" s="69"/>
      <c r="D1" s="69"/>
      <c r="E1" s="69"/>
      <c r="F1" s="69"/>
      <c r="G1" s="69"/>
      <c r="H1" s="69"/>
      <c r="I1" s="69"/>
      <c r="J1" s="70"/>
    </row>
    <row r="2" spans="1:10" x14ac:dyDescent="0.25">
      <c r="A2" s="71" t="s">
        <v>952</v>
      </c>
      <c r="B2" s="72"/>
      <c r="C2" s="72"/>
      <c r="D2" s="72"/>
      <c r="E2" s="72"/>
      <c r="F2" s="72"/>
      <c r="G2" s="72"/>
      <c r="H2" s="72"/>
      <c r="I2" s="72"/>
      <c r="J2" s="73"/>
    </row>
    <row r="3" spans="1:10" x14ac:dyDescent="0.25">
      <c r="A3" s="74" t="s">
        <v>951</v>
      </c>
      <c r="B3" s="75"/>
      <c r="C3" s="75"/>
      <c r="D3" s="75"/>
      <c r="E3" s="75"/>
      <c r="F3" s="75"/>
      <c r="G3" s="75"/>
      <c r="H3" s="75"/>
      <c r="I3" s="75"/>
      <c r="J3" s="76"/>
    </row>
    <row r="5" spans="1:10" x14ac:dyDescent="0.25">
      <c r="A5" s="4" t="s">
        <v>933</v>
      </c>
      <c r="B5" s="4" t="s">
        <v>934</v>
      </c>
    </row>
    <row r="6" spans="1:10" x14ac:dyDescent="0.25">
      <c r="A6" s="4" t="s">
        <v>956</v>
      </c>
      <c r="B6" s="4" t="s">
        <v>940</v>
      </c>
    </row>
    <row r="8" spans="1:10" x14ac:dyDescent="0.25">
      <c r="A8" t="s">
        <v>948</v>
      </c>
      <c r="B8" s="2" t="s">
        <v>955</v>
      </c>
      <c r="C8" s="2" t="s">
        <v>956</v>
      </c>
      <c r="D8" s="2" t="s">
        <v>957</v>
      </c>
      <c r="E8" s="2" t="s">
        <v>958</v>
      </c>
    </row>
    <row r="9" spans="1:10" x14ac:dyDescent="0.25">
      <c r="A9" t="s">
        <v>949</v>
      </c>
      <c r="B9" t="s">
        <v>95</v>
      </c>
      <c r="C9" t="s">
        <v>938</v>
      </c>
      <c r="D9" t="s">
        <v>941</v>
      </c>
      <c r="E9" t="s">
        <v>704</v>
      </c>
    </row>
    <row r="10" spans="1:10" x14ac:dyDescent="0.25">
      <c r="B10" t="s">
        <v>935</v>
      </c>
      <c r="C10" t="s">
        <v>939</v>
      </c>
      <c r="D10" t="s">
        <v>942</v>
      </c>
      <c r="E10" t="s">
        <v>944</v>
      </c>
    </row>
    <row r="11" spans="1:10" x14ac:dyDescent="0.25">
      <c r="B11" t="s">
        <v>936</v>
      </c>
      <c r="C11" t="s">
        <v>940</v>
      </c>
      <c r="D11" t="s">
        <v>943</v>
      </c>
      <c r="E11" t="s">
        <v>945</v>
      </c>
    </row>
    <row r="12" spans="1:10" x14ac:dyDescent="0.25">
      <c r="B12" t="s">
        <v>937</v>
      </c>
      <c r="E12" t="s">
        <v>946</v>
      </c>
    </row>
    <row r="13" spans="1:10" x14ac:dyDescent="0.25">
      <c r="E13" t="s">
        <v>947</v>
      </c>
    </row>
  </sheetData>
  <dataValidations count="2">
    <dataValidation type="list" allowBlank="1" showInputMessage="1" showErrorMessage="1" sqref="A6">
      <formula1>$B$8:$E$8</formula1>
    </dataValidation>
    <dataValidation type="list" allowBlank="1" showInputMessage="1" showErrorMessage="1" sqref="B6">
      <formula1>INDIRECT($A$6)</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G115"/>
  <sheetViews>
    <sheetView workbookViewId="0">
      <selection activeCell="B4" sqref="B4"/>
    </sheetView>
  </sheetViews>
  <sheetFormatPr defaultRowHeight="15" x14ac:dyDescent="0.25"/>
  <cols>
    <col min="1" max="1" width="21.28515625" customWidth="1"/>
    <col min="2" max="2" width="20.28515625" customWidth="1"/>
    <col min="3" max="3" width="21.5703125" customWidth="1"/>
    <col min="4" max="4" width="12.28515625" customWidth="1"/>
    <col min="5" max="5" width="17.7109375" bestFit="1" customWidth="1"/>
    <col min="6" max="6" width="18.28515625" bestFit="1" customWidth="1"/>
    <col min="7" max="7" width="16.85546875" customWidth="1"/>
    <col min="9" max="9" width="17.7109375" bestFit="1" customWidth="1"/>
  </cols>
  <sheetData>
    <row r="1" spans="1:7" x14ac:dyDescent="0.25">
      <c r="A1" s="63" t="s">
        <v>1246</v>
      </c>
      <c r="B1" s="64"/>
      <c r="C1" s="64"/>
      <c r="D1" s="64"/>
      <c r="E1" s="64"/>
      <c r="F1" s="64"/>
      <c r="G1" s="65"/>
    </row>
    <row r="3" spans="1:7" x14ac:dyDescent="0.25">
      <c r="A3" s="5" t="s">
        <v>971</v>
      </c>
      <c r="B3" s="5" t="s">
        <v>972</v>
      </c>
      <c r="C3" s="5" t="s">
        <v>973</v>
      </c>
      <c r="D3" s="5" t="s">
        <v>974</v>
      </c>
      <c r="E3" s="5" t="s">
        <v>975</v>
      </c>
      <c r="F3" s="5" t="s">
        <v>976</v>
      </c>
      <c r="G3" s="5" t="s">
        <v>977</v>
      </c>
    </row>
    <row r="4" spans="1:7" x14ac:dyDescent="0.25">
      <c r="A4" s="4" t="s">
        <v>1155</v>
      </c>
      <c r="B4" s="4"/>
      <c r="C4" s="4"/>
      <c r="D4" s="4"/>
      <c r="E4" s="4"/>
      <c r="F4" s="4"/>
      <c r="G4" s="4"/>
    </row>
    <row r="5" spans="1:7" x14ac:dyDescent="0.25">
      <c r="A5" s="4" t="s">
        <v>1156</v>
      </c>
      <c r="B5" s="4"/>
      <c r="C5" s="4"/>
      <c r="D5" s="4"/>
      <c r="E5" s="4"/>
      <c r="F5" s="4"/>
      <c r="G5" s="4"/>
    </row>
    <row r="6" spans="1:7" x14ac:dyDescent="0.25">
      <c r="A6" s="4" t="s">
        <v>1061</v>
      </c>
      <c r="B6" s="4"/>
      <c r="C6" s="4"/>
      <c r="D6" s="4"/>
      <c r="E6" s="4"/>
      <c r="F6" s="4"/>
      <c r="G6" s="4"/>
    </row>
    <row r="7" spans="1:7" x14ac:dyDescent="0.25">
      <c r="A7" s="4" t="s">
        <v>1062</v>
      </c>
      <c r="B7" s="4"/>
      <c r="C7" s="4"/>
      <c r="D7" s="4"/>
      <c r="E7" s="4"/>
      <c r="F7" s="4"/>
      <c r="G7" s="4"/>
    </row>
    <row r="8" spans="1:7" x14ac:dyDescent="0.25">
      <c r="A8" s="4" t="s">
        <v>1063</v>
      </c>
      <c r="B8" s="4"/>
      <c r="C8" s="4"/>
      <c r="D8" s="4"/>
      <c r="E8" s="4"/>
      <c r="F8" s="4"/>
      <c r="G8" s="4"/>
    </row>
    <row r="9" spans="1:7" x14ac:dyDescent="0.25">
      <c r="A9" s="4" t="s">
        <v>1064</v>
      </c>
      <c r="B9" s="4"/>
      <c r="C9" s="4"/>
      <c r="D9" s="4"/>
      <c r="E9" s="4"/>
      <c r="F9" s="4"/>
      <c r="G9" s="4"/>
    </row>
    <row r="10" spans="1:7" x14ac:dyDescent="0.25">
      <c r="A10" s="4" t="s">
        <v>1065</v>
      </c>
      <c r="B10" s="4"/>
      <c r="C10" s="4"/>
      <c r="D10" s="4"/>
      <c r="E10" s="4"/>
      <c r="F10" s="4"/>
      <c r="G10" s="4"/>
    </row>
    <row r="11" spans="1:7" x14ac:dyDescent="0.25">
      <c r="A11" s="4" t="s">
        <v>1066</v>
      </c>
      <c r="B11" s="4"/>
      <c r="C11" s="4"/>
      <c r="D11" s="4"/>
      <c r="E11" s="4"/>
      <c r="F11" s="4"/>
      <c r="G11" s="4"/>
    </row>
    <row r="12" spans="1:7" x14ac:dyDescent="0.25">
      <c r="A12" s="4" t="s">
        <v>1067</v>
      </c>
      <c r="B12" s="4"/>
      <c r="C12" s="4"/>
      <c r="D12" s="4"/>
      <c r="E12" s="4"/>
      <c r="F12" s="4"/>
      <c r="G12" s="4"/>
    </row>
    <row r="13" spans="1:7" x14ac:dyDescent="0.25">
      <c r="A13" s="4" t="s">
        <v>1068</v>
      </c>
      <c r="B13" s="4"/>
      <c r="C13" s="4"/>
      <c r="D13" s="4"/>
      <c r="E13" s="4"/>
      <c r="F13" s="4"/>
      <c r="G13" s="4"/>
    </row>
    <row r="15" spans="1:7" x14ac:dyDescent="0.25">
      <c r="A15" s="5" t="s">
        <v>972</v>
      </c>
      <c r="B15" s="5" t="s">
        <v>973</v>
      </c>
      <c r="C15" s="5" t="s">
        <v>986</v>
      </c>
    </row>
    <row r="16" spans="1:7" x14ac:dyDescent="0.25">
      <c r="A16" s="4" t="s">
        <v>1120</v>
      </c>
      <c r="B16" s="4" t="s">
        <v>1157</v>
      </c>
      <c r="C16" s="4"/>
    </row>
    <row r="17" spans="1:3" x14ac:dyDescent="0.25">
      <c r="A17" s="4" t="s">
        <v>96</v>
      </c>
      <c r="B17" s="4" t="s">
        <v>1158</v>
      </c>
      <c r="C17" s="4"/>
    </row>
    <row r="18" spans="1:3" x14ac:dyDescent="0.25">
      <c r="A18" s="4" t="s">
        <v>987</v>
      </c>
      <c r="B18" s="4" t="s">
        <v>988</v>
      </c>
      <c r="C18" s="4"/>
    </row>
    <row r="19" spans="1:3" x14ac:dyDescent="0.25">
      <c r="A19" s="4" t="s">
        <v>792</v>
      </c>
      <c r="B19" s="4" t="s">
        <v>989</v>
      </c>
      <c r="C19" s="4"/>
    </row>
    <row r="20" spans="1:3" x14ac:dyDescent="0.25">
      <c r="A20" s="4" t="s">
        <v>990</v>
      </c>
      <c r="B20" s="4" t="s">
        <v>991</v>
      </c>
      <c r="C20" s="4"/>
    </row>
    <row r="21" spans="1:3" x14ac:dyDescent="0.25">
      <c r="A21" s="4" t="s">
        <v>793</v>
      </c>
      <c r="B21" s="4" t="s">
        <v>992</v>
      </c>
      <c r="C21" s="4"/>
    </row>
    <row r="22" spans="1:3" x14ac:dyDescent="0.25">
      <c r="A22" s="4" t="s">
        <v>993</v>
      </c>
      <c r="B22" s="4" t="s">
        <v>994</v>
      </c>
      <c r="C22" s="4"/>
    </row>
    <row r="23" spans="1:3" x14ac:dyDescent="0.25">
      <c r="A23" s="4" t="s">
        <v>987</v>
      </c>
      <c r="B23" s="4" t="s">
        <v>995</v>
      </c>
      <c r="C23" s="4"/>
    </row>
    <row r="24" spans="1:3" x14ac:dyDescent="0.25">
      <c r="A24" s="4" t="s">
        <v>996</v>
      </c>
      <c r="B24" s="4" t="s">
        <v>997</v>
      </c>
      <c r="C24" s="4"/>
    </row>
    <row r="25" spans="1:3" x14ac:dyDescent="0.25">
      <c r="A25" s="4" t="s">
        <v>998</v>
      </c>
      <c r="B25" s="4" t="s">
        <v>999</v>
      </c>
      <c r="C25" s="4"/>
    </row>
    <row r="27" spans="1:3" x14ac:dyDescent="0.25">
      <c r="A27" s="5" t="s">
        <v>971</v>
      </c>
      <c r="B27" s="5" t="s">
        <v>972</v>
      </c>
    </row>
    <row r="28" spans="1:3" x14ac:dyDescent="0.25">
      <c r="A28" s="4" t="s">
        <v>1161</v>
      </c>
      <c r="B28" s="4"/>
    </row>
    <row r="29" spans="1:3" x14ac:dyDescent="0.25">
      <c r="A29" s="4" t="s">
        <v>1160</v>
      </c>
      <c r="B29" s="4"/>
    </row>
    <row r="30" spans="1:3" x14ac:dyDescent="0.25">
      <c r="A30" s="4"/>
      <c r="B30" s="4"/>
    </row>
    <row r="31" spans="1:3" x14ac:dyDescent="0.25">
      <c r="A31" s="4" t="s">
        <v>979</v>
      </c>
      <c r="B31" s="4"/>
    </row>
    <row r="32" spans="1:3" x14ac:dyDescent="0.25">
      <c r="A32" s="4" t="s">
        <v>980</v>
      </c>
      <c r="B32" s="4"/>
    </row>
    <row r="33" spans="1:3" x14ac:dyDescent="0.25">
      <c r="A33" s="4"/>
      <c r="B33" s="4"/>
    </row>
    <row r="34" spans="1:3" x14ac:dyDescent="0.25">
      <c r="A34" s="4" t="s">
        <v>982</v>
      </c>
      <c r="B34" s="4"/>
    </row>
    <row r="35" spans="1:3" x14ac:dyDescent="0.25">
      <c r="A35" s="4"/>
      <c r="B35" s="4"/>
    </row>
    <row r="36" spans="1:3" x14ac:dyDescent="0.25">
      <c r="A36" s="4" t="s">
        <v>984</v>
      </c>
      <c r="B36" s="4"/>
    </row>
    <row r="37" spans="1:3" x14ac:dyDescent="0.25">
      <c r="A37" s="4" t="s">
        <v>985</v>
      </c>
      <c r="B37" s="4"/>
    </row>
    <row r="39" spans="1:3" x14ac:dyDescent="0.25">
      <c r="A39" s="67" t="s">
        <v>972</v>
      </c>
      <c r="B39" s="67" t="s">
        <v>973</v>
      </c>
      <c r="C39" s="67" t="s">
        <v>1011</v>
      </c>
    </row>
    <row r="40" spans="1:3" x14ac:dyDescent="0.25">
      <c r="A40" s="4" t="s">
        <v>1120</v>
      </c>
      <c r="B40" s="4" t="s">
        <v>1157</v>
      </c>
      <c r="C40" s="4"/>
    </row>
    <row r="41" spans="1:3" x14ac:dyDescent="0.25">
      <c r="A41" s="4" t="s">
        <v>96</v>
      </c>
      <c r="B41" s="4" t="s">
        <v>1158</v>
      </c>
      <c r="C41" s="4"/>
    </row>
    <row r="42" spans="1:3" x14ac:dyDescent="0.25">
      <c r="A42" s="4" t="s">
        <v>987</v>
      </c>
      <c r="B42" s="4" t="s">
        <v>988</v>
      </c>
      <c r="C42" s="4"/>
    </row>
    <row r="43" spans="1:3" x14ac:dyDescent="0.25">
      <c r="A43" s="4" t="s">
        <v>792</v>
      </c>
      <c r="B43" s="4"/>
      <c r="C43" s="4"/>
    </row>
    <row r="44" spans="1:3" x14ac:dyDescent="0.25">
      <c r="A44" s="4" t="s">
        <v>990</v>
      </c>
      <c r="B44" s="4" t="s">
        <v>991</v>
      </c>
      <c r="C44" s="4"/>
    </row>
    <row r="45" spans="1:3" x14ac:dyDescent="0.25">
      <c r="A45" s="4" t="s">
        <v>793</v>
      </c>
      <c r="B45" s="4" t="s">
        <v>992</v>
      </c>
      <c r="C45" s="4"/>
    </row>
    <row r="46" spans="1:3" x14ac:dyDescent="0.25">
      <c r="A46" s="4" t="s">
        <v>993</v>
      </c>
      <c r="B46" s="4" t="s">
        <v>994</v>
      </c>
      <c r="C46" s="4"/>
    </row>
    <row r="47" spans="1:3" x14ac:dyDescent="0.25">
      <c r="A47" s="4" t="s">
        <v>987</v>
      </c>
      <c r="B47" s="4"/>
      <c r="C47" s="4"/>
    </row>
    <row r="48" spans="1:3" x14ac:dyDescent="0.25">
      <c r="A48" s="4" t="s">
        <v>996</v>
      </c>
      <c r="B48" s="4" t="s">
        <v>997</v>
      </c>
      <c r="C48" s="4"/>
    </row>
    <row r="49" spans="1:4" x14ac:dyDescent="0.25">
      <c r="A49" s="4" t="s">
        <v>998</v>
      </c>
      <c r="B49" s="4" t="s">
        <v>999</v>
      </c>
      <c r="C49" s="4"/>
    </row>
    <row r="51" spans="1:4" x14ac:dyDescent="0.25">
      <c r="A51" s="67" t="s">
        <v>809</v>
      </c>
      <c r="B51" s="67" t="s">
        <v>1000</v>
      </c>
    </row>
    <row r="52" spans="1:4" x14ac:dyDescent="0.25">
      <c r="A52" s="4" t="s">
        <v>1159</v>
      </c>
      <c r="B52" s="4"/>
    </row>
    <row r="53" spans="1:4" x14ac:dyDescent="0.25">
      <c r="A53" s="4" t="s">
        <v>1160</v>
      </c>
      <c r="B53" s="4"/>
    </row>
    <row r="54" spans="1:4" x14ac:dyDescent="0.25">
      <c r="A54" s="4" t="s">
        <v>1001</v>
      </c>
      <c r="B54" s="4"/>
    </row>
    <row r="55" spans="1:4" x14ac:dyDescent="0.25">
      <c r="A55" s="4" t="s">
        <v>1002</v>
      </c>
      <c r="B55" s="4"/>
    </row>
    <row r="56" spans="1:4" x14ac:dyDescent="0.25">
      <c r="A56" s="4" t="s">
        <v>1003</v>
      </c>
      <c r="B56" s="4"/>
    </row>
    <row r="57" spans="1:4" x14ac:dyDescent="0.25">
      <c r="A57" s="4" t="s">
        <v>1004</v>
      </c>
      <c r="B57" s="4"/>
    </row>
    <row r="58" spans="1:4" x14ac:dyDescent="0.25">
      <c r="A58" s="4" t="s">
        <v>1005</v>
      </c>
      <c r="B58" s="4"/>
    </row>
    <row r="59" spans="1:4" x14ac:dyDescent="0.25">
      <c r="A59" s="4" t="s">
        <v>1006</v>
      </c>
      <c r="B59" s="4"/>
    </row>
    <row r="60" spans="1:4" x14ac:dyDescent="0.25">
      <c r="A60" s="4" t="s">
        <v>1007</v>
      </c>
      <c r="B60" s="4"/>
    </row>
    <row r="61" spans="1:4" x14ac:dyDescent="0.25">
      <c r="A61" s="4" t="s">
        <v>1008</v>
      </c>
      <c r="B61" s="4"/>
    </row>
    <row r="63" spans="1:4" x14ac:dyDescent="0.25">
      <c r="A63" s="67" t="s">
        <v>42</v>
      </c>
      <c r="B63" s="67" t="s">
        <v>1017</v>
      </c>
      <c r="C63" s="67" t="s">
        <v>1018</v>
      </c>
      <c r="D63" s="67" t="s">
        <v>1019</v>
      </c>
    </row>
    <row r="64" spans="1:4" x14ac:dyDescent="0.25">
      <c r="A64" s="8">
        <v>41114</v>
      </c>
      <c r="B64" s="90"/>
      <c r="C64" s="90"/>
      <c r="D64" s="90"/>
    </row>
    <row r="65" spans="1:5" x14ac:dyDescent="0.25">
      <c r="A65" s="8">
        <v>41115</v>
      </c>
      <c r="B65" s="90"/>
      <c r="C65" s="90"/>
      <c r="D65" s="90"/>
    </row>
    <row r="66" spans="1:5" x14ac:dyDescent="0.25">
      <c r="A66" s="8">
        <v>41116</v>
      </c>
      <c r="B66" s="90"/>
      <c r="C66" s="90"/>
      <c r="D66" s="90"/>
    </row>
    <row r="67" spans="1:5" x14ac:dyDescent="0.25">
      <c r="A67" s="8">
        <v>41117</v>
      </c>
      <c r="B67" s="90"/>
      <c r="C67" s="90"/>
      <c r="D67" s="90"/>
    </row>
    <row r="68" spans="1:5" x14ac:dyDescent="0.25">
      <c r="A68" s="8">
        <v>41483</v>
      </c>
      <c r="B68" s="90"/>
      <c r="C68" s="90"/>
      <c r="D68" s="90"/>
    </row>
    <row r="69" spans="1:5" x14ac:dyDescent="0.25">
      <c r="A69" s="8">
        <v>41484</v>
      </c>
      <c r="B69" s="90"/>
      <c r="C69" s="90"/>
      <c r="D69" s="90"/>
    </row>
    <row r="70" spans="1:5" x14ac:dyDescent="0.25">
      <c r="A70" s="8">
        <v>41485</v>
      </c>
      <c r="B70" s="90"/>
      <c r="C70" s="90"/>
      <c r="D70" s="90"/>
    </row>
    <row r="71" spans="1:5" x14ac:dyDescent="0.25">
      <c r="A71" s="8">
        <v>41486</v>
      </c>
      <c r="B71" s="90"/>
      <c r="C71" s="90"/>
      <c r="D71" s="90"/>
    </row>
    <row r="72" spans="1:5" x14ac:dyDescent="0.25">
      <c r="A72" s="8">
        <v>41487</v>
      </c>
      <c r="B72" s="90"/>
      <c r="C72" s="90"/>
      <c r="D72" s="90"/>
    </row>
    <row r="73" spans="1:5" x14ac:dyDescent="0.25">
      <c r="A73" s="8">
        <v>41488</v>
      </c>
      <c r="B73" s="90"/>
      <c r="C73" s="90"/>
      <c r="D73" s="90"/>
    </row>
    <row r="75" spans="1:5" x14ac:dyDescent="0.25">
      <c r="A75" s="26" t="s">
        <v>1024</v>
      </c>
      <c r="B75" s="26" t="s">
        <v>976</v>
      </c>
      <c r="D75" s="5" t="s">
        <v>1032</v>
      </c>
      <c r="E75" s="26" t="s">
        <v>976</v>
      </c>
    </row>
    <row r="76" spans="1:5" x14ac:dyDescent="0.25">
      <c r="A76" s="4">
        <v>2065874545</v>
      </c>
      <c r="B76" s="4"/>
      <c r="D76" s="4">
        <v>880712259</v>
      </c>
      <c r="E76" s="4"/>
    </row>
    <row r="77" spans="1:5" x14ac:dyDescent="0.25">
      <c r="A77" s="4">
        <v>2536987455</v>
      </c>
      <c r="B77" s="4"/>
      <c r="D77" s="4">
        <v>880709467</v>
      </c>
      <c r="E77" s="4"/>
    </row>
    <row r="78" spans="1:5" x14ac:dyDescent="0.25">
      <c r="A78" s="4">
        <v>2159874439</v>
      </c>
      <c r="B78" s="4"/>
      <c r="D78" s="4">
        <v>880527987</v>
      </c>
      <c r="E78" s="4"/>
    </row>
    <row r="79" spans="1:5" x14ac:dyDescent="0.25">
      <c r="A79" s="4">
        <v>4156559933</v>
      </c>
      <c r="B79" s="4"/>
      <c r="D79" s="4">
        <v>998613133</v>
      </c>
      <c r="E79" s="4"/>
    </row>
    <row r="80" spans="1:5" x14ac:dyDescent="0.25">
      <c r="A80" s="4">
        <v>5105557845</v>
      </c>
      <c r="B80" s="4"/>
      <c r="D80" s="4">
        <v>880945725</v>
      </c>
      <c r="E80" s="4"/>
    </row>
    <row r="82" spans="1:4" x14ac:dyDescent="0.25">
      <c r="A82" s="67" t="s">
        <v>93</v>
      </c>
      <c r="B82" s="67" t="s">
        <v>1025</v>
      </c>
      <c r="C82" s="67" t="s">
        <v>1026</v>
      </c>
      <c r="D82" s="67" t="s">
        <v>1027</v>
      </c>
    </row>
    <row r="83" spans="1:4" x14ac:dyDescent="0.25">
      <c r="A83" s="57">
        <v>97.65</v>
      </c>
      <c r="B83" s="90"/>
      <c r="C83" s="90"/>
      <c r="D83" s="90"/>
    </row>
    <row r="84" spans="1:4" x14ac:dyDescent="0.25">
      <c r="A84" s="57">
        <v>51.04</v>
      </c>
      <c r="B84" s="90"/>
      <c r="C84" s="90"/>
      <c r="D84" s="90"/>
    </row>
    <row r="85" spans="1:4" x14ac:dyDescent="0.25">
      <c r="A85" s="57">
        <v>21.96</v>
      </c>
      <c r="B85" s="90"/>
      <c r="C85" s="90"/>
      <c r="D85" s="90"/>
    </row>
    <row r="86" spans="1:4" x14ac:dyDescent="0.25">
      <c r="A86" s="57">
        <v>50.6</v>
      </c>
      <c r="B86" s="90"/>
      <c r="C86" s="90"/>
      <c r="D86" s="90"/>
    </row>
    <row r="87" spans="1:4" x14ac:dyDescent="0.25">
      <c r="A87" s="57">
        <v>35.74</v>
      </c>
      <c r="B87" s="90"/>
      <c r="C87" s="90"/>
      <c r="D87" s="90"/>
    </row>
    <row r="88" spans="1:4" x14ac:dyDescent="0.25">
      <c r="A88" s="57">
        <v>12.33</v>
      </c>
      <c r="B88" s="90"/>
      <c r="C88" s="90"/>
      <c r="D88" s="90"/>
    </row>
    <row r="89" spans="1:4" x14ac:dyDescent="0.25">
      <c r="A89" s="57">
        <v>74.209999999999994</v>
      </c>
      <c r="B89" s="90"/>
      <c r="C89" s="90"/>
      <c r="D89" s="90"/>
    </row>
    <row r="90" spans="1:4" x14ac:dyDescent="0.25">
      <c r="A90" s="57">
        <v>49.34</v>
      </c>
      <c r="B90" s="90"/>
      <c r="C90" s="90"/>
      <c r="D90" s="90"/>
    </row>
    <row r="91" spans="1:4" x14ac:dyDescent="0.25">
      <c r="A91" s="57">
        <v>65.56</v>
      </c>
      <c r="B91" s="90"/>
      <c r="C91" s="90"/>
      <c r="D91" s="90"/>
    </row>
    <row r="92" spans="1:4" x14ac:dyDescent="0.25">
      <c r="A92" s="57">
        <v>31.2</v>
      </c>
      <c r="B92" s="90"/>
      <c r="C92" s="90"/>
      <c r="D92" s="90"/>
    </row>
    <row r="94" spans="1:4" x14ac:dyDescent="0.25">
      <c r="A94" s="67" t="s">
        <v>43</v>
      </c>
      <c r="B94" s="67" t="s">
        <v>1028</v>
      </c>
      <c r="C94" s="67" t="s">
        <v>1029</v>
      </c>
    </row>
    <row r="95" spans="1:4" x14ac:dyDescent="0.25">
      <c r="A95" s="91">
        <v>0.05</v>
      </c>
      <c r="B95" s="90"/>
      <c r="C95" s="90"/>
    </row>
    <row r="96" spans="1:4" x14ac:dyDescent="0.25">
      <c r="A96" s="91">
        <v>0.17916666666666667</v>
      </c>
      <c r="B96" s="90"/>
      <c r="C96" s="90"/>
    </row>
    <row r="97" spans="1:3" x14ac:dyDescent="0.25">
      <c r="A97" s="91">
        <v>0.78749999999999998</v>
      </c>
      <c r="B97" s="90"/>
      <c r="C97" s="90"/>
    </row>
    <row r="98" spans="1:3" x14ac:dyDescent="0.25">
      <c r="A98" s="91">
        <v>0.46250000000000002</v>
      </c>
      <c r="B98" s="90"/>
      <c r="C98" s="90"/>
    </row>
    <row r="99" spans="1:3" x14ac:dyDescent="0.25">
      <c r="A99" s="91">
        <v>0.38333333333333336</v>
      </c>
      <c r="B99" s="90"/>
      <c r="C99" s="90"/>
    </row>
    <row r="100" spans="1:3" x14ac:dyDescent="0.25">
      <c r="A100" s="91">
        <v>0.73750000000000004</v>
      </c>
      <c r="B100" s="90"/>
      <c r="C100" s="90"/>
    </row>
    <row r="101" spans="1:3" x14ac:dyDescent="0.25">
      <c r="A101" s="91">
        <v>1</v>
      </c>
      <c r="B101" s="90"/>
      <c r="C101" s="90"/>
    </row>
    <row r="102" spans="1:3" x14ac:dyDescent="0.25">
      <c r="A102" s="91">
        <v>0.96250000000000002</v>
      </c>
      <c r="B102" s="90"/>
      <c r="C102" s="90"/>
    </row>
    <row r="103" spans="1:3" x14ac:dyDescent="0.25">
      <c r="A103" s="91">
        <v>0.16666666666666666</v>
      </c>
      <c r="B103" s="90"/>
      <c r="C103" s="90"/>
    </row>
    <row r="104" spans="1:3" x14ac:dyDescent="0.25">
      <c r="A104" s="91">
        <v>0.39166666666666666</v>
      </c>
      <c r="B104" s="90"/>
      <c r="C104" s="90"/>
    </row>
    <row r="105" spans="1:3" x14ac:dyDescent="0.25">
      <c r="A105" s="92"/>
    </row>
    <row r="106" spans="1:3" x14ac:dyDescent="0.25">
      <c r="A106" s="5" t="s">
        <v>1033</v>
      </c>
      <c r="B106" s="5" t="s">
        <v>1034</v>
      </c>
    </row>
    <row r="107" spans="1:3" x14ac:dyDescent="0.25">
      <c r="A107" s="4" t="s">
        <v>1035</v>
      </c>
      <c r="B107" s="4"/>
    </row>
    <row r="108" spans="1:3" x14ac:dyDescent="0.25">
      <c r="A108" s="4" t="s">
        <v>1036</v>
      </c>
      <c r="B108" s="4"/>
    </row>
    <row r="109" spans="1:3" x14ac:dyDescent="0.25">
      <c r="A109" s="4" t="s">
        <v>1037</v>
      </c>
      <c r="B109" s="4"/>
    </row>
    <row r="110" spans="1:3" x14ac:dyDescent="0.25">
      <c r="A110" s="4" t="s">
        <v>1038</v>
      </c>
      <c r="B110" s="4"/>
    </row>
    <row r="111" spans="1:3" x14ac:dyDescent="0.25">
      <c r="A111" s="4" t="s">
        <v>1039</v>
      </c>
      <c r="B111" s="4"/>
    </row>
    <row r="112" spans="1:3" x14ac:dyDescent="0.25">
      <c r="A112" s="4" t="s">
        <v>1040</v>
      </c>
      <c r="B112" s="4"/>
    </row>
    <row r="113" spans="1:4" x14ac:dyDescent="0.25">
      <c r="A113" s="4" t="s">
        <v>1041</v>
      </c>
      <c r="B113" s="4"/>
    </row>
    <row r="115" spans="1:4" ht="15.75" x14ac:dyDescent="0.25">
      <c r="D115" s="93"/>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115"/>
  <sheetViews>
    <sheetView workbookViewId="0">
      <selection activeCell="B4" sqref="B4"/>
    </sheetView>
  </sheetViews>
  <sheetFormatPr defaultRowHeight="15" x14ac:dyDescent="0.25"/>
  <cols>
    <col min="1" max="1" width="21.28515625" customWidth="1"/>
    <col min="2" max="2" width="20.28515625" customWidth="1"/>
    <col min="3" max="3" width="21.5703125" customWidth="1"/>
    <col min="4" max="4" width="12.28515625" customWidth="1"/>
    <col min="5" max="5" width="17.7109375" bestFit="1" customWidth="1"/>
    <col min="6" max="6" width="18.28515625" bestFit="1" customWidth="1"/>
    <col min="7" max="7" width="16.85546875" customWidth="1"/>
    <col min="9" max="9" width="17.7109375" bestFit="1" customWidth="1"/>
  </cols>
  <sheetData>
    <row r="1" spans="1:7" x14ac:dyDescent="0.25">
      <c r="A1" s="63" t="s">
        <v>1246</v>
      </c>
      <c r="B1" s="64"/>
      <c r="C1" s="64"/>
      <c r="D1" s="64"/>
      <c r="E1" s="64"/>
      <c r="F1" s="64"/>
      <c r="G1" s="65"/>
    </row>
    <row r="3" spans="1:7" x14ac:dyDescent="0.25">
      <c r="A3" s="5" t="s">
        <v>971</v>
      </c>
      <c r="B3" s="5" t="s">
        <v>972</v>
      </c>
      <c r="C3" s="5" t="s">
        <v>973</v>
      </c>
      <c r="D3" s="5" t="s">
        <v>974</v>
      </c>
      <c r="E3" s="5" t="s">
        <v>975</v>
      </c>
      <c r="F3" s="5" t="s">
        <v>976</v>
      </c>
      <c r="G3" s="5" t="s">
        <v>977</v>
      </c>
    </row>
    <row r="4" spans="1:7" x14ac:dyDescent="0.25">
      <c r="A4" s="4" t="s">
        <v>1155</v>
      </c>
      <c r="B4" s="4" t="s">
        <v>1166</v>
      </c>
      <c r="C4" s="4" t="s">
        <v>1175</v>
      </c>
      <c r="D4" s="4" t="s">
        <v>1185</v>
      </c>
      <c r="E4" s="4" t="s">
        <v>1194</v>
      </c>
      <c r="F4" s="4" t="s">
        <v>1204</v>
      </c>
      <c r="G4" s="4" t="s">
        <v>1161</v>
      </c>
    </row>
    <row r="5" spans="1:7" x14ac:dyDescent="0.25">
      <c r="A5" s="4" t="s">
        <v>1156</v>
      </c>
      <c r="B5" s="4" t="s">
        <v>1167</v>
      </c>
      <c r="C5" s="4" t="s">
        <v>1176</v>
      </c>
      <c r="D5" s="4" t="s">
        <v>1186</v>
      </c>
      <c r="E5" s="4" t="s">
        <v>1195</v>
      </c>
      <c r="F5" s="4" t="s">
        <v>1205</v>
      </c>
      <c r="G5" s="4" t="s">
        <v>1160</v>
      </c>
    </row>
    <row r="6" spans="1:7" x14ac:dyDescent="0.25">
      <c r="A6" s="4" t="s">
        <v>1061</v>
      </c>
      <c r="B6" s="4" t="s">
        <v>1168</v>
      </c>
      <c r="C6" s="4" t="s">
        <v>1177</v>
      </c>
      <c r="D6" s="4" t="s">
        <v>1187</v>
      </c>
      <c r="E6" s="4" t="s">
        <v>1196</v>
      </c>
      <c r="F6" s="4" t="s">
        <v>1206</v>
      </c>
      <c r="G6" s="4" t="s">
        <v>978</v>
      </c>
    </row>
    <row r="7" spans="1:7" x14ac:dyDescent="0.25">
      <c r="A7" s="4" t="s">
        <v>1062</v>
      </c>
      <c r="B7" s="4" t="s">
        <v>1169</v>
      </c>
      <c r="C7" s="4" t="s">
        <v>1178</v>
      </c>
      <c r="D7" s="4" t="s">
        <v>1188</v>
      </c>
      <c r="E7" s="4" t="s">
        <v>1197</v>
      </c>
      <c r="F7" s="4" t="s">
        <v>1207</v>
      </c>
      <c r="G7" s="4" t="s">
        <v>979</v>
      </c>
    </row>
    <row r="8" spans="1:7" x14ac:dyDescent="0.25">
      <c r="A8" s="4" t="s">
        <v>1063</v>
      </c>
      <c r="B8" s="4" t="s">
        <v>1170</v>
      </c>
      <c r="C8" s="4" t="s">
        <v>1179</v>
      </c>
      <c r="D8" s="4" t="s">
        <v>1189</v>
      </c>
      <c r="E8" s="4" t="s">
        <v>1198</v>
      </c>
      <c r="F8" s="4" t="s">
        <v>1208</v>
      </c>
      <c r="G8" s="4" t="s">
        <v>980</v>
      </c>
    </row>
    <row r="9" spans="1:7" x14ac:dyDescent="0.25">
      <c r="A9" s="4" t="s">
        <v>1064</v>
      </c>
      <c r="B9" s="4" t="s">
        <v>1171</v>
      </c>
      <c r="C9" s="4" t="s">
        <v>1180</v>
      </c>
      <c r="D9" s="4" t="s">
        <v>1190</v>
      </c>
      <c r="E9" s="4" t="s">
        <v>1199</v>
      </c>
      <c r="F9" s="4" t="s">
        <v>1209</v>
      </c>
      <c r="G9" s="4" t="s">
        <v>981</v>
      </c>
    </row>
    <row r="10" spans="1:7" x14ac:dyDescent="0.25">
      <c r="A10" s="4" t="s">
        <v>1065</v>
      </c>
      <c r="B10" s="4" t="s">
        <v>1172</v>
      </c>
      <c r="C10" s="4" t="s">
        <v>1181</v>
      </c>
      <c r="D10" s="4" t="s">
        <v>1191</v>
      </c>
      <c r="E10" s="4" t="s">
        <v>1200</v>
      </c>
      <c r="F10" s="4" t="s">
        <v>1210</v>
      </c>
      <c r="G10" s="4" t="s">
        <v>982</v>
      </c>
    </row>
    <row r="11" spans="1:7" x14ac:dyDescent="0.25">
      <c r="A11" s="4" t="s">
        <v>1066</v>
      </c>
      <c r="B11" s="4" t="s">
        <v>1168</v>
      </c>
      <c r="C11" s="4" t="s">
        <v>1182</v>
      </c>
      <c r="D11" s="4" t="s">
        <v>1187</v>
      </c>
      <c r="E11" s="4" t="s">
        <v>1201</v>
      </c>
      <c r="F11" s="4" t="s">
        <v>1211</v>
      </c>
      <c r="G11" s="4" t="s">
        <v>983</v>
      </c>
    </row>
    <row r="12" spans="1:7" x14ac:dyDescent="0.25">
      <c r="A12" s="4" t="s">
        <v>1067</v>
      </c>
      <c r="B12" s="4" t="s">
        <v>1173</v>
      </c>
      <c r="C12" s="4" t="s">
        <v>1183</v>
      </c>
      <c r="D12" s="4" t="s">
        <v>1192</v>
      </c>
      <c r="E12" s="4" t="s">
        <v>1202</v>
      </c>
      <c r="F12" s="4" t="s">
        <v>1212</v>
      </c>
      <c r="G12" s="4" t="s">
        <v>984</v>
      </c>
    </row>
    <row r="13" spans="1:7" x14ac:dyDescent="0.25">
      <c r="A13" s="4" t="s">
        <v>1068</v>
      </c>
      <c r="B13" s="4" t="s">
        <v>1174</v>
      </c>
      <c r="C13" s="4" t="s">
        <v>1184</v>
      </c>
      <c r="D13" s="4" t="s">
        <v>1193</v>
      </c>
      <c r="E13" s="4" t="s">
        <v>1203</v>
      </c>
      <c r="F13" s="4" t="s">
        <v>1213</v>
      </c>
      <c r="G13" s="4" t="s">
        <v>985</v>
      </c>
    </row>
    <row r="15" spans="1:7" x14ac:dyDescent="0.25">
      <c r="A15" s="5" t="s">
        <v>972</v>
      </c>
      <c r="B15" s="5" t="s">
        <v>973</v>
      </c>
      <c r="C15" s="5" t="s">
        <v>986</v>
      </c>
    </row>
    <row r="16" spans="1:7" x14ac:dyDescent="0.25">
      <c r="A16" s="4" t="s">
        <v>1120</v>
      </c>
      <c r="B16" s="4" t="s">
        <v>1157</v>
      </c>
      <c r="C16" s="4" t="s">
        <v>1161</v>
      </c>
    </row>
    <row r="17" spans="1:3" x14ac:dyDescent="0.25">
      <c r="A17" s="4" t="s">
        <v>96</v>
      </c>
      <c r="B17" s="4" t="s">
        <v>1158</v>
      </c>
      <c r="C17" s="4" t="s">
        <v>1160</v>
      </c>
    </row>
    <row r="18" spans="1:3" x14ac:dyDescent="0.25">
      <c r="A18" s="4" t="s">
        <v>987</v>
      </c>
      <c r="B18" s="4" t="s">
        <v>988</v>
      </c>
      <c r="C18" s="4" t="s">
        <v>978</v>
      </c>
    </row>
    <row r="19" spans="1:3" x14ac:dyDescent="0.25">
      <c r="A19" s="4" t="s">
        <v>792</v>
      </c>
      <c r="B19" s="4" t="s">
        <v>989</v>
      </c>
      <c r="C19" s="4" t="s">
        <v>979</v>
      </c>
    </row>
    <row r="20" spans="1:3" x14ac:dyDescent="0.25">
      <c r="A20" s="4" t="s">
        <v>990</v>
      </c>
      <c r="B20" s="4" t="s">
        <v>991</v>
      </c>
      <c r="C20" s="4" t="s">
        <v>980</v>
      </c>
    </row>
    <row r="21" spans="1:3" x14ac:dyDescent="0.25">
      <c r="A21" s="4" t="s">
        <v>793</v>
      </c>
      <c r="B21" s="4" t="s">
        <v>992</v>
      </c>
      <c r="C21" s="4" t="s">
        <v>981</v>
      </c>
    </row>
    <row r="22" spans="1:3" x14ac:dyDescent="0.25">
      <c r="A22" s="4" t="s">
        <v>993</v>
      </c>
      <c r="B22" s="4" t="s">
        <v>994</v>
      </c>
      <c r="C22" s="4" t="s">
        <v>982</v>
      </c>
    </row>
    <row r="23" spans="1:3" x14ac:dyDescent="0.25">
      <c r="A23" s="4" t="s">
        <v>987</v>
      </c>
      <c r="B23" s="4" t="s">
        <v>995</v>
      </c>
      <c r="C23" s="4" t="s">
        <v>983</v>
      </c>
    </row>
    <row r="24" spans="1:3" x14ac:dyDescent="0.25">
      <c r="A24" s="4" t="s">
        <v>996</v>
      </c>
      <c r="B24" s="4" t="s">
        <v>997</v>
      </c>
      <c r="C24" s="4" t="s">
        <v>984</v>
      </c>
    </row>
    <row r="25" spans="1:3" x14ac:dyDescent="0.25">
      <c r="A25" s="4" t="s">
        <v>998</v>
      </c>
      <c r="B25" s="4" t="s">
        <v>999</v>
      </c>
      <c r="C25" s="4" t="s">
        <v>985</v>
      </c>
    </row>
    <row r="27" spans="1:3" x14ac:dyDescent="0.25">
      <c r="A27" s="5" t="s">
        <v>971</v>
      </c>
      <c r="B27" s="5" t="s">
        <v>972</v>
      </c>
    </row>
    <row r="28" spans="1:3" x14ac:dyDescent="0.25">
      <c r="A28" s="4" t="s">
        <v>1161</v>
      </c>
      <c r="B28" s="4" t="s">
        <v>1120</v>
      </c>
    </row>
    <row r="29" spans="1:3" x14ac:dyDescent="0.25">
      <c r="A29" s="4" t="s">
        <v>1160</v>
      </c>
      <c r="B29" s="4" t="s">
        <v>96</v>
      </c>
    </row>
    <row r="30" spans="1:3" x14ac:dyDescent="0.25">
      <c r="A30" s="4"/>
      <c r="B30" s="4"/>
    </row>
    <row r="31" spans="1:3" x14ac:dyDescent="0.25">
      <c r="A31" s="4" t="s">
        <v>979</v>
      </c>
      <c r="B31" s="4" t="s">
        <v>792</v>
      </c>
    </row>
    <row r="32" spans="1:3" x14ac:dyDescent="0.25">
      <c r="A32" s="4" t="s">
        <v>980</v>
      </c>
      <c r="B32" s="4" t="s">
        <v>990</v>
      </c>
    </row>
    <row r="33" spans="1:3" x14ac:dyDescent="0.25">
      <c r="A33" s="4"/>
      <c r="B33" s="4"/>
    </row>
    <row r="34" spans="1:3" x14ac:dyDescent="0.25">
      <c r="A34" s="4" t="s">
        <v>982</v>
      </c>
      <c r="B34" s="4" t="s">
        <v>993</v>
      </c>
    </row>
    <row r="35" spans="1:3" x14ac:dyDescent="0.25">
      <c r="A35" s="4"/>
      <c r="B35" s="4"/>
    </row>
    <row r="36" spans="1:3" x14ac:dyDescent="0.25">
      <c r="A36" s="4" t="s">
        <v>984</v>
      </c>
      <c r="B36" s="4" t="s">
        <v>996</v>
      </c>
    </row>
    <row r="37" spans="1:3" x14ac:dyDescent="0.25">
      <c r="A37" s="4" t="s">
        <v>985</v>
      </c>
      <c r="B37" s="4" t="s">
        <v>998</v>
      </c>
    </row>
    <row r="39" spans="1:3" x14ac:dyDescent="0.25">
      <c r="A39" s="67" t="s">
        <v>972</v>
      </c>
      <c r="B39" s="67" t="s">
        <v>973</v>
      </c>
      <c r="C39" s="67" t="s">
        <v>1011</v>
      </c>
    </row>
    <row r="40" spans="1:3" x14ac:dyDescent="0.25">
      <c r="A40" s="4" t="s">
        <v>1120</v>
      </c>
      <c r="B40" s="4" t="s">
        <v>1157</v>
      </c>
      <c r="C40" s="4" t="s">
        <v>1226</v>
      </c>
    </row>
    <row r="41" spans="1:3" x14ac:dyDescent="0.25">
      <c r="A41" s="4" t="s">
        <v>96</v>
      </c>
      <c r="B41" s="4" t="s">
        <v>1158</v>
      </c>
      <c r="C41" s="4" t="s">
        <v>1227</v>
      </c>
    </row>
    <row r="42" spans="1:3" x14ac:dyDescent="0.25">
      <c r="A42" s="4" t="s">
        <v>987</v>
      </c>
      <c r="B42" s="4" t="s">
        <v>988</v>
      </c>
      <c r="C42" s="4" t="s">
        <v>1228</v>
      </c>
    </row>
    <row r="43" spans="1:3" x14ac:dyDescent="0.25">
      <c r="A43" s="4" t="s">
        <v>792</v>
      </c>
      <c r="B43" s="4"/>
      <c r="C43" s="4" t="s">
        <v>792</v>
      </c>
    </row>
    <row r="44" spans="1:3" x14ac:dyDescent="0.25">
      <c r="A44" s="4" t="s">
        <v>990</v>
      </c>
      <c r="B44" s="4" t="s">
        <v>991</v>
      </c>
      <c r="C44" s="4" t="s">
        <v>1229</v>
      </c>
    </row>
    <row r="45" spans="1:3" x14ac:dyDescent="0.25">
      <c r="A45" s="4" t="s">
        <v>793</v>
      </c>
      <c r="B45" s="4" t="s">
        <v>992</v>
      </c>
      <c r="C45" s="4" t="s">
        <v>1230</v>
      </c>
    </row>
    <row r="46" spans="1:3" x14ac:dyDescent="0.25">
      <c r="A46" s="4" t="s">
        <v>993</v>
      </c>
      <c r="B46" s="4" t="s">
        <v>994</v>
      </c>
      <c r="C46" s="4" t="s">
        <v>1231</v>
      </c>
    </row>
    <row r="47" spans="1:3" x14ac:dyDescent="0.25">
      <c r="A47" s="4" t="s">
        <v>987</v>
      </c>
      <c r="B47" s="4"/>
      <c r="C47" s="4" t="s">
        <v>987</v>
      </c>
    </row>
    <row r="48" spans="1:3" x14ac:dyDescent="0.25">
      <c r="A48" s="4" t="s">
        <v>996</v>
      </c>
      <c r="B48" s="4" t="s">
        <v>997</v>
      </c>
      <c r="C48" s="4" t="s">
        <v>1232</v>
      </c>
    </row>
    <row r="49" spans="1:4" x14ac:dyDescent="0.25">
      <c r="A49" s="4" t="s">
        <v>998</v>
      </c>
      <c r="B49" s="4" t="s">
        <v>999</v>
      </c>
      <c r="C49" s="4" t="s">
        <v>1233</v>
      </c>
    </row>
    <row r="51" spans="1:4" x14ac:dyDescent="0.25">
      <c r="A51" s="67" t="s">
        <v>809</v>
      </c>
      <c r="B51" s="67" t="s">
        <v>1000</v>
      </c>
    </row>
    <row r="52" spans="1:4" x14ac:dyDescent="0.25">
      <c r="A52" s="4" t="s">
        <v>1159</v>
      </c>
      <c r="B52" s="4" t="s">
        <v>1214</v>
      </c>
    </row>
    <row r="53" spans="1:4" x14ac:dyDescent="0.25">
      <c r="A53" s="4" t="s">
        <v>1160</v>
      </c>
      <c r="B53" s="4" t="s">
        <v>96</v>
      </c>
    </row>
    <row r="54" spans="1:4" x14ac:dyDescent="0.25">
      <c r="A54" s="4" t="s">
        <v>1001</v>
      </c>
      <c r="B54" s="4" t="s">
        <v>1215</v>
      </c>
    </row>
    <row r="55" spans="1:4" x14ac:dyDescent="0.25">
      <c r="A55" s="4" t="s">
        <v>1002</v>
      </c>
      <c r="B55" s="4" t="s">
        <v>94</v>
      </c>
    </row>
    <row r="56" spans="1:4" x14ac:dyDescent="0.25">
      <c r="A56" s="4" t="s">
        <v>1003</v>
      </c>
      <c r="B56" s="4" t="s">
        <v>1216</v>
      </c>
    </row>
    <row r="57" spans="1:4" x14ac:dyDescent="0.25">
      <c r="A57" s="4" t="s">
        <v>1004</v>
      </c>
      <c r="B57" s="4" t="s">
        <v>1219</v>
      </c>
    </row>
    <row r="58" spans="1:4" x14ac:dyDescent="0.25">
      <c r="A58" s="4" t="s">
        <v>1005</v>
      </c>
      <c r="B58" s="4" t="s">
        <v>1220</v>
      </c>
    </row>
    <row r="59" spans="1:4" x14ac:dyDescent="0.25">
      <c r="A59" s="4" t="s">
        <v>1006</v>
      </c>
      <c r="B59" s="4" t="s">
        <v>1217</v>
      </c>
    </row>
    <row r="60" spans="1:4" x14ac:dyDescent="0.25">
      <c r="A60" s="4" t="s">
        <v>1007</v>
      </c>
      <c r="B60" s="4" t="s">
        <v>1218</v>
      </c>
    </row>
    <row r="61" spans="1:4" x14ac:dyDescent="0.25">
      <c r="A61" s="4" t="s">
        <v>1008</v>
      </c>
      <c r="B61" s="4" t="s">
        <v>1131</v>
      </c>
    </row>
    <row r="63" spans="1:4" x14ac:dyDescent="0.25">
      <c r="A63" s="67" t="s">
        <v>42</v>
      </c>
      <c r="B63" s="67" t="s">
        <v>1017</v>
      </c>
      <c r="C63" s="67" t="s">
        <v>1018</v>
      </c>
      <c r="D63" s="67" t="s">
        <v>1019</v>
      </c>
    </row>
    <row r="64" spans="1:4" x14ac:dyDescent="0.25">
      <c r="A64" s="8">
        <v>41114</v>
      </c>
      <c r="B64" s="90">
        <v>2012</v>
      </c>
      <c r="C64" s="90">
        <v>24</v>
      </c>
      <c r="D64" s="90">
        <v>7</v>
      </c>
    </row>
    <row r="65" spans="1:5" x14ac:dyDescent="0.25">
      <c r="A65" s="8">
        <v>41115</v>
      </c>
      <c r="B65" s="90">
        <v>2012</v>
      </c>
      <c r="C65" s="90">
        <v>25</v>
      </c>
      <c r="D65" s="90">
        <v>7</v>
      </c>
    </row>
    <row r="66" spans="1:5" x14ac:dyDescent="0.25">
      <c r="A66" s="8">
        <v>41116</v>
      </c>
      <c r="B66" s="90">
        <v>2012</v>
      </c>
      <c r="C66" s="90">
        <v>26</v>
      </c>
      <c r="D66" s="90">
        <v>7</v>
      </c>
    </row>
    <row r="67" spans="1:5" x14ac:dyDescent="0.25">
      <c r="A67" s="8">
        <v>41117</v>
      </c>
      <c r="B67" s="90">
        <v>2012</v>
      </c>
      <c r="C67" s="90">
        <v>27</v>
      </c>
      <c r="D67" s="90">
        <v>7</v>
      </c>
    </row>
    <row r="68" spans="1:5" x14ac:dyDescent="0.25">
      <c r="A68" s="8">
        <v>41483</v>
      </c>
      <c r="B68" s="90">
        <v>2013</v>
      </c>
      <c r="C68" s="90">
        <v>28</v>
      </c>
      <c r="D68" s="90">
        <v>7</v>
      </c>
    </row>
    <row r="69" spans="1:5" x14ac:dyDescent="0.25">
      <c r="A69" s="8">
        <v>41484</v>
      </c>
      <c r="B69" s="90">
        <v>2013</v>
      </c>
      <c r="C69" s="90">
        <v>29</v>
      </c>
      <c r="D69" s="90">
        <v>7</v>
      </c>
    </row>
    <row r="70" spans="1:5" x14ac:dyDescent="0.25">
      <c r="A70" s="8">
        <v>41485</v>
      </c>
      <c r="B70" s="90">
        <v>2013</v>
      </c>
      <c r="C70" s="90">
        <v>30</v>
      </c>
      <c r="D70" s="90">
        <v>7</v>
      </c>
    </row>
    <row r="71" spans="1:5" x14ac:dyDescent="0.25">
      <c r="A71" s="8">
        <v>41486</v>
      </c>
      <c r="B71" s="90">
        <v>2013</v>
      </c>
      <c r="C71" s="90">
        <v>31</v>
      </c>
      <c r="D71" s="90">
        <v>7</v>
      </c>
    </row>
    <row r="72" spans="1:5" x14ac:dyDescent="0.25">
      <c r="A72" s="8">
        <v>41487</v>
      </c>
      <c r="B72" s="90">
        <v>2013</v>
      </c>
      <c r="C72" s="90">
        <v>1</v>
      </c>
      <c r="D72" s="90">
        <v>8</v>
      </c>
    </row>
    <row r="73" spans="1:5" x14ac:dyDescent="0.25">
      <c r="A73" s="8">
        <v>41488</v>
      </c>
      <c r="B73" s="90">
        <v>2013</v>
      </c>
      <c r="C73" s="90">
        <v>2</v>
      </c>
      <c r="D73" s="90">
        <v>8</v>
      </c>
    </row>
    <row r="75" spans="1:5" x14ac:dyDescent="0.25">
      <c r="A75" s="26" t="s">
        <v>1024</v>
      </c>
      <c r="B75" s="26" t="s">
        <v>976</v>
      </c>
      <c r="D75" s="5" t="s">
        <v>1032</v>
      </c>
      <c r="E75" s="26" t="s">
        <v>976</v>
      </c>
    </row>
    <row r="76" spans="1:5" x14ac:dyDescent="0.25">
      <c r="A76" s="4">
        <v>2065874545</v>
      </c>
      <c r="B76" s="4" t="s">
        <v>1236</v>
      </c>
      <c r="D76" s="4">
        <v>880712259</v>
      </c>
      <c r="E76" s="4" t="s">
        <v>1241</v>
      </c>
    </row>
    <row r="77" spans="1:5" x14ac:dyDescent="0.25">
      <c r="A77" s="4">
        <v>2536987455</v>
      </c>
      <c r="B77" s="4" t="s">
        <v>1237</v>
      </c>
      <c r="D77" s="4">
        <v>880709467</v>
      </c>
      <c r="E77" s="4" t="s">
        <v>1242</v>
      </c>
    </row>
    <row r="78" spans="1:5" x14ac:dyDescent="0.25">
      <c r="A78" s="4">
        <v>2159874439</v>
      </c>
      <c r="B78" s="4" t="s">
        <v>1238</v>
      </c>
      <c r="D78" s="4">
        <v>880527987</v>
      </c>
      <c r="E78" s="4" t="s">
        <v>1243</v>
      </c>
    </row>
    <row r="79" spans="1:5" x14ac:dyDescent="0.25">
      <c r="A79" s="4">
        <v>4156559933</v>
      </c>
      <c r="B79" s="4" t="s">
        <v>1239</v>
      </c>
      <c r="D79" s="4">
        <v>998613133</v>
      </c>
      <c r="E79" s="4" t="s">
        <v>1244</v>
      </c>
    </row>
    <row r="80" spans="1:5" x14ac:dyDescent="0.25">
      <c r="A80" s="4">
        <v>5105557845</v>
      </c>
      <c r="B80" s="4" t="s">
        <v>1240</v>
      </c>
      <c r="D80" s="4">
        <v>880945725</v>
      </c>
      <c r="E80" s="4" t="s">
        <v>1245</v>
      </c>
    </row>
    <row r="82" spans="1:4" x14ac:dyDescent="0.25">
      <c r="A82" s="67" t="s">
        <v>93</v>
      </c>
      <c r="B82" s="67" t="s">
        <v>1025</v>
      </c>
      <c r="C82" s="67" t="s">
        <v>1026</v>
      </c>
      <c r="D82" s="67" t="s">
        <v>1027</v>
      </c>
    </row>
    <row r="83" spans="1:4" x14ac:dyDescent="0.25">
      <c r="A83" s="57">
        <v>97.65</v>
      </c>
      <c r="B83" s="90">
        <v>0.65</v>
      </c>
      <c r="C83" s="90">
        <v>97</v>
      </c>
      <c r="D83" s="23">
        <v>97</v>
      </c>
    </row>
    <row r="84" spans="1:4" x14ac:dyDescent="0.25">
      <c r="A84" s="57">
        <v>51.04</v>
      </c>
      <c r="B84" s="90">
        <v>0.04</v>
      </c>
      <c r="C84" s="90">
        <v>51</v>
      </c>
      <c r="D84" s="23">
        <v>51</v>
      </c>
    </row>
    <row r="85" spans="1:4" x14ac:dyDescent="0.25">
      <c r="A85" s="57">
        <v>21.96</v>
      </c>
      <c r="B85" s="90">
        <v>0.96</v>
      </c>
      <c r="C85" s="90">
        <v>21</v>
      </c>
      <c r="D85" s="23">
        <v>21</v>
      </c>
    </row>
    <row r="86" spans="1:4" x14ac:dyDescent="0.25">
      <c r="A86" s="57">
        <v>50.6</v>
      </c>
      <c r="B86" s="90">
        <v>0.6</v>
      </c>
      <c r="C86" s="90">
        <v>50</v>
      </c>
      <c r="D86" s="23">
        <v>50</v>
      </c>
    </row>
    <row r="87" spans="1:4" x14ac:dyDescent="0.25">
      <c r="A87" s="57">
        <v>35.74</v>
      </c>
      <c r="B87" s="90">
        <v>0.74</v>
      </c>
      <c r="C87" s="90">
        <v>35</v>
      </c>
      <c r="D87" s="23">
        <v>35</v>
      </c>
    </row>
    <row r="88" spans="1:4" x14ac:dyDescent="0.25">
      <c r="A88" s="57">
        <v>12.33</v>
      </c>
      <c r="B88" s="90">
        <v>0.33</v>
      </c>
      <c r="C88" s="90">
        <v>12</v>
      </c>
      <c r="D88" s="23">
        <v>12</v>
      </c>
    </row>
    <row r="89" spans="1:4" x14ac:dyDescent="0.25">
      <c r="A89" s="57">
        <v>74.209999999999994</v>
      </c>
      <c r="B89" s="90">
        <v>0.21</v>
      </c>
      <c r="C89" s="90">
        <v>74</v>
      </c>
      <c r="D89" s="23">
        <v>74</v>
      </c>
    </row>
    <row r="90" spans="1:4" x14ac:dyDescent="0.25">
      <c r="A90" s="57">
        <v>49.34</v>
      </c>
      <c r="B90" s="90">
        <v>0.34</v>
      </c>
      <c r="C90" s="90">
        <v>49</v>
      </c>
      <c r="D90" s="23">
        <v>49</v>
      </c>
    </row>
    <row r="91" spans="1:4" x14ac:dyDescent="0.25">
      <c r="A91" s="57">
        <v>65.56</v>
      </c>
      <c r="B91" s="90">
        <v>0.56000000000000005</v>
      </c>
      <c r="C91" s="90">
        <v>65</v>
      </c>
      <c r="D91" s="23">
        <v>65</v>
      </c>
    </row>
    <row r="92" spans="1:4" x14ac:dyDescent="0.25">
      <c r="A92" s="57">
        <v>31.2</v>
      </c>
      <c r="B92" s="90">
        <v>0.2</v>
      </c>
      <c r="C92" s="90">
        <v>31</v>
      </c>
      <c r="D92" s="23">
        <v>31</v>
      </c>
    </row>
    <row r="94" spans="1:4" x14ac:dyDescent="0.25">
      <c r="A94" s="67" t="s">
        <v>43</v>
      </c>
      <c r="B94" s="67" t="s">
        <v>1028</v>
      </c>
      <c r="C94" s="67" t="s">
        <v>1029</v>
      </c>
    </row>
    <row r="95" spans="1:4" x14ac:dyDescent="0.25">
      <c r="A95" s="91">
        <v>0.05</v>
      </c>
      <c r="B95" s="90">
        <v>1</v>
      </c>
      <c r="C95" s="90">
        <v>12</v>
      </c>
    </row>
    <row r="96" spans="1:4" x14ac:dyDescent="0.25">
      <c r="A96" s="91">
        <v>0.17916666666666667</v>
      </c>
      <c r="B96" s="90">
        <v>4</v>
      </c>
      <c r="C96" s="90">
        <v>18</v>
      </c>
    </row>
    <row r="97" spans="1:3" x14ac:dyDescent="0.25">
      <c r="A97" s="91">
        <v>0.78749999999999998</v>
      </c>
      <c r="B97" s="90">
        <v>6</v>
      </c>
      <c r="C97" s="90">
        <v>54</v>
      </c>
    </row>
    <row r="98" spans="1:3" x14ac:dyDescent="0.25">
      <c r="A98" s="91">
        <v>0.46250000000000002</v>
      </c>
      <c r="B98" s="90">
        <v>11</v>
      </c>
      <c r="C98" s="90">
        <v>6</v>
      </c>
    </row>
    <row r="99" spans="1:3" x14ac:dyDescent="0.25">
      <c r="A99" s="91">
        <v>0.38333333333333336</v>
      </c>
      <c r="B99" s="90">
        <v>9</v>
      </c>
      <c r="C99" s="90">
        <v>12</v>
      </c>
    </row>
    <row r="100" spans="1:3" x14ac:dyDescent="0.25">
      <c r="A100" s="91">
        <v>0.73750000000000004</v>
      </c>
      <c r="B100" s="90">
        <v>5</v>
      </c>
      <c r="C100" s="90">
        <v>42</v>
      </c>
    </row>
    <row r="101" spans="1:3" x14ac:dyDescent="0.25">
      <c r="A101" s="91">
        <v>1</v>
      </c>
      <c r="B101" s="90">
        <v>12</v>
      </c>
      <c r="C101" s="90">
        <v>0</v>
      </c>
    </row>
    <row r="102" spans="1:3" x14ac:dyDescent="0.25">
      <c r="A102" s="91">
        <v>0.96250000000000002</v>
      </c>
      <c r="B102" s="90">
        <v>11</v>
      </c>
      <c r="C102" s="90">
        <v>6</v>
      </c>
    </row>
    <row r="103" spans="1:3" x14ac:dyDescent="0.25">
      <c r="A103" s="91">
        <v>0.16666666666666666</v>
      </c>
      <c r="B103" s="90">
        <v>4</v>
      </c>
      <c r="C103" s="90">
        <v>0</v>
      </c>
    </row>
    <row r="104" spans="1:3" x14ac:dyDescent="0.25">
      <c r="A104" s="91">
        <v>0.39166666666666666</v>
      </c>
      <c r="B104" s="90">
        <v>9</v>
      </c>
      <c r="C104" s="90">
        <v>24</v>
      </c>
    </row>
    <row r="105" spans="1:3" x14ac:dyDescent="0.25">
      <c r="A105" s="92"/>
    </row>
    <row r="106" spans="1:3" x14ac:dyDescent="0.25">
      <c r="A106" s="5" t="s">
        <v>1033</v>
      </c>
      <c r="B106" s="5" t="s">
        <v>1034</v>
      </c>
    </row>
    <row r="107" spans="1:3" x14ac:dyDescent="0.25">
      <c r="A107" s="4" t="s">
        <v>1035</v>
      </c>
      <c r="B107" s="4" t="s">
        <v>1221</v>
      </c>
    </row>
    <row r="108" spans="1:3" x14ac:dyDescent="0.25">
      <c r="A108" s="4" t="s">
        <v>1036</v>
      </c>
      <c r="B108" s="4" t="s">
        <v>1223</v>
      </c>
    </row>
    <row r="109" spans="1:3" x14ac:dyDescent="0.25">
      <c r="A109" s="4" t="s">
        <v>1037</v>
      </c>
      <c r="B109" s="4" t="s">
        <v>1222</v>
      </c>
    </row>
    <row r="110" spans="1:3" x14ac:dyDescent="0.25">
      <c r="A110" s="4" t="s">
        <v>1038</v>
      </c>
      <c r="B110" s="4" t="s">
        <v>1225</v>
      </c>
    </row>
    <row r="111" spans="1:3" x14ac:dyDescent="0.25">
      <c r="A111" s="4" t="s">
        <v>1039</v>
      </c>
      <c r="B111" s="4" t="s">
        <v>1222</v>
      </c>
    </row>
    <row r="112" spans="1:3" x14ac:dyDescent="0.25">
      <c r="A112" s="4" t="s">
        <v>1040</v>
      </c>
      <c r="B112" s="4" t="s">
        <v>1224</v>
      </c>
    </row>
    <row r="113" spans="1:4" x14ac:dyDescent="0.25">
      <c r="A113" s="4" t="s">
        <v>1041</v>
      </c>
      <c r="B113" s="4" t="s">
        <v>1225</v>
      </c>
    </row>
    <row r="115" spans="1:4" ht="15.75" x14ac:dyDescent="0.25">
      <c r="D115" s="93"/>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B38"/>
  <sheetViews>
    <sheetView workbookViewId="0">
      <selection sqref="A1:B1"/>
    </sheetView>
  </sheetViews>
  <sheetFormatPr defaultRowHeight="15" x14ac:dyDescent="0.25"/>
  <cols>
    <col min="1" max="1" width="20.85546875" bestFit="1" customWidth="1"/>
    <col min="2" max="2" width="36.5703125" customWidth="1"/>
  </cols>
  <sheetData>
    <row r="1" spans="1:2" x14ac:dyDescent="0.25">
      <c r="A1" s="219" t="s">
        <v>1394</v>
      </c>
      <c r="B1" s="219"/>
    </row>
    <row r="4" spans="1:2" ht="26.25" x14ac:dyDescent="0.25">
      <c r="A4" s="11" t="s">
        <v>1075</v>
      </c>
      <c r="B4" s="11" t="s">
        <v>1392</v>
      </c>
    </row>
    <row r="5" spans="1:2" x14ac:dyDescent="0.25">
      <c r="A5" s="4" t="s">
        <v>1059</v>
      </c>
      <c r="B5" s="22"/>
    </row>
    <row r="6" spans="1:2" x14ac:dyDescent="0.25">
      <c r="A6" s="4" t="s">
        <v>1060</v>
      </c>
      <c r="B6" s="22"/>
    </row>
    <row r="7" spans="1:2" x14ac:dyDescent="0.25">
      <c r="A7" s="4" t="s">
        <v>1061</v>
      </c>
      <c r="B7" s="22"/>
    </row>
    <row r="8" spans="1:2" x14ac:dyDescent="0.25">
      <c r="A8" s="4" t="s">
        <v>1062</v>
      </c>
      <c r="B8" s="22"/>
    </row>
    <row r="9" spans="1:2" x14ac:dyDescent="0.25">
      <c r="A9" s="4" t="s">
        <v>1063</v>
      </c>
      <c r="B9" s="22"/>
    </row>
    <row r="10" spans="1:2" x14ac:dyDescent="0.25">
      <c r="A10" s="4" t="s">
        <v>1064</v>
      </c>
      <c r="B10" s="22"/>
    </row>
    <row r="11" spans="1:2" x14ac:dyDescent="0.25">
      <c r="A11" s="4" t="s">
        <v>1065</v>
      </c>
      <c r="B11" s="22"/>
    </row>
    <row r="12" spans="1:2" x14ac:dyDescent="0.25">
      <c r="A12" s="4" t="s">
        <v>1066</v>
      </c>
      <c r="B12" s="22"/>
    </row>
    <row r="13" spans="1:2" x14ac:dyDescent="0.25">
      <c r="A13" s="4" t="s">
        <v>1067</v>
      </c>
      <c r="B13" s="22"/>
    </row>
    <row r="14" spans="1:2" x14ac:dyDescent="0.25">
      <c r="A14" s="4" t="s">
        <v>1068</v>
      </c>
      <c r="B14" s="22"/>
    </row>
    <row r="16" spans="1:2" ht="26.25" x14ac:dyDescent="0.25">
      <c r="A16" s="11" t="s">
        <v>1075</v>
      </c>
      <c r="B16" s="11" t="s">
        <v>1393</v>
      </c>
    </row>
    <row r="17" spans="1:2" x14ac:dyDescent="0.25">
      <c r="A17" s="4" t="s">
        <v>1059</v>
      </c>
      <c r="B17" s="22"/>
    </row>
    <row r="18" spans="1:2" x14ac:dyDescent="0.25">
      <c r="A18" s="4" t="s">
        <v>1060</v>
      </c>
      <c r="B18" s="22"/>
    </row>
    <row r="19" spans="1:2" x14ac:dyDescent="0.25">
      <c r="A19" s="4" t="s">
        <v>1061</v>
      </c>
      <c r="B19" s="22"/>
    </row>
    <row r="20" spans="1:2" x14ac:dyDescent="0.25">
      <c r="A20" s="4" t="s">
        <v>1062</v>
      </c>
      <c r="B20" s="22"/>
    </row>
    <row r="21" spans="1:2" x14ac:dyDescent="0.25">
      <c r="A21" s="4" t="s">
        <v>1063</v>
      </c>
      <c r="B21" s="22"/>
    </row>
    <row r="22" spans="1:2" x14ac:dyDescent="0.25">
      <c r="A22" s="4" t="s">
        <v>1064</v>
      </c>
      <c r="B22" s="22"/>
    </row>
    <row r="23" spans="1:2" x14ac:dyDescent="0.25">
      <c r="A23" s="4" t="s">
        <v>1065</v>
      </c>
      <c r="B23" s="22"/>
    </row>
    <row r="24" spans="1:2" x14ac:dyDescent="0.25">
      <c r="A24" s="4" t="s">
        <v>1066</v>
      </c>
      <c r="B24" s="22"/>
    </row>
    <row r="25" spans="1:2" x14ac:dyDescent="0.25">
      <c r="A25" s="4" t="s">
        <v>1067</v>
      </c>
      <c r="B25" s="22"/>
    </row>
    <row r="26" spans="1:2" x14ac:dyDescent="0.25">
      <c r="A26" s="4" t="s">
        <v>1068</v>
      </c>
      <c r="B26" s="22"/>
    </row>
    <row r="28" spans="1:2" ht="26.25" x14ac:dyDescent="0.25">
      <c r="A28" s="11" t="s">
        <v>1075</v>
      </c>
      <c r="B28" s="11" t="s">
        <v>1395</v>
      </c>
    </row>
    <row r="29" spans="1:2" x14ac:dyDescent="0.25">
      <c r="A29" s="4" t="s">
        <v>1059</v>
      </c>
      <c r="B29" s="22"/>
    </row>
    <row r="30" spans="1:2" x14ac:dyDescent="0.25">
      <c r="A30" s="4" t="s">
        <v>1060</v>
      </c>
      <c r="B30" s="22"/>
    </row>
    <row r="31" spans="1:2" x14ac:dyDescent="0.25">
      <c r="A31" s="4" t="s">
        <v>1061</v>
      </c>
      <c r="B31" s="22"/>
    </row>
    <row r="32" spans="1:2" x14ac:dyDescent="0.25">
      <c r="A32" s="4" t="s">
        <v>1062</v>
      </c>
      <c r="B32" s="22"/>
    </row>
    <row r="33" spans="1:2" x14ac:dyDescent="0.25">
      <c r="A33" s="4" t="s">
        <v>1063</v>
      </c>
      <c r="B33" s="22"/>
    </row>
    <row r="34" spans="1:2" x14ac:dyDescent="0.25">
      <c r="A34" s="4" t="s">
        <v>1064</v>
      </c>
      <c r="B34" s="22"/>
    </row>
    <row r="35" spans="1:2" x14ac:dyDescent="0.25">
      <c r="A35" s="4" t="s">
        <v>1065</v>
      </c>
      <c r="B35" s="22"/>
    </row>
    <row r="36" spans="1:2" x14ac:dyDescent="0.25">
      <c r="A36" s="4" t="s">
        <v>1066</v>
      </c>
      <c r="B36" s="22"/>
    </row>
    <row r="37" spans="1:2" x14ac:dyDescent="0.25">
      <c r="A37" s="4" t="s">
        <v>1067</v>
      </c>
      <c r="B37" s="22"/>
    </row>
    <row r="38" spans="1:2" x14ac:dyDescent="0.25">
      <c r="A38" s="4" t="s">
        <v>1068</v>
      </c>
      <c r="B38" s="22"/>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38"/>
  <sheetViews>
    <sheetView workbookViewId="0">
      <selection sqref="A1:B1"/>
    </sheetView>
  </sheetViews>
  <sheetFormatPr defaultRowHeight="15" x14ac:dyDescent="0.25"/>
  <cols>
    <col min="1" max="1" width="20.85546875" bestFit="1" customWidth="1"/>
    <col min="2" max="2" width="36.5703125" customWidth="1"/>
  </cols>
  <sheetData>
    <row r="1" spans="1:2" x14ac:dyDescent="0.25">
      <c r="A1" s="219" t="s">
        <v>1394</v>
      </c>
      <c r="B1" s="219"/>
    </row>
    <row r="4" spans="1:2" ht="26.25" x14ac:dyDescent="0.25">
      <c r="A4" s="11" t="s">
        <v>1075</v>
      </c>
      <c r="B4" s="11" t="s">
        <v>1392</v>
      </c>
    </row>
    <row r="5" spans="1:2" x14ac:dyDescent="0.25">
      <c r="A5" s="4" t="s">
        <v>1059</v>
      </c>
      <c r="B5" s="22" t="str">
        <f>PROPER(LEFT(A5,SEARCH(" ",A5)))</f>
        <v xml:space="preserve">Neil </v>
      </c>
    </row>
    <row r="6" spans="1:2" x14ac:dyDescent="0.25">
      <c r="A6" s="4" t="s">
        <v>1060</v>
      </c>
      <c r="B6" s="22" t="str">
        <f t="shared" ref="B6:B14" si="0">PROPER(LEFT(A6,SEARCH(" ",A6)))</f>
        <v xml:space="preserve">Mat </v>
      </c>
    </row>
    <row r="7" spans="1:2" x14ac:dyDescent="0.25">
      <c r="A7" s="4" t="s">
        <v>1061</v>
      </c>
      <c r="B7" s="22" t="str">
        <f t="shared" si="0"/>
        <v xml:space="preserve">Althea </v>
      </c>
    </row>
    <row r="8" spans="1:2" x14ac:dyDescent="0.25">
      <c r="A8" s="4" t="s">
        <v>1062</v>
      </c>
      <c r="B8" s="22" t="str">
        <f t="shared" si="0"/>
        <v xml:space="preserve">Kelly </v>
      </c>
    </row>
    <row r="9" spans="1:2" x14ac:dyDescent="0.25">
      <c r="A9" s="4" t="s">
        <v>1063</v>
      </c>
      <c r="B9" s="22" t="str">
        <f t="shared" si="0"/>
        <v xml:space="preserve">Chandra </v>
      </c>
    </row>
    <row r="10" spans="1:2" x14ac:dyDescent="0.25">
      <c r="A10" s="4" t="s">
        <v>1064</v>
      </c>
      <c r="B10" s="22" t="str">
        <f t="shared" si="0"/>
        <v xml:space="preserve">Cody </v>
      </c>
    </row>
    <row r="11" spans="1:2" x14ac:dyDescent="0.25">
      <c r="A11" s="4" t="s">
        <v>1065</v>
      </c>
      <c r="B11" s="22" t="str">
        <f t="shared" si="0"/>
        <v xml:space="preserve">Tyrone </v>
      </c>
    </row>
    <row r="12" spans="1:2" x14ac:dyDescent="0.25">
      <c r="A12" s="4" t="s">
        <v>1066</v>
      </c>
      <c r="B12" s="22" t="str">
        <f t="shared" si="0"/>
        <v xml:space="preserve">Althea </v>
      </c>
    </row>
    <row r="13" spans="1:2" x14ac:dyDescent="0.25">
      <c r="A13" s="4" t="s">
        <v>1067</v>
      </c>
      <c r="B13" s="22" t="str">
        <f t="shared" si="0"/>
        <v xml:space="preserve">Dollie </v>
      </c>
    </row>
    <row r="14" spans="1:2" x14ac:dyDescent="0.25">
      <c r="A14" s="4" t="s">
        <v>1068</v>
      </c>
      <c r="B14" s="22" t="str">
        <f t="shared" si="0"/>
        <v xml:space="preserve">Allyson </v>
      </c>
    </row>
    <row r="16" spans="1:2" ht="26.25" x14ac:dyDescent="0.25">
      <c r="A16" s="11" t="s">
        <v>1075</v>
      </c>
      <c r="B16" s="11" t="s">
        <v>1393</v>
      </c>
    </row>
    <row r="17" spans="1:2" x14ac:dyDescent="0.25">
      <c r="A17" s="4" t="s">
        <v>1059</v>
      </c>
      <c r="B17" s="22" t="str">
        <f>PROPER(REPLACE(A17,1,SEARCH(" ",A17),""))</f>
        <v>Lieber</v>
      </c>
    </row>
    <row r="18" spans="1:2" x14ac:dyDescent="0.25">
      <c r="A18" s="4" t="s">
        <v>1060</v>
      </c>
      <c r="B18" s="22" t="str">
        <f t="shared" ref="B18:B26" si="1">PROPER(REPLACE(A18,1,SEARCH(" ",A18),""))</f>
        <v>Prisco</v>
      </c>
    </row>
    <row r="19" spans="1:2" x14ac:dyDescent="0.25">
      <c r="A19" s="4" t="s">
        <v>1061</v>
      </c>
      <c r="B19" s="22" t="str">
        <f t="shared" si="1"/>
        <v>Bertin</v>
      </c>
    </row>
    <row r="20" spans="1:2" x14ac:dyDescent="0.25">
      <c r="A20" s="4" t="s">
        <v>1062</v>
      </c>
      <c r="B20" s="22" t="str">
        <f t="shared" si="1"/>
        <v>Gamblin</v>
      </c>
    </row>
    <row r="21" spans="1:2" x14ac:dyDescent="0.25">
      <c r="A21" s="4" t="s">
        <v>1063</v>
      </c>
      <c r="B21" s="22" t="str">
        <f t="shared" si="1"/>
        <v>Valenzula</v>
      </c>
    </row>
    <row r="22" spans="1:2" x14ac:dyDescent="0.25">
      <c r="A22" s="4" t="s">
        <v>1064</v>
      </c>
      <c r="B22" s="22" t="str">
        <f t="shared" si="1"/>
        <v>Castillon</v>
      </c>
    </row>
    <row r="23" spans="1:2" x14ac:dyDescent="0.25">
      <c r="A23" s="4" t="s">
        <v>1065</v>
      </c>
      <c r="B23" s="22" t="str">
        <f t="shared" si="1"/>
        <v>Brazier</v>
      </c>
    </row>
    <row r="24" spans="1:2" x14ac:dyDescent="0.25">
      <c r="A24" s="4" t="s">
        <v>1066</v>
      </c>
      <c r="B24" s="22" t="str">
        <f t="shared" si="1"/>
        <v>Buhl</v>
      </c>
    </row>
    <row r="25" spans="1:2" x14ac:dyDescent="0.25">
      <c r="A25" s="4" t="s">
        <v>1067</v>
      </c>
      <c r="B25" s="22" t="str">
        <f t="shared" si="1"/>
        <v>Munsey</v>
      </c>
    </row>
    <row r="26" spans="1:2" x14ac:dyDescent="0.25">
      <c r="A26" s="4" t="s">
        <v>1068</v>
      </c>
      <c r="B26" s="22" t="str">
        <f t="shared" si="1"/>
        <v>Phou</v>
      </c>
    </row>
    <row r="28" spans="1:2" ht="26.25" x14ac:dyDescent="0.25">
      <c r="A28" s="11" t="s">
        <v>1075</v>
      </c>
      <c r="B28" s="11" t="s">
        <v>1395</v>
      </c>
    </row>
    <row r="29" spans="1:2" x14ac:dyDescent="0.25">
      <c r="A29" s="4" t="s">
        <v>1059</v>
      </c>
      <c r="B29" s="22" t="str">
        <f>LEFT(A29,1)&amp;" "&amp;MID(A29,SEARCH(" ",A29)+1,1)</f>
        <v>N L</v>
      </c>
    </row>
    <row r="30" spans="1:2" x14ac:dyDescent="0.25">
      <c r="A30" s="4" t="s">
        <v>1060</v>
      </c>
      <c r="B30" s="22" t="str">
        <f t="shared" ref="B30:B38" si="2">LEFT(A30,1)&amp;" "&amp;MID(A30,SEARCH(" ",A30)+1,1)</f>
        <v>M P</v>
      </c>
    </row>
    <row r="31" spans="1:2" x14ac:dyDescent="0.25">
      <c r="A31" s="4" t="s">
        <v>1061</v>
      </c>
      <c r="B31" s="22" t="str">
        <f t="shared" si="2"/>
        <v>A B</v>
      </c>
    </row>
    <row r="32" spans="1:2" x14ac:dyDescent="0.25">
      <c r="A32" s="4" t="s">
        <v>1062</v>
      </c>
      <c r="B32" s="22" t="str">
        <f t="shared" si="2"/>
        <v>K G</v>
      </c>
    </row>
    <row r="33" spans="1:2" x14ac:dyDescent="0.25">
      <c r="A33" s="4" t="s">
        <v>1063</v>
      </c>
      <c r="B33" s="22" t="str">
        <f t="shared" si="2"/>
        <v>C V</v>
      </c>
    </row>
    <row r="34" spans="1:2" x14ac:dyDescent="0.25">
      <c r="A34" s="4" t="s">
        <v>1064</v>
      </c>
      <c r="B34" s="22" t="str">
        <f t="shared" si="2"/>
        <v>C C</v>
      </c>
    </row>
    <row r="35" spans="1:2" x14ac:dyDescent="0.25">
      <c r="A35" s="4" t="s">
        <v>1065</v>
      </c>
      <c r="B35" s="22" t="str">
        <f t="shared" si="2"/>
        <v>T B</v>
      </c>
    </row>
    <row r="36" spans="1:2" x14ac:dyDescent="0.25">
      <c r="A36" s="4" t="s">
        <v>1066</v>
      </c>
      <c r="B36" s="22" t="str">
        <f t="shared" si="2"/>
        <v>A B</v>
      </c>
    </row>
    <row r="37" spans="1:2" x14ac:dyDescent="0.25">
      <c r="A37" s="4" t="s">
        <v>1067</v>
      </c>
      <c r="B37" s="22" t="str">
        <f t="shared" si="2"/>
        <v>D M</v>
      </c>
    </row>
    <row r="38" spans="1:2" x14ac:dyDescent="0.25">
      <c r="A38" s="4" t="s">
        <v>1068</v>
      </c>
      <c r="B38" s="22" t="str">
        <f t="shared" si="2"/>
        <v>A P</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F254"/>
  <sheetViews>
    <sheetView workbookViewId="0">
      <selection activeCell="B9" sqref="B9"/>
    </sheetView>
  </sheetViews>
  <sheetFormatPr defaultRowHeight="15" x14ac:dyDescent="0.25"/>
  <cols>
    <col min="1" max="1" width="36.140625" customWidth="1"/>
    <col min="2" max="2" width="16.85546875" customWidth="1"/>
    <col min="6" max="6" width="12.7109375" customWidth="1"/>
    <col min="7" max="7" width="9.7109375" customWidth="1"/>
  </cols>
  <sheetData>
    <row r="1" spans="1:2" x14ac:dyDescent="0.25">
      <c r="A1" s="68" t="s">
        <v>1396</v>
      </c>
      <c r="B1" s="70"/>
    </row>
    <row r="2" spans="1:2" x14ac:dyDescent="0.25">
      <c r="A2" s="189" t="s">
        <v>1151</v>
      </c>
      <c r="B2" s="73"/>
    </row>
    <row r="3" spans="1:2" x14ac:dyDescent="0.25">
      <c r="A3" s="189" t="s">
        <v>1149</v>
      </c>
      <c r="B3" s="73"/>
    </row>
    <row r="4" spans="1:2" x14ac:dyDescent="0.25">
      <c r="A4" s="189" t="s">
        <v>1081</v>
      </c>
      <c r="B4" s="73"/>
    </row>
    <row r="5" spans="1:2" x14ac:dyDescent="0.25">
      <c r="A5" s="190" t="s">
        <v>1017</v>
      </c>
      <c r="B5" s="76"/>
    </row>
    <row r="8" spans="1:2" x14ac:dyDescent="0.25">
      <c r="A8" s="4" t="s">
        <v>1148</v>
      </c>
      <c r="B8" s="8">
        <v>41585</v>
      </c>
    </row>
    <row r="9" spans="1:2" x14ac:dyDescent="0.25">
      <c r="A9" s="18" t="s">
        <v>1151</v>
      </c>
      <c r="B9" s="126"/>
    </row>
    <row r="11" spans="1:2" x14ac:dyDescent="0.25">
      <c r="A11" s="4" t="s">
        <v>1148</v>
      </c>
      <c r="B11" s="8">
        <v>41399</v>
      </c>
    </row>
    <row r="12" spans="1:2" x14ac:dyDescent="0.25">
      <c r="A12" s="18" t="s">
        <v>1149</v>
      </c>
      <c r="B12" s="126"/>
    </row>
    <row r="14" spans="1:2" x14ac:dyDescent="0.25">
      <c r="A14" s="4" t="s">
        <v>1080</v>
      </c>
      <c r="B14" s="8">
        <v>40198</v>
      </c>
    </row>
    <row r="15" spans="1:2" x14ac:dyDescent="0.25">
      <c r="A15" s="4" t="s">
        <v>1361</v>
      </c>
      <c r="B15" s="4">
        <v>8</v>
      </c>
    </row>
    <row r="16" spans="1:2" x14ac:dyDescent="0.25">
      <c r="A16" s="18" t="s">
        <v>1081</v>
      </c>
      <c r="B16" s="104"/>
    </row>
    <row r="18" spans="1:6" x14ac:dyDescent="0.25">
      <c r="A18" s="18" t="s">
        <v>42</v>
      </c>
      <c r="B18" s="18" t="s">
        <v>93</v>
      </c>
      <c r="C18" s="18" t="s">
        <v>1017</v>
      </c>
      <c r="E18" s="188" t="s">
        <v>1017</v>
      </c>
      <c r="F18" s="188" t="s">
        <v>1121</v>
      </c>
    </row>
    <row r="19" spans="1:6" x14ac:dyDescent="0.25">
      <c r="A19" s="8">
        <v>41964</v>
      </c>
      <c r="B19" s="57">
        <v>24</v>
      </c>
      <c r="C19" s="22"/>
      <c r="E19" s="4">
        <v>2013</v>
      </c>
      <c r="F19" s="22">
        <f t="shared" ref="F19:F21" si="0">SUMIFS($B$19:$B$254,$C$19:$C$254,E19)</f>
        <v>0</v>
      </c>
    </row>
    <row r="20" spans="1:6" x14ac:dyDescent="0.25">
      <c r="A20" s="8">
        <v>41530</v>
      </c>
      <c r="B20" s="57">
        <v>77</v>
      </c>
      <c r="C20" s="22"/>
      <c r="E20" s="4">
        <v>2014</v>
      </c>
      <c r="F20" s="22">
        <f t="shared" si="0"/>
        <v>0</v>
      </c>
    </row>
    <row r="21" spans="1:6" x14ac:dyDescent="0.25">
      <c r="A21" s="8">
        <v>41579</v>
      </c>
      <c r="B21" s="57">
        <v>64</v>
      </c>
      <c r="C21" s="22"/>
      <c r="E21" s="4">
        <v>2015</v>
      </c>
      <c r="F21" s="22">
        <f t="shared" si="0"/>
        <v>0</v>
      </c>
    </row>
    <row r="22" spans="1:6" x14ac:dyDescent="0.25">
      <c r="A22" s="8">
        <v>41736</v>
      </c>
      <c r="B22" s="57">
        <v>73</v>
      </c>
      <c r="C22" s="22"/>
    </row>
    <row r="23" spans="1:6" x14ac:dyDescent="0.25">
      <c r="A23" s="8">
        <v>41986</v>
      </c>
      <c r="B23" s="57">
        <v>90</v>
      </c>
      <c r="C23" s="22"/>
    </row>
    <row r="24" spans="1:6" x14ac:dyDescent="0.25">
      <c r="A24" s="8">
        <v>41943</v>
      </c>
      <c r="B24" s="57">
        <v>37</v>
      </c>
      <c r="C24" s="22"/>
    </row>
    <row r="25" spans="1:6" x14ac:dyDescent="0.25">
      <c r="A25" s="8">
        <v>41890</v>
      </c>
      <c r="B25" s="57">
        <v>66</v>
      </c>
      <c r="C25" s="22"/>
    </row>
    <row r="26" spans="1:6" x14ac:dyDescent="0.25">
      <c r="A26" s="8">
        <v>41559</v>
      </c>
      <c r="B26" s="57">
        <v>98</v>
      </c>
      <c r="C26" s="22"/>
    </row>
    <row r="27" spans="1:6" x14ac:dyDescent="0.25">
      <c r="A27" s="8">
        <v>42076</v>
      </c>
      <c r="B27" s="57">
        <v>68</v>
      </c>
      <c r="C27" s="22"/>
    </row>
    <row r="28" spans="1:6" x14ac:dyDescent="0.25">
      <c r="A28" s="8">
        <v>41984</v>
      </c>
      <c r="B28" s="57">
        <v>23</v>
      </c>
      <c r="C28" s="22"/>
    </row>
    <row r="29" spans="1:6" x14ac:dyDescent="0.25">
      <c r="A29" s="8">
        <v>42042</v>
      </c>
      <c r="B29" s="57">
        <v>49</v>
      </c>
      <c r="C29" s="22"/>
    </row>
    <row r="30" spans="1:6" x14ac:dyDescent="0.25">
      <c r="A30" s="8">
        <v>41669</v>
      </c>
      <c r="B30" s="57">
        <v>47</v>
      </c>
      <c r="C30" s="22"/>
    </row>
    <row r="31" spans="1:6" x14ac:dyDescent="0.25">
      <c r="A31" s="8">
        <v>42043</v>
      </c>
      <c r="B31" s="57">
        <v>68</v>
      </c>
      <c r="C31" s="22"/>
    </row>
    <row r="32" spans="1:6" x14ac:dyDescent="0.25">
      <c r="A32" s="8">
        <v>41792</v>
      </c>
      <c r="B32" s="57">
        <v>56</v>
      </c>
      <c r="C32" s="22"/>
    </row>
    <row r="33" spans="1:3" x14ac:dyDescent="0.25">
      <c r="A33" s="8">
        <v>41564</v>
      </c>
      <c r="B33" s="57">
        <v>57</v>
      </c>
      <c r="C33" s="22"/>
    </row>
    <row r="34" spans="1:3" x14ac:dyDescent="0.25">
      <c r="A34" s="8">
        <v>42028</v>
      </c>
      <c r="B34" s="57">
        <v>27</v>
      </c>
      <c r="C34" s="22"/>
    </row>
    <row r="35" spans="1:3" x14ac:dyDescent="0.25">
      <c r="A35" s="8">
        <v>41876</v>
      </c>
      <c r="B35" s="57">
        <v>56</v>
      </c>
      <c r="C35" s="22"/>
    </row>
    <row r="36" spans="1:3" x14ac:dyDescent="0.25">
      <c r="A36" s="8">
        <v>41514</v>
      </c>
      <c r="B36" s="57">
        <v>96</v>
      </c>
      <c r="C36" s="22"/>
    </row>
    <row r="37" spans="1:3" x14ac:dyDescent="0.25">
      <c r="A37" s="8">
        <v>41696</v>
      </c>
      <c r="B37" s="57">
        <v>71</v>
      </c>
      <c r="C37" s="22"/>
    </row>
    <row r="38" spans="1:3" x14ac:dyDescent="0.25">
      <c r="A38" s="8">
        <v>41519</v>
      </c>
      <c r="B38" s="57">
        <v>19</v>
      </c>
      <c r="C38" s="22"/>
    </row>
    <row r="39" spans="1:3" x14ac:dyDescent="0.25">
      <c r="A39" s="8">
        <v>41672</v>
      </c>
      <c r="B39" s="57">
        <v>88</v>
      </c>
      <c r="C39" s="22"/>
    </row>
    <row r="40" spans="1:3" x14ac:dyDescent="0.25">
      <c r="A40" s="8">
        <v>41683</v>
      </c>
      <c r="B40" s="57">
        <v>12</v>
      </c>
      <c r="C40" s="22"/>
    </row>
    <row r="41" spans="1:3" x14ac:dyDescent="0.25">
      <c r="A41" s="8">
        <v>41608</v>
      </c>
      <c r="B41" s="57">
        <v>86</v>
      </c>
      <c r="C41" s="22"/>
    </row>
    <row r="42" spans="1:3" x14ac:dyDescent="0.25">
      <c r="A42" s="8">
        <v>41575</v>
      </c>
      <c r="B42" s="57">
        <v>43</v>
      </c>
      <c r="C42" s="22"/>
    </row>
    <row r="43" spans="1:3" x14ac:dyDescent="0.25">
      <c r="A43" s="8">
        <v>41544</v>
      </c>
      <c r="B43" s="57">
        <v>62</v>
      </c>
      <c r="C43" s="22"/>
    </row>
    <row r="44" spans="1:3" x14ac:dyDescent="0.25">
      <c r="A44" s="8">
        <v>41931</v>
      </c>
      <c r="B44" s="57">
        <v>60</v>
      </c>
      <c r="C44" s="22"/>
    </row>
    <row r="45" spans="1:3" x14ac:dyDescent="0.25">
      <c r="A45" s="8">
        <v>41662</v>
      </c>
      <c r="B45" s="57">
        <v>55</v>
      </c>
      <c r="C45" s="22"/>
    </row>
    <row r="46" spans="1:3" x14ac:dyDescent="0.25">
      <c r="A46" s="8">
        <v>41708</v>
      </c>
      <c r="B46" s="57">
        <v>53</v>
      </c>
      <c r="C46" s="22"/>
    </row>
    <row r="47" spans="1:3" x14ac:dyDescent="0.25">
      <c r="A47" s="8">
        <v>41861</v>
      </c>
      <c r="B47" s="57">
        <v>30</v>
      </c>
      <c r="C47" s="22"/>
    </row>
    <row r="48" spans="1:3" x14ac:dyDescent="0.25">
      <c r="A48" s="8">
        <v>42084</v>
      </c>
      <c r="B48" s="57">
        <v>64</v>
      </c>
      <c r="C48" s="22"/>
    </row>
    <row r="49" spans="1:3" x14ac:dyDescent="0.25">
      <c r="A49" s="8">
        <v>41894</v>
      </c>
      <c r="B49" s="57">
        <v>17</v>
      </c>
      <c r="C49" s="22"/>
    </row>
    <row r="50" spans="1:3" x14ac:dyDescent="0.25">
      <c r="A50" s="8">
        <v>41810</v>
      </c>
      <c r="B50" s="57">
        <v>47</v>
      </c>
      <c r="C50" s="22"/>
    </row>
    <row r="51" spans="1:3" x14ac:dyDescent="0.25">
      <c r="A51" s="8">
        <v>41635</v>
      </c>
      <c r="B51" s="57">
        <v>26</v>
      </c>
      <c r="C51" s="22"/>
    </row>
    <row r="52" spans="1:3" x14ac:dyDescent="0.25">
      <c r="A52" s="8">
        <v>41557</v>
      </c>
      <c r="B52" s="57">
        <v>52</v>
      </c>
      <c r="C52" s="22"/>
    </row>
    <row r="53" spans="1:3" x14ac:dyDescent="0.25">
      <c r="A53" s="8">
        <v>41989</v>
      </c>
      <c r="B53" s="57">
        <v>72</v>
      </c>
      <c r="C53" s="22"/>
    </row>
    <row r="54" spans="1:3" x14ac:dyDescent="0.25">
      <c r="A54" s="8">
        <v>41647</v>
      </c>
      <c r="B54" s="57">
        <v>86</v>
      </c>
      <c r="C54" s="22"/>
    </row>
    <row r="55" spans="1:3" x14ac:dyDescent="0.25">
      <c r="A55" s="8">
        <v>42096</v>
      </c>
      <c r="B55" s="57">
        <v>93</v>
      </c>
      <c r="C55" s="22"/>
    </row>
    <row r="56" spans="1:3" x14ac:dyDescent="0.25">
      <c r="A56" s="8">
        <v>41873</v>
      </c>
      <c r="B56" s="57">
        <v>65</v>
      </c>
      <c r="C56" s="22"/>
    </row>
    <row r="57" spans="1:3" x14ac:dyDescent="0.25">
      <c r="A57" s="8">
        <v>42028</v>
      </c>
      <c r="B57" s="57">
        <v>93</v>
      </c>
      <c r="C57" s="22"/>
    </row>
    <row r="58" spans="1:3" x14ac:dyDescent="0.25">
      <c r="A58" s="8">
        <v>41843</v>
      </c>
      <c r="B58" s="57">
        <v>61</v>
      </c>
      <c r="C58" s="22"/>
    </row>
    <row r="59" spans="1:3" x14ac:dyDescent="0.25">
      <c r="A59" s="8">
        <v>41631</v>
      </c>
      <c r="B59" s="57">
        <v>18</v>
      </c>
      <c r="C59" s="22"/>
    </row>
    <row r="60" spans="1:3" x14ac:dyDescent="0.25">
      <c r="A60" s="8">
        <v>41721</v>
      </c>
      <c r="B60" s="57">
        <v>72</v>
      </c>
      <c r="C60" s="22"/>
    </row>
    <row r="61" spans="1:3" x14ac:dyDescent="0.25">
      <c r="A61" s="8">
        <v>41764</v>
      </c>
      <c r="B61" s="57">
        <v>47</v>
      </c>
      <c r="C61" s="22"/>
    </row>
    <row r="62" spans="1:3" x14ac:dyDescent="0.25">
      <c r="A62" s="8">
        <v>41669</v>
      </c>
      <c r="B62" s="57">
        <v>18</v>
      </c>
      <c r="C62" s="22"/>
    </row>
    <row r="63" spans="1:3" x14ac:dyDescent="0.25">
      <c r="A63" s="8">
        <v>41512</v>
      </c>
      <c r="B63" s="57">
        <v>13</v>
      </c>
      <c r="C63" s="22"/>
    </row>
    <row r="64" spans="1:3" x14ac:dyDescent="0.25">
      <c r="A64" s="8">
        <v>41813</v>
      </c>
      <c r="B64" s="57">
        <v>59</v>
      </c>
      <c r="C64" s="22"/>
    </row>
    <row r="65" spans="1:3" x14ac:dyDescent="0.25">
      <c r="A65" s="8">
        <v>42029</v>
      </c>
      <c r="B65" s="57">
        <v>98</v>
      </c>
      <c r="C65" s="22"/>
    </row>
    <row r="66" spans="1:3" x14ac:dyDescent="0.25">
      <c r="A66" s="8">
        <v>41694</v>
      </c>
      <c r="B66" s="57">
        <v>30</v>
      </c>
      <c r="C66" s="22"/>
    </row>
    <row r="67" spans="1:3" x14ac:dyDescent="0.25">
      <c r="A67" s="8">
        <v>41619</v>
      </c>
      <c r="B67" s="57">
        <v>58</v>
      </c>
      <c r="C67" s="22"/>
    </row>
    <row r="68" spans="1:3" x14ac:dyDescent="0.25">
      <c r="A68" s="8">
        <v>41941</v>
      </c>
      <c r="B68" s="57">
        <v>82</v>
      </c>
      <c r="C68" s="22"/>
    </row>
    <row r="69" spans="1:3" x14ac:dyDescent="0.25">
      <c r="A69" s="8">
        <v>41957</v>
      </c>
      <c r="B69" s="57">
        <v>49</v>
      </c>
      <c r="C69" s="22"/>
    </row>
    <row r="70" spans="1:3" x14ac:dyDescent="0.25">
      <c r="A70" s="8">
        <v>41879</v>
      </c>
      <c r="B70" s="57">
        <v>12</v>
      </c>
      <c r="C70" s="22"/>
    </row>
    <row r="71" spans="1:3" x14ac:dyDescent="0.25">
      <c r="A71" s="8">
        <v>41515</v>
      </c>
      <c r="B71" s="57">
        <v>53</v>
      </c>
      <c r="C71" s="22"/>
    </row>
    <row r="72" spans="1:3" x14ac:dyDescent="0.25">
      <c r="A72" s="8">
        <v>42023</v>
      </c>
      <c r="B72" s="57">
        <v>84</v>
      </c>
      <c r="C72" s="22"/>
    </row>
    <row r="73" spans="1:3" x14ac:dyDescent="0.25">
      <c r="A73" s="8">
        <v>42002</v>
      </c>
      <c r="B73" s="57">
        <v>14</v>
      </c>
      <c r="C73" s="22"/>
    </row>
    <row r="74" spans="1:3" x14ac:dyDescent="0.25">
      <c r="A74" s="8">
        <v>41649</v>
      </c>
      <c r="B74" s="57">
        <v>56</v>
      </c>
      <c r="C74" s="22"/>
    </row>
    <row r="75" spans="1:3" x14ac:dyDescent="0.25">
      <c r="A75" s="8">
        <v>41808</v>
      </c>
      <c r="B75" s="57">
        <v>60</v>
      </c>
      <c r="C75" s="22"/>
    </row>
    <row r="76" spans="1:3" x14ac:dyDescent="0.25">
      <c r="A76" s="8">
        <v>41879</v>
      </c>
      <c r="B76" s="57">
        <v>86</v>
      </c>
      <c r="C76" s="22"/>
    </row>
    <row r="77" spans="1:3" x14ac:dyDescent="0.25">
      <c r="A77" s="8">
        <v>42031</v>
      </c>
      <c r="B77" s="57">
        <v>99</v>
      </c>
      <c r="C77" s="22"/>
    </row>
    <row r="78" spans="1:3" x14ac:dyDescent="0.25">
      <c r="A78" s="8">
        <v>41520</v>
      </c>
      <c r="B78" s="57">
        <v>46</v>
      </c>
      <c r="C78" s="22"/>
    </row>
    <row r="79" spans="1:3" x14ac:dyDescent="0.25">
      <c r="A79" s="8">
        <v>42023</v>
      </c>
      <c r="B79" s="57">
        <v>36</v>
      </c>
      <c r="C79" s="22"/>
    </row>
    <row r="80" spans="1:3" x14ac:dyDescent="0.25">
      <c r="A80" s="8">
        <v>42018</v>
      </c>
      <c r="B80" s="57">
        <v>30</v>
      </c>
      <c r="C80" s="22"/>
    </row>
    <row r="81" spans="1:3" x14ac:dyDescent="0.25">
      <c r="A81" s="8">
        <v>41845</v>
      </c>
      <c r="B81" s="57">
        <v>35</v>
      </c>
      <c r="C81" s="22"/>
    </row>
    <row r="82" spans="1:3" x14ac:dyDescent="0.25">
      <c r="A82" s="8">
        <v>41796</v>
      </c>
      <c r="B82" s="57">
        <v>99</v>
      </c>
      <c r="C82" s="22"/>
    </row>
    <row r="83" spans="1:3" x14ac:dyDescent="0.25">
      <c r="A83" s="8">
        <v>42002</v>
      </c>
      <c r="B83" s="57">
        <v>25</v>
      </c>
      <c r="C83" s="22"/>
    </row>
    <row r="84" spans="1:3" x14ac:dyDescent="0.25">
      <c r="A84" s="8">
        <v>41896</v>
      </c>
      <c r="B84" s="57">
        <v>69</v>
      </c>
      <c r="C84" s="22"/>
    </row>
    <row r="85" spans="1:3" x14ac:dyDescent="0.25">
      <c r="A85" s="8">
        <v>41857</v>
      </c>
      <c r="B85" s="57">
        <v>14</v>
      </c>
      <c r="C85" s="22"/>
    </row>
    <row r="86" spans="1:3" x14ac:dyDescent="0.25">
      <c r="A86" s="8">
        <v>42059</v>
      </c>
      <c r="B86" s="57">
        <v>58</v>
      </c>
      <c r="C86" s="22"/>
    </row>
    <row r="87" spans="1:3" x14ac:dyDescent="0.25">
      <c r="A87" s="8">
        <v>41917</v>
      </c>
      <c r="B87" s="57">
        <v>29</v>
      </c>
      <c r="C87" s="22"/>
    </row>
    <row r="88" spans="1:3" x14ac:dyDescent="0.25">
      <c r="A88" s="8">
        <v>41813</v>
      </c>
      <c r="B88" s="57">
        <v>26</v>
      </c>
      <c r="C88" s="22"/>
    </row>
    <row r="89" spans="1:3" x14ac:dyDescent="0.25">
      <c r="A89" s="8">
        <v>41773</v>
      </c>
      <c r="B89" s="57">
        <v>75</v>
      </c>
      <c r="C89" s="22"/>
    </row>
    <row r="90" spans="1:3" x14ac:dyDescent="0.25">
      <c r="A90" s="8">
        <v>41555</v>
      </c>
      <c r="B90" s="57">
        <v>97</v>
      </c>
      <c r="C90" s="22"/>
    </row>
    <row r="91" spans="1:3" x14ac:dyDescent="0.25">
      <c r="A91" s="8">
        <v>41844</v>
      </c>
      <c r="B91" s="57">
        <v>83</v>
      </c>
      <c r="C91" s="22"/>
    </row>
    <row r="92" spans="1:3" x14ac:dyDescent="0.25">
      <c r="A92" s="8">
        <v>41596</v>
      </c>
      <c r="B92" s="57">
        <v>27</v>
      </c>
      <c r="C92" s="22"/>
    </row>
    <row r="93" spans="1:3" x14ac:dyDescent="0.25">
      <c r="A93" s="8">
        <v>41924</v>
      </c>
      <c r="B93" s="57">
        <v>42</v>
      </c>
      <c r="C93" s="22"/>
    </row>
    <row r="94" spans="1:3" x14ac:dyDescent="0.25">
      <c r="A94" s="8">
        <v>41503</v>
      </c>
      <c r="B94" s="57">
        <v>27</v>
      </c>
      <c r="C94" s="22"/>
    </row>
    <row r="95" spans="1:3" x14ac:dyDescent="0.25">
      <c r="A95" s="8">
        <v>41980</v>
      </c>
      <c r="B95" s="57">
        <v>41</v>
      </c>
      <c r="C95" s="22"/>
    </row>
    <row r="96" spans="1:3" x14ac:dyDescent="0.25">
      <c r="A96" s="8">
        <v>42012</v>
      </c>
      <c r="B96" s="57">
        <v>49</v>
      </c>
      <c r="C96" s="22"/>
    </row>
    <row r="97" spans="1:3" x14ac:dyDescent="0.25">
      <c r="A97" s="8">
        <v>41958</v>
      </c>
      <c r="B97" s="57">
        <v>85</v>
      </c>
      <c r="C97" s="22"/>
    </row>
    <row r="98" spans="1:3" x14ac:dyDescent="0.25">
      <c r="A98" s="8">
        <v>41784</v>
      </c>
      <c r="B98" s="57">
        <v>66</v>
      </c>
      <c r="C98" s="22"/>
    </row>
    <row r="99" spans="1:3" x14ac:dyDescent="0.25">
      <c r="A99" s="8">
        <v>42019</v>
      </c>
      <c r="B99" s="57">
        <v>65</v>
      </c>
      <c r="C99" s="22"/>
    </row>
    <row r="100" spans="1:3" x14ac:dyDescent="0.25">
      <c r="A100" s="8">
        <v>41877</v>
      </c>
      <c r="B100" s="57">
        <v>13</v>
      </c>
      <c r="C100" s="22"/>
    </row>
    <row r="101" spans="1:3" x14ac:dyDescent="0.25">
      <c r="A101" s="8">
        <v>41557</v>
      </c>
      <c r="B101" s="57">
        <v>80</v>
      </c>
      <c r="C101" s="22"/>
    </row>
    <row r="102" spans="1:3" x14ac:dyDescent="0.25">
      <c r="A102" s="8">
        <v>41792</v>
      </c>
      <c r="B102" s="57">
        <v>71</v>
      </c>
      <c r="C102" s="22"/>
    </row>
    <row r="103" spans="1:3" x14ac:dyDescent="0.25">
      <c r="A103" s="8">
        <v>41645</v>
      </c>
      <c r="B103" s="57">
        <v>74</v>
      </c>
      <c r="C103" s="22"/>
    </row>
    <row r="104" spans="1:3" x14ac:dyDescent="0.25">
      <c r="A104" s="8">
        <v>41893</v>
      </c>
      <c r="B104" s="57">
        <v>57</v>
      </c>
      <c r="C104" s="22"/>
    </row>
    <row r="105" spans="1:3" x14ac:dyDescent="0.25">
      <c r="A105" s="8">
        <v>41903</v>
      </c>
      <c r="B105" s="57">
        <v>76</v>
      </c>
      <c r="C105" s="22"/>
    </row>
    <row r="106" spans="1:3" x14ac:dyDescent="0.25">
      <c r="A106" s="8">
        <v>41857</v>
      </c>
      <c r="B106" s="57">
        <v>45</v>
      </c>
      <c r="C106" s="22"/>
    </row>
    <row r="107" spans="1:3" x14ac:dyDescent="0.25">
      <c r="A107" s="8">
        <v>41942</v>
      </c>
      <c r="B107" s="57">
        <v>24</v>
      </c>
      <c r="C107" s="22"/>
    </row>
    <row r="108" spans="1:3" x14ac:dyDescent="0.25">
      <c r="A108" s="8">
        <v>41553</v>
      </c>
      <c r="B108" s="57">
        <v>18</v>
      </c>
      <c r="C108" s="22"/>
    </row>
    <row r="109" spans="1:3" x14ac:dyDescent="0.25">
      <c r="A109" s="8">
        <v>41803</v>
      </c>
      <c r="B109" s="57">
        <v>70</v>
      </c>
      <c r="C109" s="22"/>
    </row>
    <row r="110" spans="1:3" x14ac:dyDescent="0.25">
      <c r="A110" s="8">
        <v>41799</v>
      </c>
      <c r="B110" s="57">
        <v>14</v>
      </c>
      <c r="C110" s="22"/>
    </row>
    <row r="111" spans="1:3" x14ac:dyDescent="0.25">
      <c r="A111" s="8">
        <v>41816</v>
      </c>
      <c r="B111" s="57">
        <v>87</v>
      </c>
      <c r="C111" s="22"/>
    </row>
    <row r="112" spans="1:3" x14ac:dyDescent="0.25">
      <c r="A112" s="8">
        <v>41988</v>
      </c>
      <c r="B112" s="57">
        <v>10</v>
      </c>
      <c r="C112" s="22"/>
    </row>
    <row r="113" spans="1:3" x14ac:dyDescent="0.25">
      <c r="A113" s="8">
        <v>41625</v>
      </c>
      <c r="B113" s="57">
        <v>82</v>
      </c>
      <c r="C113" s="22"/>
    </row>
    <row r="114" spans="1:3" x14ac:dyDescent="0.25">
      <c r="A114" s="8">
        <v>42091</v>
      </c>
      <c r="B114" s="57">
        <v>63</v>
      </c>
      <c r="C114" s="22"/>
    </row>
    <row r="115" spans="1:3" x14ac:dyDescent="0.25">
      <c r="A115" s="8">
        <v>41928</v>
      </c>
      <c r="B115" s="57">
        <v>77</v>
      </c>
      <c r="C115" s="22"/>
    </row>
    <row r="116" spans="1:3" x14ac:dyDescent="0.25">
      <c r="A116" s="8">
        <v>42056</v>
      </c>
      <c r="B116" s="57">
        <v>67</v>
      </c>
      <c r="C116" s="22"/>
    </row>
    <row r="117" spans="1:3" x14ac:dyDescent="0.25">
      <c r="A117" s="8">
        <v>41690</v>
      </c>
      <c r="B117" s="57">
        <v>23</v>
      </c>
      <c r="C117" s="22"/>
    </row>
    <row r="118" spans="1:3" x14ac:dyDescent="0.25">
      <c r="A118" s="8">
        <v>41784</v>
      </c>
      <c r="B118" s="57">
        <v>57</v>
      </c>
      <c r="C118" s="22"/>
    </row>
    <row r="119" spans="1:3" x14ac:dyDescent="0.25">
      <c r="A119" s="8">
        <v>41616</v>
      </c>
      <c r="B119" s="57">
        <v>40</v>
      </c>
      <c r="C119" s="22"/>
    </row>
    <row r="120" spans="1:3" x14ac:dyDescent="0.25">
      <c r="A120" s="8">
        <v>41755</v>
      </c>
      <c r="B120" s="57">
        <v>83</v>
      </c>
      <c r="C120" s="22"/>
    </row>
    <row r="121" spans="1:3" x14ac:dyDescent="0.25">
      <c r="A121" s="8">
        <v>41724</v>
      </c>
      <c r="B121" s="57">
        <v>22</v>
      </c>
      <c r="C121" s="22"/>
    </row>
    <row r="122" spans="1:3" x14ac:dyDescent="0.25">
      <c r="A122" s="8">
        <v>41540</v>
      </c>
      <c r="B122" s="57">
        <v>44</v>
      </c>
      <c r="C122" s="22"/>
    </row>
    <row r="123" spans="1:3" x14ac:dyDescent="0.25">
      <c r="A123" s="8">
        <v>41513</v>
      </c>
      <c r="B123" s="57">
        <v>57</v>
      </c>
      <c r="C123" s="22"/>
    </row>
    <row r="124" spans="1:3" x14ac:dyDescent="0.25">
      <c r="A124" s="8">
        <v>41522</v>
      </c>
      <c r="B124" s="57">
        <v>51</v>
      </c>
      <c r="C124" s="22"/>
    </row>
    <row r="125" spans="1:3" x14ac:dyDescent="0.25">
      <c r="A125" s="8">
        <v>41786</v>
      </c>
      <c r="B125" s="57">
        <v>99</v>
      </c>
      <c r="C125" s="22"/>
    </row>
    <row r="126" spans="1:3" x14ac:dyDescent="0.25">
      <c r="A126" s="8">
        <v>41814</v>
      </c>
      <c r="B126" s="57">
        <v>35</v>
      </c>
      <c r="C126" s="22"/>
    </row>
    <row r="127" spans="1:3" x14ac:dyDescent="0.25">
      <c r="A127" s="8">
        <v>41930</v>
      </c>
      <c r="B127" s="57">
        <v>30</v>
      </c>
      <c r="C127" s="22"/>
    </row>
    <row r="128" spans="1:3" x14ac:dyDescent="0.25">
      <c r="A128" s="8">
        <v>41654</v>
      </c>
      <c r="B128" s="57">
        <v>81</v>
      </c>
      <c r="C128" s="22"/>
    </row>
    <row r="129" spans="1:3" x14ac:dyDescent="0.25">
      <c r="A129" s="8">
        <v>41838</v>
      </c>
      <c r="B129" s="57">
        <v>94</v>
      </c>
      <c r="C129" s="22"/>
    </row>
    <row r="130" spans="1:3" x14ac:dyDescent="0.25">
      <c r="A130" s="8">
        <v>41661</v>
      </c>
      <c r="B130" s="57">
        <v>64</v>
      </c>
      <c r="C130" s="22"/>
    </row>
    <row r="131" spans="1:3" x14ac:dyDescent="0.25">
      <c r="A131" s="8">
        <v>41505</v>
      </c>
      <c r="B131" s="57">
        <v>24</v>
      </c>
      <c r="C131" s="22"/>
    </row>
    <row r="132" spans="1:3" x14ac:dyDescent="0.25">
      <c r="A132" s="8">
        <v>41872</v>
      </c>
      <c r="B132" s="57">
        <v>33</v>
      </c>
      <c r="C132" s="22"/>
    </row>
    <row r="133" spans="1:3" x14ac:dyDescent="0.25">
      <c r="A133" s="8">
        <v>42094</v>
      </c>
      <c r="B133" s="57">
        <v>14</v>
      </c>
      <c r="C133" s="22"/>
    </row>
    <row r="134" spans="1:3" x14ac:dyDescent="0.25">
      <c r="A134" s="8">
        <v>41517</v>
      </c>
      <c r="B134" s="57">
        <v>93</v>
      </c>
      <c r="C134" s="22"/>
    </row>
    <row r="135" spans="1:3" x14ac:dyDescent="0.25">
      <c r="A135" s="8">
        <v>41929</v>
      </c>
      <c r="B135" s="57">
        <v>69</v>
      </c>
      <c r="C135" s="22"/>
    </row>
    <row r="136" spans="1:3" x14ac:dyDescent="0.25">
      <c r="A136" s="8">
        <v>41848</v>
      </c>
      <c r="B136" s="57">
        <v>12</v>
      </c>
      <c r="C136" s="22"/>
    </row>
    <row r="137" spans="1:3" x14ac:dyDescent="0.25">
      <c r="A137" s="8">
        <v>41734</v>
      </c>
      <c r="B137" s="57">
        <v>33</v>
      </c>
      <c r="C137" s="22"/>
    </row>
    <row r="138" spans="1:3" x14ac:dyDescent="0.25">
      <c r="A138" s="8">
        <v>41992</v>
      </c>
      <c r="B138" s="57">
        <v>49</v>
      </c>
      <c r="C138" s="22"/>
    </row>
    <row r="139" spans="1:3" x14ac:dyDescent="0.25">
      <c r="A139" s="8">
        <v>41806</v>
      </c>
      <c r="B139" s="57">
        <v>59</v>
      </c>
      <c r="C139" s="22"/>
    </row>
    <row r="140" spans="1:3" x14ac:dyDescent="0.25">
      <c r="A140" s="8">
        <v>41814</v>
      </c>
      <c r="B140" s="57">
        <v>68</v>
      </c>
      <c r="C140" s="22"/>
    </row>
    <row r="141" spans="1:3" x14ac:dyDescent="0.25">
      <c r="A141" s="8">
        <v>41735</v>
      </c>
      <c r="B141" s="57">
        <v>35</v>
      </c>
      <c r="C141" s="22"/>
    </row>
    <row r="142" spans="1:3" x14ac:dyDescent="0.25">
      <c r="A142" s="8">
        <v>41840</v>
      </c>
      <c r="B142" s="57">
        <v>26</v>
      </c>
      <c r="C142" s="22"/>
    </row>
    <row r="143" spans="1:3" x14ac:dyDescent="0.25">
      <c r="A143" s="8">
        <v>41828</v>
      </c>
      <c r="B143" s="57">
        <v>76</v>
      </c>
      <c r="C143" s="22"/>
    </row>
    <row r="144" spans="1:3" x14ac:dyDescent="0.25">
      <c r="A144" s="8">
        <v>41566</v>
      </c>
      <c r="B144" s="57">
        <v>68</v>
      </c>
      <c r="C144" s="22"/>
    </row>
    <row r="145" spans="1:3" x14ac:dyDescent="0.25">
      <c r="A145" s="8">
        <v>41555</v>
      </c>
      <c r="B145" s="57">
        <v>71</v>
      </c>
      <c r="C145" s="22"/>
    </row>
    <row r="146" spans="1:3" x14ac:dyDescent="0.25">
      <c r="A146" s="8">
        <v>41902</v>
      </c>
      <c r="B146" s="57">
        <v>28</v>
      </c>
      <c r="C146" s="22"/>
    </row>
    <row r="147" spans="1:3" x14ac:dyDescent="0.25">
      <c r="A147" s="8">
        <v>41675</v>
      </c>
      <c r="B147" s="57">
        <v>87</v>
      </c>
      <c r="C147" s="22"/>
    </row>
    <row r="148" spans="1:3" x14ac:dyDescent="0.25">
      <c r="A148" s="8">
        <v>41566</v>
      </c>
      <c r="B148" s="57">
        <v>51</v>
      </c>
      <c r="C148" s="22"/>
    </row>
    <row r="149" spans="1:3" x14ac:dyDescent="0.25">
      <c r="A149" s="8">
        <v>41556</v>
      </c>
      <c r="B149" s="57">
        <v>10</v>
      </c>
      <c r="C149" s="22"/>
    </row>
    <row r="150" spans="1:3" x14ac:dyDescent="0.25">
      <c r="A150" s="8">
        <v>41527</v>
      </c>
      <c r="B150" s="57">
        <v>45</v>
      </c>
      <c r="C150" s="22"/>
    </row>
    <row r="151" spans="1:3" x14ac:dyDescent="0.25">
      <c r="A151" s="8">
        <v>41757</v>
      </c>
      <c r="B151" s="57">
        <v>41</v>
      </c>
      <c r="C151" s="22"/>
    </row>
    <row r="152" spans="1:3" x14ac:dyDescent="0.25">
      <c r="A152" s="8">
        <v>41982</v>
      </c>
      <c r="B152" s="57">
        <v>90</v>
      </c>
      <c r="C152" s="22"/>
    </row>
    <row r="153" spans="1:3" x14ac:dyDescent="0.25">
      <c r="A153" s="8">
        <v>41658</v>
      </c>
      <c r="B153" s="57">
        <v>65</v>
      </c>
      <c r="C153" s="22"/>
    </row>
    <row r="154" spans="1:3" x14ac:dyDescent="0.25">
      <c r="A154" s="8">
        <v>41799</v>
      </c>
      <c r="B154" s="57">
        <v>73</v>
      </c>
      <c r="C154" s="22"/>
    </row>
    <row r="155" spans="1:3" x14ac:dyDescent="0.25">
      <c r="A155" s="8">
        <v>41902</v>
      </c>
      <c r="B155" s="57">
        <v>18</v>
      </c>
      <c r="C155" s="22"/>
    </row>
    <row r="156" spans="1:3" x14ac:dyDescent="0.25">
      <c r="A156" s="8">
        <v>41731</v>
      </c>
      <c r="B156" s="57">
        <v>52</v>
      </c>
      <c r="C156" s="22"/>
    </row>
    <row r="157" spans="1:3" x14ac:dyDescent="0.25">
      <c r="A157" s="8">
        <v>41790</v>
      </c>
      <c r="B157" s="57">
        <v>18</v>
      </c>
      <c r="C157" s="22"/>
    </row>
    <row r="158" spans="1:3" x14ac:dyDescent="0.25">
      <c r="A158" s="8">
        <v>41839</v>
      </c>
      <c r="B158" s="57">
        <v>36</v>
      </c>
      <c r="C158" s="22"/>
    </row>
    <row r="159" spans="1:3" x14ac:dyDescent="0.25">
      <c r="A159" s="8">
        <v>41710</v>
      </c>
      <c r="B159" s="57">
        <v>39</v>
      </c>
      <c r="C159" s="22"/>
    </row>
    <row r="160" spans="1:3" x14ac:dyDescent="0.25">
      <c r="A160" s="8">
        <v>41843</v>
      </c>
      <c r="B160" s="57">
        <v>85</v>
      </c>
      <c r="C160" s="22"/>
    </row>
    <row r="161" spans="1:3" x14ac:dyDescent="0.25">
      <c r="A161" s="8">
        <v>42008</v>
      </c>
      <c r="B161" s="57">
        <v>79</v>
      </c>
      <c r="C161" s="22"/>
    </row>
    <row r="162" spans="1:3" x14ac:dyDescent="0.25">
      <c r="A162" s="8">
        <v>41540</v>
      </c>
      <c r="B162" s="57">
        <v>34</v>
      </c>
      <c r="C162" s="22"/>
    </row>
    <row r="163" spans="1:3" x14ac:dyDescent="0.25">
      <c r="A163" s="8">
        <v>41701</v>
      </c>
      <c r="B163" s="57">
        <v>58</v>
      </c>
      <c r="C163" s="22"/>
    </row>
    <row r="164" spans="1:3" x14ac:dyDescent="0.25">
      <c r="A164" s="8">
        <v>42087</v>
      </c>
      <c r="B164" s="57">
        <v>99</v>
      </c>
      <c r="C164" s="22"/>
    </row>
    <row r="165" spans="1:3" x14ac:dyDescent="0.25">
      <c r="A165" s="8">
        <v>41708</v>
      </c>
      <c r="B165" s="57">
        <v>93</v>
      </c>
      <c r="C165" s="22"/>
    </row>
    <row r="166" spans="1:3" x14ac:dyDescent="0.25">
      <c r="A166" s="8">
        <v>41725</v>
      </c>
      <c r="B166" s="57">
        <v>38</v>
      </c>
      <c r="C166" s="22"/>
    </row>
    <row r="167" spans="1:3" x14ac:dyDescent="0.25">
      <c r="A167" s="8">
        <v>41512</v>
      </c>
      <c r="B167" s="57">
        <v>72</v>
      </c>
      <c r="C167" s="22"/>
    </row>
    <row r="168" spans="1:3" x14ac:dyDescent="0.25">
      <c r="A168" s="8">
        <v>41599</v>
      </c>
      <c r="B168" s="57">
        <v>46</v>
      </c>
      <c r="C168" s="22"/>
    </row>
    <row r="169" spans="1:3" x14ac:dyDescent="0.25">
      <c r="A169" s="8">
        <v>42078</v>
      </c>
      <c r="B169" s="57">
        <v>20</v>
      </c>
      <c r="C169" s="22"/>
    </row>
    <row r="170" spans="1:3" x14ac:dyDescent="0.25">
      <c r="A170" s="8">
        <v>41780</v>
      </c>
      <c r="B170" s="57">
        <v>95</v>
      </c>
      <c r="C170" s="22"/>
    </row>
    <row r="171" spans="1:3" x14ac:dyDescent="0.25">
      <c r="A171" s="8">
        <v>41604</v>
      </c>
      <c r="B171" s="57">
        <v>57</v>
      </c>
      <c r="C171" s="22"/>
    </row>
    <row r="172" spans="1:3" x14ac:dyDescent="0.25">
      <c r="A172" s="8">
        <v>42016</v>
      </c>
      <c r="B172" s="57">
        <v>88</v>
      </c>
      <c r="C172" s="22"/>
    </row>
    <row r="173" spans="1:3" x14ac:dyDescent="0.25">
      <c r="A173" s="8">
        <v>41918</v>
      </c>
      <c r="B173" s="57">
        <v>56</v>
      </c>
      <c r="C173" s="22"/>
    </row>
    <row r="174" spans="1:3" x14ac:dyDescent="0.25">
      <c r="A174" s="8">
        <v>41660</v>
      </c>
      <c r="B174" s="57">
        <v>42</v>
      </c>
      <c r="C174" s="22"/>
    </row>
    <row r="175" spans="1:3" x14ac:dyDescent="0.25">
      <c r="A175" s="8">
        <v>41988</v>
      </c>
      <c r="B175" s="57">
        <v>58</v>
      </c>
      <c r="C175" s="22"/>
    </row>
    <row r="176" spans="1:3" x14ac:dyDescent="0.25">
      <c r="A176" s="8">
        <v>41541</v>
      </c>
      <c r="B176" s="57">
        <v>30</v>
      </c>
      <c r="C176" s="22"/>
    </row>
    <row r="177" spans="1:3" x14ac:dyDescent="0.25">
      <c r="A177" s="8">
        <v>41669</v>
      </c>
      <c r="B177" s="57">
        <v>18</v>
      </c>
      <c r="C177" s="22"/>
    </row>
    <row r="178" spans="1:3" x14ac:dyDescent="0.25">
      <c r="A178" s="8">
        <v>41869</v>
      </c>
      <c r="B178" s="57">
        <v>64</v>
      </c>
      <c r="C178" s="22"/>
    </row>
    <row r="179" spans="1:3" x14ac:dyDescent="0.25">
      <c r="A179" s="8">
        <v>41702</v>
      </c>
      <c r="B179" s="57">
        <v>29</v>
      </c>
      <c r="C179" s="22"/>
    </row>
    <row r="180" spans="1:3" x14ac:dyDescent="0.25">
      <c r="A180" s="8">
        <v>41568</v>
      </c>
      <c r="B180" s="57">
        <v>95</v>
      </c>
      <c r="C180" s="22"/>
    </row>
    <row r="181" spans="1:3" x14ac:dyDescent="0.25">
      <c r="A181" s="8">
        <v>41803</v>
      </c>
      <c r="B181" s="57">
        <v>43</v>
      </c>
      <c r="C181" s="22"/>
    </row>
    <row r="182" spans="1:3" x14ac:dyDescent="0.25">
      <c r="A182" s="8">
        <v>41826</v>
      </c>
      <c r="B182" s="57">
        <v>86</v>
      </c>
      <c r="C182" s="22"/>
    </row>
    <row r="183" spans="1:3" x14ac:dyDescent="0.25">
      <c r="A183" s="8">
        <v>41815</v>
      </c>
      <c r="B183" s="57">
        <v>34</v>
      </c>
      <c r="C183" s="22"/>
    </row>
    <row r="184" spans="1:3" x14ac:dyDescent="0.25">
      <c r="A184" s="8">
        <v>41966</v>
      </c>
      <c r="B184" s="57">
        <v>62</v>
      </c>
      <c r="C184" s="22"/>
    </row>
    <row r="185" spans="1:3" x14ac:dyDescent="0.25">
      <c r="A185" s="8">
        <v>41661</v>
      </c>
      <c r="B185" s="57">
        <v>69</v>
      </c>
      <c r="C185" s="22"/>
    </row>
    <row r="186" spans="1:3" x14ac:dyDescent="0.25">
      <c r="A186" s="8">
        <v>41588</v>
      </c>
      <c r="B186" s="57">
        <v>15</v>
      </c>
      <c r="C186" s="22"/>
    </row>
    <row r="187" spans="1:3" x14ac:dyDescent="0.25">
      <c r="A187" s="8">
        <v>41759</v>
      </c>
      <c r="B187" s="57">
        <v>46</v>
      </c>
      <c r="C187" s="22"/>
    </row>
    <row r="188" spans="1:3" x14ac:dyDescent="0.25">
      <c r="A188" s="8">
        <v>41834</v>
      </c>
      <c r="B188" s="57">
        <v>64</v>
      </c>
      <c r="C188" s="22"/>
    </row>
    <row r="189" spans="1:3" x14ac:dyDescent="0.25">
      <c r="A189" s="8">
        <v>41938</v>
      </c>
      <c r="B189" s="57">
        <v>38</v>
      </c>
      <c r="C189" s="22"/>
    </row>
    <row r="190" spans="1:3" x14ac:dyDescent="0.25">
      <c r="A190" s="8">
        <v>41673</v>
      </c>
      <c r="B190" s="57">
        <v>28</v>
      </c>
      <c r="C190" s="22"/>
    </row>
    <row r="191" spans="1:3" x14ac:dyDescent="0.25">
      <c r="A191" s="8">
        <v>41531</v>
      </c>
      <c r="B191" s="57">
        <v>65</v>
      </c>
      <c r="C191" s="22"/>
    </row>
    <row r="192" spans="1:3" x14ac:dyDescent="0.25">
      <c r="A192" s="8">
        <v>41840</v>
      </c>
      <c r="B192" s="57">
        <v>10</v>
      </c>
      <c r="C192" s="22"/>
    </row>
    <row r="193" spans="1:3" x14ac:dyDescent="0.25">
      <c r="A193" s="8">
        <v>41765</v>
      </c>
      <c r="B193" s="57">
        <v>20</v>
      </c>
      <c r="C193" s="22"/>
    </row>
    <row r="194" spans="1:3" x14ac:dyDescent="0.25">
      <c r="A194" s="8">
        <v>41956</v>
      </c>
      <c r="B194" s="57">
        <v>43</v>
      </c>
      <c r="C194" s="22"/>
    </row>
    <row r="195" spans="1:3" x14ac:dyDescent="0.25">
      <c r="A195" s="8">
        <v>41836</v>
      </c>
      <c r="B195" s="57">
        <v>81</v>
      </c>
      <c r="C195" s="22"/>
    </row>
    <row r="196" spans="1:3" x14ac:dyDescent="0.25">
      <c r="A196" s="8">
        <v>41833</v>
      </c>
      <c r="B196" s="57">
        <v>27</v>
      </c>
      <c r="C196" s="22"/>
    </row>
    <row r="197" spans="1:3" x14ac:dyDescent="0.25">
      <c r="A197" s="8">
        <v>41980</v>
      </c>
      <c r="B197" s="57">
        <v>66</v>
      </c>
      <c r="C197" s="22"/>
    </row>
    <row r="198" spans="1:3" x14ac:dyDescent="0.25">
      <c r="A198" s="8">
        <v>41963</v>
      </c>
      <c r="B198" s="57">
        <v>46</v>
      </c>
      <c r="C198" s="22"/>
    </row>
    <row r="199" spans="1:3" x14ac:dyDescent="0.25">
      <c r="A199" s="8">
        <v>41962</v>
      </c>
      <c r="B199" s="57">
        <v>46</v>
      </c>
      <c r="C199" s="22"/>
    </row>
    <row r="200" spans="1:3" x14ac:dyDescent="0.25">
      <c r="A200" s="8">
        <v>41929</v>
      </c>
      <c r="B200" s="57">
        <v>66</v>
      </c>
      <c r="C200" s="22"/>
    </row>
    <row r="201" spans="1:3" x14ac:dyDescent="0.25">
      <c r="A201" s="8">
        <v>41721</v>
      </c>
      <c r="B201" s="57">
        <v>91</v>
      </c>
      <c r="C201" s="22"/>
    </row>
    <row r="202" spans="1:3" x14ac:dyDescent="0.25">
      <c r="A202" s="8">
        <v>41910</v>
      </c>
      <c r="B202" s="57">
        <v>14</v>
      </c>
      <c r="C202" s="22"/>
    </row>
    <row r="203" spans="1:3" x14ac:dyDescent="0.25">
      <c r="A203" s="8">
        <v>42094</v>
      </c>
      <c r="B203" s="57">
        <v>29</v>
      </c>
      <c r="C203" s="22"/>
    </row>
    <row r="204" spans="1:3" x14ac:dyDescent="0.25">
      <c r="A204" s="8">
        <v>41518</v>
      </c>
      <c r="B204" s="57">
        <v>61</v>
      </c>
      <c r="C204" s="22"/>
    </row>
    <row r="205" spans="1:3" x14ac:dyDescent="0.25">
      <c r="A205" s="8">
        <v>41736</v>
      </c>
      <c r="B205" s="57">
        <v>97</v>
      </c>
      <c r="C205" s="22"/>
    </row>
    <row r="206" spans="1:3" x14ac:dyDescent="0.25">
      <c r="A206" s="8">
        <v>42064</v>
      </c>
      <c r="B206" s="57">
        <v>85</v>
      </c>
      <c r="C206" s="22"/>
    </row>
    <row r="207" spans="1:3" x14ac:dyDescent="0.25">
      <c r="A207" s="8">
        <v>41582</v>
      </c>
      <c r="B207" s="57">
        <v>11</v>
      </c>
      <c r="C207" s="22"/>
    </row>
    <row r="208" spans="1:3" x14ac:dyDescent="0.25">
      <c r="A208" s="8">
        <v>41717</v>
      </c>
      <c r="B208" s="57">
        <v>55</v>
      </c>
      <c r="C208" s="22"/>
    </row>
    <row r="209" spans="1:3" x14ac:dyDescent="0.25">
      <c r="A209" s="8">
        <v>41535</v>
      </c>
      <c r="B209" s="57">
        <v>14</v>
      </c>
      <c r="C209" s="22"/>
    </row>
    <row r="210" spans="1:3" x14ac:dyDescent="0.25">
      <c r="A210" s="8">
        <v>41910</v>
      </c>
      <c r="B210" s="57">
        <v>42</v>
      </c>
      <c r="C210" s="22"/>
    </row>
    <row r="211" spans="1:3" x14ac:dyDescent="0.25">
      <c r="A211" s="8">
        <v>41693</v>
      </c>
      <c r="B211" s="57">
        <v>59</v>
      </c>
      <c r="C211" s="22"/>
    </row>
    <row r="212" spans="1:3" x14ac:dyDescent="0.25">
      <c r="A212" s="8">
        <v>41522</v>
      </c>
      <c r="B212" s="57">
        <v>88</v>
      </c>
      <c r="C212" s="22"/>
    </row>
    <row r="213" spans="1:3" x14ac:dyDescent="0.25">
      <c r="A213" s="8">
        <v>41915</v>
      </c>
      <c r="B213" s="57">
        <v>98</v>
      </c>
      <c r="C213" s="22"/>
    </row>
    <row r="214" spans="1:3" x14ac:dyDescent="0.25">
      <c r="A214" s="8">
        <v>41568</v>
      </c>
      <c r="B214" s="57">
        <v>59</v>
      </c>
      <c r="C214" s="22"/>
    </row>
    <row r="215" spans="1:3" x14ac:dyDescent="0.25">
      <c r="A215" s="8">
        <v>42090</v>
      </c>
      <c r="B215" s="57">
        <v>62</v>
      </c>
      <c r="C215" s="22"/>
    </row>
    <row r="216" spans="1:3" x14ac:dyDescent="0.25">
      <c r="A216" s="8">
        <v>41636</v>
      </c>
      <c r="B216" s="57">
        <v>68</v>
      </c>
      <c r="C216" s="22"/>
    </row>
    <row r="217" spans="1:3" x14ac:dyDescent="0.25">
      <c r="A217" s="8">
        <v>42052</v>
      </c>
      <c r="B217" s="57">
        <v>59</v>
      </c>
      <c r="C217" s="22"/>
    </row>
    <row r="218" spans="1:3" x14ac:dyDescent="0.25">
      <c r="A218" s="8">
        <v>41736</v>
      </c>
      <c r="B218" s="57">
        <v>86</v>
      </c>
      <c r="C218" s="22"/>
    </row>
    <row r="219" spans="1:3" x14ac:dyDescent="0.25">
      <c r="A219" s="8">
        <v>41682</v>
      </c>
      <c r="B219" s="57">
        <v>63</v>
      </c>
      <c r="C219" s="22"/>
    </row>
    <row r="220" spans="1:3" x14ac:dyDescent="0.25">
      <c r="A220" s="8">
        <v>41895</v>
      </c>
      <c r="B220" s="57">
        <v>79</v>
      </c>
      <c r="C220" s="22"/>
    </row>
    <row r="221" spans="1:3" x14ac:dyDescent="0.25">
      <c r="A221" s="8">
        <v>41680</v>
      </c>
      <c r="B221" s="57">
        <v>96</v>
      </c>
      <c r="C221" s="22"/>
    </row>
    <row r="222" spans="1:3" x14ac:dyDescent="0.25">
      <c r="A222" s="8">
        <v>41628</v>
      </c>
      <c r="B222" s="57">
        <v>15</v>
      </c>
      <c r="C222" s="22"/>
    </row>
    <row r="223" spans="1:3" x14ac:dyDescent="0.25">
      <c r="A223" s="8">
        <v>42004</v>
      </c>
      <c r="B223" s="57">
        <v>98</v>
      </c>
      <c r="C223" s="22"/>
    </row>
    <row r="224" spans="1:3" x14ac:dyDescent="0.25">
      <c r="A224" s="8">
        <v>41886</v>
      </c>
      <c r="B224" s="57">
        <v>70</v>
      </c>
      <c r="C224" s="22"/>
    </row>
    <row r="225" spans="1:3" x14ac:dyDescent="0.25">
      <c r="A225" s="8">
        <v>41692</v>
      </c>
      <c r="B225" s="57">
        <v>45</v>
      </c>
      <c r="C225" s="22"/>
    </row>
    <row r="226" spans="1:3" x14ac:dyDescent="0.25">
      <c r="A226" s="8">
        <v>41806</v>
      </c>
      <c r="B226" s="57">
        <v>73</v>
      </c>
      <c r="C226" s="22"/>
    </row>
    <row r="227" spans="1:3" x14ac:dyDescent="0.25">
      <c r="A227" s="8">
        <v>42023</v>
      </c>
      <c r="B227" s="57">
        <v>99</v>
      </c>
      <c r="C227" s="22"/>
    </row>
    <row r="228" spans="1:3" x14ac:dyDescent="0.25">
      <c r="A228" s="8">
        <v>41899</v>
      </c>
      <c r="B228" s="57">
        <v>69</v>
      </c>
      <c r="C228" s="22"/>
    </row>
    <row r="229" spans="1:3" x14ac:dyDescent="0.25">
      <c r="A229" s="8">
        <v>41944</v>
      </c>
      <c r="B229" s="57">
        <v>66</v>
      </c>
      <c r="C229" s="22"/>
    </row>
    <row r="230" spans="1:3" x14ac:dyDescent="0.25">
      <c r="A230" s="8">
        <v>41819</v>
      </c>
      <c r="B230" s="57">
        <v>34</v>
      </c>
      <c r="C230" s="22"/>
    </row>
    <row r="231" spans="1:3" x14ac:dyDescent="0.25">
      <c r="A231" s="8">
        <v>41553</v>
      </c>
      <c r="B231" s="57">
        <v>91</v>
      </c>
      <c r="C231" s="22"/>
    </row>
    <row r="232" spans="1:3" x14ac:dyDescent="0.25">
      <c r="A232" s="8">
        <v>41640</v>
      </c>
      <c r="B232" s="57">
        <v>90</v>
      </c>
      <c r="C232" s="22"/>
    </row>
    <row r="233" spans="1:3" x14ac:dyDescent="0.25">
      <c r="A233" s="8">
        <v>41930</v>
      </c>
      <c r="B233" s="57">
        <v>51</v>
      </c>
      <c r="C233" s="22"/>
    </row>
    <row r="234" spans="1:3" x14ac:dyDescent="0.25">
      <c r="A234" s="8">
        <v>41689</v>
      </c>
      <c r="B234" s="57">
        <v>90</v>
      </c>
      <c r="C234" s="22"/>
    </row>
    <row r="235" spans="1:3" x14ac:dyDescent="0.25">
      <c r="A235" s="8">
        <v>42097</v>
      </c>
      <c r="B235" s="57">
        <v>58</v>
      </c>
      <c r="C235" s="22"/>
    </row>
    <row r="236" spans="1:3" x14ac:dyDescent="0.25">
      <c r="A236" s="8">
        <v>41823</v>
      </c>
      <c r="B236" s="57">
        <v>34</v>
      </c>
      <c r="C236" s="22"/>
    </row>
    <row r="237" spans="1:3" x14ac:dyDescent="0.25">
      <c r="A237" s="8">
        <v>42003</v>
      </c>
      <c r="B237" s="57">
        <v>98</v>
      </c>
      <c r="C237" s="22"/>
    </row>
    <row r="238" spans="1:3" x14ac:dyDescent="0.25">
      <c r="A238" s="8">
        <v>42050</v>
      </c>
      <c r="B238" s="57">
        <v>28</v>
      </c>
      <c r="C238" s="22"/>
    </row>
    <row r="239" spans="1:3" x14ac:dyDescent="0.25">
      <c r="A239" s="8">
        <v>41759</v>
      </c>
      <c r="B239" s="57">
        <v>42</v>
      </c>
      <c r="C239" s="22"/>
    </row>
    <row r="240" spans="1:3" x14ac:dyDescent="0.25">
      <c r="A240" s="8">
        <v>41676</v>
      </c>
      <c r="B240" s="57">
        <v>11</v>
      </c>
      <c r="C240" s="22"/>
    </row>
    <row r="241" spans="1:3" x14ac:dyDescent="0.25">
      <c r="A241" s="8">
        <v>41832</v>
      </c>
      <c r="B241" s="57">
        <v>82</v>
      </c>
      <c r="C241" s="22"/>
    </row>
    <row r="242" spans="1:3" x14ac:dyDescent="0.25">
      <c r="A242" s="8">
        <v>42066</v>
      </c>
      <c r="B242" s="57">
        <v>73</v>
      </c>
      <c r="C242" s="22"/>
    </row>
    <row r="243" spans="1:3" x14ac:dyDescent="0.25">
      <c r="A243" s="8">
        <v>41700</v>
      </c>
      <c r="B243" s="57">
        <v>15</v>
      </c>
      <c r="C243" s="22"/>
    </row>
    <row r="244" spans="1:3" x14ac:dyDescent="0.25">
      <c r="A244" s="8">
        <v>41708</v>
      </c>
      <c r="B244" s="57">
        <v>59</v>
      </c>
      <c r="C244" s="22"/>
    </row>
    <row r="245" spans="1:3" x14ac:dyDescent="0.25">
      <c r="A245" s="8">
        <v>41577</v>
      </c>
      <c r="B245" s="57">
        <v>17</v>
      </c>
      <c r="C245" s="22"/>
    </row>
    <row r="246" spans="1:3" x14ac:dyDescent="0.25">
      <c r="A246" s="8">
        <v>42031</v>
      </c>
      <c r="B246" s="57">
        <v>39</v>
      </c>
      <c r="C246" s="22"/>
    </row>
    <row r="247" spans="1:3" x14ac:dyDescent="0.25">
      <c r="A247" s="8">
        <v>41601</v>
      </c>
      <c r="B247" s="57">
        <v>35</v>
      </c>
      <c r="C247" s="22"/>
    </row>
    <row r="248" spans="1:3" x14ac:dyDescent="0.25">
      <c r="A248" s="8">
        <v>42023</v>
      </c>
      <c r="B248" s="57">
        <v>78</v>
      </c>
      <c r="C248" s="22"/>
    </row>
    <row r="249" spans="1:3" x14ac:dyDescent="0.25">
      <c r="A249" s="8">
        <v>41957</v>
      </c>
      <c r="B249" s="57">
        <v>80</v>
      </c>
      <c r="C249" s="22"/>
    </row>
    <row r="250" spans="1:3" x14ac:dyDescent="0.25">
      <c r="A250" s="8">
        <v>41511</v>
      </c>
      <c r="B250" s="57">
        <v>33</v>
      </c>
      <c r="C250" s="22"/>
    </row>
    <row r="251" spans="1:3" x14ac:dyDescent="0.25">
      <c r="A251" s="8">
        <v>41863</v>
      </c>
      <c r="B251" s="57">
        <v>71</v>
      </c>
      <c r="C251" s="22"/>
    </row>
    <row r="252" spans="1:3" x14ac:dyDescent="0.25">
      <c r="A252" s="8">
        <v>41759</v>
      </c>
      <c r="B252" s="57">
        <v>26</v>
      </c>
      <c r="C252" s="22"/>
    </row>
    <row r="253" spans="1:3" x14ac:dyDescent="0.25">
      <c r="A253" s="8">
        <v>41825</v>
      </c>
      <c r="B253" s="57">
        <v>98</v>
      </c>
      <c r="C253" s="22"/>
    </row>
    <row r="254" spans="1:3" x14ac:dyDescent="0.25">
      <c r="A254" s="8">
        <v>42086</v>
      </c>
      <c r="B254" s="57">
        <v>75</v>
      </c>
      <c r="C254"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F254"/>
  <sheetViews>
    <sheetView workbookViewId="0">
      <selection activeCell="C19" sqref="C19"/>
    </sheetView>
  </sheetViews>
  <sheetFormatPr defaultRowHeight="15" x14ac:dyDescent="0.25"/>
  <cols>
    <col min="1" max="1" width="36.140625" customWidth="1"/>
    <col min="2" max="2" width="16.85546875" customWidth="1"/>
    <col min="6" max="6" width="12.7109375" customWidth="1"/>
    <col min="7" max="7" width="9.7109375" customWidth="1"/>
  </cols>
  <sheetData>
    <row r="1" spans="1:2" x14ac:dyDescent="0.25">
      <c r="A1" s="68" t="s">
        <v>1396</v>
      </c>
      <c r="B1" s="70"/>
    </row>
    <row r="2" spans="1:2" x14ac:dyDescent="0.25">
      <c r="A2" s="189" t="s">
        <v>1151</v>
      </c>
      <c r="B2" s="73"/>
    </row>
    <row r="3" spans="1:2" x14ac:dyDescent="0.25">
      <c r="A3" s="189" t="s">
        <v>1149</v>
      </c>
      <c r="B3" s="73"/>
    </row>
    <row r="4" spans="1:2" x14ac:dyDescent="0.25">
      <c r="A4" s="189" t="s">
        <v>1081</v>
      </c>
      <c r="B4" s="73"/>
    </row>
    <row r="5" spans="1:2" x14ac:dyDescent="0.25">
      <c r="A5" s="190" t="s">
        <v>1017</v>
      </c>
      <c r="B5" s="76"/>
    </row>
    <row r="8" spans="1:2" x14ac:dyDescent="0.25">
      <c r="A8" s="4" t="s">
        <v>1148</v>
      </c>
      <c r="B8" s="8">
        <v>41585</v>
      </c>
    </row>
    <row r="9" spans="1:2" x14ac:dyDescent="0.25">
      <c r="A9" s="18" t="s">
        <v>1151</v>
      </c>
      <c r="B9" s="126">
        <f>EOMONTH(B8,0)</f>
        <v>41608</v>
      </c>
    </row>
    <row r="11" spans="1:2" x14ac:dyDescent="0.25">
      <c r="A11" s="4" t="s">
        <v>1148</v>
      </c>
      <c r="B11" s="8">
        <v>41399</v>
      </c>
    </row>
    <row r="12" spans="1:2" x14ac:dyDescent="0.25">
      <c r="A12" s="18" t="s">
        <v>1149</v>
      </c>
      <c r="B12" s="126">
        <f>EDATE(B11,1)</f>
        <v>41430</v>
      </c>
    </row>
    <row r="14" spans="1:2" x14ac:dyDescent="0.25">
      <c r="A14" s="4" t="s">
        <v>1080</v>
      </c>
      <c r="B14" s="8">
        <v>40198</v>
      </c>
    </row>
    <row r="15" spans="1:2" x14ac:dyDescent="0.25">
      <c r="A15" s="4" t="s">
        <v>1361</v>
      </c>
      <c r="B15" s="4">
        <v>8</v>
      </c>
    </row>
    <row r="16" spans="1:2" x14ac:dyDescent="0.25">
      <c r="A16" s="18" t="s">
        <v>1081</v>
      </c>
      <c r="B16" s="104">
        <f>EDATE(B14,B15*12)</f>
        <v>43120</v>
      </c>
    </row>
    <row r="18" spans="1:6" x14ac:dyDescent="0.25">
      <c r="A18" s="18" t="s">
        <v>42</v>
      </c>
      <c r="B18" s="18" t="s">
        <v>93</v>
      </c>
      <c r="C18" s="18" t="s">
        <v>1017</v>
      </c>
      <c r="E18" s="188" t="s">
        <v>1017</v>
      </c>
      <c r="F18" s="188" t="s">
        <v>1121</v>
      </c>
    </row>
    <row r="19" spans="1:6" x14ac:dyDescent="0.25">
      <c r="A19" s="8">
        <v>41964</v>
      </c>
      <c r="B19" s="57">
        <v>24</v>
      </c>
      <c r="C19" s="22">
        <f>YEAR(A19)</f>
        <v>2014</v>
      </c>
      <c r="E19" s="4">
        <v>2013</v>
      </c>
      <c r="F19" s="22">
        <f t="shared" ref="F19:F21" si="0">SUMIFS($B$19:$B$254,$C$19:$C$254,E19)</f>
        <v>2659</v>
      </c>
    </row>
    <row r="20" spans="1:6" x14ac:dyDescent="0.25">
      <c r="A20" s="8">
        <v>41530</v>
      </c>
      <c r="B20" s="57">
        <v>77</v>
      </c>
      <c r="C20" s="22">
        <f t="shared" ref="C20:C83" si="1">YEAR(A20)</f>
        <v>2013</v>
      </c>
      <c r="E20" s="4">
        <v>2014</v>
      </c>
      <c r="F20" s="22">
        <f t="shared" si="0"/>
        <v>8269</v>
      </c>
    </row>
    <row r="21" spans="1:6" x14ac:dyDescent="0.25">
      <c r="A21" s="8">
        <v>41579</v>
      </c>
      <c r="B21" s="57">
        <v>64</v>
      </c>
      <c r="C21" s="22">
        <f t="shared" si="1"/>
        <v>2013</v>
      </c>
      <c r="E21" s="4">
        <v>2015</v>
      </c>
      <c r="F21" s="22">
        <f t="shared" si="0"/>
        <v>2096</v>
      </c>
    </row>
    <row r="22" spans="1:6" x14ac:dyDescent="0.25">
      <c r="A22" s="8">
        <v>41736</v>
      </c>
      <c r="B22" s="57">
        <v>73</v>
      </c>
      <c r="C22" s="22">
        <f t="shared" si="1"/>
        <v>2014</v>
      </c>
    </row>
    <row r="23" spans="1:6" x14ac:dyDescent="0.25">
      <c r="A23" s="8">
        <v>41986</v>
      </c>
      <c r="B23" s="57">
        <v>90</v>
      </c>
      <c r="C23" s="22">
        <f t="shared" si="1"/>
        <v>2014</v>
      </c>
    </row>
    <row r="24" spans="1:6" x14ac:dyDescent="0.25">
      <c r="A24" s="8">
        <v>41943</v>
      </c>
      <c r="B24" s="57">
        <v>37</v>
      </c>
      <c r="C24" s="22">
        <f t="shared" si="1"/>
        <v>2014</v>
      </c>
    </row>
    <row r="25" spans="1:6" x14ac:dyDescent="0.25">
      <c r="A25" s="8">
        <v>41890</v>
      </c>
      <c r="B25" s="57">
        <v>66</v>
      </c>
      <c r="C25" s="22">
        <f t="shared" si="1"/>
        <v>2014</v>
      </c>
    </row>
    <row r="26" spans="1:6" x14ac:dyDescent="0.25">
      <c r="A26" s="8">
        <v>41559</v>
      </c>
      <c r="B26" s="57">
        <v>98</v>
      </c>
      <c r="C26" s="22">
        <f t="shared" si="1"/>
        <v>2013</v>
      </c>
    </row>
    <row r="27" spans="1:6" x14ac:dyDescent="0.25">
      <c r="A27" s="8">
        <v>42076</v>
      </c>
      <c r="B27" s="57">
        <v>68</v>
      </c>
      <c r="C27" s="22">
        <f t="shared" si="1"/>
        <v>2015</v>
      </c>
    </row>
    <row r="28" spans="1:6" x14ac:dyDescent="0.25">
      <c r="A28" s="8">
        <v>41984</v>
      </c>
      <c r="B28" s="57">
        <v>23</v>
      </c>
      <c r="C28" s="22">
        <f t="shared" si="1"/>
        <v>2014</v>
      </c>
    </row>
    <row r="29" spans="1:6" x14ac:dyDescent="0.25">
      <c r="A29" s="8">
        <v>42042</v>
      </c>
      <c r="B29" s="57">
        <v>49</v>
      </c>
      <c r="C29" s="22">
        <f t="shared" si="1"/>
        <v>2015</v>
      </c>
    </row>
    <row r="30" spans="1:6" x14ac:dyDescent="0.25">
      <c r="A30" s="8">
        <v>41669</v>
      </c>
      <c r="B30" s="57">
        <v>47</v>
      </c>
      <c r="C30" s="22">
        <f t="shared" si="1"/>
        <v>2014</v>
      </c>
    </row>
    <row r="31" spans="1:6" x14ac:dyDescent="0.25">
      <c r="A31" s="8">
        <v>42043</v>
      </c>
      <c r="B31" s="57">
        <v>68</v>
      </c>
      <c r="C31" s="22">
        <f t="shared" si="1"/>
        <v>2015</v>
      </c>
    </row>
    <row r="32" spans="1:6" x14ac:dyDescent="0.25">
      <c r="A32" s="8">
        <v>41792</v>
      </c>
      <c r="B32" s="57">
        <v>56</v>
      </c>
      <c r="C32" s="22">
        <f t="shared" si="1"/>
        <v>2014</v>
      </c>
    </row>
    <row r="33" spans="1:3" x14ac:dyDescent="0.25">
      <c r="A33" s="8">
        <v>41564</v>
      </c>
      <c r="B33" s="57">
        <v>57</v>
      </c>
      <c r="C33" s="22">
        <f t="shared" si="1"/>
        <v>2013</v>
      </c>
    </row>
    <row r="34" spans="1:3" x14ac:dyDescent="0.25">
      <c r="A34" s="8">
        <v>42028</v>
      </c>
      <c r="B34" s="57">
        <v>27</v>
      </c>
      <c r="C34" s="22">
        <f t="shared" si="1"/>
        <v>2015</v>
      </c>
    </row>
    <row r="35" spans="1:3" x14ac:dyDescent="0.25">
      <c r="A35" s="8">
        <v>41876</v>
      </c>
      <c r="B35" s="57">
        <v>56</v>
      </c>
      <c r="C35" s="22">
        <f t="shared" si="1"/>
        <v>2014</v>
      </c>
    </row>
    <row r="36" spans="1:3" x14ac:dyDescent="0.25">
      <c r="A36" s="8">
        <v>41514</v>
      </c>
      <c r="B36" s="57">
        <v>96</v>
      </c>
      <c r="C36" s="22">
        <f t="shared" si="1"/>
        <v>2013</v>
      </c>
    </row>
    <row r="37" spans="1:3" x14ac:dyDescent="0.25">
      <c r="A37" s="8">
        <v>41696</v>
      </c>
      <c r="B37" s="57">
        <v>71</v>
      </c>
      <c r="C37" s="22">
        <f t="shared" si="1"/>
        <v>2014</v>
      </c>
    </row>
    <row r="38" spans="1:3" x14ac:dyDescent="0.25">
      <c r="A38" s="8">
        <v>41519</v>
      </c>
      <c r="B38" s="57">
        <v>19</v>
      </c>
      <c r="C38" s="22">
        <f t="shared" si="1"/>
        <v>2013</v>
      </c>
    </row>
    <row r="39" spans="1:3" x14ac:dyDescent="0.25">
      <c r="A39" s="8">
        <v>41672</v>
      </c>
      <c r="B39" s="57">
        <v>88</v>
      </c>
      <c r="C39" s="22">
        <f t="shared" si="1"/>
        <v>2014</v>
      </c>
    </row>
    <row r="40" spans="1:3" x14ac:dyDescent="0.25">
      <c r="A40" s="8">
        <v>41683</v>
      </c>
      <c r="B40" s="57">
        <v>12</v>
      </c>
      <c r="C40" s="22">
        <f t="shared" si="1"/>
        <v>2014</v>
      </c>
    </row>
    <row r="41" spans="1:3" x14ac:dyDescent="0.25">
      <c r="A41" s="8">
        <v>41608</v>
      </c>
      <c r="B41" s="57">
        <v>86</v>
      </c>
      <c r="C41" s="22">
        <f t="shared" si="1"/>
        <v>2013</v>
      </c>
    </row>
    <row r="42" spans="1:3" x14ac:dyDescent="0.25">
      <c r="A42" s="8">
        <v>41575</v>
      </c>
      <c r="B42" s="57">
        <v>43</v>
      </c>
      <c r="C42" s="22">
        <f t="shared" si="1"/>
        <v>2013</v>
      </c>
    </row>
    <row r="43" spans="1:3" x14ac:dyDescent="0.25">
      <c r="A43" s="8">
        <v>41544</v>
      </c>
      <c r="B43" s="57">
        <v>62</v>
      </c>
      <c r="C43" s="22">
        <f t="shared" si="1"/>
        <v>2013</v>
      </c>
    </row>
    <row r="44" spans="1:3" x14ac:dyDescent="0.25">
      <c r="A44" s="8">
        <v>41931</v>
      </c>
      <c r="B44" s="57">
        <v>60</v>
      </c>
      <c r="C44" s="22">
        <f t="shared" si="1"/>
        <v>2014</v>
      </c>
    </row>
    <row r="45" spans="1:3" x14ac:dyDescent="0.25">
      <c r="A45" s="8">
        <v>41662</v>
      </c>
      <c r="B45" s="57">
        <v>55</v>
      </c>
      <c r="C45" s="22">
        <f t="shared" si="1"/>
        <v>2014</v>
      </c>
    </row>
    <row r="46" spans="1:3" x14ac:dyDescent="0.25">
      <c r="A46" s="8">
        <v>41708</v>
      </c>
      <c r="B46" s="57">
        <v>53</v>
      </c>
      <c r="C46" s="22">
        <f t="shared" si="1"/>
        <v>2014</v>
      </c>
    </row>
    <row r="47" spans="1:3" x14ac:dyDescent="0.25">
      <c r="A47" s="8">
        <v>41861</v>
      </c>
      <c r="B47" s="57">
        <v>30</v>
      </c>
      <c r="C47" s="22">
        <f t="shared" si="1"/>
        <v>2014</v>
      </c>
    </row>
    <row r="48" spans="1:3" x14ac:dyDescent="0.25">
      <c r="A48" s="8">
        <v>42084</v>
      </c>
      <c r="B48" s="57">
        <v>64</v>
      </c>
      <c r="C48" s="22">
        <f t="shared" si="1"/>
        <v>2015</v>
      </c>
    </row>
    <row r="49" spans="1:3" x14ac:dyDescent="0.25">
      <c r="A49" s="8">
        <v>41894</v>
      </c>
      <c r="B49" s="57">
        <v>17</v>
      </c>
      <c r="C49" s="22">
        <f t="shared" si="1"/>
        <v>2014</v>
      </c>
    </row>
    <row r="50" spans="1:3" x14ac:dyDescent="0.25">
      <c r="A50" s="8">
        <v>41810</v>
      </c>
      <c r="B50" s="57">
        <v>47</v>
      </c>
      <c r="C50" s="22">
        <f t="shared" si="1"/>
        <v>2014</v>
      </c>
    </row>
    <row r="51" spans="1:3" x14ac:dyDescent="0.25">
      <c r="A51" s="8">
        <v>41635</v>
      </c>
      <c r="B51" s="57">
        <v>26</v>
      </c>
      <c r="C51" s="22">
        <f t="shared" si="1"/>
        <v>2013</v>
      </c>
    </row>
    <row r="52" spans="1:3" x14ac:dyDescent="0.25">
      <c r="A52" s="8">
        <v>41557</v>
      </c>
      <c r="B52" s="57">
        <v>52</v>
      </c>
      <c r="C52" s="22">
        <f t="shared" si="1"/>
        <v>2013</v>
      </c>
    </row>
    <row r="53" spans="1:3" x14ac:dyDescent="0.25">
      <c r="A53" s="8">
        <v>41989</v>
      </c>
      <c r="B53" s="57">
        <v>72</v>
      </c>
      <c r="C53" s="22">
        <f t="shared" si="1"/>
        <v>2014</v>
      </c>
    </row>
    <row r="54" spans="1:3" x14ac:dyDescent="0.25">
      <c r="A54" s="8">
        <v>41647</v>
      </c>
      <c r="B54" s="57">
        <v>86</v>
      </c>
      <c r="C54" s="22">
        <f t="shared" si="1"/>
        <v>2014</v>
      </c>
    </row>
    <row r="55" spans="1:3" x14ac:dyDescent="0.25">
      <c r="A55" s="8">
        <v>42096</v>
      </c>
      <c r="B55" s="57">
        <v>93</v>
      </c>
      <c r="C55" s="22">
        <f t="shared" si="1"/>
        <v>2015</v>
      </c>
    </row>
    <row r="56" spans="1:3" x14ac:dyDescent="0.25">
      <c r="A56" s="8">
        <v>41873</v>
      </c>
      <c r="B56" s="57">
        <v>65</v>
      </c>
      <c r="C56" s="22">
        <f t="shared" si="1"/>
        <v>2014</v>
      </c>
    </row>
    <row r="57" spans="1:3" x14ac:dyDescent="0.25">
      <c r="A57" s="8">
        <v>42028</v>
      </c>
      <c r="B57" s="57">
        <v>93</v>
      </c>
      <c r="C57" s="22">
        <f t="shared" si="1"/>
        <v>2015</v>
      </c>
    </row>
    <row r="58" spans="1:3" x14ac:dyDescent="0.25">
      <c r="A58" s="8">
        <v>41843</v>
      </c>
      <c r="B58" s="57">
        <v>61</v>
      </c>
      <c r="C58" s="22">
        <f t="shared" si="1"/>
        <v>2014</v>
      </c>
    </row>
    <row r="59" spans="1:3" x14ac:dyDescent="0.25">
      <c r="A59" s="8">
        <v>41631</v>
      </c>
      <c r="B59" s="57">
        <v>18</v>
      </c>
      <c r="C59" s="22">
        <f t="shared" si="1"/>
        <v>2013</v>
      </c>
    </row>
    <row r="60" spans="1:3" x14ac:dyDescent="0.25">
      <c r="A60" s="8">
        <v>41721</v>
      </c>
      <c r="B60" s="57">
        <v>72</v>
      </c>
      <c r="C60" s="22">
        <f t="shared" si="1"/>
        <v>2014</v>
      </c>
    </row>
    <row r="61" spans="1:3" x14ac:dyDescent="0.25">
      <c r="A61" s="8">
        <v>41764</v>
      </c>
      <c r="B61" s="57">
        <v>47</v>
      </c>
      <c r="C61" s="22">
        <f t="shared" si="1"/>
        <v>2014</v>
      </c>
    </row>
    <row r="62" spans="1:3" x14ac:dyDescent="0.25">
      <c r="A62" s="8">
        <v>41669</v>
      </c>
      <c r="B62" s="57">
        <v>18</v>
      </c>
      <c r="C62" s="22">
        <f t="shared" si="1"/>
        <v>2014</v>
      </c>
    </row>
    <row r="63" spans="1:3" x14ac:dyDescent="0.25">
      <c r="A63" s="8">
        <v>41512</v>
      </c>
      <c r="B63" s="57">
        <v>13</v>
      </c>
      <c r="C63" s="22">
        <f t="shared" si="1"/>
        <v>2013</v>
      </c>
    </row>
    <row r="64" spans="1:3" x14ac:dyDescent="0.25">
      <c r="A64" s="8">
        <v>41813</v>
      </c>
      <c r="B64" s="57">
        <v>59</v>
      </c>
      <c r="C64" s="22">
        <f t="shared" si="1"/>
        <v>2014</v>
      </c>
    </row>
    <row r="65" spans="1:3" x14ac:dyDescent="0.25">
      <c r="A65" s="8">
        <v>42029</v>
      </c>
      <c r="B65" s="57">
        <v>98</v>
      </c>
      <c r="C65" s="22">
        <f t="shared" si="1"/>
        <v>2015</v>
      </c>
    </row>
    <row r="66" spans="1:3" x14ac:dyDescent="0.25">
      <c r="A66" s="8">
        <v>41694</v>
      </c>
      <c r="B66" s="57">
        <v>30</v>
      </c>
      <c r="C66" s="22">
        <f t="shared" si="1"/>
        <v>2014</v>
      </c>
    </row>
    <row r="67" spans="1:3" x14ac:dyDescent="0.25">
      <c r="A67" s="8">
        <v>41619</v>
      </c>
      <c r="B67" s="57">
        <v>58</v>
      </c>
      <c r="C67" s="22">
        <f t="shared" si="1"/>
        <v>2013</v>
      </c>
    </row>
    <row r="68" spans="1:3" x14ac:dyDescent="0.25">
      <c r="A68" s="8">
        <v>41941</v>
      </c>
      <c r="B68" s="57">
        <v>82</v>
      </c>
      <c r="C68" s="22">
        <f t="shared" si="1"/>
        <v>2014</v>
      </c>
    </row>
    <row r="69" spans="1:3" x14ac:dyDescent="0.25">
      <c r="A69" s="8">
        <v>41957</v>
      </c>
      <c r="B69" s="57">
        <v>49</v>
      </c>
      <c r="C69" s="22">
        <f t="shared" si="1"/>
        <v>2014</v>
      </c>
    </row>
    <row r="70" spans="1:3" x14ac:dyDescent="0.25">
      <c r="A70" s="8">
        <v>41879</v>
      </c>
      <c r="B70" s="57">
        <v>12</v>
      </c>
      <c r="C70" s="22">
        <f t="shared" si="1"/>
        <v>2014</v>
      </c>
    </row>
    <row r="71" spans="1:3" x14ac:dyDescent="0.25">
      <c r="A71" s="8">
        <v>41515</v>
      </c>
      <c r="B71" s="57">
        <v>53</v>
      </c>
      <c r="C71" s="22">
        <f t="shared" si="1"/>
        <v>2013</v>
      </c>
    </row>
    <row r="72" spans="1:3" x14ac:dyDescent="0.25">
      <c r="A72" s="8">
        <v>42023</v>
      </c>
      <c r="B72" s="57">
        <v>84</v>
      </c>
      <c r="C72" s="22">
        <f t="shared" si="1"/>
        <v>2015</v>
      </c>
    </row>
    <row r="73" spans="1:3" x14ac:dyDescent="0.25">
      <c r="A73" s="8">
        <v>42002</v>
      </c>
      <c r="B73" s="57">
        <v>14</v>
      </c>
      <c r="C73" s="22">
        <f t="shared" si="1"/>
        <v>2014</v>
      </c>
    </row>
    <row r="74" spans="1:3" x14ac:dyDescent="0.25">
      <c r="A74" s="8">
        <v>41649</v>
      </c>
      <c r="B74" s="57">
        <v>56</v>
      </c>
      <c r="C74" s="22">
        <f t="shared" si="1"/>
        <v>2014</v>
      </c>
    </row>
    <row r="75" spans="1:3" x14ac:dyDescent="0.25">
      <c r="A75" s="8">
        <v>41808</v>
      </c>
      <c r="B75" s="57">
        <v>60</v>
      </c>
      <c r="C75" s="22">
        <f t="shared" si="1"/>
        <v>2014</v>
      </c>
    </row>
    <row r="76" spans="1:3" x14ac:dyDescent="0.25">
      <c r="A76" s="8">
        <v>41879</v>
      </c>
      <c r="B76" s="57">
        <v>86</v>
      </c>
      <c r="C76" s="22">
        <f t="shared" si="1"/>
        <v>2014</v>
      </c>
    </row>
    <row r="77" spans="1:3" x14ac:dyDescent="0.25">
      <c r="A77" s="8">
        <v>42031</v>
      </c>
      <c r="B77" s="57">
        <v>99</v>
      </c>
      <c r="C77" s="22">
        <f t="shared" si="1"/>
        <v>2015</v>
      </c>
    </row>
    <row r="78" spans="1:3" x14ac:dyDescent="0.25">
      <c r="A78" s="8">
        <v>41520</v>
      </c>
      <c r="B78" s="57">
        <v>46</v>
      </c>
      <c r="C78" s="22">
        <f t="shared" si="1"/>
        <v>2013</v>
      </c>
    </row>
    <row r="79" spans="1:3" x14ac:dyDescent="0.25">
      <c r="A79" s="8">
        <v>42023</v>
      </c>
      <c r="B79" s="57">
        <v>36</v>
      </c>
      <c r="C79" s="22">
        <f t="shared" si="1"/>
        <v>2015</v>
      </c>
    </row>
    <row r="80" spans="1:3" x14ac:dyDescent="0.25">
      <c r="A80" s="8">
        <v>42018</v>
      </c>
      <c r="B80" s="57">
        <v>30</v>
      </c>
      <c r="C80" s="22">
        <f t="shared" si="1"/>
        <v>2015</v>
      </c>
    </row>
    <row r="81" spans="1:3" x14ac:dyDescent="0.25">
      <c r="A81" s="8">
        <v>41845</v>
      </c>
      <c r="B81" s="57">
        <v>35</v>
      </c>
      <c r="C81" s="22">
        <f t="shared" si="1"/>
        <v>2014</v>
      </c>
    </row>
    <row r="82" spans="1:3" x14ac:dyDescent="0.25">
      <c r="A82" s="8">
        <v>41796</v>
      </c>
      <c r="B82" s="57">
        <v>99</v>
      </c>
      <c r="C82" s="22">
        <f t="shared" si="1"/>
        <v>2014</v>
      </c>
    </row>
    <row r="83" spans="1:3" x14ac:dyDescent="0.25">
      <c r="A83" s="8">
        <v>42002</v>
      </c>
      <c r="B83" s="57">
        <v>25</v>
      </c>
      <c r="C83" s="22">
        <f t="shared" si="1"/>
        <v>2014</v>
      </c>
    </row>
    <row r="84" spans="1:3" x14ac:dyDescent="0.25">
      <c r="A84" s="8">
        <v>41896</v>
      </c>
      <c r="B84" s="57">
        <v>69</v>
      </c>
      <c r="C84" s="22">
        <f t="shared" ref="C84:C147" si="2">YEAR(A84)</f>
        <v>2014</v>
      </c>
    </row>
    <row r="85" spans="1:3" x14ac:dyDescent="0.25">
      <c r="A85" s="8">
        <v>41857</v>
      </c>
      <c r="B85" s="57">
        <v>14</v>
      </c>
      <c r="C85" s="22">
        <f t="shared" si="2"/>
        <v>2014</v>
      </c>
    </row>
    <row r="86" spans="1:3" x14ac:dyDescent="0.25">
      <c r="A86" s="8">
        <v>42059</v>
      </c>
      <c r="B86" s="57">
        <v>58</v>
      </c>
      <c r="C86" s="22">
        <f t="shared" si="2"/>
        <v>2015</v>
      </c>
    </row>
    <row r="87" spans="1:3" x14ac:dyDescent="0.25">
      <c r="A87" s="8">
        <v>41917</v>
      </c>
      <c r="B87" s="57">
        <v>29</v>
      </c>
      <c r="C87" s="22">
        <f t="shared" si="2"/>
        <v>2014</v>
      </c>
    </row>
    <row r="88" spans="1:3" x14ac:dyDescent="0.25">
      <c r="A88" s="8">
        <v>41813</v>
      </c>
      <c r="B88" s="57">
        <v>26</v>
      </c>
      <c r="C88" s="22">
        <f t="shared" si="2"/>
        <v>2014</v>
      </c>
    </row>
    <row r="89" spans="1:3" x14ac:dyDescent="0.25">
      <c r="A89" s="8">
        <v>41773</v>
      </c>
      <c r="B89" s="57">
        <v>75</v>
      </c>
      <c r="C89" s="22">
        <f t="shared" si="2"/>
        <v>2014</v>
      </c>
    </row>
    <row r="90" spans="1:3" x14ac:dyDescent="0.25">
      <c r="A90" s="8">
        <v>41555</v>
      </c>
      <c r="B90" s="57">
        <v>97</v>
      </c>
      <c r="C90" s="22">
        <f t="shared" si="2"/>
        <v>2013</v>
      </c>
    </row>
    <row r="91" spans="1:3" x14ac:dyDescent="0.25">
      <c r="A91" s="8">
        <v>41844</v>
      </c>
      <c r="B91" s="57">
        <v>83</v>
      </c>
      <c r="C91" s="22">
        <f t="shared" si="2"/>
        <v>2014</v>
      </c>
    </row>
    <row r="92" spans="1:3" x14ac:dyDescent="0.25">
      <c r="A92" s="8">
        <v>41596</v>
      </c>
      <c r="B92" s="57">
        <v>27</v>
      </c>
      <c r="C92" s="22">
        <f t="shared" si="2"/>
        <v>2013</v>
      </c>
    </row>
    <row r="93" spans="1:3" x14ac:dyDescent="0.25">
      <c r="A93" s="8">
        <v>41924</v>
      </c>
      <c r="B93" s="57">
        <v>42</v>
      </c>
      <c r="C93" s="22">
        <f t="shared" si="2"/>
        <v>2014</v>
      </c>
    </row>
    <row r="94" spans="1:3" x14ac:dyDescent="0.25">
      <c r="A94" s="8">
        <v>41503</v>
      </c>
      <c r="B94" s="57">
        <v>27</v>
      </c>
      <c r="C94" s="22">
        <f t="shared" si="2"/>
        <v>2013</v>
      </c>
    </row>
    <row r="95" spans="1:3" x14ac:dyDescent="0.25">
      <c r="A95" s="8">
        <v>41980</v>
      </c>
      <c r="B95" s="57">
        <v>41</v>
      </c>
      <c r="C95" s="22">
        <f t="shared" si="2"/>
        <v>2014</v>
      </c>
    </row>
    <row r="96" spans="1:3" x14ac:dyDescent="0.25">
      <c r="A96" s="8">
        <v>42012</v>
      </c>
      <c r="B96" s="57">
        <v>49</v>
      </c>
      <c r="C96" s="22">
        <f t="shared" si="2"/>
        <v>2015</v>
      </c>
    </row>
    <row r="97" spans="1:3" x14ac:dyDescent="0.25">
      <c r="A97" s="8">
        <v>41958</v>
      </c>
      <c r="B97" s="57">
        <v>85</v>
      </c>
      <c r="C97" s="22">
        <f t="shared" si="2"/>
        <v>2014</v>
      </c>
    </row>
    <row r="98" spans="1:3" x14ac:dyDescent="0.25">
      <c r="A98" s="8">
        <v>41784</v>
      </c>
      <c r="B98" s="57">
        <v>66</v>
      </c>
      <c r="C98" s="22">
        <f t="shared" si="2"/>
        <v>2014</v>
      </c>
    </row>
    <row r="99" spans="1:3" x14ac:dyDescent="0.25">
      <c r="A99" s="8">
        <v>42019</v>
      </c>
      <c r="B99" s="57">
        <v>65</v>
      </c>
      <c r="C99" s="22">
        <f t="shared" si="2"/>
        <v>2015</v>
      </c>
    </row>
    <row r="100" spans="1:3" x14ac:dyDescent="0.25">
      <c r="A100" s="8">
        <v>41877</v>
      </c>
      <c r="B100" s="57">
        <v>13</v>
      </c>
      <c r="C100" s="22">
        <f t="shared" si="2"/>
        <v>2014</v>
      </c>
    </row>
    <row r="101" spans="1:3" x14ac:dyDescent="0.25">
      <c r="A101" s="8">
        <v>41557</v>
      </c>
      <c r="B101" s="57">
        <v>80</v>
      </c>
      <c r="C101" s="22">
        <f t="shared" si="2"/>
        <v>2013</v>
      </c>
    </row>
    <row r="102" spans="1:3" x14ac:dyDescent="0.25">
      <c r="A102" s="8">
        <v>41792</v>
      </c>
      <c r="B102" s="57">
        <v>71</v>
      </c>
      <c r="C102" s="22">
        <f t="shared" si="2"/>
        <v>2014</v>
      </c>
    </row>
    <row r="103" spans="1:3" x14ac:dyDescent="0.25">
      <c r="A103" s="8">
        <v>41645</v>
      </c>
      <c r="B103" s="57">
        <v>74</v>
      </c>
      <c r="C103" s="22">
        <f t="shared" si="2"/>
        <v>2014</v>
      </c>
    </row>
    <row r="104" spans="1:3" x14ac:dyDescent="0.25">
      <c r="A104" s="8">
        <v>41893</v>
      </c>
      <c r="B104" s="57">
        <v>57</v>
      </c>
      <c r="C104" s="22">
        <f t="shared" si="2"/>
        <v>2014</v>
      </c>
    </row>
    <row r="105" spans="1:3" x14ac:dyDescent="0.25">
      <c r="A105" s="8">
        <v>41903</v>
      </c>
      <c r="B105" s="57">
        <v>76</v>
      </c>
      <c r="C105" s="22">
        <f t="shared" si="2"/>
        <v>2014</v>
      </c>
    </row>
    <row r="106" spans="1:3" x14ac:dyDescent="0.25">
      <c r="A106" s="8">
        <v>41857</v>
      </c>
      <c r="B106" s="57">
        <v>45</v>
      </c>
      <c r="C106" s="22">
        <f t="shared" si="2"/>
        <v>2014</v>
      </c>
    </row>
    <row r="107" spans="1:3" x14ac:dyDescent="0.25">
      <c r="A107" s="8">
        <v>41942</v>
      </c>
      <c r="B107" s="57">
        <v>24</v>
      </c>
      <c r="C107" s="22">
        <f t="shared" si="2"/>
        <v>2014</v>
      </c>
    </row>
    <row r="108" spans="1:3" x14ac:dyDescent="0.25">
      <c r="A108" s="8">
        <v>41553</v>
      </c>
      <c r="B108" s="57">
        <v>18</v>
      </c>
      <c r="C108" s="22">
        <f t="shared" si="2"/>
        <v>2013</v>
      </c>
    </row>
    <row r="109" spans="1:3" x14ac:dyDescent="0.25">
      <c r="A109" s="8">
        <v>41803</v>
      </c>
      <c r="B109" s="57">
        <v>70</v>
      </c>
      <c r="C109" s="22">
        <f t="shared" si="2"/>
        <v>2014</v>
      </c>
    </row>
    <row r="110" spans="1:3" x14ac:dyDescent="0.25">
      <c r="A110" s="8">
        <v>41799</v>
      </c>
      <c r="B110" s="57">
        <v>14</v>
      </c>
      <c r="C110" s="22">
        <f t="shared" si="2"/>
        <v>2014</v>
      </c>
    </row>
    <row r="111" spans="1:3" x14ac:dyDescent="0.25">
      <c r="A111" s="8">
        <v>41816</v>
      </c>
      <c r="B111" s="57">
        <v>87</v>
      </c>
      <c r="C111" s="22">
        <f t="shared" si="2"/>
        <v>2014</v>
      </c>
    </row>
    <row r="112" spans="1:3" x14ac:dyDescent="0.25">
      <c r="A112" s="8">
        <v>41988</v>
      </c>
      <c r="B112" s="57">
        <v>10</v>
      </c>
      <c r="C112" s="22">
        <f t="shared" si="2"/>
        <v>2014</v>
      </c>
    </row>
    <row r="113" spans="1:3" x14ac:dyDescent="0.25">
      <c r="A113" s="8">
        <v>41625</v>
      </c>
      <c r="B113" s="57">
        <v>82</v>
      </c>
      <c r="C113" s="22">
        <f t="shared" si="2"/>
        <v>2013</v>
      </c>
    </row>
    <row r="114" spans="1:3" x14ac:dyDescent="0.25">
      <c r="A114" s="8">
        <v>42091</v>
      </c>
      <c r="B114" s="57">
        <v>63</v>
      </c>
      <c r="C114" s="22">
        <f t="shared" si="2"/>
        <v>2015</v>
      </c>
    </row>
    <row r="115" spans="1:3" x14ac:dyDescent="0.25">
      <c r="A115" s="8">
        <v>41928</v>
      </c>
      <c r="B115" s="57">
        <v>77</v>
      </c>
      <c r="C115" s="22">
        <f t="shared" si="2"/>
        <v>2014</v>
      </c>
    </row>
    <row r="116" spans="1:3" x14ac:dyDescent="0.25">
      <c r="A116" s="8">
        <v>42056</v>
      </c>
      <c r="B116" s="57">
        <v>67</v>
      </c>
      <c r="C116" s="22">
        <f t="shared" si="2"/>
        <v>2015</v>
      </c>
    </row>
    <row r="117" spans="1:3" x14ac:dyDescent="0.25">
      <c r="A117" s="8">
        <v>41690</v>
      </c>
      <c r="B117" s="57">
        <v>23</v>
      </c>
      <c r="C117" s="22">
        <f t="shared" si="2"/>
        <v>2014</v>
      </c>
    </row>
    <row r="118" spans="1:3" x14ac:dyDescent="0.25">
      <c r="A118" s="8">
        <v>41784</v>
      </c>
      <c r="B118" s="57">
        <v>57</v>
      </c>
      <c r="C118" s="22">
        <f t="shared" si="2"/>
        <v>2014</v>
      </c>
    </row>
    <row r="119" spans="1:3" x14ac:dyDescent="0.25">
      <c r="A119" s="8">
        <v>41616</v>
      </c>
      <c r="B119" s="57">
        <v>40</v>
      </c>
      <c r="C119" s="22">
        <f t="shared" si="2"/>
        <v>2013</v>
      </c>
    </row>
    <row r="120" spans="1:3" x14ac:dyDescent="0.25">
      <c r="A120" s="8">
        <v>41755</v>
      </c>
      <c r="B120" s="57">
        <v>83</v>
      </c>
      <c r="C120" s="22">
        <f t="shared" si="2"/>
        <v>2014</v>
      </c>
    </row>
    <row r="121" spans="1:3" x14ac:dyDescent="0.25">
      <c r="A121" s="8">
        <v>41724</v>
      </c>
      <c r="B121" s="57">
        <v>22</v>
      </c>
      <c r="C121" s="22">
        <f t="shared" si="2"/>
        <v>2014</v>
      </c>
    </row>
    <row r="122" spans="1:3" x14ac:dyDescent="0.25">
      <c r="A122" s="8">
        <v>41540</v>
      </c>
      <c r="B122" s="57">
        <v>44</v>
      </c>
      <c r="C122" s="22">
        <f t="shared" si="2"/>
        <v>2013</v>
      </c>
    </row>
    <row r="123" spans="1:3" x14ac:dyDescent="0.25">
      <c r="A123" s="8">
        <v>41513</v>
      </c>
      <c r="B123" s="57">
        <v>57</v>
      </c>
      <c r="C123" s="22">
        <f t="shared" si="2"/>
        <v>2013</v>
      </c>
    </row>
    <row r="124" spans="1:3" x14ac:dyDescent="0.25">
      <c r="A124" s="8">
        <v>41522</v>
      </c>
      <c r="B124" s="57">
        <v>51</v>
      </c>
      <c r="C124" s="22">
        <f t="shared" si="2"/>
        <v>2013</v>
      </c>
    </row>
    <row r="125" spans="1:3" x14ac:dyDescent="0.25">
      <c r="A125" s="8">
        <v>41786</v>
      </c>
      <c r="B125" s="57">
        <v>99</v>
      </c>
      <c r="C125" s="22">
        <f t="shared" si="2"/>
        <v>2014</v>
      </c>
    </row>
    <row r="126" spans="1:3" x14ac:dyDescent="0.25">
      <c r="A126" s="8">
        <v>41814</v>
      </c>
      <c r="B126" s="57">
        <v>35</v>
      </c>
      <c r="C126" s="22">
        <f t="shared" si="2"/>
        <v>2014</v>
      </c>
    </row>
    <row r="127" spans="1:3" x14ac:dyDescent="0.25">
      <c r="A127" s="8">
        <v>41930</v>
      </c>
      <c r="B127" s="57">
        <v>30</v>
      </c>
      <c r="C127" s="22">
        <f t="shared" si="2"/>
        <v>2014</v>
      </c>
    </row>
    <row r="128" spans="1:3" x14ac:dyDescent="0.25">
      <c r="A128" s="8">
        <v>41654</v>
      </c>
      <c r="B128" s="57">
        <v>81</v>
      </c>
      <c r="C128" s="22">
        <f t="shared" si="2"/>
        <v>2014</v>
      </c>
    </row>
    <row r="129" spans="1:3" x14ac:dyDescent="0.25">
      <c r="A129" s="8">
        <v>41838</v>
      </c>
      <c r="B129" s="57">
        <v>94</v>
      </c>
      <c r="C129" s="22">
        <f t="shared" si="2"/>
        <v>2014</v>
      </c>
    </row>
    <row r="130" spans="1:3" x14ac:dyDescent="0.25">
      <c r="A130" s="8">
        <v>41661</v>
      </c>
      <c r="B130" s="57">
        <v>64</v>
      </c>
      <c r="C130" s="22">
        <f t="shared" si="2"/>
        <v>2014</v>
      </c>
    </row>
    <row r="131" spans="1:3" x14ac:dyDescent="0.25">
      <c r="A131" s="8">
        <v>41505</v>
      </c>
      <c r="B131" s="57">
        <v>24</v>
      </c>
      <c r="C131" s="22">
        <f t="shared" si="2"/>
        <v>2013</v>
      </c>
    </row>
    <row r="132" spans="1:3" x14ac:dyDescent="0.25">
      <c r="A132" s="8">
        <v>41872</v>
      </c>
      <c r="B132" s="57">
        <v>33</v>
      </c>
      <c r="C132" s="22">
        <f t="shared" si="2"/>
        <v>2014</v>
      </c>
    </row>
    <row r="133" spans="1:3" x14ac:dyDescent="0.25">
      <c r="A133" s="8">
        <v>42094</v>
      </c>
      <c r="B133" s="57">
        <v>14</v>
      </c>
      <c r="C133" s="22">
        <f t="shared" si="2"/>
        <v>2015</v>
      </c>
    </row>
    <row r="134" spans="1:3" x14ac:dyDescent="0.25">
      <c r="A134" s="8">
        <v>41517</v>
      </c>
      <c r="B134" s="57">
        <v>93</v>
      </c>
      <c r="C134" s="22">
        <f t="shared" si="2"/>
        <v>2013</v>
      </c>
    </row>
    <row r="135" spans="1:3" x14ac:dyDescent="0.25">
      <c r="A135" s="8">
        <v>41929</v>
      </c>
      <c r="B135" s="57">
        <v>69</v>
      </c>
      <c r="C135" s="22">
        <f t="shared" si="2"/>
        <v>2014</v>
      </c>
    </row>
    <row r="136" spans="1:3" x14ac:dyDescent="0.25">
      <c r="A136" s="8">
        <v>41848</v>
      </c>
      <c r="B136" s="57">
        <v>12</v>
      </c>
      <c r="C136" s="22">
        <f t="shared" si="2"/>
        <v>2014</v>
      </c>
    </row>
    <row r="137" spans="1:3" x14ac:dyDescent="0.25">
      <c r="A137" s="8">
        <v>41734</v>
      </c>
      <c r="B137" s="57">
        <v>33</v>
      </c>
      <c r="C137" s="22">
        <f t="shared" si="2"/>
        <v>2014</v>
      </c>
    </row>
    <row r="138" spans="1:3" x14ac:dyDescent="0.25">
      <c r="A138" s="8">
        <v>41992</v>
      </c>
      <c r="B138" s="57">
        <v>49</v>
      </c>
      <c r="C138" s="22">
        <f t="shared" si="2"/>
        <v>2014</v>
      </c>
    </row>
    <row r="139" spans="1:3" x14ac:dyDescent="0.25">
      <c r="A139" s="8">
        <v>41806</v>
      </c>
      <c r="B139" s="57">
        <v>59</v>
      </c>
      <c r="C139" s="22">
        <f t="shared" si="2"/>
        <v>2014</v>
      </c>
    </row>
    <row r="140" spans="1:3" x14ac:dyDescent="0.25">
      <c r="A140" s="8">
        <v>41814</v>
      </c>
      <c r="B140" s="57">
        <v>68</v>
      </c>
      <c r="C140" s="22">
        <f t="shared" si="2"/>
        <v>2014</v>
      </c>
    </row>
    <row r="141" spans="1:3" x14ac:dyDescent="0.25">
      <c r="A141" s="8">
        <v>41735</v>
      </c>
      <c r="B141" s="57">
        <v>35</v>
      </c>
      <c r="C141" s="22">
        <f t="shared" si="2"/>
        <v>2014</v>
      </c>
    </row>
    <row r="142" spans="1:3" x14ac:dyDescent="0.25">
      <c r="A142" s="8">
        <v>41840</v>
      </c>
      <c r="B142" s="57">
        <v>26</v>
      </c>
      <c r="C142" s="22">
        <f t="shared" si="2"/>
        <v>2014</v>
      </c>
    </row>
    <row r="143" spans="1:3" x14ac:dyDescent="0.25">
      <c r="A143" s="8">
        <v>41828</v>
      </c>
      <c r="B143" s="57">
        <v>76</v>
      </c>
      <c r="C143" s="22">
        <f t="shared" si="2"/>
        <v>2014</v>
      </c>
    </row>
    <row r="144" spans="1:3" x14ac:dyDescent="0.25">
      <c r="A144" s="8">
        <v>41566</v>
      </c>
      <c r="B144" s="57">
        <v>68</v>
      </c>
      <c r="C144" s="22">
        <f t="shared" si="2"/>
        <v>2013</v>
      </c>
    </row>
    <row r="145" spans="1:3" x14ac:dyDescent="0.25">
      <c r="A145" s="8">
        <v>41555</v>
      </c>
      <c r="B145" s="57">
        <v>71</v>
      </c>
      <c r="C145" s="22">
        <f t="shared" si="2"/>
        <v>2013</v>
      </c>
    </row>
    <row r="146" spans="1:3" x14ac:dyDescent="0.25">
      <c r="A146" s="8">
        <v>41902</v>
      </c>
      <c r="B146" s="57">
        <v>28</v>
      </c>
      <c r="C146" s="22">
        <f t="shared" si="2"/>
        <v>2014</v>
      </c>
    </row>
    <row r="147" spans="1:3" x14ac:dyDescent="0.25">
      <c r="A147" s="8">
        <v>41675</v>
      </c>
      <c r="B147" s="57">
        <v>87</v>
      </c>
      <c r="C147" s="22">
        <f t="shared" si="2"/>
        <v>2014</v>
      </c>
    </row>
    <row r="148" spans="1:3" x14ac:dyDescent="0.25">
      <c r="A148" s="8">
        <v>41566</v>
      </c>
      <c r="B148" s="57">
        <v>51</v>
      </c>
      <c r="C148" s="22">
        <f t="shared" ref="C148:C211" si="3">YEAR(A148)</f>
        <v>2013</v>
      </c>
    </row>
    <row r="149" spans="1:3" x14ac:dyDescent="0.25">
      <c r="A149" s="8">
        <v>41556</v>
      </c>
      <c r="B149" s="57">
        <v>10</v>
      </c>
      <c r="C149" s="22">
        <f t="shared" si="3"/>
        <v>2013</v>
      </c>
    </row>
    <row r="150" spans="1:3" x14ac:dyDescent="0.25">
      <c r="A150" s="8">
        <v>41527</v>
      </c>
      <c r="B150" s="57">
        <v>45</v>
      </c>
      <c r="C150" s="22">
        <f t="shared" si="3"/>
        <v>2013</v>
      </c>
    </row>
    <row r="151" spans="1:3" x14ac:dyDescent="0.25">
      <c r="A151" s="8">
        <v>41757</v>
      </c>
      <c r="B151" s="57">
        <v>41</v>
      </c>
      <c r="C151" s="22">
        <f t="shared" si="3"/>
        <v>2014</v>
      </c>
    </row>
    <row r="152" spans="1:3" x14ac:dyDescent="0.25">
      <c r="A152" s="8">
        <v>41982</v>
      </c>
      <c r="B152" s="57">
        <v>90</v>
      </c>
      <c r="C152" s="22">
        <f t="shared" si="3"/>
        <v>2014</v>
      </c>
    </row>
    <row r="153" spans="1:3" x14ac:dyDescent="0.25">
      <c r="A153" s="8">
        <v>41658</v>
      </c>
      <c r="B153" s="57">
        <v>65</v>
      </c>
      <c r="C153" s="22">
        <f t="shared" si="3"/>
        <v>2014</v>
      </c>
    </row>
    <row r="154" spans="1:3" x14ac:dyDescent="0.25">
      <c r="A154" s="8">
        <v>41799</v>
      </c>
      <c r="B154" s="57">
        <v>73</v>
      </c>
      <c r="C154" s="22">
        <f t="shared" si="3"/>
        <v>2014</v>
      </c>
    </row>
    <row r="155" spans="1:3" x14ac:dyDescent="0.25">
      <c r="A155" s="8">
        <v>41902</v>
      </c>
      <c r="B155" s="57">
        <v>18</v>
      </c>
      <c r="C155" s="22">
        <f t="shared" si="3"/>
        <v>2014</v>
      </c>
    </row>
    <row r="156" spans="1:3" x14ac:dyDescent="0.25">
      <c r="A156" s="8">
        <v>41731</v>
      </c>
      <c r="B156" s="57">
        <v>52</v>
      </c>
      <c r="C156" s="22">
        <f t="shared" si="3"/>
        <v>2014</v>
      </c>
    </row>
    <row r="157" spans="1:3" x14ac:dyDescent="0.25">
      <c r="A157" s="8">
        <v>41790</v>
      </c>
      <c r="B157" s="57">
        <v>18</v>
      </c>
      <c r="C157" s="22">
        <f t="shared" si="3"/>
        <v>2014</v>
      </c>
    </row>
    <row r="158" spans="1:3" x14ac:dyDescent="0.25">
      <c r="A158" s="8">
        <v>41839</v>
      </c>
      <c r="B158" s="57">
        <v>36</v>
      </c>
      <c r="C158" s="22">
        <f t="shared" si="3"/>
        <v>2014</v>
      </c>
    </row>
    <row r="159" spans="1:3" x14ac:dyDescent="0.25">
      <c r="A159" s="8">
        <v>41710</v>
      </c>
      <c r="B159" s="57">
        <v>39</v>
      </c>
      <c r="C159" s="22">
        <f t="shared" si="3"/>
        <v>2014</v>
      </c>
    </row>
    <row r="160" spans="1:3" x14ac:dyDescent="0.25">
      <c r="A160" s="8">
        <v>41843</v>
      </c>
      <c r="B160" s="57">
        <v>85</v>
      </c>
      <c r="C160" s="22">
        <f t="shared" si="3"/>
        <v>2014</v>
      </c>
    </row>
    <row r="161" spans="1:3" x14ac:dyDescent="0.25">
      <c r="A161" s="8">
        <v>42008</v>
      </c>
      <c r="B161" s="57">
        <v>79</v>
      </c>
      <c r="C161" s="22">
        <f t="shared" si="3"/>
        <v>2015</v>
      </c>
    </row>
    <row r="162" spans="1:3" x14ac:dyDescent="0.25">
      <c r="A162" s="8">
        <v>41540</v>
      </c>
      <c r="B162" s="57">
        <v>34</v>
      </c>
      <c r="C162" s="22">
        <f t="shared" si="3"/>
        <v>2013</v>
      </c>
    </row>
    <row r="163" spans="1:3" x14ac:dyDescent="0.25">
      <c r="A163" s="8">
        <v>41701</v>
      </c>
      <c r="B163" s="57">
        <v>58</v>
      </c>
      <c r="C163" s="22">
        <f t="shared" si="3"/>
        <v>2014</v>
      </c>
    </row>
    <row r="164" spans="1:3" x14ac:dyDescent="0.25">
      <c r="A164" s="8">
        <v>42087</v>
      </c>
      <c r="B164" s="57">
        <v>99</v>
      </c>
      <c r="C164" s="22">
        <f t="shared" si="3"/>
        <v>2015</v>
      </c>
    </row>
    <row r="165" spans="1:3" x14ac:dyDescent="0.25">
      <c r="A165" s="8">
        <v>41708</v>
      </c>
      <c r="B165" s="57">
        <v>93</v>
      </c>
      <c r="C165" s="22">
        <f t="shared" si="3"/>
        <v>2014</v>
      </c>
    </row>
    <row r="166" spans="1:3" x14ac:dyDescent="0.25">
      <c r="A166" s="8">
        <v>41725</v>
      </c>
      <c r="B166" s="57">
        <v>38</v>
      </c>
      <c r="C166" s="22">
        <f t="shared" si="3"/>
        <v>2014</v>
      </c>
    </row>
    <row r="167" spans="1:3" x14ac:dyDescent="0.25">
      <c r="A167" s="8">
        <v>41512</v>
      </c>
      <c r="B167" s="57">
        <v>72</v>
      </c>
      <c r="C167" s="22">
        <f t="shared" si="3"/>
        <v>2013</v>
      </c>
    </row>
    <row r="168" spans="1:3" x14ac:dyDescent="0.25">
      <c r="A168" s="8">
        <v>41599</v>
      </c>
      <c r="B168" s="57">
        <v>46</v>
      </c>
      <c r="C168" s="22">
        <f t="shared" si="3"/>
        <v>2013</v>
      </c>
    </row>
    <row r="169" spans="1:3" x14ac:dyDescent="0.25">
      <c r="A169" s="8">
        <v>42078</v>
      </c>
      <c r="B169" s="57">
        <v>20</v>
      </c>
      <c r="C169" s="22">
        <f t="shared" si="3"/>
        <v>2015</v>
      </c>
    </row>
    <row r="170" spans="1:3" x14ac:dyDescent="0.25">
      <c r="A170" s="8">
        <v>41780</v>
      </c>
      <c r="B170" s="57">
        <v>95</v>
      </c>
      <c r="C170" s="22">
        <f t="shared" si="3"/>
        <v>2014</v>
      </c>
    </row>
    <row r="171" spans="1:3" x14ac:dyDescent="0.25">
      <c r="A171" s="8">
        <v>41604</v>
      </c>
      <c r="B171" s="57">
        <v>57</v>
      </c>
      <c r="C171" s="22">
        <f t="shared" si="3"/>
        <v>2013</v>
      </c>
    </row>
    <row r="172" spans="1:3" x14ac:dyDescent="0.25">
      <c r="A172" s="8">
        <v>42016</v>
      </c>
      <c r="B172" s="57">
        <v>88</v>
      </c>
      <c r="C172" s="22">
        <f t="shared" si="3"/>
        <v>2015</v>
      </c>
    </row>
    <row r="173" spans="1:3" x14ac:dyDescent="0.25">
      <c r="A173" s="8">
        <v>41918</v>
      </c>
      <c r="B173" s="57">
        <v>56</v>
      </c>
      <c r="C173" s="22">
        <f t="shared" si="3"/>
        <v>2014</v>
      </c>
    </row>
    <row r="174" spans="1:3" x14ac:dyDescent="0.25">
      <c r="A174" s="8">
        <v>41660</v>
      </c>
      <c r="B174" s="57">
        <v>42</v>
      </c>
      <c r="C174" s="22">
        <f t="shared" si="3"/>
        <v>2014</v>
      </c>
    </row>
    <row r="175" spans="1:3" x14ac:dyDescent="0.25">
      <c r="A175" s="8">
        <v>41988</v>
      </c>
      <c r="B175" s="57">
        <v>58</v>
      </c>
      <c r="C175" s="22">
        <f t="shared" si="3"/>
        <v>2014</v>
      </c>
    </row>
    <row r="176" spans="1:3" x14ac:dyDescent="0.25">
      <c r="A176" s="8">
        <v>41541</v>
      </c>
      <c r="B176" s="57">
        <v>30</v>
      </c>
      <c r="C176" s="22">
        <f t="shared" si="3"/>
        <v>2013</v>
      </c>
    </row>
    <row r="177" spans="1:3" x14ac:dyDescent="0.25">
      <c r="A177" s="8">
        <v>41669</v>
      </c>
      <c r="B177" s="57">
        <v>18</v>
      </c>
      <c r="C177" s="22">
        <f t="shared" si="3"/>
        <v>2014</v>
      </c>
    </row>
    <row r="178" spans="1:3" x14ac:dyDescent="0.25">
      <c r="A178" s="8">
        <v>41869</v>
      </c>
      <c r="B178" s="57">
        <v>64</v>
      </c>
      <c r="C178" s="22">
        <f t="shared" si="3"/>
        <v>2014</v>
      </c>
    </row>
    <row r="179" spans="1:3" x14ac:dyDescent="0.25">
      <c r="A179" s="8">
        <v>41702</v>
      </c>
      <c r="B179" s="57">
        <v>29</v>
      </c>
      <c r="C179" s="22">
        <f t="shared" si="3"/>
        <v>2014</v>
      </c>
    </row>
    <row r="180" spans="1:3" x14ac:dyDescent="0.25">
      <c r="A180" s="8">
        <v>41568</v>
      </c>
      <c r="B180" s="57">
        <v>95</v>
      </c>
      <c r="C180" s="22">
        <f t="shared" si="3"/>
        <v>2013</v>
      </c>
    </row>
    <row r="181" spans="1:3" x14ac:dyDescent="0.25">
      <c r="A181" s="8">
        <v>41803</v>
      </c>
      <c r="B181" s="57">
        <v>43</v>
      </c>
      <c r="C181" s="22">
        <f t="shared" si="3"/>
        <v>2014</v>
      </c>
    </row>
    <row r="182" spans="1:3" x14ac:dyDescent="0.25">
      <c r="A182" s="8">
        <v>41826</v>
      </c>
      <c r="B182" s="57">
        <v>86</v>
      </c>
      <c r="C182" s="22">
        <f t="shared" si="3"/>
        <v>2014</v>
      </c>
    </row>
    <row r="183" spans="1:3" x14ac:dyDescent="0.25">
      <c r="A183" s="8">
        <v>41815</v>
      </c>
      <c r="B183" s="57">
        <v>34</v>
      </c>
      <c r="C183" s="22">
        <f t="shared" si="3"/>
        <v>2014</v>
      </c>
    </row>
    <row r="184" spans="1:3" x14ac:dyDescent="0.25">
      <c r="A184" s="8">
        <v>41966</v>
      </c>
      <c r="B184" s="57">
        <v>62</v>
      </c>
      <c r="C184" s="22">
        <f t="shared" si="3"/>
        <v>2014</v>
      </c>
    </row>
    <row r="185" spans="1:3" x14ac:dyDescent="0.25">
      <c r="A185" s="8">
        <v>41661</v>
      </c>
      <c r="B185" s="57">
        <v>69</v>
      </c>
      <c r="C185" s="22">
        <f t="shared" si="3"/>
        <v>2014</v>
      </c>
    </row>
    <row r="186" spans="1:3" x14ac:dyDescent="0.25">
      <c r="A186" s="8">
        <v>41588</v>
      </c>
      <c r="B186" s="57">
        <v>15</v>
      </c>
      <c r="C186" s="22">
        <f t="shared" si="3"/>
        <v>2013</v>
      </c>
    </row>
    <row r="187" spans="1:3" x14ac:dyDescent="0.25">
      <c r="A187" s="8">
        <v>41759</v>
      </c>
      <c r="B187" s="57">
        <v>46</v>
      </c>
      <c r="C187" s="22">
        <f t="shared" si="3"/>
        <v>2014</v>
      </c>
    </row>
    <row r="188" spans="1:3" x14ac:dyDescent="0.25">
      <c r="A188" s="8">
        <v>41834</v>
      </c>
      <c r="B188" s="57">
        <v>64</v>
      </c>
      <c r="C188" s="22">
        <f t="shared" si="3"/>
        <v>2014</v>
      </c>
    </row>
    <row r="189" spans="1:3" x14ac:dyDescent="0.25">
      <c r="A189" s="8">
        <v>41938</v>
      </c>
      <c r="B189" s="57">
        <v>38</v>
      </c>
      <c r="C189" s="22">
        <f t="shared" si="3"/>
        <v>2014</v>
      </c>
    </row>
    <row r="190" spans="1:3" x14ac:dyDescent="0.25">
      <c r="A190" s="8">
        <v>41673</v>
      </c>
      <c r="B190" s="57">
        <v>28</v>
      </c>
      <c r="C190" s="22">
        <f t="shared" si="3"/>
        <v>2014</v>
      </c>
    </row>
    <row r="191" spans="1:3" x14ac:dyDescent="0.25">
      <c r="A191" s="8">
        <v>41531</v>
      </c>
      <c r="B191" s="57">
        <v>65</v>
      </c>
      <c r="C191" s="22">
        <f t="shared" si="3"/>
        <v>2013</v>
      </c>
    </row>
    <row r="192" spans="1:3" x14ac:dyDescent="0.25">
      <c r="A192" s="8">
        <v>41840</v>
      </c>
      <c r="B192" s="57">
        <v>10</v>
      </c>
      <c r="C192" s="22">
        <f t="shared" si="3"/>
        <v>2014</v>
      </c>
    </row>
    <row r="193" spans="1:3" x14ac:dyDescent="0.25">
      <c r="A193" s="8">
        <v>41765</v>
      </c>
      <c r="B193" s="57">
        <v>20</v>
      </c>
      <c r="C193" s="22">
        <f t="shared" si="3"/>
        <v>2014</v>
      </c>
    </row>
    <row r="194" spans="1:3" x14ac:dyDescent="0.25">
      <c r="A194" s="8">
        <v>41956</v>
      </c>
      <c r="B194" s="57">
        <v>43</v>
      </c>
      <c r="C194" s="22">
        <f t="shared" si="3"/>
        <v>2014</v>
      </c>
    </row>
    <row r="195" spans="1:3" x14ac:dyDescent="0.25">
      <c r="A195" s="8">
        <v>41836</v>
      </c>
      <c r="B195" s="57">
        <v>81</v>
      </c>
      <c r="C195" s="22">
        <f t="shared" si="3"/>
        <v>2014</v>
      </c>
    </row>
    <row r="196" spans="1:3" x14ac:dyDescent="0.25">
      <c r="A196" s="8">
        <v>41833</v>
      </c>
      <c r="B196" s="57">
        <v>27</v>
      </c>
      <c r="C196" s="22">
        <f t="shared" si="3"/>
        <v>2014</v>
      </c>
    </row>
    <row r="197" spans="1:3" x14ac:dyDescent="0.25">
      <c r="A197" s="8">
        <v>41980</v>
      </c>
      <c r="B197" s="57">
        <v>66</v>
      </c>
      <c r="C197" s="22">
        <f t="shared" si="3"/>
        <v>2014</v>
      </c>
    </row>
    <row r="198" spans="1:3" x14ac:dyDescent="0.25">
      <c r="A198" s="8">
        <v>41963</v>
      </c>
      <c r="B198" s="57">
        <v>46</v>
      </c>
      <c r="C198" s="22">
        <f t="shared" si="3"/>
        <v>2014</v>
      </c>
    </row>
    <row r="199" spans="1:3" x14ac:dyDescent="0.25">
      <c r="A199" s="8">
        <v>41962</v>
      </c>
      <c r="B199" s="57">
        <v>46</v>
      </c>
      <c r="C199" s="22">
        <f t="shared" si="3"/>
        <v>2014</v>
      </c>
    </row>
    <row r="200" spans="1:3" x14ac:dyDescent="0.25">
      <c r="A200" s="8">
        <v>41929</v>
      </c>
      <c r="B200" s="57">
        <v>66</v>
      </c>
      <c r="C200" s="22">
        <f t="shared" si="3"/>
        <v>2014</v>
      </c>
    </row>
    <row r="201" spans="1:3" x14ac:dyDescent="0.25">
      <c r="A201" s="8">
        <v>41721</v>
      </c>
      <c r="B201" s="57">
        <v>91</v>
      </c>
      <c r="C201" s="22">
        <f t="shared" si="3"/>
        <v>2014</v>
      </c>
    </row>
    <row r="202" spans="1:3" x14ac:dyDescent="0.25">
      <c r="A202" s="8">
        <v>41910</v>
      </c>
      <c r="B202" s="57">
        <v>14</v>
      </c>
      <c r="C202" s="22">
        <f t="shared" si="3"/>
        <v>2014</v>
      </c>
    </row>
    <row r="203" spans="1:3" x14ac:dyDescent="0.25">
      <c r="A203" s="8">
        <v>42094</v>
      </c>
      <c r="B203" s="57">
        <v>29</v>
      </c>
      <c r="C203" s="22">
        <f t="shared" si="3"/>
        <v>2015</v>
      </c>
    </row>
    <row r="204" spans="1:3" x14ac:dyDescent="0.25">
      <c r="A204" s="8">
        <v>41518</v>
      </c>
      <c r="B204" s="57">
        <v>61</v>
      </c>
      <c r="C204" s="22">
        <f t="shared" si="3"/>
        <v>2013</v>
      </c>
    </row>
    <row r="205" spans="1:3" x14ac:dyDescent="0.25">
      <c r="A205" s="8">
        <v>41736</v>
      </c>
      <c r="B205" s="57">
        <v>97</v>
      </c>
      <c r="C205" s="22">
        <f t="shared" si="3"/>
        <v>2014</v>
      </c>
    </row>
    <row r="206" spans="1:3" x14ac:dyDescent="0.25">
      <c r="A206" s="8">
        <v>42064</v>
      </c>
      <c r="B206" s="57">
        <v>85</v>
      </c>
      <c r="C206" s="22">
        <f t="shared" si="3"/>
        <v>2015</v>
      </c>
    </row>
    <row r="207" spans="1:3" x14ac:dyDescent="0.25">
      <c r="A207" s="8">
        <v>41582</v>
      </c>
      <c r="B207" s="57">
        <v>11</v>
      </c>
      <c r="C207" s="22">
        <f t="shared" si="3"/>
        <v>2013</v>
      </c>
    </row>
    <row r="208" spans="1:3" x14ac:dyDescent="0.25">
      <c r="A208" s="8">
        <v>41717</v>
      </c>
      <c r="B208" s="57">
        <v>55</v>
      </c>
      <c r="C208" s="22">
        <f t="shared" si="3"/>
        <v>2014</v>
      </c>
    </row>
    <row r="209" spans="1:3" x14ac:dyDescent="0.25">
      <c r="A209" s="8">
        <v>41535</v>
      </c>
      <c r="B209" s="57">
        <v>14</v>
      </c>
      <c r="C209" s="22">
        <f t="shared" si="3"/>
        <v>2013</v>
      </c>
    </row>
    <row r="210" spans="1:3" x14ac:dyDescent="0.25">
      <c r="A210" s="8">
        <v>41910</v>
      </c>
      <c r="B210" s="57">
        <v>42</v>
      </c>
      <c r="C210" s="22">
        <f t="shared" si="3"/>
        <v>2014</v>
      </c>
    </row>
    <row r="211" spans="1:3" x14ac:dyDescent="0.25">
      <c r="A211" s="8">
        <v>41693</v>
      </c>
      <c r="B211" s="57">
        <v>59</v>
      </c>
      <c r="C211" s="22">
        <f t="shared" si="3"/>
        <v>2014</v>
      </c>
    </row>
    <row r="212" spans="1:3" x14ac:dyDescent="0.25">
      <c r="A212" s="8">
        <v>41522</v>
      </c>
      <c r="B212" s="57">
        <v>88</v>
      </c>
      <c r="C212" s="22">
        <f t="shared" ref="C212:C254" si="4">YEAR(A212)</f>
        <v>2013</v>
      </c>
    </row>
    <row r="213" spans="1:3" x14ac:dyDescent="0.25">
      <c r="A213" s="8">
        <v>41915</v>
      </c>
      <c r="B213" s="57">
        <v>98</v>
      </c>
      <c r="C213" s="22">
        <f t="shared" si="4"/>
        <v>2014</v>
      </c>
    </row>
    <row r="214" spans="1:3" x14ac:dyDescent="0.25">
      <c r="A214" s="8">
        <v>41568</v>
      </c>
      <c r="B214" s="57">
        <v>59</v>
      </c>
      <c r="C214" s="22">
        <f t="shared" si="4"/>
        <v>2013</v>
      </c>
    </row>
    <row r="215" spans="1:3" x14ac:dyDescent="0.25">
      <c r="A215" s="8">
        <v>42090</v>
      </c>
      <c r="B215" s="57">
        <v>62</v>
      </c>
      <c r="C215" s="22">
        <f t="shared" si="4"/>
        <v>2015</v>
      </c>
    </row>
    <row r="216" spans="1:3" x14ac:dyDescent="0.25">
      <c r="A216" s="8">
        <v>41636</v>
      </c>
      <c r="B216" s="57">
        <v>68</v>
      </c>
      <c r="C216" s="22">
        <f t="shared" si="4"/>
        <v>2013</v>
      </c>
    </row>
    <row r="217" spans="1:3" x14ac:dyDescent="0.25">
      <c r="A217" s="8">
        <v>42052</v>
      </c>
      <c r="B217" s="57">
        <v>59</v>
      </c>
      <c r="C217" s="22">
        <f t="shared" si="4"/>
        <v>2015</v>
      </c>
    </row>
    <row r="218" spans="1:3" x14ac:dyDescent="0.25">
      <c r="A218" s="8">
        <v>41736</v>
      </c>
      <c r="B218" s="57">
        <v>86</v>
      </c>
      <c r="C218" s="22">
        <f t="shared" si="4"/>
        <v>2014</v>
      </c>
    </row>
    <row r="219" spans="1:3" x14ac:dyDescent="0.25">
      <c r="A219" s="8">
        <v>41682</v>
      </c>
      <c r="B219" s="57">
        <v>63</v>
      </c>
      <c r="C219" s="22">
        <f t="shared" si="4"/>
        <v>2014</v>
      </c>
    </row>
    <row r="220" spans="1:3" x14ac:dyDescent="0.25">
      <c r="A220" s="8">
        <v>41895</v>
      </c>
      <c r="B220" s="57">
        <v>79</v>
      </c>
      <c r="C220" s="22">
        <f t="shared" si="4"/>
        <v>2014</v>
      </c>
    </row>
    <row r="221" spans="1:3" x14ac:dyDescent="0.25">
      <c r="A221" s="8">
        <v>41680</v>
      </c>
      <c r="B221" s="57">
        <v>96</v>
      </c>
      <c r="C221" s="22">
        <f t="shared" si="4"/>
        <v>2014</v>
      </c>
    </row>
    <row r="222" spans="1:3" x14ac:dyDescent="0.25">
      <c r="A222" s="8">
        <v>41628</v>
      </c>
      <c r="B222" s="57">
        <v>15</v>
      </c>
      <c r="C222" s="22">
        <f t="shared" si="4"/>
        <v>2013</v>
      </c>
    </row>
    <row r="223" spans="1:3" x14ac:dyDescent="0.25">
      <c r="A223" s="8">
        <v>42004</v>
      </c>
      <c r="B223" s="57">
        <v>98</v>
      </c>
      <c r="C223" s="22">
        <f t="shared" si="4"/>
        <v>2014</v>
      </c>
    </row>
    <row r="224" spans="1:3" x14ac:dyDescent="0.25">
      <c r="A224" s="8">
        <v>41886</v>
      </c>
      <c r="B224" s="57">
        <v>70</v>
      </c>
      <c r="C224" s="22">
        <f t="shared" si="4"/>
        <v>2014</v>
      </c>
    </row>
    <row r="225" spans="1:3" x14ac:dyDescent="0.25">
      <c r="A225" s="8">
        <v>41692</v>
      </c>
      <c r="B225" s="57">
        <v>45</v>
      </c>
      <c r="C225" s="22">
        <f t="shared" si="4"/>
        <v>2014</v>
      </c>
    </row>
    <row r="226" spans="1:3" x14ac:dyDescent="0.25">
      <c r="A226" s="8">
        <v>41806</v>
      </c>
      <c r="B226" s="57">
        <v>73</v>
      </c>
      <c r="C226" s="22">
        <f t="shared" si="4"/>
        <v>2014</v>
      </c>
    </row>
    <row r="227" spans="1:3" x14ac:dyDescent="0.25">
      <c r="A227" s="8">
        <v>42023</v>
      </c>
      <c r="B227" s="57">
        <v>99</v>
      </c>
      <c r="C227" s="22">
        <f t="shared" si="4"/>
        <v>2015</v>
      </c>
    </row>
    <row r="228" spans="1:3" x14ac:dyDescent="0.25">
      <c r="A228" s="8">
        <v>41899</v>
      </c>
      <c r="B228" s="57">
        <v>69</v>
      </c>
      <c r="C228" s="22">
        <f t="shared" si="4"/>
        <v>2014</v>
      </c>
    </row>
    <row r="229" spans="1:3" x14ac:dyDescent="0.25">
      <c r="A229" s="8">
        <v>41944</v>
      </c>
      <c r="B229" s="57">
        <v>66</v>
      </c>
      <c r="C229" s="22">
        <f t="shared" si="4"/>
        <v>2014</v>
      </c>
    </row>
    <row r="230" spans="1:3" x14ac:dyDescent="0.25">
      <c r="A230" s="8">
        <v>41819</v>
      </c>
      <c r="B230" s="57">
        <v>34</v>
      </c>
      <c r="C230" s="22">
        <f t="shared" si="4"/>
        <v>2014</v>
      </c>
    </row>
    <row r="231" spans="1:3" x14ac:dyDescent="0.25">
      <c r="A231" s="8">
        <v>41553</v>
      </c>
      <c r="B231" s="57">
        <v>91</v>
      </c>
      <c r="C231" s="22">
        <f t="shared" si="4"/>
        <v>2013</v>
      </c>
    </row>
    <row r="232" spans="1:3" x14ac:dyDescent="0.25">
      <c r="A232" s="8">
        <v>41640</v>
      </c>
      <c r="B232" s="57">
        <v>90</v>
      </c>
      <c r="C232" s="22">
        <f t="shared" si="4"/>
        <v>2014</v>
      </c>
    </row>
    <row r="233" spans="1:3" x14ac:dyDescent="0.25">
      <c r="A233" s="8">
        <v>41930</v>
      </c>
      <c r="B233" s="57">
        <v>51</v>
      </c>
      <c r="C233" s="22">
        <f t="shared" si="4"/>
        <v>2014</v>
      </c>
    </row>
    <row r="234" spans="1:3" x14ac:dyDescent="0.25">
      <c r="A234" s="8">
        <v>41689</v>
      </c>
      <c r="B234" s="57">
        <v>90</v>
      </c>
      <c r="C234" s="22">
        <f t="shared" si="4"/>
        <v>2014</v>
      </c>
    </row>
    <row r="235" spans="1:3" x14ac:dyDescent="0.25">
      <c r="A235" s="8">
        <v>42097</v>
      </c>
      <c r="B235" s="57">
        <v>58</v>
      </c>
      <c r="C235" s="22">
        <f t="shared" si="4"/>
        <v>2015</v>
      </c>
    </row>
    <row r="236" spans="1:3" x14ac:dyDescent="0.25">
      <c r="A236" s="8">
        <v>41823</v>
      </c>
      <c r="B236" s="57">
        <v>34</v>
      </c>
      <c r="C236" s="22">
        <f t="shared" si="4"/>
        <v>2014</v>
      </c>
    </row>
    <row r="237" spans="1:3" x14ac:dyDescent="0.25">
      <c r="A237" s="8">
        <v>42003</v>
      </c>
      <c r="B237" s="57">
        <v>98</v>
      </c>
      <c r="C237" s="22">
        <f t="shared" si="4"/>
        <v>2014</v>
      </c>
    </row>
    <row r="238" spans="1:3" x14ac:dyDescent="0.25">
      <c r="A238" s="8">
        <v>42050</v>
      </c>
      <c r="B238" s="57">
        <v>28</v>
      </c>
      <c r="C238" s="22">
        <f t="shared" si="4"/>
        <v>2015</v>
      </c>
    </row>
    <row r="239" spans="1:3" x14ac:dyDescent="0.25">
      <c r="A239" s="8">
        <v>41759</v>
      </c>
      <c r="B239" s="57">
        <v>42</v>
      </c>
      <c r="C239" s="22">
        <f t="shared" si="4"/>
        <v>2014</v>
      </c>
    </row>
    <row r="240" spans="1:3" x14ac:dyDescent="0.25">
      <c r="A240" s="8">
        <v>41676</v>
      </c>
      <c r="B240" s="57">
        <v>11</v>
      </c>
      <c r="C240" s="22">
        <f t="shared" si="4"/>
        <v>2014</v>
      </c>
    </row>
    <row r="241" spans="1:3" x14ac:dyDescent="0.25">
      <c r="A241" s="8">
        <v>41832</v>
      </c>
      <c r="B241" s="57">
        <v>82</v>
      </c>
      <c r="C241" s="22">
        <f t="shared" si="4"/>
        <v>2014</v>
      </c>
    </row>
    <row r="242" spans="1:3" x14ac:dyDescent="0.25">
      <c r="A242" s="8">
        <v>42066</v>
      </c>
      <c r="B242" s="57">
        <v>73</v>
      </c>
      <c r="C242" s="22">
        <f t="shared" si="4"/>
        <v>2015</v>
      </c>
    </row>
    <row r="243" spans="1:3" x14ac:dyDescent="0.25">
      <c r="A243" s="8">
        <v>41700</v>
      </c>
      <c r="B243" s="57">
        <v>15</v>
      </c>
      <c r="C243" s="22">
        <f t="shared" si="4"/>
        <v>2014</v>
      </c>
    </row>
    <row r="244" spans="1:3" x14ac:dyDescent="0.25">
      <c r="A244" s="8">
        <v>41708</v>
      </c>
      <c r="B244" s="57">
        <v>59</v>
      </c>
      <c r="C244" s="22">
        <f t="shared" si="4"/>
        <v>2014</v>
      </c>
    </row>
    <row r="245" spans="1:3" x14ac:dyDescent="0.25">
      <c r="A245" s="8">
        <v>41577</v>
      </c>
      <c r="B245" s="57">
        <v>17</v>
      </c>
      <c r="C245" s="22">
        <f t="shared" si="4"/>
        <v>2013</v>
      </c>
    </row>
    <row r="246" spans="1:3" x14ac:dyDescent="0.25">
      <c r="A246" s="8">
        <v>42031</v>
      </c>
      <c r="B246" s="57">
        <v>39</v>
      </c>
      <c r="C246" s="22">
        <f t="shared" si="4"/>
        <v>2015</v>
      </c>
    </row>
    <row r="247" spans="1:3" x14ac:dyDescent="0.25">
      <c r="A247" s="8">
        <v>41601</v>
      </c>
      <c r="B247" s="57">
        <v>35</v>
      </c>
      <c r="C247" s="22">
        <f t="shared" si="4"/>
        <v>2013</v>
      </c>
    </row>
    <row r="248" spans="1:3" x14ac:dyDescent="0.25">
      <c r="A248" s="8">
        <v>42023</v>
      </c>
      <c r="B248" s="57">
        <v>78</v>
      </c>
      <c r="C248" s="22">
        <f t="shared" si="4"/>
        <v>2015</v>
      </c>
    </row>
    <row r="249" spans="1:3" x14ac:dyDescent="0.25">
      <c r="A249" s="8">
        <v>41957</v>
      </c>
      <c r="B249" s="57">
        <v>80</v>
      </c>
      <c r="C249" s="22">
        <f t="shared" si="4"/>
        <v>2014</v>
      </c>
    </row>
    <row r="250" spans="1:3" x14ac:dyDescent="0.25">
      <c r="A250" s="8">
        <v>41511</v>
      </c>
      <c r="B250" s="57">
        <v>33</v>
      </c>
      <c r="C250" s="22">
        <f t="shared" si="4"/>
        <v>2013</v>
      </c>
    </row>
    <row r="251" spans="1:3" x14ac:dyDescent="0.25">
      <c r="A251" s="8">
        <v>41863</v>
      </c>
      <c r="B251" s="57">
        <v>71</v>
      </c>
      <c r="C251" s="22">
        <f t="shared" si="4"/>
        <v>2014</v>
      </c>
    </row>
    <row r="252" spans="1:3" x14ac:dyDescent="0.25">
      <c r="A252" s="8">
        <v>41759</v>
      </c>
      <c r="B252" s="57">
        <v>26</v>
      </c>
      <c r="C252" s="22">
        <f t="shared" si="4"/>
        <v>2014</v>
      </c>
    </row>
    <row r="253" spans="1:3" x14ac:dyDescent="0.25">
      <c r="A253" s="8">
        <v>41825</v>
      </c>
      <c r="B253" s="57">
        <v>98</v>
      </c>
      <c r="C253" s="22">
        <f t="shared" si="4"/>
        <v>2014</v>
      </c>
    </row>
    <row r="254" spans="1:3" x14ac:dyDescent="0.25">
      <c r="A254" s="8">
        <v>42086</v>
      </c>
      <c r="B254" s="57">
        <v>75</v>
      </c>
      <c r="C254" s="22">
        <f t="shared" si="4"/>
        <v>2015</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N806"/>
  <sheetViews>
    <sheetView zoomScale="145" zoomScaleNormal="145" workbookViewId="0">
      <selection activeCell="F5" sqref="F5"/>
    </sheetView>
  </sheetViews>
  <sheetFormatPr defaultRowHeight="15" x14ac:dyDescent="0.25"/>
  <cols>
    <col min="1" max="1" width="17.7109375" customWidth="1"/>
    <col min="2" max="2" width="13" customWidth="1"/>
    <col min="3" max="3" width="9.85546875" bestFit="1" customWidth="1"/>
    <col min="4" max="4" width="17.42578125" bestFit="1" customWidth="1"/>
    <col min="5" max="5" width="16.42578125" customWidth="1"/>
    <col min="6" max="6" width="12.28515625" customWidth="1"/>
    <col min="7" max="7" width="1.85546875" customWidth="1"/>
    <col min="9" max="9" width="1.85546875" customWidth="1"/>
    <col min="10" max="10" width="11.140625" bestFit="1" customWidth="1"/>
    <col min="11" max="11" width="11.140625" customWidth="1"/>
  </cols>
  <sheetData>
    <row r="1" spans="1:14" x14ac:dyDescent="0.25">
      <c r="A1" s="195" t="s">
        <v>1420</v>
      </c>
      <c r="B1" s="34"/>
      <c r="C1" s="34"/>
      <c r="D1" s="34"/>
      <c r="E1" s="34"/>
      <c r="F1" s="34"/>
      <c r="G1" s="34"/>
      <c r="H1" s="34"/>
      <c r="I1" s="34"/>
      <c r="J1" s="34"/>
      <c r="L1" s="34"/>
      <c r="M1" s="34"/>
      <c r="N1" s="35"/>
    </row>
    <row r="2" spans="1:14" x14ac:dyDescent="0.25">
      <c r="A2" s="40" t="s">
        <v>1421</v>
      </c>
      <c r="B2" s="41"/>
      <c r="C2" s="41"/>
      <c r="D2" s="41"/>
      <c r="E2" s="41"/>
      <c r="F2" s="41"/>
      <c r="G2" s="41"/>
      <c r="H2" s="41"/>
      <c r="I2" s="41"/>
      <c r="J2" s="41"/>
      <c r="L2" s="41"/>
      <c r="M2" s="41"/>
      <c r="N2" s="42"/>
    </row>
    <row r="4" spans="1:14" ht="26.25" x14ac:dyDescent="0.25">
      <c r="A4" s="11" t="s">
        <v>42</v>
      </c>
      <c r="B4" s="11" t="s">
        <v>1414</v>
      </c>
      <c r="C4" s="11" t="s">
        <v>1415</v>
      </c>
      <c r="D4" s="11" t="s">
        <v>1416</v>
      </c>
      <c r="E4" s="11" t="s">
        <v>1418</v>
      </c>
      <c r="F4" s="11" t="s">
        <v>1419</v>
      </c>
    </row>
    <row r="5" spans="1:14" x14ac:dyDescent="0.25">
      <c r="A5" s="8">
        <v>41550</v>
      </c>
      <c r="B5" s="4">
        <v>58968</v>
      </c>
      <c r="C5" s="57">
        <v>320.98</v>
      </c>
      <c r="D5" s="4" t="str">
        <f t="shared" ref="D5:D68" si="0">"EOM plus "&amp;E5&amp;" days"</f>
        <v>EOM plus 10 days</v>
      </c>
      <c r="E5" s="4">
        <v>10</v>
      </c>
      <c r="F5" s="104"/>
    </row>
    <row r="6" spans="1:14" x14ac:dyDescent="0.25">
      <c r="A6" s="8">
        <v>41550</v>
      </c>
      <c r="B6" s="4">
        <v>58969</v>
      </c>
      <c r="C6" s="57">
        <v>92.25</v>
      </c>
      <c r="D6" s="4" t="str">
        <f t="shared" si="0"/>
        <v>EOM plus 5 days</v>
      </c>
      <c r="E6" s="4">
        <v>5</v>
      </c>
      <c r="F6" s="104"/>
    </row>
    <row r="7" spans="1:14" x14ac:dyDescent="0.25">
      <c r="A7" s="8">
        <v>41550</v>
      </c>
      <c r="B7" s="4">
        <v>58970</v>
      </c>
      <c r="C7" s="57">
        <v>47.54</v>
      </c>
      <c r="D7" s="4" t="str">
        <f t="shared" si="0"/>
        <v>EOM plus 15 days</v>
      </c>
      <c r="E7" s="4">
        <v>15</v>
      </c>
      <c r="F7" s="104"/>
    </row>
    <row r="8" spans="1:14" x14ac:dyDescent="0.25">
      <c r="A8" s="8">
        <v>41550</v>
      </c>
      <c r="B8" s="4">
        <v>58971</v>
      </c>
      <c r="C8" s="57">
        <v>385.71</v>
      </c>
      <c r="D8" s="4" t="str">
        <f t="shared" si="0"/>
        <v>EOM plus 20 days</v>
      </c>
      <c r="E8" s="4">
        <v>20</v>
      </c>
      <c r="F8" s="104"/>
    </row>
    <row r="9" spans="1:14" x14ac:dyDescent="0.25">
      <c r="A9" s="8">
        <v>41550</v>
      </c>
      <c r="B9" s="4">
        <v>58972</v>
      </c>
      <c r="C9" s="57">
        <v>216.01</v>
      </c>
      <c r="D9" s="4" t="str">
        <f t="shared" si="0"/>
        <v>EOM plus 20 days</v>
      </c>
      <c r="E9" s="4">
        <v>20</v>
      </c>
      <c r="F9" s="104"/>
    </row>
    <row r="10" spans="1:14" x14ac:dyDescent="0.25">
      <c r="A10" s="8">
        <v>41550</v>
      </c>
      <c r="B10" s="4">
        <v>58973</v>
      </c>
      <c r="C10" s="57">
        <v>236.64</v>
      </c>
      <c r="D10" s="4" t="str">
        <f t="shared" si="0"/>
        <v>EOM plus 5 days</v>
      </c>
      <c r="E10" s="4">
        <v>5</v>
      </c>
      <c r="F10" s="104"/>
    </row>
    <row r="11" spans="1:14" x14ac:dyDescent="0.25">
      <c r="A11" s="8">
        <v>41550</v>
      </c>
      <c r="B11" s="4">
        <v>58974</v>
      </c>
      <c r="C11" s="57">
        <v>107.74</v>
      </c>
      <c r="D11" s="4" t="str">
        <f t="shared" si="0"/>
        <v>EOM plus 5 days</v>
      </c>
      <c r="E11" s="4">
        <v>5</v>
      </c>
      <c r="F11" s="104"/>
    </row>
    <row r="12" spans="1:14" x14ac:dyDescent="0.25">
      <c r="A12" s="8">
        <v>41550</v>
      </c>
      <c r="B12" s="4">
        <v>58975</v>
      </c>
      <c r="C12" s="57">
        <v>258.29000000000002</v>
      </c>
      <c r="D12" s="4" t="str">
        <f t="shared" si="0"/>
        <v>EOM plus 5 days</v>
      </c>
      <c r="E12" s="4">
        <v>5</v>
      </c>
      <c r="F12" s="104"/>
    </row>
    <row r="13" spans="1:14" x14ac:dyDescent="0.25">
      <c r="A13" s="8">
        <v>41550</v>
      </c>
      <c r="B13" s="4">
        <v>58976</v>
      </c>
      <c r="C13" s="57">
        <v>87.58</v>
      </c>
      <c r="D13" s="4" t="str">
        <f t="shared" si="0"/>
        <v>EOM plus 10 days</v>
      </c>
      <c r="E13" s="4">
        <v>10</v>
      </c>
      <c r="F13" s="104"/>
    </row>
    <row r="14" spans="1:14" x14ac:dyDescent="0.25">
      <c r="A14" s="8">
        <v>41550</v>
      </c>
      <c r="B14" s="4">
        <v>58977</v>
      </c>
      <c r="C14" s="57">
        <v>122.03</v>
      </c>
      <c r="D14" s="4" t="str">
        <f t="shared" si="0"/>
        <v>EOM plus 20 days</v>
      </c>
      <c r="E14" s="4">
        <v>20</v>
      </c>
      <c r="F14" s="104"/>
    </row>
    <row r="15" spans="1:14" x14ac:dyDescent="0.25">
      <c r="A15" s="8">
        <v>41550</v>
      </c>
      <c r="B15" s="4">
        <v>58978</v>
      </c>
      <c r="C15" s="57">
        <v>88.41</v>
      </c>
      <c r="D15" s="4" t="str">
        <f t="shared" si="0"/>
        <v>EOM plus 10 days</v>
      </c>
      <c r="E15" s="4">
        <v>10</v>
      </c>
      <c r="F15" s="104"/>
    </row>
    <row r="16" spans="1:14" x14ac:dyDescent="0.25">
      <c r="A16" s="8">
        <v>41551</v>
      </c>
      <c r="B16" s="4">
        <v>58979</v>
      </c>
      <c r="C16" s="57">
        <v>286.39999999999998</v>
      </c>
      <c r="D16" s="4" t="str">
        <f t="shared" si="0"/>
        <v>EOM plus 10 days</v>
      </c>
      <c r="E16" s="4">
        <v>10</v>
      </c>
      <c r="F16" s="104"/>
    </row>
    <row r="17" spans="1:6" x14ac:dyDescent="0.25">
      <c r="A17" s="8">
        <v>41551</v>
      </c>
      <c r="B17" s="4">
        <v>58980</v>
      </c>
      <c r="C17" s="57">
        <v>277.08999999999997</v>
      </c>
      <c r="D17" s="4" t="str">
        <f t="shared" si="0"/>
        <v>EOM plus 5 days</v>
      </c>
      <c r="E17" s="4">
        <v>5</v>
      </c>
      <c r="F17" s="104"/>
    </row>
    <row r="18" spans="1:6" x14ac:dyDescent="0.25">
      <c r="A18" s="8">
        <v>41551</v>
      </c>
      <c r="B18" s="4">
        <v>58981</v>
      </c>
      <c r="C18" s="57">
        <v>212.03</v>
      </c>
      <c r="D18" s="4" t="str">
        <f t="shared" si="0"/>
        <v>EOM plus 10 days</v>
      </c>
      <c r="E18" s="4">
        <v>10</v>
      </c>
      <c r="F18" s="104"/>
    </row>
    <row r="19" spans="1:6" x14ac:dyDescent="0.25">
      <c r="A19" s="8">
        <v>41551</v>
      </c>
      <c r="B19" s="4">
        <v>58982</v>
      </c>
      <c r="C19" s="57">
        <v>130.04</v>
      </c>
      <c r="D19" s="4" t="str">
        <f t="shared" si="0"/>
        <v>EOM plus 15 days</v>
      </c>
      <c r="E19" s="4">
        <v>15</v>
      </c>
      <c r="F19" s="104"/>
    </row>
    <row r="20" spans="1:6" x14ac:dyDescent="0.25">
      <c r="A20" s="8">
        <v>41551</v>
      </c>
      <c r="B20" s="4">
        <v>58983</v>
      </c>
      <c r="C20" s="57">
        <v>272.83</v>
      </c>
      <c r="D20" s="4" t="str">
        <f t="shared" si="0"/>
        <v>EOM plus 15 days</v>
      </c>
      <c r="E20" s="4">
        <v>15</v>
      </c>
      <c r="F20" s="104"/>
    </row>
    <row r="21" spans="1:6" x14ac:dyDescent="0.25">
      <c r="A21" s="8">
        <v>41551</v>
      </c>
      <c r="B21" s="4">
        <v>58984</v>
      </c>
      <c r="C21" s="57">
        <v>68.44</v>
      </c>
      <c r="D21" s="4" t="str">
        <f t="shared" si="0"/>
        <v>EOM plus 10 days</v>
      </c>
      <c r="E21" s="4">
        <v>10</v>
      </c>
      <c r="F21" s="104"/>
    </row>
    <row r="22" spans="1:6" x14ac:dyDescent="0.25">
      <c r="A22" s="8">
        <v>41551</v>
      </c>
      <c r="B22" s="4">
        <v>58985</v>
      </c>
      <c r="C22" s="57">
        <v>63.62</v>
      </c>
      <c r="D22" s="4" t="str">
        <f t="shared" si="0"/>
        <v>EOM plus 5 days</v>
      </c>
      <c r="E22" s="4">
        <v>5</v>
      </c>
      <c r="F22" s="104"/>
    </row>
    <row r="23" spans="1:6" x14ac:dyDescent="0.25">
      <c r="A23" s="8">
        <v>41551</v>
      </c>
      <c r="B23" s="4">
        <v>58986</v>
      </c>
      <c r="C23" s="57">
        <v>245.92</v>
      </c>
      <c r="D23" s="4" t="str">
        <f t="shared" si="0"/>
        <v>EOM plus 5 days</v>
      </c>
      <c r="E23" s="4">
        <v>5</v>
      </c>
      <c r="F23" s="104"/>
    </row>
    <row r="24" spans="1:6" x14ac:dyDescent="0.25">
      <c r="A24" s="8">
        <v>41551</v>
      </c>
      <c r="B24" s="4">
        <v>58987</v>
      </c>
      <c r="C24" s="57">
        <v>285.31</v>
      </c>
      <c r="D24" s="4" t="str">
        <f t="shared" si="0"/>
        <v>EOM plus 5 days</v>
      </c>
      <c r="E24" s="4">
        <v>5</v>
      </c>
      <c r="F24" s="104"/>
    </row>
    <row r="25" spans="1:6" x14ac:dyDescent="0.25">
      <c r="A25" s="8">
        <v>41551</v>
      </c>
      <c r="B25" s="4">
        <v>58988</v>
      </c>
      <c r="C25" s="57">
        <v>256.69</v>
      </c>
      <c r="D25" s="4" t="str">
        <f t="shared" si="0"/>
        <v>EOM plus 10 days</v>
      </c>
      <c r="E25" s="4">
        <v>10</v>
      </c>
      <c r="F25" s="104"/>
    </row>
    <row r="26" spans="1:6" x14ac:dyDescent="0.25">
      <c r="A26" s="8">
        <v>41551</v>
      </c>
      <c r="B26" s="4">
        <v>58989</v>
      </c>
      <c r="C26" s="57">
        <v>329.98</v>
      </c>
      <c r="D26" s="4" t="str">
        <f t="shared" si="0"/>
        <v>EOM plus 5 days</v>
      </c>
      <c r="E26" s="4">
        <v>5</v>
      </c>
      <c r="F26" s="104"/>
    </row>
    <row r="27" spans="1:6" x14ac:dyDescent="0.25">
      <c r="A27" s="8">
        <v>41551</v>
      </c>
      <c r="B27" s="4">
        <v>58990</v>
      </c>
      <c r="C27" s="57">
        <v>293.24</v>
      </c>
      <c r="D27" s="4" t="str">
        <f t="shared" si="0"/>
        <v>EOM plus 10 days</v>
      </c>
      <c r="E27" s="4">
        <v>10</v>
      </c>
      <c r="F27" s="104"/>
    </row>
    <row r="28" spans="1:6" x14ac:dyDescent="0.25">
      <c r="A28" s="8">
        <v>41552</v>
      </c>
      <c r="B28" s="4">
        <v>58991</v>
      </c>
      <c r="C28" s="57">
        <v>269.52</v>
      </c>
      <c r="D28" s="4" t="str">
        <f t="shared" si="0"/>
        <v>EOM plus 10 days</v>
      </c>
      <c r="E28" s="4">
        <v>10</v>
      </c>
      <c r="F28" s="104"/>
    </row>
    <row r="29" spans="1:6" x14ac:dyDescent="0.25">
      <c r="A29" s="8">
        <v>41552</v>
      </c>
      <c r="B29" s="4">
        <v>58992</v>
      </c>
      <c r="C29" s="57">
        <v>46.21</v>
      </c>
      <c r="D29" s="4" t="str">
        <f t="shared" si="0"/>
        <v>EOM plus 10 days</v>
      </c>
      <c r="E29" s="4">
        <v>10</v>
      </c>
      <c r="F29" s="104"/>
    </row>
    <row r="30" spans="1:6" x14ac:dyDescent="0.25">
      <c r="A30" s="8">
        <v>41552</v>
      </c>
      <c r="B30" s="4">
        <v>58993</v>
      </c>
      <c r="C30" s="57">
        <v>193.27</v>
      </c>
      <c r="D30" s="4" t="str">
        <f t="shared" si="0"/>
        <v>EOM plus 10 days</v>
      </c>
      <c r="E30" s="4">
        <v>10</v>
      </c>
      <c r="F30" s="104"/>
    </row>
    <row r="31" spans="1:6" x14ac:dyDescent="0.25">
      <c r="A31" s="8">
        <v>41552</v>
      </c>
      <c r="B31" s="4">
        <v>58994</v>
      </c>
      <c r="C31" s="57">
        <v>323.79000000000002</v>
      </c>
      <c r="D31" s="4" t="str">
        <f t="shared" si="0"/>
        <v>EOM plus 10 days</v>
      </c>
      <c r="E31" s="4">
        <v>10</v>
      </c>
      <c r="F31" s="104"/>
    </row>
    <row r="32" spans="1:6" x14ac:dyDescent="0.25">
      <c r="A32" s="8">
        <v>41552</v>
      </c>
      <c r="B32" s="4">
        <v>58995</v>
      </c>
      <c r="C32" s="57">
        <v>130.78</v>
      </c>
      <c r="D32" s="4" t="str">
        <f t="shared" si="0"/>
        <v>EOM plus 10 days</v>
      </c>
      <c r="E32" s="4">
        <v>10</v>
      </c>
      <c r="F32" s="104"/>
    </row>
    <row r="33" spans="1:6" x14ac:dyDescent="0.25">
      <c r="A33" s="8">
        <v>41552</v>
      </c>
      <c r="B33" s="4">
        <v>58996</v>
      </c>
      <c r="C33" s="57">
        <v>222.56</v>
      </c>
      <c r="D33" s="4" t="str">
        <f t="shared" si="0"/>
        <v>EOM plus 10 days</v>
      </c>
      <c r="E33" s="4">
        <v>10</v>
      </c>
      <c r="F33" s="104"/>
    </row>
    <row r="34" spans="1:6" x14ac:dyDescent="0.25">
      <c r="A34" s="8">
        <v>41552</v>
      </c>
      <c r="B34" s="4">
        <v>58997</v>
      </c>
      <c r="C34" s="57">
        <v>263.54000000000002</v>
      </c>
      <c r="D34" s="4" t="str">
        <f t="shared" si="0"/>
        <v>EOM plus 5 days</v>
      </c>
      <c r="E34" s="4">
        <v>5</v>
      </c>
      <c r="F34" s="104"/>
    </row>
    <row r="35" spans="1:6" x14ac:dyDescent="0.25">
      <c r="A35" s="8">
        <v>41552</v>
      </c>
      <c r="B35" s="4">
        <v>58998</v>
      </c>
      <c r="C35" s="57">
        <v>209.94</v>
      </c>
      <c r="D35" s="4" t="str">
        <f t="shared" si="0"/>
        <v>EOM plus 5 days</v>
      </c>
      <c r="E35" s="4">
        <v>5</v>
      </c>
      <c r="F35" s="104"/>
    </row>
    <row r="36" spans="1:6" x14ac:dyDescent="0.25">
      <c r="A36" s="8">
        <v>41552</v>
      </c>
      <c r="B36" s="4">
        <v>58999</v>
      </c>
      <c r="C36" s="57">
        <v>105.09</v>
      </c>
      <c r="D36" s="4" t="str">
        <f t="shared" si="0"/>
        <v>EOM plus 5 days</v>
      </c>
      <c r="E36" s="4">
        <v>5</v>
      </c>
      <c r="F36" s="104"/>
    </row>
    <row r="37" spans="1:6" x14ac:dyDescent="0.25">
      <c r="A37" s="8">
        <v>41552</v>
      </c>
      <c r="B37" s="4">
        <v>59000</v>
      </c>
      <c r="C37" s="57">
        <v>173.68</v>
      </c>
      <c r="D37" s="4" t="str">
        <f t="shared" si="0"/>
        <v>EOM plus 15 days</v>
      </c>
      <c r="E37" s="4">
        <v>15</v>
      </c>
      <c r="F37" s="104"/>
    </row>
    <row r="38" spans="1:6" x14ac:dyDescent="0.25">
      <c r="A38" s="8">
        <v>41552</v>
      </c>
      <c r="B38" s="4">
        <v>59001</v>
      </c>
      <c r="C38" s="57">
        <v>307.77</v>
      </c>
      <c r="D38" s="4" t="str">
        <f t="shared" si="0"/>
        <v>EOM plus 10 days</v>
      </c>
      <c r="E38" s="4">
        <v>10</v>
      </c>
      <c r="F38" s="104"/>
    </row>
    <row r="39" spans="1:6" x14ac:dyDescent="0.25">
      <c r="A39" s="8">
        <v>41552</v>
      </c>
      <c r="B39" s="4">
        <v>59002</v>
      </c>
      <c r="C39" s="57">
        <v>149.06</v>
      </c>
      <c r="D39" s="4" t="str">
        <f t="shared" si="0"/>
        <v>EOM plus 5 days</v>
      </c>
      <c r="E39" s="4">
        <v>5</v>
      </c>
      <c r="F39" s="104"/>
    </row>
    <row r="40" spans="1:6" x14ac:dyDescent="0.25">
      <c r="A40" s="8">
        <v>41553</v>
      </c>
      <c r="B40" s="4">
        <v>59003</v>
      </c>
      <c r="C40" s="57">
        <v>248.51</v>
      </c>
      <c r="D40" s="4" t="str">
        <f t="shared" si="0"/>
        <v>EOM plus 20 days</v>
      </c>
      <c r="E40" s="4">
        <v>20</v>
      </c>
      <c r="F40" s="104"/>
    </row>
    <row r="41" spans="1:6" x14ac:dyDescent="0.25">
      <c r="A41" s="8">
        <v>41553</v>
      </c>
      <c r="B41" s="4">
        <v>59004</v>
      </c>
      <c r="C41" s="57">
        <v>231.73</v>
      </c>
      <c r="D41" s="4" t="str">
        <f t="shared" si="0"/>
        <v>EOM plus 5 days</v>
      </c>
      <c r="E41" s="4">
        <v>5</v>
      </c>
      <c r="F41" s="104"/>
    </row>
    <row r="42" spans="1:6" x14ac:dyDescent="0.25">
      <c r="A42" s="8">
        <v>41553</v>
      </c>
      <c r="B42" s="4">
        <v>59005</v>
      </c>
      <c r="C42" s="57">
        <v>324.43</v>
      </c>
      <c r="D42" s="4" t="str">
        <f t="shared" si="0"/>
        <v>EOM plus 10 days</v>
      </c>
      <c r="E42" s="4">
        <v>10</v>
      </c>
      <c r="F42" s="104"/>
    </row>
    <row r="43" spans="1:6" x14ac:dyDescent="0.25">
      <c r="A43" s="8">
        <v>41553</v>
      </c>
      <c r="B43" s="4">
        <v>59006</v>
      </c>
      <c r="C43" s="57">
        <v>249.58</v>
      </c>
      <c r="D43" s="4" t="str">
        <f t="shared" si="0"/>
        <v>EOM plus 5 days</v>
      </c>
      <c r="E43" s="4">
        <v>5</v>
      </c>
      <c r="F43" s="104"/>
    </row>
    <row r="44" spans="1:6" x14ac:dyDescent="0.25">
      <c r="A44" s="8">
        <v>41553</v>
      </c>
      <c r="B44" s="4">
        <v>59007</v>
      </c>
      <c r="C44" s="57">
        <v>161.94</v>
      </c>
      <c r="D44" s="4" t="str">
        <f t="shared" si="0"/>
        <v>EOM plus 10 days</v>
      </c>
      <c r="E44" s="4">
        <v>10</v>
      </c>
      <c r="F44" s="104"/>
    </row>
    <row r="45" spans="1:6" x14ac:dyDescent="0.25">
      <c r="A45" s="8">
        <v>41553</v>
      </c>
      <c r="B45" s="4">
        <v>59008</v>
      </c>
      <c r="C45" s="57">
        <v>247.87</v>
      </c>
      <c r="D45" s="4" t="str">
        <f t="shared" si="0"/>
        <v>EOM plus 10 days</v>
      </c>
      <c r="E45" s="4">
        <v>10</v>
      </c>
      <c r="F45" s="104"/>
    </row>
    <row r="46" spans="1:6" x14ac:dyDescent="0.25">
      <c r="A46" s="8">
        <v>41553</v>
      </c>
      <c r="B46" s="4">
        <v>59009</v>
      </c>
      <c r="C46" s="57">
        <v>248.86</v>
      </c>
      <c r="D46" s="4" t="str">
        <f t="shared" si="0"/>
        <v>EOM plus 15 days</v>
      </c>
      <c r="E46" s="4">
        <v>15</v>
      </c>
      <c r="F46" s="104"/>
    </row>
    <row r="47" spans="1:6" x14ac:dyDescent="0.25">
      <c r="A47" s="8">
        <v>41553</v>
      </c>
      <c r="B47" s="4">
        <v>59010</v>
      </c>
      <c r="C47" s="57">
        <v>235.98</v>
      </c>
      <c r="D47" s="4" t="str">
        <f t="shared" si="0"/>
        <v>EOM plus 10 days</v>
      </c>
      <c r="E47" s="4">
        <v>10</v>
      </c>
      <c r="F47" s="104"/>
    </row>
    <row r="48" spans="1:6" x14ac:dyDescent="0.25">
      <c r="A48" s="8">
        <v>41553</v>
      </c>
      <c r="B48" s="4">
        <v>59011</v>
      </c>
      <c r="C48" s="57">
        <v>224.49</v>
      </c>
      <c r="D48" s="4" t="str">
        <f t="shared" si="0"/>
        <v>EOM plus 10 days</v>
      </c>
      <c r="E48" s="4">
        <v>10</v>
      </c>
      <c r="F48" s="104"/>
    </row>
    <row r="49" spans="1:6" x14ac:dyDescent="0.25">
      <c r="A49" s="8">
        <v>41553</v>
      </c>
      <c r="B49" s="4">
        <v>59012</v>
      </c>
      <c r="C49" s="57">
        <v>256.42</v>
      </c>
      <c r="D49" s="4" t="str">
        <f t="shared" si="0"/>
        <v>EOM plus 15 days</v>
      </c>
      <c r="E49" s="4">
        <v>15</v>
      </c>
      <c r="F49" s="104"/>
    </row>
    <row r="50" spans="1:6" x14ac:dyDescent="0.25">
      <c r="A50" s="8">
        <v>41553</v>
      </c>
      <c r="B50" s="4">
        <v>59013</v>
      </c>
      <c r="C50" s="57">
        <v>233.01</v>
      </c>
      <c r="D50" s="4" t="str">
        <f t="shared" si="0"/>
        <v>EOM plus 20 days</v>
      </c>
      <c r="E50" s="4">
        <v>20</v>
      </c>
      <c r="F50" s="104"/>
    </row>
    <row r="51" spans="1:6" x14ac:dyDescent="0.25">
      <c r="A51" s="8">
        <v>41553</v>
      </c>
      <c r="B51" s="4">
        <v>59014</v>
      </c>
      <c r="C51" s="57">
        <v>379.98</v>
      </c>
      <c r="D51" s="4" t="str">
        <f t="shared" si="0"/>
        <v>EOM plus 15 days</v>
      </c>
      <c r="E51" s="4">
        <v>15</v>
      </c>
      <c r="F51" s="104"/>
    </row>
    <row r="52" spans="1:6" x14ac:dyDescent="0.25">
      <c r="A52" s="8">
        <v>41553</v>
      </c>
      <c r="B52" s="4">
        <v>59015</v>
      </c>
      <c r="C52" s="57">
        <v>219.3</v>
      </c>
      <c r="D52" s="4" t="str">
        <f t="shared" si="0"/>
        <v>EOM plus 20 days</v>
      </c>
      <c r="E52" s="4">
        <v>20</v>
      </c>
      <c r="F52" s="104"/>
    </row>
    <row r="53" spans="1:6" x14ac:dyDescent="0.25">
      <c r="A53" s="8">
        <v>41553</v>
      </c>
      <c r="B53" s="4">
        <v>59016</v>
      </c>
      <c r="C53" s="57">
        <v>371.22</v>
      </c>
      <c r="D53" s="4" t="str">
        <f t="shared" si="0"/>
        <v>EOM plus 20 days</v>
      </c>
      <c r="E53" s="4">
        <v>20</v>
      </c>
      <c r="F53" s="104"/>
    </row>
    <row r="54" spans="1:6" x14ac:dyDescent="0.25">
      <c r="A54" s="8">
        <v>41553</v>
      </c>
      <c r="B54" s="4">
        <v>59017</v>
      </c>
      <c r="C54" s="57">
        <v>385.88</v>
      </c>
      <c r="D54" s="4" t="str">
        <f t="shared" si="0"/>
        <v>EOM plus 5 days</v>
      </c>
      <c r="E54" s="4">
        <v>5</v>
      </c>
      <c r="F54" s="104"/>
    </row>
    <row r="55" spans="1:6" x14ac:dyDescent="0.25">
      <c r="A55" s="8">
        <v>41553</v>
      </c>
      <c r="B55" s="4">
        <v>59018</v>
      </c>
      <c r="C55" s="57">
        <v>155.65</v>
      </c>
      <c r="D55" s="4" t="str">
        <f t="shared" si="0"/>
        <v>EOM plus 5 days</v>
      </c>
      <c r="E55" s="4">
        <v>5</v>
      </c>
      <c r="F55" s="104"/>
    </row>
    <row r="56" spans="1:6" x14ac:dyDescent="0.25">
      <c r="A56" s="8">
        <v>41554</v>
      </c>
      <c r="B56" s="4">
        <v>59019</v>
      </c>
      <c r="C56" s="57">
        <v>325.83</v>
      </c>
      <c r="D56" s="4" t="str">
        <f t="shared" si="0"/>
        <v>EOM plus 5 days</v>
      </c>
      <c r="E56" s="4">
        <v>5</v>
      </c>
      <c r="F56" s="104"/>
    </row>
    <row r="57" spans="1:6" x14ac:dyDescent="0.25">
      <c r="A57" s="8">
        <v>41554</v>
      </c>
      <c r="B57" s="4">
        <v>59020</v>
      </c>
      <c r="C57" s="57">
        <v>101.09</v>
      </c>
      <c r="D57" s="4" t="str">
        <f t="shared" si="0"/>
        <v>EOM plus 5 days</v>
      </c>
      <c r="E57" s="4">
        <v>5</v>
      </c>
      <c r="F57" s="104"/>
    </row>
    <row r="58" spans="1:6" x14ac:dyDescent="0.25">
      <c r="A58" s="8">
        <v>41554</v>
      </c>
      <c r="B58" s="4">
        <v>59021</v>
      </c>
      <c r="C58" s="57">
        <v>259.24</v>
      </c>
      <c r="D58" s="4" t="str">
        <f t="shared" si="0"/>
        <v>EOM plus 5 days</v>
      </c>
      <c r="E58" s="4">
        <v>5</v>
      </c>
      <c r="F58" s="104"/>
    </row>
    <row r="59" spans="1:6" x14ac:dyDescent="0.25">
      <c r="A59" s="8">
        <v>41554</v>
      </c>
      <c r="B59" s="4">
        <v>59022</v>
      </c>
      <c r="C59" s="57">
        <v>188.54</v>
      </c>
      <c r="D59" s="4" t="str">
        <f t="shared" si="0"/>
        <v>EOM plus 5 days</v>
      </c>
      <c r="E59" s="4">
        <v>5</v>
      </c>
      <c r="F59" s="104"/>
    </row>
    <row r="60" spans="1:6" x14ac:dyDescent="0.25">
      <c r="A60" s="8">
        <v>41554</v>
      </c>
      <c r="B60" s="4">
        <v>59023</v>
      </c>
      <c r="C60" s="57">
        <v>56.87</v>
      </c>
      <c r="D60" s="4" t="str">
        <f t="shared" si="0"/>
        <v>EOM plus 20 days</v>
      </c>
      <c r="E60" s="4">
        <v>20</v>
      </c>
      <c r="F60" s="104"/>
    </row>
    <row r="61" spans="1:6" x14ac:dyDescent="0.25">
      <c r="A61" s="8">
        <v>41554</v>
      </c>
      <c r="B61" s="4">
        <v>59024</v>
      </c>
      <c r="C61" s="57">
        <v>241.46</v>
      </c>
      <c r="D61" s="4" t="str">
        <f t="shared" si="0"/>
        <v>EOM plus 10 days</v>
      </c>
      <c r="E61" s="4">
        <v>10</v>
      </c>
      <c r="F61" s="104"/>
    </row>
    <row r="62" spans="1:6" x14ac:dyDescent="0.25">
      <c r="A62" s="8">
        <v>41554</v>
      </c>
      <c r="B62" s="4">
        <v>59025</v>
      </c>
      <c r="C62" s="57">
        <v>99.87</v>
      </c>
      <c r="D62" s="4" t="str">
        <f t="shared" si="0"/>
        <v>EOM plus 20 days</v>
      </c>
      <c r="E62" s="4">
        <v>20</v>
      </c>
      <c r="F62" s="104"/>
    </row>
    <row r="63" spans="1:6" x14ac:dyDescent="0.25">
      <c r="A63" s="8">
        <v>41554</v>
      </c>
      <c r="B63" s="4">
        <v>59026</v>
      </c>
      <c r="C63" s="57">
        <v>52.75</v>
      </c>
      <c r="D63" s="4" t="str">
        <f t="shared" si="0"/>
        <v>EOM plus 5 days</v>
      </c>
      <c r="E63" s="4">
        <v>5</v>
      </c>
      <c r="F63" s="104"/>
    </row>
    <row r="64" spans="1:6" x14ac:dyDescent="0.25">
      <c r="A64" s="8">
        <v>41554</v>
      </c>
      <c r="B64" s="4">
        <v>59027</v>
      </c>
      <c r="C64" s="57">
        <v>67.819999999999993</v>
      </c>
      <c r="D64" s="4" t="str">
        <f t="shared" si="0"/>
        <v>EOM plus 10 days</v>
      </c>
      <c r="E64" s="4">
        <v>10</v>
      </c>
      <c r="F64" s="104"/>
    </row>
    <row r="65" spans="1:6" x14ac:dyDescent="0.25">
      <c r="A65" s="8">
        <v>41554</v>
      </c>
      <c r="B65" s="4">
        <v>59028</v>
      </c>
      <c r="C65" s="57">
        <v>114.91</v>
      </c>
      <c r="D65" s="4" t="str">
        <f t="shared" si="0"/>
        <v>EOM plus 5 days</v>
      </c>
      <c r="E65" s="4">
        <v>5</v>
      </c>
      <c r="F65" s="104"/>
    </row>
    <row r="66" spans="1:6" x14ac:dyDescent="0.25">
      <c r="A66" s="8">
        <v>41554</v>
      </c>
      <c r="B66" s="4">
        <v>59029</v>
      </c>
      <c r="C66" s="57">
        <v>189.99</v>
      </c>
      <c r="D66" s="4" t="str">
        <f t="shared" si="0"/>
        <v>EOM plus 20 days</v>
      </c>
      <c r="E66" s="4">
        <v>20</v>
      </c>
      <c r="F66" s="104"/>
    </row>
    <row r="67" spans="1:6" x14ac:dyDescent="0.25">
      <c r="A67" s="8">
        <v>41554</v>
      </c>
      <c r="B67" s="4">
        <v>59030</v>
      </c>
      <c r="C67" s="57">
        <v>280.49</v>
      </c>
      <c r="D67" s="4" t="str">
        <f t="shared" si="0"/>
        <v>EOM plus 10 days</v>
      </c>
      <c r="E67" s="4">
        <v>10</v>
      </c>
      <c r="F67" s="104"/>
    </row>
    <row r="68" spans="1:6" x14ac:dyDescent="0.25">
      <c r="A68" s="8">
        <v>41554</v>
      </c>
      <c r="B68" s="4">
        <v>59031</v>
      </c>
      <c r="C68" s="57">
        <v>137.1</v>
      </c>
      <c r="D68" s="4" t="str">
        <f t="shared" si="0"/>
        <v>EOM plus 10 days</v>
      </c>
      <c r="E68" s="4">
        <v>10</v>
      </c>
      <c r="F68" s="104"/>
    </row>
    <row r="69" spans="1:6" x14ac:dyDescent="0.25">
      <c r="A69" s="8">
        <v>41554</v>
      </c>
      <c r="B69" s="4">
        <v>59032</v>
      </c>
      <c r="C69" s="57">
        <v>182.84</v>
      </c>
      <c r="D69" s="4" t="str">
        <f t="shared" ref="D69:D132" si="1">"EOM plus "&amp;E69&amp;" days"</f>
        <v>EOM plus 15 days</v>
      </c>
      <c r="E69" s="4">
        <v>15</v>
      </c>
      <c r="F69" s="104"/>
    </row>
    <row r="70" spans="1:6" x14ac:dyDescent="0.25">
      <c r="A70" s="8">
        <v>41554</v>
      </c>
      <c r="B70" s="4">
        <v>59033</v>
      </c>
      <c r="C70" s="57">
        <v>327.64999999999998</v>
      </c>
      <c r="D70" s="4" t="str">
        <f t="shared" si="1"/>
        <v>EOM plus 10 days</v>
      </c>
      <c r="E70" s="4">
        <v>10</v>
      </c>
      <c r="F70" s="104"/>
    </row>
    <row r="71" spans="1:6" x14ac:dyDescent="0.25">
      <c r="A71" s="8">
        <v>41554</v>
      </c>
      <c r="B71" s="4">
        <v>59034</v>
      </c>
      <c r="C71" s="57">
        <v>269.27</v>
      </c>
      <c r="D71" s="4" t="str">
        <f t="shared" si="1"/>
        <v>EOM plus 5 days</v>
      </c>
      <c r="E71" s="4">
        <v>5</v>
      </c>
      <c r="F71" s="104"/>
    </row>
    <row r="72" spans="1:6" x14ac:dyDescent="0.25">
      <c r="A72" s="8">
        <v>41554</v>
      </c>
      <c r="B72" s="4">
        <v>59035</v>
      </c>
      <c r="C72" s="57">
        <v>92.39</v>
      </c>
      <c r="D72" s="4" t="str">
        <f t="shared" si="1"/>
        <v>EOM plus 20 days</v>
      </c>
      <c r="E72" s="4">
        <v>20</v>
      </c>
      <c r="F72" s="104"/>
    </row>
    <row r="73" spans="1:6" x14ac:dyDescent="0.25">
      <c r="A73" s="8">
        <v>41554</v>
      </c>
      <c r="B73" s="4">
        <v>59036</v>
      </c>
      <c r="C73" s="57">
        <v>97.21</v>
      </c>
      <c r="D73" s="4" t="str">
        <f t="shared" si="1"/>
        <v>EOM plus 5 days</v>
      </c>
      <c r="E73" s="4">
        <v>5</v>
      </c>
      <c r="F73" s="104"/>
    </row>
    <row r="74" spans="1:6" x14ac:dyDescent="0.25">
      <c r="A74" s="8">
        <v>41555</v>
      </c>
      <c r="B74" s="4">
        <v>59037</v>
      </c>
      <c r="C74" s="57">
        <v>97.59</v>
      </c>
      <c r="D74" s="4" t="str">
        <f t="shared" si="1"/>
        <v>EOM plus 10 days</v>
      </c>
      <c r="E74" s="4">
        <v>10</v>
      </c>
      <c r="F74" s="104"/>
    </row>
    <row r="75" spans="1:6" x14ac:dyDescent="0.25">
      <c r="A75" s="8">
        <v>41555</v>
      </c>
      <c r="B75" s="4">
        <v>59038</v>
      </c>
      <c r="C75" s="57">
        <v>353.5</v>
      </c>
      <c r="D75" s="4" t="str">
        <f t="shared" si="1"/>
        <v>EOM plus 15 days</v>
      </c>
      <c r="E75" s="4">
        <v>15</v>
      </c>
      <c r="F75" s="104"/>
    </row>
    <row r="76" spans="1:6" x14ac:dyDescent="0.25">
      <c r="A76" s="8">
        <v>41555</v>
      </c>
      <c r="B76" s="4">
        <v>59039</v>
      </c>
      <c r="C76" s="57">
        <v>130.79</v>
      </c>
      <c r="D76" s="4" t="str">
        <f t="shared" si="1"/>
        <v>EOM plus 10 days</v>
      </c>
      <c r="E76" s="4">
        <v>10</v>
      </c>
      <c r="F76" s="104"/>
    </row>
    <row r="77" spans="1:6" x14ac:dyDescent="0.25">
      <c r="A77" s="8">
        <v>41555</v>
      </c>
      <c r="B77" s="4">
        <v>59040</v>
      </c>
      <c r="C77" s="57">
        <v>379.46</v>
      </c>
      <c r="D77" s="4" t="str">
        <f t="shared" si="1"/>
        <v>EOM plus 15 days</v>
      </c>
      <c r="E77" s="4">
        <v>15</v>
      </c>
      <c r="F77" s="104"/>
    </row>
    <row r="78" spans="1:6" x14ac:dyDescent="0.25">
      <c r="A78" s="8">
        <v>41555</v>
      </c>
      <c r="B78" s="4">
        <v>59041</v>
      </c>
      <c r="C78" s="57">
        <v>143.1</v>
      </c>
      <c r="D78" s="4" t="str">
        <f t="shared" si="1"/>
        <v>EOM plus 5 days</v>
      </c>
      <c r="E78" s="4">
        <v>5</v>
      </c>
      <c r="F78" s="104"/>
    </row>
    <row r="79" spans="1:6" x14ac:dyDescent="0.25">
      <c r="A79" s="8">
        <v>41555</v>
      </c>
      <c r="B79" s="4">
        <v>59042</v>
      </c>
      <c r="C79" s="57">
        <v>163.51</v>
      </c>
      <c r="D79" s="4" t="str">
        <f t="shared" si="1"/>
        <v>EOM plus 10 days</v>
      </c>
      <c r="E79" s="4">
        <v>10</v>
      </c>
      <c r="F79" s="104"/>
    </row>
    <row r="80" spans="1:6" x14ac:dyDescent="0.25">
      <c r="A80" s="8">
        <v>41555</v>
      </c>
      <c r="B80" s="4">
        <v>59043</v>
      </c>
      <c r="C80" s="57">
        <v>131.96</v>
      </c>
      <c r="D80" s="4" t="str">
        <f t="shared" si="1"/>
        <v>EOM plus 5 days</v>
      </c>
      <c r="E80" s="4">
        <v>5</v>
      </c>
      <c r="F80" s="104"/>
    </row>
    <row r="81" spans="1:6" x14ac:dyDescent="0.25">
      <c r="A81" s="8">
        <v>41555</v>
      </c>
      <c r="B81" s="4">
        <v>59044</v>
      </c>
      <c r="C81" s="57">
        <v>365.99</v>
      </c>
      <c r="D81" s="4" t="str">
        <f t="shared" si="1"/>
        <v>EOM plus 15 days</v>
      </c>
      <c r="E81" s="4">
        <v>15</v>
      </c>
      <c r="F81" s="104"/>
    </row>
    <row r="82" spans="1:6" x14ac:dyDescent="0.25">
      <c r="A82" s="8">
        <v>41555</v>
      </c>
      <c r="B82" s="4">
        <v>59045</v>
      </c>
      <c r="C82" s="57">
        <v>311.20999999999998</v>
      </c>
      <c r="D82" s="4" t="str">
        <f t="shared" si="1"/>
        <v>EOM plus 10 days</v>
      </c>
      <c r="E82" s="4">
        <v>10</v>
      </c>
      <c r="F82" s="104"/>
    </row>
    <row r="83" spans="1:6" x14ac:dyDescent="0.25">
      <c r="A83" s="8">
        <v>41555</v>
      </c>
      <c r="B83" s="4">
        <v>59046</v>
      </c>
      <c r="C83" s="57">
        <v>163.16999999999999</v>
      </c>
      <c r="D83" s="4" t="str">
        <f t="shared" si="1"/>
        <v>EOM plus 10 days</v>
      </c>
      <c r="E83" s="4">
        <v>10</v>
      </c>
      <c r="F83" s="104"/>
    </row>
    <row r="84" spans="1:6" x14ac:dyDescent="0.25">
      <c r="A84" s="8">
        <v>41555</v>
      </c>
      <c r="B84" s="4">
        <v>59047</v>
      </c>
      <c r="C84" s="57">
        <v>68.66</v>
      </c>
      <c r="D84" s="4" t="str">
        <f t="shared" si="1"/>
        <v>EOM plus 10 days</v>
      </c>
      <c r="E84" s="4">
        <v>10</v>
      </c>
      <c r="F84" s="104"/>
    </row>
    <row r="85" spans="1:6" x14ac:dyDescent="0.25">
      <c r="A85" s="8">
        <v>41555</v>
      </c>
      <c r="B85" s="4">
        <v>59048</v>
      </c>
      <c r="C85" s="57">
        <v>72.08</v>
      </c>
      <c r="D85" s="4" t="str">
        <f t="shared" si="1"/>
        <v>EOM plus 15 days</v>
      </c>
      <c r="E85" s="4">
        <v>15</v>
      </c>
      <c r="F85" s="104"/>
    </row>
    <row r="86" spans="1:6" x14ac:dyDescent="0.25">
      <c r="A86" s="8">
        <v>41555</v>
      </c>
      <c r="B86" s="4">
        <v>59049</v>
      </c>
      <c r="C86" s="57">
        <v>363.6</v>
      </c>
      <c r="D86" s="4" t="str">
        <f t="shared" si="1"/>
        <v>EOM plus 15 days</v>
      </c>
      <c r="E86" s="4">
        <v>15</v>
      </c>
      <c r="F86" s="104"/>
    </row>
    <row r="87" spans="1:6" x14ac:dyDescent="0.25">
      <c r="A87" s="8">
        <v>41555</v>
      </c>
      <c r="B87" s="4">
        <v>59050</v>
      </c>
      <c r="C87" s="57">
        <v>291.38</v>
      </c>
      <c r="D87" s="4" t="str">
        <f t="shared" si="1"/>
        <v>EOM plus 5 days</v>
      </c>
      <c r="E87" s="4">
        <v>5</v>
      </c>
      <c r="F87" s="104"/>
    </row>
    <row r="88" spans="1:6" x14ac:dyDescent="0.25">
      <c r="A88" s="8">
        <v>41555</v>
      </c>
      <c r="B88" s="4">
        <v>59051</v>
      </c>
      <c r="C88" s="57">
        <v>317.54000000000002</v>
      </c>
      <c r="D88" s="4" t="str">
        <f t="shared" si="1"/>
        <v>EOM plus 10 days</v>
      </c>
      <c r="E88" s="4">
        <v>10</v>
      </c>
      <c r="F88" s="104"/>
    </row>
    <row r="89" spans="1:6" x14ac:dyDescent="0.25">
      <c r="A89" s="8">
        <v>41555</v>
      </c>
      <c r="B89" s="4">
        <v>59052</v>
      </c>
      <c r="C89" s="57">
        <v>381.83</v>
      </c>
      <c r="D89" s="4" t="str">
        <f t="shared" si="1"/>
        <v>EOM plus 5 days</v>
      </c>
      <c r="E89" s="4">
        <v>5</v>
      </c>
      <c r="F89" s="104"/>
    </row>
    <row r="90" spans="1:6" x14ac:dyDescent="0.25">
      <c r="A90" s="8">
        <v>41555</v>
      </c>
      <c r="B90" s="4">
        <v>59053</v>
      </c>
      <c r="C90" s="57">
        <v>199.1</v>
      </c>
      <c r="D90" s="4" t="str">
        <f t="shared" si="1"/>
        <v>EOM plus 15 days</v>
      </c>
      <c r="E90" s="4">
        <v>15</v>
      </c>
      <c r="F90" s="104"/>
    </row>
    <row r="91" spans="1:6" x14ac:dyDescent="0.25">
      <c r="A91" s="8">
        <v>41555</v>
      </c>
      <c r="B91" s="4">
        <v>59054</v>
      </c>
      <c r="C91" s="57">
        <v>194.58</v>
      </c>
      <c r="D91" s="4" t="str">
        <f t="shared" si="1"/>
        <v>EOM plus 10 days</v>
      </c>
      <c r="E91" s="4">
        <v>10</v>
      </c>
      <c r="F91" s="104"/>
    </row>
    <row r="92" spans="1:6" x14ac:dyDescent="0.25">
      <c r="A92" s="8">
        <v>41555</v>
      </c>
      <c r="B92" s="4">
        <v>59055</v>
      </c>
      <c r="C92" s="57">
        <v>84.63</v>
      </c>
      <c r="D92" s="4" t="str">
        <f t="shared" si="1"/>
        <v>EOM plus 20 days</v>
      </c>
      <c r="E92" s="4">
        <v>20</v>
      </c>
      <c r="F92" s="104"/>
    </row>
    <row r="93" spans="1:6" x14ac:dyDescent="0.25">
      <c r="A93" s="8">
        <v>41555</v>
      </c>
      <c r="B93" s="4">
        <v>59056</v>
      </c>
      <c r="C93" s="57">
        <v>174.5</v>
      </c>
      <c r="D93" s="4" t="str">
        <f t="shared" si="1"/>
        <v>EOM plus 5 days</v>
      </c>
      <c r="E93" s="4">
        <v>5</v>
      </c>
      <c r="F93" s="104"/>
    </row>
    <row r="94" spans="1:6" x14ac:dyDescent="0.25">
      <c r="A94" s="8">
        <v>41556</v>
      </c>
      <c r="B94" s="4">
        <v>59057</v>
      </c>
      <c r="C94" s="57">
        <v>70.510000000000005</v>
      </c>
      <c r="D94" s="4" t="str">
        <f t="shared" si="1"/>
        <v>EOM plus 5 days</v>
      </c>
      <c r="E94" s="4">
        <v>5</v>
      </c>
      <c r="F94" s="104"/>
    </row>
    <row r="95" spans="1:6" x14ac:dyDescent="0.25">
      <c r="A95" s="8">
        <v>41556</v>
      </c>
      <c r="B95" s="4">
        <v>59058</v>
      </c>
      <c r="C95" s="57">
        <v>243.02</v>
      </c>
      <c r="D95" s="4" t="str">
        <f t="shared" si="1"/>
        <v>EOM plus 5 days</v>
      </c>
      <c r="E95" s="4">
        <v>5</v>
      </c>
      <c r="F95" s="104"/>
    </row>
    <row r="96" spans="1:6" x14ac:dyDescent="0.25">
      <c r="A96" s="8">
        <v>41556</v>
      </c>
      <c r="B96" s="4">
        <v>59059</v>
      </c>
      <c r="C96" s="57">
        <v>185.32</v>
      </c>
      <c r="D96" s="4" t="str">
        <f t="shared" si="1"/>
        <v>EOM plus 10 days</v>
      </c>
      <c r="E96" s="4">
        <v>10</v>
      </c>
      <c r="F96" s="104"/>
    </row>
    <row r="97" spans="1:6" x14ac:dyDescent="0.25">
      <c r="A97" s="8">
        <v>41556</v>
      </c>
      <c r="B97" s="4">
        <v>59060</v>
      </c>
      <c r="C97" s="57">
        <v>344.37</v>
      </c>
      <c r="D97" s="4" t="str">
        <f t="shared" si="1"/>
        <v>EOM plus 10 days</v>
      </c>
      <c r="E97" s="4">
        <v>10</v>
      </c>
      <c r="F97" s="104"/>
    </row>
    <row r="98" spans="1:6" x14ac:dyDescent="0.25">
      <c r="A98" s="8">
        <v>41556</v>
      </c>
      <c r="B98" s="4">
        <v>59061</v>
      </c>
      <c r="C98" s="57">
        <v>192.89</v>
      </c>
      <c r="D98" s="4" t="str">
        <f t="shared" si="1"/>
        <v>EOM plus 10 days</v>
      </c>
      <c r="E98" s="4">
        <v>10</v>
      </c>
      <c r="F98" s="104"/>
    </row>
    <row r="99" spans="1:6" x14ac:dyDescent="0.25">
      <c r="A99" s="8">
        <v>41556</v>
      </c>
      <c r="B99" s="4">
        <v>59062</v>
      </c>
      <c r="C99" s="57">
        <v>343.18</v>
      </c>
      <c r="D99" s="4" t="str">
        <f t="shared" si="1"/>
        <v>EOM plus 10 days</v>
      </c>
      <c r="E99" s="4">
        <v>10</v>
      </c>
      <c r="F99" s="104"/>
    </row>
    <row r="100" spans="1:6" x14ac:dyDescent="0.25">
      <c r="A100" s="8">
        <v>41556</v>
      </c>
      <c r="B100" s="4">
        <v>59063</v>
      </c>
      <c r="C100" s="57">
        <v>233.61</v>
      </c>
      <c r="D100" s="4" t="str">
        <f t="shared" si="1"/>
        <v>EOM plus 5 days</v>
      </c>
      <c r="E100" s="4">
        <v>5</v>
      </c>
      <c r="F100" s="104"/>
    </row>
    <row r="101" spans="1:6" x14ac:dyDescent="0.25">
      <c r="A101" s="8">
        <v>41556</v>
      </c>
      <c r="B101" s="4">
        <v>59064</v>
      </c>
      <c r="C101" s="57">
        <v>263.82</v>
      </c>
      <c r="D101" s="4" t="str">
        <f t="shared" si="1"/>
        <v>EOM plus 20 days</v>
      </c>
      <c r="E101" s="4">
        <v>20</v>
      </c>
      <c r="F101" s="104"/>
    </row>
    <row r="102" spans="1:6" x14ac:dyDescent="0.25">
      <c r="A102" s="8">
        <v>41556</v>
      </c>
      <c r="B102" s="4">
        <v>59065</v>
      </c>
      <c r="C102" s="57">
        <v>42.16</v>
      </c>
      <c r="D102" s="4" t="str">
        <f t="shared" si="1"/>
        <v>EOM plus 15 days</v>
      </c>
      <c r="E102" s="4">
        <v>15</v>
      </c>
      <c r="F102" s="104"/>
    </row>
    <row r="103" spans="1:6" x14ac:dyDescent="0.25">
      <c r="A103" s="8">
        <v>41556</v>
      </c>
      <c r="B103" s="4">
        <v>59066</v>
      </c>
      <c r="C103" s="57">
        <v>193.92</v>
      </c>
      <c r="D103" s="4" t="str">
        <f t="shared" si="1"/>
        <v>EOM plus 20 days</v>
      </c>
      <c r="E103" s="4">
        <v>20</v>
      </c>
      <c r="F103" s="104"/>
    </row>
    <row r="104" spans="1:6" x14ac:dyDescent="0.25">
      <c r="A104" s="8">
        <v>41556</v>
      </c>
      <c r="B104" s="4">
        <v>59067</v>
      </c>
      <c r="C104" s="57">
        <v>263.2</v>
      </c>
      <c r="D104" s="4" t="str">
        <f t="shared" si="1"/>
        <v>EOM plus 20 days</v>
      </c>
      <c r="E104" s="4">
        <v>20</v>
      </c>
      <c r="F104" s="104"/>
    </row>
    <row r="105" spans="1:6" x14ac:dyDescent="0.25">
      <c r="A105" s="8">
        <v>41556</v>
      </c>
      <c r="B105" s="4">
        <v>59068</v>
      </c>
      <c r="C105" s="57">
        <v>237.3</v>
      </c>
      <c r="D105" s="4" t="str">
        <f t="shared" si="1"/>
        <v>EOM plus 10 days</v>
      </c>
      <c r="E105" s="4">
        <v>10</v>
      </c>
      <c r="F105" s="104"/>
    </row>
    <row r="106" spans="1:6" x14ac:dyDescent="0.25">
      <c r="A106" s="8">
        <v>41556</v>
      </c>
      <c r="B106" s="4">
        <v>59069</v>
      </c>
      <c r="C106" s="57">
        <v>335.98</v>
      </c>
      <c r="D106" s="4" t="str">
        <f t="shared" si="1"/>
        <v>EOM plus 20 days</v>
      </c>
      <c r="E106" s="4">
        <v>20</v>
      </c>
      <c r="F106" s="104"/>
    </row>
    <row r="107" spans="1:6" x14ac:dyDescent="0.25">
      <c r="A107" s="8">
        <v>41556</v>
      </c>
      <c r="B107" s="4">
        <v>59070</v>
      </c>
      <c r="C107" s="57">
        <v>89.59</v>
      </c>
      <c r="D107" s="4" t="str">
        <f t="shared" si="1"/>
        <v>EOM plus 20 days</v>
      </c>
      <c r="E107" s="4">
        <v>20</v>
      </c>
      <c r="F107" s="104"/>
    </row>
    <row r="108" spans="1:6" x14ac:dyDescent="0.25">
      <c r="A108" s="8">
        <v>41556</v>
      </c>
      <c r="B108" s="4">
        <v>59071</v>
      </c>
      <c r="C108" s="57">
        <v>273.16000000000003</v>
      </c>
      <c r="D108" s="4" t="str">
        <f t="shared" si="1"/>
        <v>EOM plus 10 days</v>
      </c>
      <c r="E108" s="4">
        <v>10</v>
      </c>
      <c r="F108" s="104"/>
    </row>
    <row r="109" spans="1:6" x14ac:dyDescent="0.25">
      <c r="A109" s="8">
        <v>41556</v>
      </c>
      <c r="B109" s="4">
        <v>59072</v>
      </c>
      <c r="C109" s="57">
        <v>160.41</v>
      </c>
      <c r="D109" s="4" t="str">
        <f t="shared" si="1"/>
        <v>EOM plus 5 days</v>
      </c>
      <c r="E109" s="4">
        <v>5</v>
      </c>
      <c r="F109" s="104"/>
    </row>
    <row r="110" spans="1:6" x14ac:dyDescent="0.25">
      <c r="A110" s="8">
        <v>41557</v>
      </c>
      <c r="B110" s="4">
        <v>59073</v>
      </c>
      <c r="C110" s="57">
        <v>111.8</v>
      </c>
      <c r="D110" s="4" t="str">
        <f t="shared" si="1"/>
        <v>EOM plus 20 days</v>
      </c>
      <c r="E110" s="4">
        <v>20</v>
      </c>
      <c r="F110" s="104"/>
    </row>
    <row r="111" spans="1:6" x14ac:dyDescent="0.25">
      <c r="A111" s="8">
        <v>41557</v>
      </c>
      <c r="B111" s="4">
        <v>59074</v>
      </c>
      <c r="C111" s="57">
        <v>57.68</v>
      </c>
      <c r="D111" s="4" t="str">
        <f t="shared" si="1"/>
        <v>EOM plus 10 days</v>
      </c>
      <c r="E111" s="4">
        <v>10</v>
      </c>
      <c r="F111" s="104"/>
    </row>
    <row r="112" spans="1:6" x14ac:dyDescent="0.25">
      <c r="A112" s="8">
        <v>41557</v>
      </c>
      <c r="B112" s="4">
        <v>59075</v>
      </c>
      <c r="C112" s="57">
        <v>172.57</v>
      </c>
      <c r="D112" s="4" t="str">
        <f t="shared" si="1"/>
        <v>EOM plus 20 days</v>
      </c>
      <c r="E112" s="4">
        <v>20</v>
      </c>
      <c r="F112" s="104"/>
    </row>
    <row r="113" spans="1:6" x14ac:dyDescent="0.25">
      <c r="A113" s="8">
        <v>41557</v>
      </c>
      <c r="B113" s="4">
        <v>59076</v>
      </c>
      <c r="C113" s="57">
        <v>265.02999999999997</v>
      </c>
      <c r="D113" s="4" t="str">
        <f t="shared" si="1"/>
        <v>EOM plus 5 days</v>
      </c>
      <c r="E113" s="4">
        <v>5</v>
      </c>
      <c r="F113" s="104"/>
    </row>
    <row r="114" spans="1:6" x14ac:dyDescent="0.25">
      <c r="A114" s="8">
        <v>41557</v>
      </c>
      <c r="B114" s="4">
        <v>59077</v>
      </c>
      <c r="C114" s="57">
        <v>253.47</v>
      </c>
      <c r="D114" s="4" t="str">
        <f t="shared" si="1"/>
        <v>EOM plus 5 days</v>
      </c>
      <c r="E114" s="4">
        <v>5</v>
      </c>
      <c r="F114" s="104"/>
    </row>
    <row r="115" spans="1:6" x14ac:dyDescent="0.25">
      <c r="A115" s="8">
        <v>41557</v>
      </c>
      <c r="B115" s="4">
        <v>59078</v>
      </c>
      <c r="C115" s="57">
        <v>344.94</v>
      </c>
      <c r="D115" s="4" t="str">
        <f t="shared" si="1"/>
        <v>EOM plus 10 days</v>
      </c>
      <c r="E115" s="4">
        <v>10</v>
      </c>
      <c r="F115" s="104"/>
    </row>
    <row r="116" spans="1:6" x14ac:dyDescent="0.25">
      <c r="A116" s="8">
        <v>41557</v>
      </c>
      <c r="B116" s="4">
        <v>59079</v>
      </c>
      <c r="C116" s="57">
        <v>159.99</v>
      </c>
      <c r="D116" s="4" t="str">
        <f t="shared" si="1"/>
        <v>EOM plus 10 days</v>
      </c>
      <c r="E116" s="4">
        <v>10</v>
      </c>
      <c r="F116" s="104"/>
    </row>
    <row r="117" spans="1:6" x14ac:dyDescent="0.25">
      <c r="A117" s="8">
        <v>41557</v>
      </c>
      <c r="B117" s="4">
        <v>59080</v>
      </c>
      <c r="C117" s="57">
        <v>333.4</v>
      </c>
      <c r="D117" s="4" t="str">
        <f t="shared" si="1"/>
        <v>EOM plus 15 days</v>
      </c>
      <c r="E117" s="4">
        <v>15</v>
      </c>
      <c r="F117" s="104"/>
    </row>
    <row r="118" spans="1:6" x14ac:dyDescent="0.25">
      <c r="A118" s="8">
        <v>41557</v>
      </c>
      <c r="B118" s="4">
        <v>59081</v>
      </c>
      <c r="C118" s="57">
        <v>107.94</v>
      </c>
      <c r="D118" s="4" t="str">
        <f t="shared" si="1"/>
        <v>EOM plus 10 days</v>
      </c>
      <c r="E118" s="4">
        <v>10</v>
      </c>
      <c r="F118" s="104"/>
    </row>
    <row r="119" spans="1:6" x14ac:dyDescent="0.25">
      <c r="A119" s="8">
        <v>41557</v>
      </c>
      <c r="B119" s="4">
        <v>59082</v>
      </c>
      <c r="C119" s="57">
        <v>71.91</v>
      </c>
      <c r="D119" s="4" t="str">
        <f t="shared" si="1"/>
        <v>EOM plus 15 days</v>
      </c>
      <c r="E119" s="4">
        <v>15</v>
      </c>
      <c r="F119" s="104"/>
    </row>
    <row r="120" spans="1:6" x14ac:dyDescent="0.25">
      <c r="A120" s="8">
        <v>41557</v>
      </c>
      <c r="B120" s="4">
        <v>59083</v>
      </c>
      <c r="C120" s="57">
        <v>72.510000000000005</v>
      </c>
      <c r="D120" s="4" t="str">
        <f t="shared" si="1"/>
        <v>EOM plus 10 days</v>
      </c>
      <c r="E120" s="4">
        <v>10</v>
      </c>
      <c r="F120" s="104"/>
    </row>
    <row r="121" spans="1:6" x14ac:dyDescent="0.25">
      <c r="A121" s="8">
        <v>41557</v>
      </c>
      <c r="B121" s="4">
        <v>59084</v>
      </c>
      <c r="C121" s="57">
        <v>163.51</v>
      </c>
      <c r="D121" s="4" t="str">
        <f t="shared" si="1"/>
        <v>EOM plus 15 days</v>
      </c>
      <c r="E121" s="4">
        <v>15</v>
      </c>
      <c r="F121" s="104"/>
    </row>
    <row r="122" spans="1:6" x14ac:dyDescent="0.25">
      <c r="A122" s="8">
        <v>41557</v>
      </c>
      <c r="B122" s="4">
        <v>59085</v>
      </c>
      <c r="C122" s="57">
        <v>83.31</v>
      </c>
      <c r="D122" s="4" t="str">
        <f t="shared" si="1"/>
        <v>EOM plus 5 days</v>
      </c>
      <c r="E122" s="4">
        <v>5</v>
      </c>
      <c r="F122" s="104"/>
    </row>
    <row r="123" spans="1:6" x14ac:dyDescent="0.25">
      <c r="A123" s="8">
        <v>41557</v>
      </c>
      <c r="B123" s="4">
        <v>59086</v>
      </c>
      <c r="C123" s="57">
        <v>178.08</v>
      </c>
      <c r="D123" s="4" t="str">
        <f t="shared" si="1"/>
        <v>EOM plus 10 days</v>
      </c>
      <c r="E123" s="4">
        <v>10</v>
      </c>
      <c r="F123" s="104"/>
    </row>
    <row r="124" spans="1:6" x14ac:dyDescent="0.25">
      <c r="A124" s="8">
        <v>41557</v>
      </c>
      <c r="B124" s="4">
        <v>59087</v>
      </c>
      <c r="C124" s="57">
        <v>133.58000000000001</v>
      </c>
      <c r="D124" s="4" t="str">
        <f t="shared" si="1"/>
        <v>EOM plus 10 days</v>
      </c>
      <c r="E124" s="4">
        <v>10</v>
      </c>
      <c r="F124" s="104"/>
    </row>
    <row r="125" spans="1:6" x14ac:dyDescent="0.25">
      <c r="A125" s="8">
        <v>41557</v>
      </c>
      <c r="B125" s="4">
        <v>59088</v>
      </c>
      <c r="C125" s="57">
        <v>332.54</v>
      </c>
      <c r="D125" s="4" t="str">
        <f t="shared" si="1"/>
        <v>EOM plus 20 days</v>
      </c>
      <c r="E125" s="4">
        <v>20</v>
      </c>
      <c r="F125" s="104"/>
    </row>
    <row r="126" spans="1:6" x14ac:dyDescent="0.25">
      <c r="A126" s="8">
        <v>41557</v>
      </c>
      <c r="B126" s="4">
        <v>59089</v>
      </c>
      <c r="C126" s="57">
        <v>170.48</v>
      </c>
      <c r="D126" s="4" t="str">
        <f t="shared" si="1"/>
        <v>EOM plus 10 days</v>
      </c>
      <c r="E126" s="4">
        <v>10</v>
      </c>
      <c r="F126" s="104"/>
    </row>
    <row r="127" spans="1:6" x14ac:dyDescent="0.25">
      <c r="A127" s="8">
        <v>41557</v>
      </c>
      <c r="B127" s="4">
        <v>59090</v>
      </c>
      <c r="C127" s="57">
        <v>328.78</v>
      </c>
      <c r="D127" s="4" t="str">
        <f t="shared" si="1"/>
        <v>EOM plus 10 days</v>
      </c>
      <c r="E127" s="4">
        <v>10</v>
      </c>
      <c r="F127" s="104"/>
    </row>
    <row r="128" spans="1:6" x14ac:dyDescent="0.25">
      <c r="A128" s="8">
        <v>41557</v>
      </c>
      <c r="B128" s="4">
        <v>59091</v>
      </c>
      <c r="C128" s="57">
        <v>200.31</v>
      </c>
      <c r="D128" s="4" t="str">
        <f t="shared" si="1"/>
        <v>EOM plus 5 days</v>
      </c>
      <c r="E128" s="4">
        <v>5</v>
      </c>
      <c r="F128" s="104"/>
    </row>
    <row r="129" spans="1:6" x14ac:dyDescent="0.25">
      <c r="A129" s="8">
        <v>41557</v>
      </c>
      <c r="B129" s="4">
        <v>59092</v>
      </c>
      <c r="C129" s="57">
        <v>152.29</v>
      </c>
      <c r="D129" s="4" t="str">
        <f t="shared" si="1"/>
        <v>EOM plus 20 days</v>
      </c>
      <c r="E129" s="4">
        <v>20</v>
      </c>
      <c r="F129" s="104"/>
    </row>
    <row r="130" spans="1:6" x14ac:dyDescent="0.25">
      <c r="A130" s="8">
        <v>41557</v>
      </c>
      <c r="B130" s="4">
        <v>59093</v>
      </c>
      <c r="C130" s="57">
        <v>304.70999999999998</v>
      </c>
      <c r="D130" s="4" t="str">
        <f t="shared" si="1"/>
        <v>EOM plus 20 days</v>
      </c>
      <c r="E130" s="4">
        <v>20</v>
      </c>
      <c r="F130" s="104"/>
    </row>
    <row r="131" spans="1:6" x14ac:dyDescent="0.25">
      <c r="A131" s="8">
        <v>41557</v>
      </c>
      <c r="B131" s="4">
        <v>59094</v>
      </c>
      <c r="C131" s="57">
        <v>371.78</v>
      </c>
      <c r="D131" s="4" t="str">
        <f t="shared" si="1"/>
        <v>EOM plus 10 days</v>
      </c>
      <c r="E131" s="4">
        <v>10</v>
      </c>
      <c r="F131" s="104"/>
    </row>
    <row r="132" spans="1:6" x14ac:dyDescent="0.25">
      <c r="A132" s="8">
        <v>41558</v>
      </c>
      <c r="B132" s="4">
        <v>59095</v>
      </c>
      <c r="C132" s="57">
        <v>204.74</v>
      </c>
      <c r="D132" s="4" t="str">
        <f t="shared" si="1"/>
        <v>EOM plus 10 days</v>
      </c>
      <c r="E132" s="4">
        <v>10</v>
      </c>
      <c r="F132" s="104"/>
    </row>
    <row r="133" spans="1:6" x14ac:dyDescent="0.25">
      <c r="A133" s="8">
        <v>41558</v>
      </c>
      <c r="B133" s="4">
        <v>59096</v>
      </c>
      <c r="C133" s="57">
        <v>169.07</v>
      </c>
      <c r="D133" s="4" t="str">
        <f t="shared" ref="D133:D196" si="2">"EOM plus "&amp;E133&amp;" days"</f>
        <v>EOM plus 10 days</v>
      </c>
      <c r="E133" s="4">
        <v>10</v>
      </c>
      <c r="F133" s="104"/>
    </row>
    <row r="134" spans="1:6" x14ac:dyDescent="0.25">
      <c r="A134" s="8">
        <v>41558</v>
      </c>
      <c r="B134" s="4">
        <v>59097</v>
      </c>
      <c r="C134" s="57">
        <v>321.23</v>
      </c>
      <c r="D134" s="4" t="str">
        <f t="shared" si="2"/>
        <v>EOM plus 5 days</v>
      </c>
      <c r="E134" s="4">
        <v>5</v>
      </c>
      <c r="F134" s="104"/>
    </row>
    <row r="135" spans="1:6" x14ac:dyDescent="0.25">
      <c r="A135" s="8">
        <v>41558</v>
      </c>
      <c r="B135" s="4">
        <v>59098</v>
      </c>
      <c r="C135" s="57">
        <v>266.52999999999997</v>
      </c>
      <c r="D135" s="4" t="str">
        <f t="shared" si="2"/>
        <v>EOM plus 5 days</v>
      </c>
      <c r="E135" s="4">
        <v>5</v>
      </c>
      <c r="F135" s="104"/>
    </row>
    <row r="136" spans="1:6" x14ac:dyDescent="0.25">
      <c r="A136" s="8">
        <v>41558</v>
      </c>
      <c r="B136" s="4">
        <v>59099</v>
      </c>
      <c r="C136" s="57">
        <v>262.87</v>
      </c>
      <c r="D136" s="4" t="str">
        <f t="shared" si="2"/>
        <v>EOM plus 5 days</v>
      </c>
      <c r="E136" s="4">
        <v>5</v>
      </c>
      <c r="F136" s="104"/>
    </row>
    <row r="137" spans="1:6" x14ac:dyDescent="0.25">
      <c r="A137" s="8">
        <v>41558</v>
      </c>
      <c r="B137" s="4">
        <v>59100</v>
      </c>
      <c r="C137" s="57">
        <v>103.58</v>
      </c>
      <c r="D137" s="4" t="str">
        <f t="shared" si="2"/>
        <v>EOM plus 10 days</v>
      </c>
      <c r="E137" s="4">
        <v>10</v>
      </c>
      <c r="F137" s="104"/>
    </row>
    <row r="138" spans="1:6" x14ac:dyDescent="0.25">
      <c r="A138" s="8">
        <v>41558</v>
      </c>
      <c r="B138" s="4">
        <v>59101</v>
      </c>
      <c r="C138" s="57">
        <v>218.88</v>
      </c>
      <c r="D138" s="4" t="str">
        <f t="shared" si="2"/>
        <v>EOM plus 10 days</v>
      </c>
      <c r="E138" s="4">
        <v>10</v>
      </c>
      <c r="F138" s="104"/>
    </row>
    <row r="139" spans="1:6" x14ac:dyDescent="0.25">
      <c r="A139" s="8">
        <v>41558</v>
      </c>
      <c r="B139" s="4">
        <v>59102</v>
      </c>
      <c r="C139" s="57">
        <v>271.44</v>
      </c>
      <c r="D139" s="4" t="str">
        <f t="shared" si="2"/>
        <v>EOM plus 15 days</v>
      </c>
      <c r="E139" s="4">
        <v>15</v>
      </c>
      <c r="F139" s="104"/>
    </row>
    <row r="140" spans="1:6" x14ac:dyDescent="0.25">
      <c r="A140" s="8">
        <v>41558</v>
      </c>
      <c r="B140" s="4">
        <v>59103</v>
      </c>
      <c r="C140" s="57">
        <v>309.05</v>
      </c>
      <c r="D140" s="4" t="str">
        <f t="shared" si="2"/>
        <v>EOM plus 20 days</v>
      </c>
      <c r="E140" s="4">
        <v>20</v>
      </c>
      <c r="F140" s="104"/>
    </row>
    <row r="141" spans="1:6" x14ac:dyDescent="0.25">
      <c r="A141" s="8">
        <v>41558</v>
      </c>
      <c r="B141" s="4">
        <v>59104</v>
      </c>
      <c r="C141" s="57">
        <v>243.41</v>
      </c>
      <c r="D141" s="4" t="str">
        <f t="shared" si="2"/>
        <v>EOM plus 20 days</v>
      </c>
      <c r="E141" s="4">
        <v>20</v>
      </c>
      <c r="F141" s="104"/>
    </row>
    <row r="142" spans="1:6" x14ac:dyDescent="0.25">
      <c r="A142" s="8">
        <v>41558</v>
      </c>
      <c r="B142" s="4">
        <v>59105</v>
      </c>
      <c r="C142" s="57">
        <v>43.12</v>
      </c>
      <c r="D142" s="4" t="str">
        <f t="shared" si="2"/>
        <v>EOM plus 5 days</v>
      </c>
      <c r="E142" s="4">
        <v>5</v>
      </c>
      <c r="F142" s="104"/>
    </row>
    <row r="143" spans="1:6" x14ac:dyDescent="0.25">
      <c r="A143" s="8">
        <v>41558</v>
      </c>
      <c r="B143" s="4">
        <v>59106</v>
      </c>
      <c r="C143" s="57">
        <v>202.33</v>
      </c>
      <c r="D143" s="4" t="str">
        <f t="shared" si="2"/>
        <v>EOM plus 10 days</v>
      </c>
      <c r="E143" s="4">
        <v>10</v>
      </c>
      <c r="F143" s="104"/>
    </row>
    <row r="144" spans="1:6" x14ac:dyDescent="0.25">
      <c r="A144" s="8">
        <v>41558</v>
      </c>
      <c r="B144" s="4">
        <v>59107</v>
      </c>
      <c r="C144" s="57">
        <v>77.84</v>
      </c>
      <c r="D144" s="4" t="str">
        <f t="shared" si="2"/>
        <v>EOM plus 5 days</v>
      </c>
      <c r="E144" s="4">
        <v>5</v>
      </c>
      <c r="F144" s="104"/>
    </row>
    <row r="145" spans="1:6" x14ac:dyDescent="0.25">
      <c r="A145" s="8">
        <v>41558</v>
      </c>
      <c r="B145" s="4">
        <v>59108</v>
      </c>
      <c r="C145" s="57">
        <v>63</v>
      </c>
      <c r="D145" s="4" t="str">
        <f t="shared" si="2"/>
        <v>EOM plus 15 days</v>
      </c>
      <c r="E145" s="4">
        <v>15</v>
      </c>
      <c r="F145" s="104"/>
    </row>
    <row r="146" spans="1:6" x14ac:dyDescent="0.25">
      <c r="A146" s="8">
        <v>41558</v>
      </c>
      <c r="B146" s="4">
        <v>59109</v>
      </c>
      <c r="C146" s="57">
        <v>157.47999999999999</v>
      </c>
      <c r="D146" s="4" t="str">
        <f t="shared" si="2"/>
        <v>EOM plus 15 days</v>
      </c>
      <c r="E146" s="4">
        <v>15</v>
      </c>
      <c r="F146" s="104"/>
    </row>
    <row r="147" spans="1:6" x14ac:dyDescent="0.25">
      <c r="A147" s="8">
        <v>41558</v>
      </c>
      <c r="B147" s="4">
        <v>59110</v>
      </c>
      <c r="C147" s="57">
        <v>37.21</v>
      </c>
      <c r="D147" s="4" t="str">
        <f t="shared" si="2"/>
        <v>EOM plus 15 days</v>
      </c>
      <c r="E147" s="4">
        <v>15</v>
      </c>
      <c r="F147" s="104"/>
    </row>
    <row r="148" spans="1:6" x14ac:dyDescent="0.25">
      <c r="A148" s="8">
        <v>41558</v>
      </c>
      <c r="B148" s="4">
        <v>59111</v>
      </c>
      <c r="C148" s="57">
        <v>259.35000000000002</v>
      </c>
      <c r="D148" s="4" t="str">
        <f t="shared" si="2"/>
        <v>EOM plus 10 days</v>
      </c>
      <c r="E148" s="4">
        <v>10</v>
      </c>
      <c r="F148" s="104"/>
    </row>
    <row r="149" spans="1:6" x14ac:dyDescent="0.25">
      <c r="A149" s="8">
        <v>41558</v>
      </c>
      <c r="B149" s="4">
        <v>59112</v>
      </c>
      <c r="C149" s="57">
        <v>227.62</v>
      </c>
      <c r="D149" s="4" t="str">
        <f t="shared" si="2"/>
        <v>EOM plus 10 days</v>
      </c>
      <c r="E149" s="4">
        <v>10</v>
      </c>
      <c r="F149" s="104"/>
    </row>
    <row r="150" spans="1:6" x14ac:dyDescent="0.25">
      <c r="A150" s="8">
        <v>41558</v>
      </c>
      <c r="B150" s="4">
        <v>59113</v>
      </c>
      <c r="C150" s="57">
        <v>40.020000000000003</v>
      </c>
      <c r="D150" s="4" t="str">
        <f t="shared" si="2"/>
        <v>EOM plus 20 days</v>
      </c>
      <c r="E150" s="4">
        <v>20</v>
      </c>
      <c r="F150" s="104"/>
    </row>
    <row r="151" spans="1:6" x14ac:dyDescent="0.25">
      <c r="A151" s="8">
        <v>41558</v>
      </c>
      <c r="B151" s="4">
        <v>59114</v>
      </c>
      <c r="C151" s="57">
        <v>246.71</v>
      </c>
      <c r="D151" s="4" t="str">
        <f t="shared" si="2"/>
        <v>EOM plus 10 days</v>
      </c>
      <c r="E151" s="4">
        <v>10</v>
      </c>
      <c r="F151" s="104"/>
    </row>
    <row r="152" spans="1:6" x14ac:dyDescent="0.25">
      <c r="A152" s="8">
        <v>41558</v>
      </c>
      <c r="B152" s="4">
        <v>59115</v>
      </c>
      <c r="C152" s="57">
        <v>120.66</v>
      </c>
      <c r="D152" s="4" t="str">
        <f t="shared" si="2"/>
        <v>EOM plus 10 days</v>
      </c>
      <c r="E152" s="4">
        <v>10</v>
      </c>
      <c r="F152" s="104"/>
    </row>
    <row r="153" spans="1:6" x14ac:dyDescent="0.25">
      <c r="A153" s="8">
        <v>41558</v>
      </c>
      <c r="B153" s="4">
        <v>59116</v>
      </c>
      <c r="C153" s="57">
        <v>53.84</v>
      </c>
      <c r="D153" s="4" t="str">
        <f t="shared" si="2"/>
        <v>EOM plus 20 days</v>
      </c>
      <c r="E153" s="4">
        <v>20</v>
      </c>
      <c r="F153" s="104"/>
    </row>
    <row r="154" spans="1:6" x14ac:dyDescent="0.25">
      <c r="A154" s="8">
        <v>41558</v>
      </c>
      <c r="B154" s="4">
        <v>59117</v>
      </c>
      <c r="C154" s="57">
        <v>90.75</v>
      </c>
      <c r="D154" s="4" t="str">
        <f t="shared" si="2"/>
        <v>EOM plus 10 days</v>
      </c>
      <c r="E154" s="4">
        <v>10</v>
      </c>
      <c r="F154" s="104"/>
    </row>
    <row r="155" spans="1:6" x14ac:dyDescent="0.25">
      <c r="A155" s="8">
        <v>41558</v>
      </c>
      <c r="B155" s="4">
        <v>59118</v>
      </c>
      <c r="C155" s="57">
        <v>66.25</v>
      </c>
      <c r="D155" s="4" t="str">
        <f t="shared" si="2"/>
        <v>EOM plus 15 days</v>
      </c>
      <c r="E155" s="4">
        <v>15</v>
      </c>
      <c r="F155" s="104"/>
    </row>
    <row r="156" spans="1:6" x14ac:dyDescent="0.25">
      <c r="A156" s="8">
        <v>41558</v>
      </c>
      <c r="B156" s="4">
        <v>59119</v>
      </c>
      <c r="C156" s="57">
        <v>329.61</v>
      </c>
      <c r="D156" s="4" t="str">
        <f t="shared" si="2"/>
        <v>EOM plus 10 days</v>
      </c>
      <c r="E156" s="4">
        <v>10</v>
      </c>
      <c r="F156" s="104"/>
    </row>
    <row r="157" spans="1:6" x14ac:dyDescent="0.25">
      <c r="A157" s="8">
        <v>41558</v>
      </c>
      <c r="B157" s="4">
        <v>59120</v>
      </c>
      <c r="C157" s="57">
        <v>322.38</v>
      </c>
      <c r="D157" s="4" t="str">
        <f t="shared" si="2"/>
        <v>EOM plus 10 days</v>
      </c>
      <c r="E157" s="4">
        <v>10</v>
      </c>
      <c r="F157" s="104"/>
    </row>
    <row r="158" spans="1:6" x14ac:dyDescent="0.25">
      <c r="A158" s="8">
        <v>41559</v>
      </c>
      <c r="B158" s="4">
        <v>59121</v>
      </c>
      <c r="C158" s="57">
        <v>325.39</v>
      </c>
      <c r="D158" s="4" t="str">
        <f t="shared" si="2"/>
        <v>EOM plus 10 days</v>
      </c>
      <c r="E158" s="4">
        <v>10</v>
      </c>
      <c r="F158" s="104"/>
    </row>
    <row r="159" spans="1:6" x14ac:dyDescent="0.25">
      <c r="A159" s="8">
        <v>41559</v>
      </c>
      <c r="B159" s="4">
        <v>59122</v>
      </c>
      <c r="C159" s="57">
        <v>329.75</v>
      </c>
      <c r="D159" s="4" t="str">
        <f t="shared" si="2"/>
        <v>EOM plus 5 days</v>
      </c>
      <c r="E159" s="4">
        <v>5</v>
      </c>
      <c r="F159" s="104"/>
    </row>
    <row r="160" spans="1:6" x14ac:dyDescent="0.25">
      <c r="A160" s="8">
        <v>41559</v>
      </c>
      <c r="B160" s="4">
        <v>59123</v>
      </c>
      <c r="C160" s="57">
        <v>47.73</v>
      </c>
      <c r="D160" s="4" t="str">
        <f t="shared" si="2"/>
        <v>EOM plus 5 days</v>
      </c>
      <c r="E160" s="4">
        <v>5</v>
      </c>
      <c r="F160" s="104"/>
    </row>
    <row r="161" spans="1:6" x14ac:dyDescent="0.25">
      <c r="A161" s="8">
        <v>41559</v>
      </c>
      <c r="B161" s="4">
        <v>59124</v>
      </c>
      <c r="C161" s="57">
        <v>75.069999999999993</v>
      </c>
      <c r="D161" s="4" t="str">
        <f t="shared" si="2"/>
        <v>EOM plus 10 days</v>
      </c>
      <c r="E161" s="4">
        <v>10</v>
      </c>
      <c r="F161" s="104"/>
    </row>
    <row r="162" spans="1:6" x14ac:dyDescent="0.25">
      <c r="A162" s="8">
        <v>41559</v>
      </c>
      <c r="B162" s="4">
        <v>59125</v>
      </c>
      <c r="C162" s="57">
        <v>152.38999999999999</v>
      </c>
      <c r="D162" s="4" t="str">
        <f t="shared" si="2"/>
        <v>EOM plus 5 days</v>
      </c>
      <c r="E162" s="4">
        <v>5</v>
      </c>
      <c r="F162" s="104"/>
    </row>
    <row r="163" spans="1:6" x14ac:dyDescent="0.25">
      <c r="A163" s="8">
        <v>41559</v>
      </c>
      <c r="B163" s="4">
        <v>59126</v>
      </c>
      <c r="C163" s="57">
        <v>285.69</v>
      </c>
      <c r="D163" s="4" t="str">
        <f t="shared" si="2"/>
        <v>EOM plus 5 days</v>
      </c>
      <c r="E163" s="4">
        <v>5</v>
      </c>
      <c r="F163" s="104"/>
    </row>
    <row r="164" spans="1:6" x14ac:dyDescent="0.25">
      <c r="A164" s="8">
        <v>41559</v>
      </c>
      <c r="B164" s="4">
        <v>59127</v>
      </c>
      <c r="C164" s="57">
        <v>284.08</v>
      </c>
      <c r="D164" s="4" t="str">
        <f t="shared" si="2"/>
        <v>EOM plus 5 days</v>
      </c>
      <c r="E164" s="4">
        <v>5</v>
      </c>
      <c r="F164" s="104"/>
    </row>
    <row r="165" spans="1:6" x14ac:dyDescent="0.25">
      <c r="A165" s="8">
        <v>41559</v>
      </c>
      <c r="B165" s="4">
        <v>59128</v>
      </c>
      <c r="C165" s="57">
        <v>111.94</v>
      </c>
      <c r="D165" s="4" t="str">
        <f t="shared" si="2"/>
        <v>EOM plus 10 days</v>
      </c>
      <c r="E165" s="4">
        <v>10</v>
      </c>
      <c r="F165" s="104"/>
    </row>
    <row r="166" spans="1:6" x14ac:dyDescent="0.25">
      <c r="A166" s="8">
        <v>41559</v>
      </c>
      <c r="B166" s="4">
        <v>59129</v>
      </c>
      <c r="C166" s="57">
        <v>58.69</v>
      </c>
      <c r="D166" s="4" t="str">
        <f t="shared" si="2"/>
        <v>EOM plus 10 days</v>
      </c>
      <c r="E166" s="4">
        <v>10</v>
      </c>
      <c r="F166" s="104"/>
    </row>
    <row r="167" spans="1:6" x14ac:dyDescent="0.25">
      <c r="A167" s="8">
        <v>41559</v>
      </c>
      <c r="B167" s="4">
        <v>59130</v>
      </c>
      <c r="C167" s="57">
        <v>74.290000000000006</v>
      </c>
      <c r="D167" s="4" t="str">
        <f t="shared" si="2"/>
        <v>EOM plus 10 days</v>
      </c>
      <c r="E167" s="4">
        <v>10</v>
      </c>
      <c r="F167" s="104"/>
    </row>
    <row r="168" spans="1:6" x14ac:dyDescent="0.25">
      <c r="A168" s="8">
        <v>41559</v>
      </c>
      <c r="B168" s="4">
        <v>59131</v>
      </c>
      <c r="C168" s="57">
        <v>230.41</v>
      </c>
      <c r="D168" s="4" t="str">
        <f t="shared" si="2"/>
        <v>EOM plus 10 days</v>
      </c>
      <c r="E168" s="4">
        <v>10</v>
      </c>
      <c r="F168" s="104"/>
    </row>
    <row r="169" spans="1:6" x14ac:dyDescent="0.25">
      <c r="A169" s="8">
        <v>41559</v>
      </c>
      <c r="B169" s="4">
        <v>59132</v>
      </c>
      <c r="C169" s="57">
        <v>348.47</v>
      </c>
      <c r="D169" s="4" t="str">
        <f t="shared" si="2"/>
        <v>EOM plus 5 days</v>
      </c>
      <c r="E169" s="4">
        <v>5</v>
      </c>
      <c r="F169" s="104"/>
    </row>
    <row r="170" spans="1:6" x14ac:dyDescent="0.25">
      <c r="A170" s="8">
        <v>41559</v>
      </c>
      <c r="B170" s="4">
        <v>59133</v>
      </c>
      <c r="C170" s="57">
        <v>357.34</v>
      </c>
      <c r="D170" s="4" t="str">
        <f t="shared" si="2"/>
        <v>EOM plus 20 days</v>
      </c>
      <c r="E170" s="4">
        <v>20</v>
      </c>
      <c r="F170" s="104"/>
    </row>
    <row r="171" spans="1:6" x14ac:dyDescent="0.25">
      <c r="A171" s="8">
        <v>41559</v>
      </c>
      <c r="B171" s="4">
        <v>59134</v>
      </c>
      <c r="C171" s="57">
        <v>145.47</v>
      </c>
      <c r="D171" s="4" t="str">
        <f t="shared" si="2"/>
        <v>EOM plus 20 days</v>
      </c>
      <c r="E171" s="4">
        <v>20</v>
      </c>
      <c r="F171" s="104"/>
    </row>
    <row r="172" spans="1:6" x14ac:dyDescent="0.25">
      <c r="A172" s="8">
        <v>41559</v>
      </c>
      <c r="B172" s="4">
        <v>59135</v>
      </c>
      <c r="C172" s="57">
        <v>48.37</v>
      </c>
      <c r="D172" s="4" t="str">
        <f t="shared" si="2"/>
        <v>EOM plus 10 days</v>
      </c>
      <c r="E172" s="4">
        <v>10</v>
      </c>
      <c r="F172" s="104"/>
    </row>
    <row r="173" spans="1:6" x14ac:dyDescent="0.25">
      <c r="A173" s="8">
        <v>41559</v>
      </c>
      <c r="B173" s="4">
        <v>59136</v>
      </c>
      <c r="C173" s="57">
        <v>342.34</v>
      </c>
      <c r="D173" s="4" t="str">
        <f t="shared" si="2"/>
        <v>EOM plus 10 days</v>
      </c>
      <c r="E173" s="4">
        <v>10</v>
      </c>
      <c r="F173" s="104"/>
    </row>
    <row r="174" spans="1:6" x14ac:dyDescent="0.25">
      <c r="A174" s="8">
        <v>41559</v>
      </c>
      <c r="B174" s="4">
        <v>59137</v>
      </c>
      <c r="C174" s="57">
        <v>278.18</v>
      </c>
      <c r="D174" s="4" t="str">
        <f t="shared" si="2"/>
        <v>EOM plus 5 days</v>
      </c>
      <c r="E174" s="4">
        <v>5</v>
      </c>
      <c r="F174" s="104"/>
    </row>
    <row r="175" spans="1:6" x14ac:dyDescent="0.25">
      <c r="A175" s="8">
        <v>41559</v>
      </c>
      <c r="B175" s="4">
        <v>59138</v>
      </c>
      <c r="C175" s="57">
        <v>324.29000000000002</v>
      </c>
      <c r="D175" s="4" t="str">
        <f t="shared" si="2"/>
        <v>EOM plus 10 days</v>
      </c>
      <c r="E175" s="4">
        <v>10</v>
      </c>
      <c r="F175" s="104"/>
    </row>
    <row r="176" spans="1:6" x14ac:dyDescent="0.25">
      <c r="A176" s="8">
        <v>41559</v>
      </c>
      <c r="B176" s="4">
        <v>59139</v>
      </c>
      <c r="C176" s="57">
        <v>76.45</v>
      </c>
      <c r="D176" s="4" t="str">
        <f t="shared" si="2"/>
        <v>EOM plus 15 days</v>
      </c>
      <c r="E176" s="4">
        <v>15</v>
      </c>
      <c r="F176" s="104"/>
    </row>
    <row r="177" spans="1:6" x14ac:dyDescent="0.25">
      <c r="A177" s="8">
        <v>41559</v>
      </c>
      <c r="B177" s="4">
        <v>59140</v>
      </c>
      <c r="C177" s="57">
        <v>114.44</v>
      </c>
      <c r="D177" s="4" t="str">
        <f t="shared" si="2"/>
        <v>EOM plus 10 days</v>
      </c>
      <c r="E177" s="4">
        <v>10</v>
      </c>
      <c r="F177" s="104"/>
    </row>
    <row r="178" spans="1:6" x14ac:dyDescent="0.25">
      <c r="A178" s="8">
        <v>41559</v>
      </c>
      <c r="B178" s="4">
        <v>59141</v>
      </c>
      <c r="C178" s="57">
        <v>125.72</v>
      </c>
      <c r="D178" s="4" t="str">
        <f t="shared" si="2"/>
        <v>EOM plus 5 days</v>
      </c>
      <c r="E178" s="4">
        <v>5</v>
      </c>
      <c r="F178" s="104"/>
    </row>
    <row r="179" spans="1:6" x14ac:dyDescent="0.25">
      <c r="A179" s="8">
        <v>41560</v>
      </c>
      <c r="B179" s="4">
        <v>59142</v>
      </c>
      <c r="C179" s="57">
        <v>111.16</v>
      </c>
      <c r="D179" s="4" t="str">
        <f t="shared" si="2"/>
        <v>EOM plus 15 days</v>
      </c>
      <c r="E179" s="4">
        <v>15</v>
      </c>
      <c r="F179" s="104"/>
    </row>
    <row r="180" spans="1:6" x14ac:dyDescent="0.25">
      <c r="A180" s="8">
        <v>41560</v>
      </c>
      <c r="B180" s="4">
        <v>59143</v>
      </c>
      <c r="C180" s="57">
        <v>46.82</v>
      </c>
      <c r="D180" s="4" t="str">
        <f t="shared" si="2"/>
        <v>EOM plus 5 days</v>
      </c>
      <c r="E180" s="4">
        <v>5</v>
      </c>
      <c r="F180" s="104"/>
    </row>
    <row r="181" spans="1:6" x14ac:dyDescent="0.25">
      <c r="A181" s="8">
        <v>41560</v>
      </c>
      <c r="B181" s="4">
        <v>59144</v>
      </c>
      <c r="C181" s="57">
        <v>213.48</v>
      </c>
      <c r="D181" s="4" t="str">
        <f t="shared" si="2"/>
        <v>EOM plus 10 days</v>
      </c>
      <c r="E181" s="4">
        <v>10</v>
      </c>
      <c r="F181" s="104"/>
    </row>
    <row r="182" spans="1:6" x14ac:dyDescent="0.25">
      <c r="A182" s="8">
        <v>41560</v>
      </c>
      <c r="B182" s="4">
        <v>59145</v>
      </c>
      <c r="C182" s="57">
        <v>128.81</v>
      </c>
      <c r="D182" s="4" t="str">
        <f t="shared" si="2"/>
        <v>EOM plus 10 days</v>
      </c>
      <c r="E182" s="4">
        <v>10</v>
      </c>
      <c r="F182" s="104"/>
    </row>
    <row r="183" spans="1:6" x14ac:dyDescent="0.25">
      <c r="A183" s="8">
        <v>41560</v>
      </c>
      <c r="B183" s="4">
        <v>59146</v>
      </c>
      <c r="C183" s="57">
        <v>380.16</v>
      </c>
      <c r="D183" s="4" t="str">
        <f t="shared" si="2"/>
        <v>EOM plus 10 days</v>
      </c>
      <c r="E183" s="4">
        <v>10</v>
      </c>
      <c r="F183" s="104"/>
    </row>
    <row r="184" spans="1:6" x14ac:dyDescent="0.25">
      <c r="A184" s="8">
        <v>41560</v>
      </c>
      <c r="B184" s="4">
        <v>59147</v>
      </c>
      <c r="C184" s="57">
        <v>71.739999999999995</v>
      </c>
      <c r="D184" s="4" t="str">
        <f t="shared" si="2"/>
        <v>EOM plus 5 days</v>
      </c>
      <c r="E184" s="4">
        <v>5</v>
      </c>
      <c r="F184" s="104"/>
    </row>
    <row r="185" spans="1:6" x14ac:dyDescent="0.25">
      <c r="A185" s="8">
        <v>41560</v>
      </c>
      <c r="B185" s="4">
        <v>59148</v>
      </c>
      <c r="C185" s="57">
        <v>340.88</v>
      </c>
      <c r="D185" s="4" t="str">
        <f t="shared" si="2"/>
        <v>EOM plus 15 days</v>
      </c>
      <c r="E185" s="4">
        <v>15</v>
      </c>
      <c r="F185" s="104"/>
    </row>
    <row r="186" spans="1:6" x14ac:dyDescent="0.25">
      <c r="A186" s="8">
        <v>41560</v>
      </c>
      <c r="B186" s="4">
        <v>59149</v>
      </c>
      <c r="C186" s="57">
        <v>182.63</v>
      </c>
      <c r="D186" s="4" t="str">
        <f t="shared" si="2"/>
        <v>EOM plus 5 days</v>
      </c>
      <c r="E186" s="4">
        <v>5</v>
      </c>
      <c r="F186" s="104"/>
    </row>
    <row r="187" spans="1:6" x14ac:dyDescent="0.25">
      <c r="A187" s="8">
        <v>41560</v>
      </c>
      <c r="B187" s="4">
        <v>59150</v>
      </c>
      <c r="C187" s="57">
        <v>260.07</v>
      </c>
      <c r="D187" s="4" t="str">
        <f t="shared" si="2"/>
        <v>EOM plus 5 days</v>
      </c>
      <c r="E187" s="4">
        <v>5</v>
      </c>
      <c r="F187" s="104"/>
    </row>
    <row r="188" spans="1:6" x14ac:dyDescent="0.25">
      <c r="A188" s="8">
        <v>41560</v>
      </c>
      <c r="B188" s="4">
        <v>59151</v>
      </c>
      <c r="C188" s="57">
        <v>314.39999999999998</v>
      </c>
      <c r="D188" s="4" t="str">
        <f t="shared" si="2"/>
        <v>EOM plus 10 days</v>
      </c>
      <c r="E188" s="4">
        <v>10</v>
      </c>
      <c r="F188" s="104"/>
    </row>
    <row r="189" spans="1:6" x14ac:dyDescent="0.25">
      <c r="A189" s="8">
        <v>41560</v>
      </c>
      <c r="B189" s="4">
        <v>59152</v>
      </c>
      <c r="C189" s="57">
        <v>49.44</v>
      </c>
      <c r="D189" s="4" t="str">
        <f t="shared" si="2"/>
        <v>EOM plus 10 days</v>
      </c>
      <c r="E189" s="4">
        <v>10</v>
      </c>
      <c r="F189" s="104"/>
    </row>
    <row r="190" spans="1:6" x14ac:dyDescent="0.25">
      <c r="A190" s="8">
        <v>41560</v>
      </c>
      <c r="B190" s="4">
        <v>59153</v>
      </c>
      <c r="C190" s="57">
        <v>39.53</v>
      </c>
      <c r="D190" s="4" t="str">
        <f t="shared" si="2"/>
        <v>EOM plus 5 days</v>
      </c>
      <c r="E190" s="4">
        <v>5</v>
      </c>
      <c r="F190" s="104"/>
    </row>
    <row r="191" spans="1:6" x14ac:dyDescent="0.25">
      <c r="A191" s="8">
        <v>41560</v>
      </c>
      <c r="B191" s="4">
        <v>59154</v>
      </c>
      <c r="C191" s="57">
        <v>157.85</v>
      </c>
      <c r="D191" s="4" t="str">
        <f t="shared" si="2"/>
        <v>EOM plus 5 days</v>
      </c>
      <c r="E191" s="4">
        <v>5</v>
      </c>
      <c r="F191" s="104"/>
    </row>
    <row r="192" spans="1:6" x14ac:dyDescent="0.25">
      <c r="A192" s="8">
        <v>41560</v>
      </c>
      <c r="B192" s="4">
        <v>59155</v>
      </c>
      <c r="C192" s="57">
        <v>99.53</v>
      </c>
      <c r="D192" s="4" t="str">
        <f t="shared" si="2"/>
        <v>EOM plus 10 days</v>
      </c>
      <c r="E192" s="4">
        <v>10</v>
      </c>
      <c r="F192" s="104"/>
    </row>
    <row r="193" spans="1:6" x14ac:dyDescent="0.25">
      <c r="A193" s="8">
        <v>41560</v>
      </c>
      <c r="B193" s="4">
        <v>59156</v>
      </c>
      <c r="C193" s="57">
        <v>180.01</v>
      </c>
      <c r="D193" s="4" t="str">
        <f t="shared" si="2"/>
        <v>EOM plus 5 days</v>
      </c>
      <c r="E193" s="4">
        <v>5</v>
      </c>
      <c r="F193" s="104"/>
    </row>
    <row r="194" spans="1:6" x14ac:dyDescent="0.25">
      <c r="A194" s="8">
        <v>41561</v>
      </c>
      <c r="B194" s="4">
        <v>59157</v>
      </c>
      <c r="C194" s="57">
        <v>168.56</v>
      </c>
      <c r="D194" s="4" t="str">
        <f t="shared" si="2"/>
        <v>EOM plus 10 days</v>
      </c>
      <c r="E194" s="4">
        <v>10</v>
      </c>
      <c r="F194" s="104"/>
    </row>
    <row r="195" spans="1:6" x14ac:dyDescent="0.25">
      <c r="A195" s="8">
        <v>41561</v>
      </c>
      <c r="B195" s="4">
        <v>59158</v>
      </c>
      <c r="C195" s="57">
        <v>169.08</v>
      </c>
      <c r="D195" s="4" t="str">
        <f t="shared" si="2"/>
        <v>EOM plus 5 days</v>
      </c>
      <c r="E195" s="4">
        <v>5</v>
      </c>
      <c r="F195" s="104"/>
    </row>
    <row r="196" spans="1:6" x14ac:dyDescent="0.25">
      <c r="A196" s="8">
        <v>41561</v>
      </c>
      <c r="B196" s="4">
        <v>59159</v>
      </c>
      <c r="C196" s="57">
        <v>39.119999999999997</v>
      </c>
      <c r="D196" s="4" t="str">
        <f t="shared" si="2"/>
        <v>EOM plus 10 days</v>
      </c>
      <c r="E196" s="4">
        <v>10</v>
      </c>
      <c r="F196" s="104"/>
    </row>
    <row r="197" spans="1:6" x14ac:dyDescent="0.25">
      <c r="A197" s="8">
        <v>41561</v>
      </c>
      <c r="B197" s="4">
        <v>59160</v>
      </c>
      <c r="C197" s="57">
        <v>78.98</v>
      </c>
      <c r="D197" s="4" t="str">
        <f t="shared" ref="D197:D260" si="3">"EOM plus "&amp;E197&amp;" days"</f>
        <v>EOM plus 5 days</v>
      </c>
      <c r="E197" s="4">
        <v>5</v>
      </c>
      <c r="F197" s="104"/>
    </row>
    <row r="198" spans="1:6" x14ac:dyDescent="0.25">
      <c r="A198" s="8">
        <v>41561</v>
      </c>
      <c r="B198" s="4">
        <v>59161</v>
      </c>
      <c r="C198" s="57">
        <v>195.01</v>
      </c>
      <c r="D198" s="4" t="str">
        <f t="shared" si="3"/>
        <v>EOM plus 10 days</v>
      </c>
      <c r="E198" s="4">
        <v>10</v>
      </c>
      <c r="F198" s="104"/>
    </row>
    <row r="199" spans="1:6" x14ac:dyDescent="0.25">
      <c r="A199" s="8">
        <v>41561</v>
      </c>
      <c r="B199" s="4">
        <v>59162</v>
      </c>
      <c r="C199" s="57">
        <v>308.02</v>
      </c>
      <c r="D199" s="4" t="str">
        <f t="shared" si="3"/>
        <v>EOM plus 15 days</v>
      </c>
      <c r="E199" s="4">
        <v>15</v>
      </c>
      <c r="F199" s="104"/>
    </row>
    <row r="200" spans="1:6" x14ac:dyDescent="0.25">
      <c r="A200" s="8">
        <v>41561</v>
      </c>
      <c r="B200" s="4">
        <v>59163</v>
      </c>
      <c r="C200" s="57">
        <v>331.5</v>
      </c>
      <c r="D200" s="4" t="str">
        <f t="shared" si="3"/>
        <v>EOM plus 5 days</v>
      </c>
      <c r="E200" s="4">
        <v>5</v>
      </c>
      <c r="F200" s="104"/>
    </row>
    <row r="201" spans="1:6" x14ac:dyDescent="0.25">
      <c r="A201" s="8">
        <v>41561</v>
      </c>
      <c r="B201" s="4">
        <v>59164</v>
      </c>
      <c r="C201" s="57">
        <v>389.32</v>
      </c>
      <c r="D201" s="4" t="str">
        <f t="shared" si="3"/>
        <v>EOM plus 10 days</v>
      </c>
      <c r="E201" s="4">
        <v>10</v>
      </c>
      <c r="F201" s="104"/>
    </row>
    <row r="202" spans="1:6" x14ac:dyDescent="0.25">
      <c r="A202" s="8">
        <v>41561</v>
      </c>
      <c r="B202" s="4">
        <v>59165</v>
      </c>
      <c r="C202" s="57">
        <v>78.14</v>
      </c>
      <c r="D202" s="4" t="str">
        <f t="shared" si="3"/>
        <v>EOM plus 15 days</v>
      </c>
      <c r="E202" s="4">
        <v>15</v>
      </c>
      <c r="F202" s="104"/>
    </row>
    <row r="203" spans="1:6" x14ac:dyDescent="0.25">
      <c r="A203" s="8">
        <v>41561</v>
      </c>
      <c r="B203" s="4">
        <v>59166</v>
      </c>
      <c r="C203" s="57">
        <v>316.86</v>
      </c>
      <c r="D203" s="4" t="str">
        <f t="shared" si="3"/>
        <v>EOM plus 15 days</v>
      </c>
      <c r="E203" s="4">
        <v>15</v>
      </c>
      <c r="F203" s="104"/>
    </row>
    <row r="204" spans="1:6" x14ac:dyDescent="0.25">
      <c r="A204" s="8">
        <v>41561</v>
      </c>
      <c r="B204" s="4">
        <v>59167</v>
      </c>
      <c r="C204" s="57">
        <v>113.45</v>
      </c>
      <c r="D204" s="4" t="str">
        <f t="shared" si="3"/>
        <v>EOM plus 5 days</v>
      </c>
      <c r="E204" s="4">
        <v>5</v>
      </c>
      <c r="F204" s="104"/>
    </row>
    <row r="205" spans="1:6" x14ac:dyDescent="0.25">
      <c r="A205" s="8">
        <v>41561</v>
      </c>
      <c r="B205" s="4">
        <v>59168</v>
      </c>
      <c r="C205" s="57">
        <v>148</v>
      </c>
      <c r="D205" s="4" t="str">
        <f t="shared" si="3"/>
        <v>EOM plus 5 days</v>
      </c>
      <c r="E205" s="4">
        <v>5</v>
      </c>
      <c r="F205" s="104"/>
    </row>
    <row r="206" spans="1:6" x14ac:dyDescent="0.25">
      <c r="A206" s="8">
        <v>41561</v>
      </c>
      <c r="B206" s="4">
        <v>59169</v>
      </c>
      <c r="C206" s="57">
        <v>76.87</v>
      </c>
      <c r="D206" s="4" t="str">
        <f t="shared" si="3"/>
        <v>EOM plus 5 days</v>
      </c>
      <c r="E206" s="4">
        <v>5</v>
      </c>
      <c r="F206" s="104"/>
    </row>
    <row r="207" spans="1:6" x14ac:dyDescent="0.25">
      <c r="A207" s="8">
        <v>41561</v>
      </c>
      <c r="B207" s="4">
        <v>59170</v>
      </c>
      <c r="C207" s="57">
        <v>49.18</v>
      </c>
      <c r="D207" s="4" t="str">
        <f t="shared" si="3"/>
        <v>EOM plus 5 days</v>
      </c>
      <c r="E207" s="4">
        <v>5</v>
      </c>
      <c r="F207" s="104"/>
    </row>
    <row r="208" spans="1:6" x14ac:dyDescent="0.25">
      <c r="A208" s="8">
        <v>41561</v>
      </c>
      <c r="B208" s="4">
        <v>59171</v>
      </c>
      <c r="C208" s="57">
        <v>263.62</v>
      </c>
      <c r="D208" s="4" t="str">
        <f t="shared" si="3"/>
        <v>EOM plus 5 days</v>
      </c>
      <c r="E208" s="4">
        <v>5</v>
      </c>
      <c r="F208" s="104"/>
    </row>
    <row r="209" spans="1:6" x14ac:dyDescent="0.25">
      <c r="A209" s="8">
        <v>41561</v>
      </c>
      <c r="B209" s="4">
        <v>59172</v>
      </c>
      <c r="C209" s="57">
        <v>172.12</v>
      </c>
      <c r="D209" s="4" t="str">
        <f t="shared" si="3"/>
        <v>EOM plus 20 days</v>
      </c>
      <c r="E209" s="4">
        <v>20</v>
      </c>
      <c r="F209" s="104"/>
    </row>
    <row r="210" spans="1:6" x14ac:dyDescent="0.25">
      <c r="A210" s="8">
        <v>41561</v>
      </c>
      <c r="B210" s="4">
        <v>59173</v>
      </c>
      <c r="C210" s="57">
        <v>371.9</v>
      </c>
      <c r="D210" s="4" t="str">
        <f t="shared" si="3"/>
        <v>EOM plus 10 days</v>
      </c>
      <c r="E210" s="4">
        <v>10</v>
      </c>
      <c r="F210" s="104"/>
    </row>
    <row r="211" spans="1:6" x14ac:dyDescent="0.25">
      <c r="A211" s="8">
        <v>41561</v>
      </c>
      <c r="B211" s="4">
        <v>59174</v>
      </c>
      <c r="C211" s="57">
        <v>87.68</v>
      </c>
      <c r="D211" s="4" t="str">
        <f t="shared" si="3"/>
        <v>EOM plus 15 days</v>
      </c>
      <c r="E211" s="4">
        <v>15</v>
      </c>
      <c r="F211" s="104"/>
    </row>
    <row r="212" spans="1:6" x14ac:dyDescent="0.25">
      <c r="A212" s="8">
        <v>41561</v>
      </c>
      <c r="B212" s="4">
        <v>59175</v>
      </c>
      <c r="C212" s="57">
        <v>186.71</v>
      </c>
      <c r="D212" s="4" t="str">
        <f t="shared" si="3"/>
        <v>EOM plus 5 days</v>
      </c>
      <c r="E212" s="4">
        <v>5</v>
      </c>
      <c r="F212" s="104"/>
    </row>
    <row r="213" spans="1:6" x14ac:dyDescent="0.25">
      <c r="A213" s="8">
        <v>41561</v>
      </c>
      <c r="B213" s="4">
        <v>59176</v>
      </c>
      <c r="C213" s="57">
        <v>287.68</v>
      </c>
      <c r="D213" s="4" t="str">
        <f t="shared" si="3"/>
        <v>EOM plus 15 days</v>
      </c>
      <c r="E213" s="4">
        <v>15</v>
      </c>
      <c r="F213" s="104"/>
    </row>
    <row r="214" spans="1:6" x14ac:dyDescent="0.25">
      <c r="A214" s="8">
        <v>41561</v>
      </c>
      <c r="B214" s="4">
        <v>59177</v>
      </c>
      <c r="C214" s="57">
        <v>164.03</v>
      </c>
      <c r="D214" s="4" t="str">
        <f t="shared" si="3"/>
        <v>EOM plus 5 days</v>
      </c>
      <c r="E214" s="4">
        <v>5</v>
      </c>
      <c r="F214" s="104"/>
    </row>
    <row r="215" spans="1:6" x14ac:dyDescent="0.25">
      <c r="A215" s="8">
        <v>41561</v>
      </c>
      <c r="B215" s="4">
        <v>59178</v>
      </c>
      <c r="C215" s="57">
        <v>192.63</v>
      </c>
      <c r="D215" s="4" t="str">
        <f t="shared" si="3"/>
        <v>EOM plus 5 days</v>
      </c>
      <c r="E215" s="4">
        <v>5</v>
      </c>
      <c r="F215" s="104"/>
    </row>
    <row r="216" spans="1:6" x14ac:dyDescent="0.25">
      <c r="A216" s="8">
        <v>41561</v>
      </c>
      <c r="B216" s="4">
        <v>59179</v>
      </c>
      <c r="C216" s="57">
        <v>373.88</v>
      </c>
      <c r="D216" s="4" t="str">
        <f t="shared" si="3"/>
        <v>EOM plus 5 days</v>
      </c>
      <c r="E216" s="4">
        <v>5</v>
      </c>
      <c r="F216" s="104"/>
    </row>
    <row r="217" spans="1:6" x14ac:dyDescent="0.25">
      <c r="A217" s="8">
        <v>41561</v>
      </c>
      <c r="B217" s="4">
        <v>59180</v>
      </c>
      <c r="C217" s="57">
        <v>217.53</v>
      </c>
      <c r="D217" s="4" t="str">
        <f t="shared" si="3"/>
        <v>EOM plus 5 days</v>
      </c>
      <c r="E217" s="4">
        <v>5</v>
      </c>
      <c r="F217" s="104"/>
    </row>
    <row r="218" spans="1:6" x14ac:dyDescent="0.25">
      <c r="A218" s="8">
        <v>41561</v>
      </c>
      <c r="B218" s="4">
        <v>59181</v>
      </c>
      <c r="C218" s="57">
        <v>210.51</v>
      </c>
      <c r="D218" s="4" t="str">
        <f t="shared" si="3"/>
        <v>EOM plus 10 days</v>
      </c>
      <c r="E218" s="4">
        <v>10</v>
      </c>
      <c r="F218" s="104"/>
    </row>
    <row r="219" spans="1:6" x14ac:dyDescent="0.25">
      <c r="A219" s="8">
        <v>41561</v>
      </c>
      <c r="B219" s="4">
        <v>59182</v>
      </c>
      <c r="C219" s="57">
        <v>373.18</v>
      </c>
      <c r="D219" s="4" t="str">
        <f t="shared" si="3"/>
        <v>EOM plus 10 days</v>
      </c>
      <c r="E219" s="4">
        <v>10</v>
      </c>
      <c r="F219" s="104"/>
    </row>
    <row r="220" spans="1:6" x14ac:dyDescent="0.25">
      <c r="A220" s="8">
        <v>41561</v>
      </c>
      <c r="B220" s="4">
        <v>59183</v>
      </c>
      <c r="C220" s="57">
        <v>193.14</v>
      </c>
      <c r="D220" s="4" t="str">
        <f t="shared" si="3"/>
        <v>EOM plus 5 days</v>
      </c>
      <c r="E220" s="4">
        <v>5</v>
      </c>
      <c r="F220" s="104"/>
    </row>
    <row r="221" spans="1:6" x14ac:dyDescent="0.25">
      <c r="A221" s="8">
        <v>41561</v>
      </c>
      <c r="B221" s="4">
        <v>59184</v>
      </c>
      <c r="C221" s="57">
        <v>271.35000000000002</v>
      </c>
      <c r="D221" s="4" t="str">
        <f t="shared" si="3"/>
        <v>EOM plus 20 days</v>
      </c>
      <c r="E221" s="4">
        <v>20</v>
      </c>
      <c r="F221" s="104"/>
    </row>
    <row r="222" spans="1:6" x14ac:dyDescent="0.25">
      <c r="A222" s="8">
        <v>41562</v>
      </c>
      <c r="B222" s="4">
        <v>59185</v>
      </c>
      <c r="C222" s="57">
        <v>328.5</v>
      </c>
      <c r="D222" s="4" t="str">
        <f t="shared" si="3"/>
        <v>EOM plus 5 days</v>
      </c>
      <c r="E222" s="4">
        <v>5</v>
      </c>
      <c r="F222" s="104"/>
    </row>
    <row r="223" spans="1:6" x14ac:dyDescent="0.25">
      <c r="A223" s="8">
        <v>41562</v>
      </c>
      <c r="B223" s="4">
        <v>59186</v>
      </c>
      <c r="C223" s="57">
        <v>270.52999999999997</v>
      </c>
      <c r="D223" s="4" t="str">
        <f t="shared" si="3"/>
        <v>EOM plus 10 days</v>
      </c>
      <c r="E223" s="4">
        <v>10</v>
      </c>
      <c r="F223" s="104"/>
    </row>
    <row r="224" spans="1:6" x14ac:dyDescent="0.25">
      <c r="A224" s="8">
        <v>41562</v>
      </c>
      <c r="B224" s="4">
        <v>59187</v>
      </c>
      <c r="C224" s="57">
        <v>228.41</v>
      </c>
      <c r="D224" s="4" t="str">
        <f t="shared" si="3"/>
        <v>EOM plus 20 days</v>
      </c>
      <c r="E224" s="4">
        <v>20</v>
      </c>
      <c r="F224" s="104"/>
    </row>
    <row r="225" spans="1:6" x14ac:dyDescent="0.25">
      <c r="A225" s="8">
        <v>41562</v>
      </c>
      <c r="B225" s="4">
        <v>59188</v>
      </c>
      <c r="C225" s="57">
        <v>388.02</v>
      </c>
      <c r="D225" s="4" t="str">
        <f t="shared" si="3"/>
        <v>EOM plus 15 days</v>
      </c>
      <c r="E225" s="4">
        <v>15</v>
      </c>
      <c r="F225" s="104"/>
    </row>
    <row r="226" spans="1:6" x14ac:dyDescent="0.25">
      <c r="A226" s="8">
        <v>41562</v>
      </c>
      <c r="B226" s="4">
        <v>59189</v>
      </c>
      <c r="C226" s="57">
        <v>350.5</v>
      </c>
      <c r="D226" s="4" t="str">
        <f t="shared" si="3"/>
        <v>EOM plus 10 days</v>
      </c>
      <c r="E226" s="4">
        <v>10</v>
      </c>
      <c r="F226" s="104"/>
    </row>
    <row r="227" spans="1:6" x14ac:dyDescent="0.25">
      <c r="A227" s="8">
        <v>41562</v>
      </c>
      <c r="B227" s="4">
        <v>59190</v>
      </c>
      <c r="C227" s="57">
        <v>64.91</v>
      </c>
      <c r="D227" s="4" t="str">
        <f t="shared" si="3"/>
        <v>EOM plus 20 days</v>
      </c>
      <c r="E227" s="4">
        <v>20</v>
      </c>
      <c r="F227" s="104"/>
    </row>
    <row r="228" spans="1:6" x14ac:dyDescent="0.25">
      <c r="A228" s="8">
        <v>41562</v>
      </c>
      <c r="B228" s="4">
        <v>59191</v>
      </c>
      <c r="C228" s="57">
        <v>332.68</v>
      </c>
      <c r="D228" s="4" t="str">
        <f t="shared" si="3"/>
        <v>EOM plus 5 days</v>
      </c>
      <c r="E228" s="4">
        <v>5</v>
      </c>
      <c r="F228" s="104"/>
    </row>
    <row r="229" spans="1:6" x14ac:dyDescent="0.25">
      <c r="A229" s="8">
        <v>41562</v>
      </c>
      <c r="B229" s="4">
        <v>59192</v>
      </c>
      <c r="C229" s="57">
        <v>201.79</v>
      </c>
      <c r="D229" s="4" t="str">
        <f t="shared" si="3"/>
        <v>EOM plus 20 days</v>
      </c>
      <c r="E229" s="4">
        <v>20</v>
      </c>
      <c r="F229" s="104"/>
    </row>
    <row r="230" spans="1:6" x14ac:dyDescent="0.25">
      <c r="A230" s="8">
        <v>41562</v>
      </c>
      <c r="B230" s="4">
        <v>59193</v>
      </c>
      <c r="C230" s="57">
        <v>175.06</v>
      </c>
      <c r="D230" s="4" t="str">
        <f t="shared" si="3"/>
        <v>EOM plus 10 days</v>
      </c>
      <c r="E230" s="4">
        <v>10</v>
      </c>
      <c r="F230" s="104"/>
    </row>
    <row r="231" spans="1:6" x14ac:dyDescent="0.25">
      <c r="A231" s="8">
        <v>41562</v>
      </c>
      <c r="B231" s="4">
        <v>59194</v>
      </c>
      <c r="C231" s="57">
        <v>255.7</v>
      </c>
      <c r="D231" s="4" t="str">
        <f t="shared" si="3"/>
        <v>EOM plus 15 days</v>
      </c>
      <c r="E231" s="4">
        <v>15</v>
      </c>
      <c r="F231" s="104"/>
    </row>
    <row r="232" spans="1:6" x14ac:dyDescent="0.25">
      <c r="A232" s="8">
        <v>41562</v>
      </c>
      <c r="B232" s="4">
        <v>59195</v>
      </c>
      <c r="C232" s="57">
        <v>320.83</v>
      </c>
      <c r="D232" s="4" t="str">
        <f t="shared" si="3"/>
        <v>EOM plus 10 days</v>
      </c>
      <c r="E232" s="4">
        <v>10</v>
      </c>
      <c r="F232" s="104"/>
    </row>
    <row r="233" spans="1:6" x14ac:dyDescent="0.25">
      <c r="A233" s="8">
        <v>41562</v>
      </c>
      <c r="B233" s="4">
        <v>59196</v>
      </c>
      <c r="C233" s="57">
        <v>207.68</v>
      </c>
      <c r="D233" s="4" t="str">
        <f t="shared" si="3"/>
        <v>EOM plus 15 days</v>
      </c>
      <c r="E233" s="4">
        <v>15</v>
      </c>
      <c r="F233" s="104"/>
    </row>
    <row r="234" spans="1:6" x14ac:dyDescent="0.25">
      <c r="A234" s="8">
        <v>41562</v>
      </c>
      <c r="B234" s="4">
        <v>59197</v>
      </c>
      <c r="C234" s="57">
        <v>187.72</v>
      </c>
      <c r="D234" s="4" t="str">
        <f t="shared" si="3"/>
        <v>EOM plus 5 days</v>
      </c>
      <c r="E234" s="4">
        <v>5</v>
      </c>
      <c r="F234" s="104"/>
    </row>
    <row r="235" spans="1:6" x14ac:dyDescent="0.25">
      <c r="A235" s="8">
        <v>41562</v>
      </c>
      <c r="B235" s="4">
        <v>59198</v>
      </c>
      <c r="C235" s="57">
        <v>134.63</v>
      </c>
      <c r="D235" s="4" t="str">
        <f t="shared" si="3"/>
        <v>EOM plus 5 days</v>
      </c>
      <c r="E235" s="4">
        <v>5</v>
      </c>
      <c r="F235" s="104"/>
    </row>
    <row r="236" spans="1:6" x14ac:dyDescent="0.25">
      <c r="A236" s="8">
        <v>41562</v>
      </c>
      <c r="B236" s="4">
        <v>59199</v>
      </c>
      <c r="C236" s="57">
        <v>200.39</v>
      </c>
      <c r="D236" s="4" t="str">
        <f t="shared" si="3"/>
        <v>EOM plus 10 days</v>
      </c>
      <c r="E236" s="4">
        <v>10</v>
      </c>
      <c r="F236" s="104"/>
    </row>
    <row r="237" spans="1:6" x14ac:dyDescent="0.25">
      <c r="A237" s="8">
        <v>41562</v>
      </c>
      <c r="B237" s="4">
        <v>59200</v>
      </c>
      <c r="C237" s="57">
        <v>201.59</v>
      </c>
      <c r="D237" s="4" t="str">
        <f t="shared" si="3"/>
        <v>EOM plus 20 days</v>
      </c>
      <c r="E237" s="4">
        <v>20</v>
      </c>
      <c r="F237" s="104"/>
    </row>
    <row r="238" spans="1:6" x14ac:dyDescent="0.25">
      <c r="A238" s="8">
        <v>41562</v>
      </c>
      <c r="B238" s="4">
        <v>59201</v>
      </c>
      <c r="C238" s="57">
        <v>124.65</v>
      </c>
      <c r="D238" s="4" t="str">
        <f t="shared" si="3"/>
        <v>EOM plus 5 days</v>
      </c>
      <c r="E238" s="4">
        <v>5</v>
      </c>
      <c r="F238" s="104"/>
    </row>
    <row r="239" spans="1:6" x14ac:dyDescent="0.25">
      <c r="A239" s="8">
        <v>41562</v>
      </c>
      <c r="B239" s="4">
        <v>59202</v>
      </c>
      <c r="C239" s="57">
        <v>382.04</v>
      </c>
      <c r="D239" s="4" t="str">
        <f t="shared" si="3"/>
        <v>EOM plus 20 days</v>
      </c>
      <c r="E239" s="4">
        <v>20</v>
      </c>
      <c r="F239" s="104"/>
    </row>
    <row r="240" spans="1:6" x14ac:dyDescent="0.25">
      <c r="A240" s="8">
        <v>41562</v>
      </c>
      <c r="B240" s="4">
        <v>59203</v>
      </c>
      <c r="C240" s="57">
        <v>41.3</v>
      </c>
      <c r="D240" s="4" t="str">
        <f t="shared" si="3"/>
        <v>EOM plus 10 days</v>
      </c>
      <c r="E240" s="4">
        <v>10</v>
      </c>
      <c r="F240" s="104"/>
    </row>
    <row r="241" spans="1:6" x14ac:dyDescent="0.25">
      <c r="A241" s="8">
        <v>41562</v>
      </c>
      <c r="B241" s="4">
        <v>59204</v>
      </c>
      <c r="C241" s="57">
        <v>178.57</v>
      </c>
      <c r="D241" s="4" t="str">
        <f t="shared" si="3"/>
        <v>EOM plus 5 days</v>
      </c>
      <c r="E241" s="4">
        <v>5</v>
      </c>
      <c r="F241" s="104"/>
    </row>
    <row r="242" spans="1:6" x14ac:dyDescent="0.25">
      <c r="A242" s="8">
        <v>41562</v>
      </c>
      <c r="B242" s="4">
        <v>59205</v>
      </c>
      <c r="C242" s="57">
        <v>124.98</v>
      </c>
      <c r="D242" s="4" t="str">
        <f t="shared" si="3"/>
        <v>EOM plus 15 days</v>
      </c>
      <c r="E242" s="4">
        <v>15</v>
      </c>
      <c r="F242" s="104"/>
    </row>
    <row r="243" spans="1:6" x14ac:dyDescent="0.25">
      <c r="A243" s="8">
        <v>41562</v>
      </c>
      <c r="B243" s="4">
        <v>59206</v>
      </c>
      <c r="C243" s="57">
        <v>245.86</v>
      </c>
      <c r="D243" s="4" t="str">
        <f t="shared" si="3"/>
        <v>EOM plus 10 days</v>
      </c>
      <c r="E243" s="4">
        <v>10</v>
      </c>
      <c r="F243" s="104"/>
    </row>
    <row r="244" spans="1:6" x14ac:dyDescent="0.25">
      <c r="A244" s="8">
        <v>41563</v>
      </c>
      <c r="B244" s="4">
        <v>59207</v>
      </c>
      <c r="C244" s="57">
        <v>133.22</v>
      </c>
      <c r="D244" s="4" t="str">
        <f t="shared" si="3"/>
        <v>EOM plus 5 days</v>
      </c>
      <c r="E244" s="4">
        <v>5</v>
      </c>
      <c r="F244" s="104"/>
    </row>
    <row r="245" spans="1:6" x14ac:dyDescent="0.25">
      <c r="A245" s="8">
        <v>41563</v>
      </c>
      <c r="B245" s="4">
        <v>59208</v>
      </c>
      <c r="C245" s="57">
        <v>276.63</v>
      </c>
      <c r="D245" s="4" t="str">
        <f t="shared" si="3"/>
        <v>EOM plus 5 days</v>
      </c>
      <c r="E245" s="4">
        <v>5</v>
      </c>
      <c r="F245" s="104"/>
    </row>
    <row r="246" spans="1:6" x14ac:dyDescent="0.25">
      <c r="A246" s="8">
        <v>41563</v>
      </c>
      <c r="B246" s="4">
        <v>59209</v>
      </c>
      <c r="C246" s="57">
        <v>383.59</v>
      </c>
      <c r="D246" s="4" t="str">
        <f t="shared" si="3"/>
        <v>EOM plus 10 days</v>
      </c>
      <c r="E246" s="4">
        <v>10</v>
      </c>
      <c r="F246" s="104"/>
    </row>
    <row r="247" spans="1:6" x14ac:dyDescent="0.25">
      <c r="A247" s="8">
        <v>41563</v>
      </c>
      <c r="B247" s="4">
        <v>59210</v>
      </c>
      <c r="C247" s="57">
        <v>207.27</v>
      </c>
      <c r="D247" s="4" t="str">
        <f t="shared" si="3"/>
        <v>EOM plus 15 days</v>
      </c>
      <c r="E247" s="4">
        <v>15</v>
      </c>
      <c r="F247" s="104"/>
    </row>
    <row r="248" spans="1:6" x14ac:dyDescent="0.25">
      <c r="A248" s="8">
        <v>41563</v>
      </c>
      <c r="B248" s="4">
        <v>59211</v>
      </c>
      <c r="C248" s="57">
        <v>347.27</v>
      </c>
      <c r="D248" s="4" t="str">
        <f t="shared" si="3"/>
        <v>EOM plus 10 days</v>
      </c>
      <c r="E248" s="4">
        <v>10</v>
      </c>
      <c r="F248" s="104"/>
    </row>
    <row r="249" spans="1:6" x14ac:dyDescent="0.25">
      <c r="A249" s="8">
        <v>41563</v>
      </c>
      <c r="B249" s="4">
        <v>59212</v>
      </c>
      <c r="C249" s="57">
        <v>104.78</v>
      </c>
      <c r="D249" s="4" t="str">
        <f t="shared" si="3"/>
        <v>EOM plus 5 days</v>
      </c>
      <c r="E249" s="4">
        <v>5</v>
      </c>
      <c r="F249" s="104"/>
    </row>
    <row r="250" spans="1:6" x14ac:dyDescent="0.25">
      <c r="A250" s="8">
        <v>41563</v>
      </c>
      <c r="B250" s="4">
        <v>59213</v>
      </c>
      <c r="C250" s="57">
        <v>340.75</v>
      </c>
      <c r="D250" s="4" t="str">
        <f t="shared" si="3"/>
        <v>EOM plus 10 days</v>
      </c>
      <c r="E250" s="4">
        <v>10</v>
      </c>
      <c r="F250" s="104"/>
    </row>
    <row r="251" spans="1:6" x14ac:dyDescent="0.25">
      <c r="A251" s="8">
        <v>41563</v>
      </c>
      <c r="B251" s="4">
        <v>59214</v>
      </c>
      <c r="C251" s="57">
        <v>382.6</v>
      </c>
      <c r="D251" s="4" t="str">
        <f t="shared" si="3"/>
        <v>EOM plus 10 days</v>
      </c>
      <c r="E251" s="4">
        <v>10</v>
      </c>
      <c r="F251" s="104"/>
    </row>
    <row r="252" spans="1:6" x14ac:dyDescent="0.25">
      <c r="A252" s="8">
        <v>41563</v>
      </c>
      <c r="B252" s="4">
        <v>59215</v>
      </c>
      <c r="C252" s="57">
        <v>301.58</v>
      </c>
      <c r="D252" s="4" t="str">
        <f t="shared" si="3"/>
        <v>EOM plus 10 days</v>
      </c>
      <c r="E252" s="4">
        <v>10</v>
      </c>
      <c r="F252" s="104"/>
    </row>
    <row r="253" spans="1:6" x14ac:dyDescent="0.25">
      <c r="A253" s="8">
        <v>41563</v>
      </c>
      <c r="B253" s="4">
        <v>59216</v>
      </c>
      <c r="C253" s="57">
        <v>264.42</v>
      </c>
      <c r="D253" s="4" t="str">
        <f t="shared" si="3"/>
        <v>EOM plus 10 days</v>
      </c>
      <c r="E253" s="4">
        <v>10</v>
      </c>
      <c r="F253" s="104"/>
    </row>
    <row r="254" spans="1:6" x14ac:dyDescent="0.25">
      <c r="A254" s="8">
        <v>41563</v>
      </c>
      <c r="B254" s="4">
        <v>59217</v>
      </c>
      <c r="C254" s="57">
        <v>50.81</v>
      </c>
      <c r="D254" s="4" t="str">
        <f t="shared" si="3"/>
        <v>EOM plus 20 days</v>
      </c>
      <c r="E254" s="4">
        <v>20</v>
      </c>
      <c r="F254" s="104"/>
    </row>
    <row r="255" spans="1:6" x14ac:dyDescent="0.25">
      <c r="A255" s="8">
        <v>41563</v>
      </c>
      <c r="B255" s="4">
        <v>59218</v>
      </c>
      <c r="C255" s="57">
        <v>206.84</v>
      </c>
      <c r="D255" s="4" t="str">
        <f t="shared" si="3"/>
        <v>EOM plus 5 days</v>
      </c>
      <c r="E255" s="4">
        <v>5</v>
      </c>
      <c r="F255" s="104"/>
    </row>
    <row r="256" spans="1:6" x14ac:dyDescent="0.25">
      <c r="A256" s="8">
        <v>41563</v>
      </c>
      <c r="B256" s="4">
        <v>59219</v>
      </c>
      <c r="C256" s="57">
        <v>269.23</v>
      </c>
      <c r="D256" s="4" t="str">
        <f t="shared" si="3"/>
        <v>EOM plus 15 days</v>
      </c>
      <c r="E256" s="4">
        <v>15</v>
      </c>
      <c r="F256" s="104"/>
    </row>
    <row r="257" spans="1:6" x14ac:dyDescent="0.25">
      <c r="A257" s="8">
        <v>41563</v>
      </c>
      <c r="B257" s="4">
        <v>59220</v>
      </c>
      <c r="C257" s="57">
        <v>197.99</v>
      </c>
      <c r="D257" s="4" t="str">
        <f t="shared" si="3"/>
        <v>EOM plus 5 days</v>
      </c>
      <c r="E257" s="4">
        <v>5</v>
      </c>
      <c r="F257" s="104"/>
    </row>
    <row r="258" spans="1:6" x14ac:dyDescent="0.25">
      <c r="A258" s="8">
        <v>41563</v>
      </c>
      <c r="B258" s="4">
        <v>59221</v>
      </c>
      <c r="C258" s="57">
        <v>145.43</v>
      </c>
      <c r="D258" s="4" t="str">
        <f t="shared" si="3"/>
        <v>EOM plus 20 days</v>
      </c>
      <c r="E258" s="4">
        <v>20</v>
      </c>
      <c r="F258" s="104"/>
    </row>
    <row r="259" spans="1:6" x14ac:dyDescent="0.25">
      <c r="A259" s="8">
        <v>41563</v>
      </c>
      <c r="B259" s="4">
        <v>59222</v>
      </c>
      <c r="C259" s="57">
        <v>337.12</v>
      </c>
      <c r="D259" s="4" t="str">
        <f t="shared" si="3"/>
        <v>EOM plus 5 days</v>
      </c>
      <c r="E259" s="4">
        <v>5</v>
      </c>
      <c r="F259" s="104"/>
    </row>
    <row r="260" spans="1:6" x14ac:dyDescent="0.25">
      <c r="A260" s="8">
        <v>41563</v>
      </c>
      <c r="B260" s="4">
        <v>59223</v>
      </c>
      <c r="C260" s="57">
        <v>246.37</v>
      </c>
      <c r="D260" s="4" t="str">
        <f t="shared" si="3"/>
        <v>EOM plus 20 days</v>
      </c>
      <c r="E260" s="4">
        <v>20</v>
      </c>
      <c r="F260" s="104"/>
    </row>
    <row r="261" spans="1:6" x14ac:dyDescent="0.25">
      <c r="A261" s="8">
        <v>41563</v>
      </c>
      <c r="B261" s="4">
        <v>59224</v>
      </c>
      <c r="C261" s="57">
        <v>62.79</v>
      </c>
      <c r="D261" s="4" t="str">
        <f t="shared" ref="D261:D324" si="4">"EOM plus "&amp;E261&amp;" days"</f>
        <v>EOM plus 10 days</v>
      </c>
      <c r="E261" s="4">
        <v>10</v>
      </c>
      <c r="F261" s="104"/>
    </row>
    <row r="262" spans="1:6" x14ac:dyDescent="0.25">
      <c r="A262" s="8">
        <v>41563</v>
      </c>
      <c r="B262" s="4">
        <v>59225</v>
      </c>
      <c r="C262" s="57">
        <v>299.95</v>
      </c>
      <c r="D262" s="4" t="str">
        <f t="shared" si="4"/>
        <v>EOM plus 10 days</v>
      </c>
      <c r="E262" s="4">
        <v>10</v>
      </c>
      <c r="F262" s="104"/>
    </row>
    <row r="263" spans="1:6" x14ac:dyDescent="0.25">
      <c r="A263" s="8">
        <v>41563</v>
      </c>
      <c r="B263" s="4">
        <v>59226</v>
      </c>
      <c r="C263" s="57">
        <v>311.52</v>
      </c>
      <c r="D263" s="4" t="str">
        <f t="shared" si="4"/>
        <v>EOM plus 10 days</v>
      </c>
      <c r="E263" s="4">
        <v>10</v>
      </c>
      <c r="F263" s="104"/>
    </row>
    <row r="264" spans="1:6" x14ac:dyDescent="0.25">
      <c r="A264" s="8">
        <v>41564</v>
      </c>
      <c r="B264" s="4">
        <v>59227</v>
      </c>
      <c r="C264" s="57">
        <v>389.38</v>
      </c>
      <c r="D264" s="4" t="str">
        <f t="shared" si="4"/>
        <v>EOM plus 15 days</v>
      </c>
      <c r="E264" s="4">
        <v>15</v>
      </c>
      <c r="F264" s="104"/>
    </row>
    <row r="265" spans="1:6" x14ac:dyDescent="0.25">
      <c r="A265" s="8">
        <v>41564</v>
      </c>
      <c r="B265" s="4">
        <v>59228</v>
      </c>
      <c r="C265" s="57">
        <v>345.6</v>
      </c>
      <c r="D265" s="4" t="str">
        <f t="shared" si="4"/>
        <v>EOM plus 5 days</v>
      </c>
      <c r="E265" s="4">
        <v>5</v>
      </c>
      <c r="F265" s="104"/>
    </row>
    <row r="266" spans="1:6" x14ac:dyDescent="0.25">
      <c r="A266" s="8">
        <v>41564</v>
      </c>
      <c r="B266" s="4">
        <v>59229</v>
      </c>
      <c r="C266" s="57">
        <v>317.47000000000003</v>
      </c>
      <c r="D266" s="4" t="str">
        <f t="shared" si="4"/>
        <v>EOM plus 10 days</v>
      </c>
      <c r="E266" s="4">
        <v>10</v>
      </c>
      <c r="F266" s="104"/>
    </row>
    <row r="267" spans="1:6" x14ac:dyDescent="0.25">
      <c r="A267" s="8">
        <v>41564</v>
      </c>
      <c r="B267" s="4">
        <v>59230</v>
      </c>
      <c r="C267" s="57">
        <v>357.07</v>
      </c>
      <c r="D267" s="4" t="str">
        <f t="shared" si="4"/>
        <v>EOM plus 10 days</v>
      </c>
      <c r="E267" s="4">
        <v>10</v>
      </c>
      <c r="F267" s="104"/>
    </row>
    <row r="268" spans="1:6" x14ac:dyDescent="0.25">
      <c r="A268" s="8">
        <v>41564</v>
      </c>
      <c r="B268" s="4">
        <v>59231</v>
      </c>
      <c r="C268" s="57">
        <v>161.04</v>
      </c>
      <c r="D268" s="4" t="str">
        <f t="shared" si="4"/>
        <v>EOM plus 10 days</v>
      </c>
      <c r="E268" s="4">
        <v>10</v>
      </c>
      <c r="F268" s="104"/>
    </row>
    <row r="269" spans="1:6" x14ac:dyDescent="0.25">
      <c r="A269" s="8">
        <v>41564</v>
      </c>
      <c r="B269" s="4">
        <v>59232</v>
      </c>
      <c r="C269" s="57">
        <v>215.43</v>
      </c>
      <c r="D269" s="4" t="str">
        <f t="shared" si="4"/>
        <v>EOM plus 10 days</v>
      </c>
      <c r="E269" s="4">
        <v>10</v>
      </c>
      <c r="F269" s="104"/>
    </row>
    <row r="270" spans="1:6" x14ac:dyDescent="0.25">
      <c r="A270" s="8">
        <v>41564</v>
      </c>
      <c r="B270" s="4">
        <v>59233</v>
      </c>
      <c r="C270" s="57">
        <v>124.14</v>
      </c>
      <c r="D270" s="4" t="str">
        <f t="shared" si="4"/>
        <v>EOM plus 5 days</v>
      </c>
      <c r="E270" s="4">
        <v>5</v>
      </c>
      <c r="F270" s="104"/>
    </row>
    <row r="271" spans="1:6" x14ac:dyDescent="0.25">
      <c r="A271" s="8">
        <v>41564</v>
      </c>
      <c r="B271" s="4">
        <v>59234</v>
      </c>
      <c r="C271" s="57">
        <v>131.44999999999999</v>
      </c>
      <c r="D271" s="4" t="str">
        <f t="shared" si="4"/>
        <v>EOM plus 15 days</v>
      </c>
      <c r="E271" s="4">
        <v>15</v>
      </c>
      <c r="F271" s="104"/>
    </row>
    <row r="272" spans="1:6" x14ac:dyDescent="0.25">
      <c r="A272" s="8">
        <v>41564</v>
      </c>
      <c r="B272" s="4">
        <v>59235</v>
      </c>
      <c r="C272" s="57">
        <v>45.08</v>
      </c>
      <c r="D272" s="4" t="str">
        <f t="shared" si="4"/>
        <v>EOM plus 10 days</v>
      </c>
      <c r="E272" s="4">
        <v>10</v>
      </c>
      <c r="F272" s="104"/>
    </row>
    <row r="273" spans="1:6" x14ac:dyDescent="0.25">
      <c r="A273" s="8">
        <v>41564</v>
      </c>
      <c r="B273" s="4">
        <v>59236</v>
      </c>
      <c r="C273" s="57">
        <v>261.62</v>
      </c>
      <c r="D273" s="4" t="str">
        <f t="shared" si="4"/>
        <v>EOM plus 15 days</v>
      </c>
      <c r="E273" s="4">
        <v>15</v>
      </c>
      <c r="F273" s="104"/>
    </row>
    <row r="274" spans="1:6" x14ac:dyDescent="0.25">
      <c r="A274" s="8">
        <v>41564</v>
      </c>
      <c r="B274" s="4">
        <v>59237</v>
      </c>
      <c r="C274" s="57">
        <v>355.97</v>
      </c>
      <c r="D274" s="4" t="str">
        <f t="shared" si="4"/>
        <v>EOM plus 20 days</v>
      </c>
      <c r="E274" s="4">
        <v>20</v>
      </c>
      <c r="F274" s="104"/>
    </row>
    <row r="275" spans="1:6" x14ac:dyDescent="0.25">
      <c r="A275" s="8">
        <v>41564</v>
      </c>
      <c r="B275" s="4">
        <v>59238</v>
      </c>
      <c r="C275" s="57">
        <v>309.29000000000002</v>
      </c>
      <c r="D275" s="4" t="str">
        <f t="shared" si="4"/>
        <v>EOM plus 5 days</v>
      </c>
      <c r="E275" s="4">
        <v>5</v>
      </c>
      <c r="F275" s="104"/>
    </row>
    <row r="276" spans="1:6" x14ac:dyDescent="0.25">
      <c r="A276" s="8">
        <v>41564</v>
      </c>
      <c r="B276" s="4">
        <v>59239</v>
      </c>
      <c r="C276" s="57">
        <v>327.49</v>
      </c>
      <c r="D276" s="4" t="str">
        <f t="shared" si="4"/>
        <v>EOM plus 5 days</v>
      </c>
      <c r="E276" s="4">
        <v>5</v>
      </c>
      <c r="F276" s="104"/>
    </row>
    <row r="277" spans="1:6" x14ac:dyDescent="0.25">
      <c r="A277" s="8">
        <v>41564</v>
      </c>
      <c r="B277" s="4">
        <v>59240</v>
      </c>
      <c r="C277" s="57">
        <v>186.71</v>
      </c>
      <c r="D277" s="4" t="str">
        <f t="shared" si="4"/>
        <v>EOM plus 10 days</v>
      </c>
      <c r="E277" s="4">
        <v>10</v>
      </c>
      <c r="F277" s="104"/>
    </row>
    <row r="278" spans="1:6" x14ac:dyDescent="0.25">
      <c r="A278" s="8">
        <v>41564</v>
      </c>
      <c r="B278" s="4">
        <v>59241</v>
      </c>
      <c r="C278" s="57">
        <v>92.15</v>
      </c>
      <c r="D278" s="4" t="str">
        <f t="shared" si="4"/>
        <v>EOM plus 10 days</v>
      </c>
      <c r="E278" s="4">
        <v>10</v>
      </c>
      <c r="F278" s="104"/>
    </row>
    <row r="279" spans="1:6" x14ac:dyDescent="0.25">
      <c r="A279" s="8">
        <v>41564</v>
      </c>
      <c r="B279" s="4">
        <v>59242</v>
      </c>
      <c r="C279" s="57">
        <v>266.87</v>
      </c>
      <c r="D279" s="4" t="str">
        <f t="shared" si="4"/>
        <v>EOM plus 5 days</v>
      </c>
      <c r="E279" s="4">
        <v>5</v>
      </c>
      <c r="F279" s="104"/>
    </row>
    <row r="280" spans="1:6" x14ac:dyDescent="0.25">
      <c r="A280" s="8">
        <v>41564</v>
      </c>
      <c r="B280" s="4">
        <v>59243</v>
      </c>
      <c r="C280" s="57">
        <v>112.5</v>
      </c>
      <c r="D280" s="4" t="str">
        <f t="shared" si="4"/>
        <v>EOM plus 10 days</v>
      </c>
      <c r="E280" s="4">
        <v>10</v>
      </c>
      <c r="F280" s="104"/>
    </row>
    <row r="281" spans="1:6" x14ac:dyDescent="0.25">
      <c r="A281" s="8">
        <v>41564</v>
      </c>
      <c r="B281" s="4">
        <v>59244</v>
      </c>
      <c r="C281" s="57">
        <v>132.96</v>
      </c>
      <c r="D281" s="4" t="str">
        <f t="shared" si="4"/>
        <v>EOM plus 15 days</v>
      </c>
      <c r="E281" s="4">
        <v>15</v>
      </c>
      <c r="F281" s="104"/>
    </row>
    <row r="282" spans="1:6" x14ac:dyDescent="0.25">
      <c r="A282" s="8">
        <v>41565</v>
      </c>
      <c r="B282" s="4">
        <v>59245</v>
      </c>
      <c r="C282" s="57">
        <v>246.3</v>
      </c>
      <c r="D282" s="4" t="str">
        <f t="shared" si="4"/>
        <v>EOM plus 5 days</v>
      </c>
      <c r="E282" s="4">
        <v>5</v>
      </c>
      <c r="F282" s="104"/>
    </row>
    <row r="283" spans="1:6" x14ac:dyDescent="0.25">
      <c r="A283" s="8">
        <v>41565</v>
      </c>
      <c r="B283" s="4">
        <v>59246</v>
      </c>
      <c r="C283" s="57">
        <v>357.82</v>
      </c>
      <c r="D283" s="4" t="str">
        <f t="shared" si="4"/>
        <v>EOM plus 10 days</v>
      </c>
      <c r="E283" s="4">
        <v>10</v>
      </c>
      <c r="F283" s="104"/>
    </row>
    <row r="284" spans="1:6" x14ac:dyDescent="0.25">
      <c r="A284" s="8">
        <v>41565</v>
      </c>
      <c r="B284" s="4">
        <v>59247</v>
      </c>
      <c r="C284" s="57">
        <v>36.590000000000003</v>
      </c>
      <c r="D284" s="4" t="str">
        <f t="shared" si="4"/>
        <v>EOM plus 5 days</v>
      </c>
      <c r="E284" s="4">
        <v>5</v>
      </c>
      <c r="F284" s="104"/>
    </row>
    <row r="285" spans="1:6" x14ac:dyDescent="0.25">
      <c r="A285" s="8">
        <v>41565</v>
      </c>
      <c r="B285" s="4">
        <v>59248</v>
      </c>
      <c r="C285" s="57">
        <v>186.97</v>
      </c>
      <c r="D285" s="4" t="str">
        <f t="shared" si="4"/>
        <v>EOM plus 5 days</v>
      </c>
      <c r="E285" s="4">
        <v>5</v>
      </c>
      <c r="F285" s="104"/>
    </row>
    <row r="286" spans="1:6" x14ac:dyDescent="0.25">
      <c r="A286" s="8">
        <v>41565</v>
      </c>
      <c r="B286" s="4">
        <v>59249</v>
      </c>
      <c r="C286" s="57">
        <v>67.75</v>
      </c>
      <c r="D286" s="4" t="str">
        <f t="shared" si="4"/>
        <v>EOM plus 15 days</v>
      </c>
      <c r="E286" s="4">
        <v>15</v>
      </c>
      <c r="F286" s="104"/>
    </row>
    <row r="287" spans="1:6" x14ac:dyDescent="0.25">
      <c r="A287" s="8">
        <v>41565</v>
      </c>
      <c r="B287" s="4">
        <v>59250</v>
      </c>
      <c r="C287" s="57">
        <v>165.3</v>
      </c>
      <c r="D287" s="4" t="str">
        <f t="shared" si="4"/>
        <v>EOM plus 20 days</v>
      </c>
      <c r="E287" s="4">
        <v>20</v>
      </c>
      <c r="F287" s="104"/>
    </row>
    <row r="288" spans="1:6" x14ac:dyDescent="0.25">
      <c r="A288" s="8">
        <v>41565</v>
      </c>
      <c r="B288" s="4">
        <v>59251</v>
      </c>
      <c r="C288" s="57">
        <v>131.80000000000001</v>
      </c>
      <c r="D288" s="4" t="str">
        <f t="shared" si="4"/>
        <v>EOM plus 20 days</v>
      </c>
      <c r="E288" s="4">
        <v>20</v>
      </c>
      <c r="F288" s="104"/>
    </row>
    <row r="289" spans="1:6" x14ac:dyDescent="0.25">
      <c r="A289" s="8">
        <v>41565</v>
      </c>
      <c r="B289" s="4">
        <v>59252</v>
      </c>
      <c r="C289" s="57">
        <v>79.55</v>
      </c>
      <c r="D289" s="4" t="str">
        <f t="shared" si="4"/>
        <v>EOM plus 10 days</v>
      </c>
      <c r="E289" s="4">
        <v>10</v>
      </c>
      <c r="F289" s="104"/>
    </row>
    <row r="290" spans="1:6" x14ac:dyDescent="0.25">
      <c r="A290" s="8">
        <v>41565</v>
      </c>
      <c r="B290" s="4">
        <v>59253</v>
      </c>
      <c r="C290" s="57">
        <v>165.41</v>
      </c>
      <c r="D290" s="4" t="str">
        <f t="shared" si="4"/>
        <v>EOM plus 5 days</v>
      </c>
      <c r="E290" s="4">
        <v>5</v>
      </c>
      <c r="F290" s="104"/>
    </row>
    <row r="291" spans="1:6" x14ac:dyDescent="0.25">
      <c r="A291" s="8">
        <v>41565</v>
      </c>
      <c r="B291" s="4">
        <v>59254</v>
      </c>
      <c r="C291" s="57">
        <v>64.040000000000006</v>
      </c>
      <c r="D291" s="4" t="str">
        <f t="shared" si="4"/>
        <v>EOM plus 20 days</v>
      </c>
      <c r="E291" s="4">
        <v>20</v>
      </c>
      <c r="F291" s="104"/>
    </row>
    <row r="292" spans="1:6" x14ac:dyDescent="0.25">
      <c r="A292" s="8">
        <v>41565</v>
      </c>
      <c r="B292" s="4">
        <v>59255</v>
      </c>
      <c r="C292" s="57">
        <v>85.57</v>
      </c>
      <c r="D292" s="4" t="str">
        <f t="shared" si="4"/>
        <v>EOM plus 20 days</v>
      </c>
      <c r="E292" s="4">
        <v>20</v>
      </c>
      <c r="F292" s="104"/>
    </row>
    <row r="293" spans="1:6" x14ac:dyDescent="0.25">
      <c r="A293" s="8">
        <v>41565</v>
      </c>
      <c r="B293" s="4">
        <v>59256</v>
      </c>
      <c r="C293" s="57">
        <v>350.88</v>
      </c>
      <c r="D293" s="4" t="str">
        <f t="shared" si="4"/>
        <v>EOM plus 10 days</v>
      </c>
      <c r="E293" s="4">
        <v>10</v>
      </c>
      <c r="F293" s="104"/>
    </row>
    <row r="294" spans="1:6" x14ac:dyDescent="0.25">
      <c r="A294" s="8">
        <v>41565</v>
      </c>
      <c r="B294" s="4">
        <v>59257</v>
      </c>
      <c r="C294" s="57">
        <v>269.77999999999997</v>
      </c>
      <c r="D294" s="4" t="str">
        <f t="shared" si="4"/>
        <v>EOM plus 15 days</v>
      </c>
      <c r="E294" s="4">
        <v>15</v>
      </c>
      <c r="F294" s="104"/>
    </row>
    <row r="295" spans="1:6" x14ac:dyDescent="0.25">
      <c r="A295" s="8">
        <v>41565</v>
      </c>
      <c r="B295" s="4">
        <v>59258</v>
      </c>
      <c r="C295" s="57">
        <v>294.08999999999997</v>
      </c>
      <c r="D295" s="4" t="str">
        <f t="shared" si="4"/>
        <v>EOM plus 10 days</v>
      </c>
      <c r="E295" s="4">
        <v>10</v>
      </c>
      <c r="F295" s="104"/>
    </row>
    <row r="296" spans="1:6" x14ac:dyDescent="0.25">
      <c r="A296" s="8">
        <v>41565</v>
      </c>
      <c r="B296" s="4">
        <v>59259</v>
      </c>
      <c r="C296" s="57">
        <v>150.68</v>
      </c>
      <c r="D296" s="4" t="str">
        <f t="shared" si="4"/>
        <v>EOM plus 10 days</v>
      </c>
      <c r="E296" s="4">
        <v>10</v>
      </c>
      <c r="F296" s="104"/>
    </row>
    <row r="297" spans="1:6" x14ac:dyDescent="0.25">
      <c r="A297" s="8">
        <v>41565</v>
      </c>
      <c r="B297" s="4">
        <v>59260</v>
      </c>
      <c r="C297" s="57">
        <v>335.48</v>
      </c>
      <c r="D297" s="4" t="str">
        <f t="shared" si="4"/>
        <v>EOM plus 10 days</v>
      </c>
      <c r="E297" s="4">
        <v>10</v>
      </c>
      <c r="F297" s="104"/>
    </row>
    <row r="298" spans="1:6" x14ac:dyDescent="0.25">
      <c r="A298" s="8">
        <v>41565</v>
      </c>
      <c r="B298" s="4">
        <v>59261</v>
      </c>
      <c r="C298" s="57">
        <v>80.23</v>
      </c>
      <c r="D298" s="4" t="str">
        <f t="shared" si="4"/>
        <v>EOM plus 5 days</v>
      </c>
      <c r="E298" s="4">
        <v>5</v>
      </c>
      <c r="F298" s="104"/>
    </row>
    <row r="299" spans="1:6" x14ac:dyDescent="0.25">
      <c r="A299" s="8">
        <v>41565</v>
      </c>
      <c r="B299" s="4">
        <v>59262</v>
      </c>
      <c r="C299" s="57">
        <v>209.89</v>
      </c>
      <c r="D299" s="4" t="str">
        <f t="shared" si="4"/>
        <v>EOM plus 10 days</v>
      </c>
      <c r="E299" s="4">
        <v>10</v>
      </c>
      <c r="F299" s="104"/>
    </row>
    <row r="300" spans="1:6" x14ac:dyDescent="0.25">
      <c r="A300" s="8">
        <v>41565</v>
      </c>
      <c r="B300" s="4">
        <v>59263</v>
      </c>
      <c r="C300" s="57">
        <v>58.4</v>
      </c>
      <c r="D300" s="4" t="str">
        <f t="shared" si="4"/>
        <v>EOM plus 10 days</v>
      </c>
      <c r="E300" s="4">
        <v>10</v>
      </c>
      <c r="F300" s="104"/>
    </row>
    <row r="301" spans="1:6" x14ac:dyDescent="0.25">
      <c r="A301" s="8">
        <v>41565</v>
      </c>
      <c r="B301" s="4">
        <v>59264</v>
      </c>
      <c r="C301" s="57">
        <v>363.92</v>
      </c>
      <c r="D301" s="4" t="str">
        <f t="shared" si="4"/>
        <v>EOM plus 15 days</v>
      </c>
      <c r="E301" s="4">
        <v>15</v>
      </c>
      <c r="F301" s="104"/>
    </row>
    <row r="302" spans="1:6" x14ac:dyDescent="0.25">
      <c r="A302" s="8">
        <v>41565</v>
      </c>
      <c r="B302" s="4">
        <v>59265</v>
      </c>
      <c r="C302" s="57">
        <v>109.95</v>
      </c>
      <c r="D302" s="4" t="str">
        <f t="shared" si="4"/>
        <v>EOM plus 5 days</v>
      </c>
      <c r="E302" s="4">
        <v>5</v>
      </c>
      <c r="F302" s="104"/>
    </row>
    <row r="303" spans="1:6" x14ac:dyDescent="0.25">
      <c r="A303" s="8">
        <v>41566</v>
      </c>
      <c r="B303" s="4">
        <v>59266</v>
      </c>
      <c r="C303" s="57">
        <v>144.82</v>
      </c>
      <c r="D303" s="4" t="str">
        <f t="shared" si="4"/>
        <v>EOM plus 10 days</v>
      </c>
      <c r="E303" s="4">
        <v>10</v>
      </c>
      <c r="F303" s="104"/>
    </row>
    <row r="304" spans="1:6" x14ac:dyDescent="0.25">
      <c r="A304" s="8">
        <v>41566</v>
      </c>
      <c r="B304" s="4">
        <v>59267</v>
      </c>
      <c r="C304" s="57">
        <v>194.87</v>
      </c>
      <c r="D304" s="4" t="str">
        <f t="shared" si="4"/>
        <v>EOM plus 10 days</v>
      </c>
      <c r="E304" s="4">
        <v>10</v>
      </c>
      <c r="F304" s="104"/>
    </row>
    <row r="305" spans="1:6" x14ac:dyDescent="0.25">
      <c r="A305" s="8">
        <v>41566</v>
      </c>
      <c r="B305" s="4">
        <v>59268</v>
      </c>
      <c r="C305" s="57">
        <v>389.76</v>
      </c>
      <c r="D305" s="4" t="str">
        <f t="shared" si="4"/>
        <v>EOM plus 10 days</v>
      </c>
      <c r="E305" s="4">
        <v>10</v>
      </c>
      <c r="F305" s="104"/>
    </row>
    <row r="306" spans="1:6" x14ac:dyDescent="0.25">
      <c r="A306" s="8">
        <v>41566</v>
      </c>
      <c r="B306" s="4">
        <v>59269</v>
      </c>
      <c r="C306" s="57">
        <v>79.66</v>
      </c>
      <c r="D306" s="4" t="str">
        <f t="shared" si="4"/>
        <v>EOM plus 5 days</v>
      </c>
      <c r="E306" s="4">
        <v>5</v>
      </c>
      <c r="F306" s="104"/>
    </row>
    <row r="307" spans="1:6" x14ac:dyDescent="0.25">
      <c r="A307" s="8">
        <v>41566</v>
      </c>
      <c r="B307" s="4">
        <v>59270</v>
      </c>
      <c r="C307" s="57">
        <v>303.92</v>
      </c>
      <c r="D307" s="4" t="str">
        <f t="shared" si="4"/>
        <v>EOM plus 5 days</v>
      </c>
      <c r="E307" s="4">
        <v>5</v>
      </c>
      <c r="F307" s="104"/>
    </row>
    <row r="308" spans="1:6" x14ac:dyDescent="0.25">
      <c r="A308" s="8">
        <v>41566</v>
      </c>
      <c r="B308" s="4">
        <v>59271</v>
      </c>
      <c r="C308" s="57">
        <v>97.62</v>
      </c>
      <c r="D308" s="4" t="str">
        <f t="shared" si="4"/>
        <v>EOM plus 10 days</v>
      </c>
      <c r="E308" s="4">
        <v>10</v>
      </c>
      <c r="F308" s="104"/>
    </row>
    <row r="309" spans="1:6" x14ac:dyDescent="0.25">
      <c r="A309" s="8">
        <v>41566</v>
      </c>
      <c r="B309" s="4">
        <v>59272</v>
      </c>
      <c r="C309" s="57">
        <v>300.57</v>
      </c>
      <c r="D309" s="4" t="str">
        <f t="shared" si="4"/>
        <v>EOM plus 15 days</v>
      </c>
      <c r="E309" s="4">
        <v>15</v>
      </c>
      <c r="F309" s="104"/>
    </row>
    <row r="310" spans="1:6" x14ac:dyDescent="0.25">
      <c r="A310" s="8">
        <v>41566</v>
      </c>
      <c r="B310" s="4">
        <v>59273</v>
      </c>
      <c r="C310" s="57">
        <v>86.22</v>
      </c>
      <c r="D310" s="4" t="str">
        <f t="shared" si="4"/>
        <v>EOM plus 5 days</v>
      </c>
      <c r="E310" s="4">
        <v>5</v>
      </c>
      <c r="F310" s="104"/>
    </row>
    <row r="311" spans="1:6" x14ac:dyDescent="0.25">
      <c r="A311" s="8">
        <v>41566</v>
      </c>
      <c r="B311" s="4">
        <v>59274</v>
      </c>
      <c r="C311" s="57">
        <v>286.69</v>
      </c>
      <c r="D311" s="4" t="str">
        <f t="shared" si="4"/>
        <v>EOM plus 10 days</v>
      </c>
      <c r="E311" s="4">
        <v>10</v>
      </c>
      <c r="F311" s="104"/>
    </row>
    <row r="312" spans="1:6" x14ac:dyDescent="0.25">
      <c r="A312" s="8">
        <v>41566</v>
      </c>
      <c r="B312" s="4">
        <v>59275</v>
      </c>
      <c r="C312" s="57">
        <v>351.91</v>
      </c>
      <c r="D312" s="4" t="str">
        <f t="shared" si="4"/>
        <v>EOM plus 10 days</v>
      </c>
      <c r="E312" s="4">
        <v>10</v>
      </c>
      <c r="F312" s="104"/>
    </row>
    <row r="313" spans="1:6" x14ac:dyDescent="0.25">
      <c r="A313" s="8">
        <v>41566</v>
      </c>
      <c r="B313" s="4">
        <v>59276</v>
      </c>
      <c r="C313" s="57">
        <v>219.56</v>
      </c>
      <c r="D313" s="4" t="str">
        <f t="shared" si="4"/>
        <v>EOM plus 10 days</v>
      </c>
      <c r="E313" s="4">
        <v>10</v>
      </c>
      <c r="F313" s="104"/>
    </row>
    <row r="314" spans="1:6" x14ac:dyDescent="0.25">
      <c r="A314" s="8">
        <v>41566</v>
      </c>
      <c r="B314" s="4">
        <v>59277</v>
      </c>
      <c r="C314" s="57">
        <v>309.63</v>
      </c>
      <c r="D314" s="4" t="str">
        <f t="shared" si="4"/>
        <v>EOM plus 10 days</v>
      </c>
      <c r="E314" s="4">
        <v>10</v>
      </c>
      <c r="F314" s="104"/>
    </row>
    <row r="315" spans="1:6" x14ac:dyDescent="0.25">
      <c r="A315" s="8">
        <v>41566</v>
      </c>
      <c r="B315" s="4">
        <v>59278</v>
      </c>
      <c r="C315" s="57">
        <v>369.27</v>
      </c>
      <c r="D315" s="4" t="str">
        <f t="shared" si="4"/>
        <v>EOM plus 10 days</v>
      </c>
      <c r="E315" s="4">
        <v>10</v>
      </c>
      <c r="F315" s="104"/>
    </row>
    <row r="316" spans="1:6" x14ac:dyDescent="0.25">
      <c r="A316" s="8">
        <v>41566</v>
      </c>
      <c r="B316" s="4">
        <v>59279</v>
      </c>
      <c r="C316" s="57">
        <v>319.87</v>
      </c>
      <c r="D316" s="4" t="str">
        <f t="shared" si="4"/>
        <v>EOM plus 5 days</v>
      </c>
      <c r="E316" s="4">
        <v>5</v>
      </c>
      <c r="F316" s="104"/>
    </row>
    <row r="317" spans="1:6" x14ac:dyDescent="0.25">
      <c r="A317" s="8">
        <v>41566</v>
      </c>
      <c r="B317" s="4">
        <v>59280</v>
      </c>
      <c r="C317" s="57">
        <v>65.010000000000005</v>
      </c>
      <c r="D317" s="4" t="str">
        <f t="shared" si="4"/>
        <v>EOM plus 10 days</v>
      </c>
      <c r="E317" s="4">
        <v>10</v>
      </c>
      <c r="F317" s="104"/>
    </row>
    <row r="318" spans="1:6" x14ac:dyDescent="0.25">
      <c r="A318" s="8">
        <v>41566</v>
      </c>
      <c r="B318" s="4">
        <v>59281</v>
      </c>
      <c r="C318" s="57">
        <v>188.54</v>
      </c>
      <c r="D318" s="4" t="str">
        <f t="shared" si="4"/>
        <v>EOM plus 15 days</v>
      </c>
      <c r="E318" s="4">
        <v>15</v>
      </c>
      <c r="F318" s="104"/>
    </row>
    <row r="319" spans="1:6" x14ac:dyDescent="0.25">
      <c r="A319" s="8">
        <v>41566</v>
      </c>
      <c r="B319" s="4">
        <v>59282</v>
      </c>
      <c r="C319" s="57">
        <v>205.69</v>
      </c>
      <c r="D319" s="4" t="str">
        <f t="shared" si="4"/>
        <v>EOM plus 10 days</v>
      </c>
      <c r="E319" s="4">
        <v>10</v>
      </c>
      <c r="F319" s="104"/>
    </row>
    <row r="320" spans="1:6" x14ac:dyDescent="0.25">
      <c r="A320" s="8">
        <v>41566</v>
      </c>
      <c r="B320" s="4">
        <v>59283</v>
      </c>
      <c r="C320" s="57">
        <v>301.66000000000003</v>
      </c>
      <c r="D320" s="4" t="str">
        <f t="shared" si="4"/>
        <v>EOM plus 10 days</v>
      </c>
      <c r="E320" s="4">
        <v>10</v>
      </c>
      <c r="F320" s="104"/>
    </row>
    <row r="321" spans="1:6" x14ac:dyDescent="0.25">
      <c r="A321" s="8">
        <v>41566</v>
      </c>
      <c r="B321" s="4">
        <v>59284</v>
      </c>
      <c r="C321" s="57">
        <v>355.56</v>
      </c>
      <c r="D321" s="4" t="str">
        <f t="shared" si="4"/>
        <v>EOM plus 20 days</v>
      </c>
      <c r="E321" s="4">
        <v>20</v>
      </c>
      <c r="F321" s="104"/>
    </row>
    <row r="322" spans="1:6" x14ac:dyDescent="0.25">
      <c r="A322" s="8">
        <v>41566</v>
      </c>
      <c r="B322" s="4">
        <v>59285</v>
      </c>
      <c r="C322" s="57">
        <v>289.93</v>
      </c>
      <c r="D322" s="4" t="str">
        <f t="shared" si="4"/>
        <v>EOM plus 10 days</v>
      </c>
      <c r="E322" s="4">
        <v>10</v>
      </c>
      <c r="F322" s="104"/>
    </row>
    <row r="323" spans="1:6" x14ac:dyDescent="0.25">
      <c r="A323" s="8">
        <v>41567</v>
      </c>
      <c r="B323" s="4">
        <v>59286</v>
      </c>
      <c r="C323" s="57">
        <v>344.92</v>
      </c>
      <c r="D323" s="4" t="str">
        <f t="shared" si="4"/>
        <v>EOM plus 5 days</v>
      </c>
      <c r="E323" s="4">
        <v>5</v>
      </c>
      <c r="F323" s="104"/>
    </row>
    <row r="324" spans="1:6" x14ac:dyDescent="0.25">
      <c r="A324" s="8">
        <v>41567</v>
      </c>
      <c r="B324" s="4">
        <v>59287</v>
      </c>
      <c r="C324" s="57">
        <v>180.67</v>
      </c>
      <c r="D324" s="4" t="str">
        <f t="shared" si="4"/>
        <v>EOM plus 20 days</v>
      </c>
      <c r="E324" s="4">
        <v>20</v>
      </c>
      <c r="F324" s="104"/>
    </row>
    <row r="325" spans="1:6" x14ac:dyDescent="0.25">
      <c r="A325" s="8">
        <v>41567</v>
      </c>
      <c r="B325" s="4">
        <v>59288</v>
      </c>
      <c r="C325" s="57">
        <v>189.6</v>
      </c>
      <c r="D325" s="4" t="str">
        <f t="shared" ref="D325:D388" si="5">"EOM plus "&amp;E325&amp;" days"</f>
        <v>EOM plus 15 days</v>
      </c>
      <c r="E325" s="4">
        <v>15</v>
      </c>
      <c r="F325" s="104"/>
    </row>
    <row r="326" spans="1:6" x14ac:dyDescent="0.25">
      <c r="A326" s="8">
        <v>41567</v>
      </c>
      <c r="B326" s="4">
        <v>59289</v>
      </c>
      <c r="C326" s="57">
        <v>172.01</v>
      </c>
      <c r="D326" s="4" t="str">
        <f t="shared" si="5"/>
        <v>EOM plus 15 days</v>
      </c>
      <c r="E326" s="4">
        <v>15</v>
      </c>
      <c r="F326" s="104"/>
    </row>
    <row r="327" spans="1:6" x14ac:dyDescent="0.25">
      <c r="A327" s="8">
        <v>41567</v>
      </c>
      <c r="B327" s="4">
        <v>59290</v>
      </c>
      <c r="C327" s="57">
        <v>115.57</v>
      </c>
      <c r="D327" s="4" t="str">
        <f t="shared" si="5"/>
        <v>EOM plus 15 days</v>
      </c>
      <c r="E327" s="4">
        <v>15</v>
      </c>
      <c r="F327" s="104"/>
    </row>
    <row r="328" spans="1:6" x14ac:dyDescent="0.25">
      <c r="A328" s="8">
        <v>41567</v>
      </c>
      <c r="B328" s="4">
        <v>59291</v>
      </c>
      <c r="C328" s="57">
        <v>369.38</v>
      </c>
      <c r="D328" s="4" t="str">
        <f t="shared" si="5"/>
        <v>EOM plus 10 days</v>
      </c>
      <c r="E328" s="4">
        <v>10</v>
      </c>
      <c r="F328" s="104"/>
    </row>
    <row r="329" spans="1:6" x14ac:dyDescent="0.25">
      <c r="A329" s="8">
        <v>41567</v>
      </c>
      <c r="B329" s="4">
        <v>59292</v>
      </c>
      <c r="C329" s="57">
        <v>311.51</v>
      </c>
      <c r="D329" s="4" t="str">
        <f t="shared" si="5"/>
        <v>EOM plus 5 days</v>
      </c>
      <c r="E329" s="4">
        <v>5</v>
      </c>
      <c r="F329" s="104"/>
    </row>
    <row r="330" spans="1:6" x14ac:dyDescent="0.25">
      <c r="A330" s="8">
        <v>41567</v>
      </c>
      <c r="B330" s="4">
        <v>59293</v>
      </c>
      <c r="C330" s="57">
        <v>130.91</v>
      </c>
      <c r="D330" s="4" t="str">
        <f t="shared" si="5"/>
        <v>EOM plus 10 days</v>
      </c>
      <c r="E330" s="4">
        <v>10</v>
      </c>
      <c r="F330" s="104"/>
    </row>
    <row r="331" spans="1:6" x14ac:dyDescent="0.25">
      <c r="A331" s="8">
        <v>41567</v>
      </c>
      <c r="B331" s="4">
        <v>59294</v>
      </c>
      <c r="C331" s="57">
        <v>334.71</v>
      </c>
      <c r="D331" s="4" t="str">
        <f t="shared" si="5"/>
        <v>EOM plus 15 days</v>
      </c>
      <c r="E331" s="4">
        <v>15</v>
      </c>
      <c r="F331" s="104"/>
    </row>
    <row r="332" spans="1:6" x14ac:dyDescent="0.25">
      <c r="A332" s="8">
        <v>41567</v>
      </c>
      <c r="B332" s="4">
        <v>59295</v>
      </c>
      <c r="C332" s="57">
        <v>110.29</v>
      </c>
      <c r="D332" s="4" t="str">
        <f t="shared" si="5"/>
        <v>EOM plus 10 days</v>
      </c>
      <c r="E332" s="4">
        <v>10</v>
      </c>
      <c r="F332" s="104"/>
    </row>
    <row r="333" spans="1:6" x14ac:dyDescent="0.25">
      <c r="A333" s="8">
        <v>41567</v>
      </c>
      <c r="B333" s="4">
        <v>59296</v>
      </c>
      <c r="C333" s="57">
        <v>160.38999999999999</v>
      </c>
      <c r="D333" s="4" t="str">
        <f t="shared" si="5"/>
        <v>EOM plus 20 days</v>
      </c>
      <c r="E333" s="4">
        <v>20</v>
      </c>
      <c r="F333" s="104"/>
    </row>
    <row r="334" spans="1:6" x14ac:dyDescent="0.25">
      <c r="A334" s="8">
        <v>41567</v>
      </c>
      <c r="B334" s="4">
        <v>59297</v>
      </c>
      <c r="C334" s="57">
        <v>77.59</v>
      </c>
      <c r="D334" s="4" t="str">
        <f t="shared" si="5"/>
        <v>EOM plus 10 days</v>
      </c>
      <c r="E334" s="4">
        <v>10</v>
      </c>
      <c r="F334" s="104"/>
    </row>
    <row r="335" spans="1:6" x14ac:dyDescent="0.25">
      <c r="A335" s="8">
        <v>41567</v>
      </c>
      <c r="B335" s="4">
        <v>59298</v>
      </c>
      <c r="C335" s="57">
        <v>234.43</v>
      </c>
      <c r="D335" s="4" t="str">
        <f t="shared" si="5"/>
        <v>EOM plus 5 days</v>
      </c>
      <c r="E335" s="4">
        <v>5</v>
      </c>
      <c r="F335" s="104"/>
    </row>
    <row r="336" spans="1:6" x14ac:dyDescent="0.25">
      <c r="A336" s="8">
        <v>41568</v>
      </c>
      <c r="B336" s="4">
        <v>59299</v>
      </c>
      <c r="C336" s="57">
        <v>296.64999999999998</v>
      </c>
      <c r="D336" s="4" t="str">
        <f t="shared" si="5"/>
        <v>EOM plus 10 days</v>
      </c>
      <c r="E336" s="4">
        <v>10</v>
      </c>
      <c r="F336" s="104"/>
    </row>
    <row r="337" spans="1:6" x14ac:dyDescent="0.25">
      <c r="A337" s="8">
        <v>41568</v>
      </c>
      <c r="B337" s="4">
        <v>59300</v>
      </c>
      <c r="C337" s="57">
        <v>122.66</v>
      </c>
      <c r="D337" s="4" t="str">
        <f t="shared" si="5"/>
        <v>EOM plus 5 days</v>
      </c>
      <c r="E337" s="4">
        <v>5</v>
      </c>
      <c r="F337" s="104"/>
    </row>
    <row r="338" spans="1:6" x14ac:dyDescent="0.25">
      <c r="A338" s="8">
        <v>41568</v>
      </c>
      <c r="B338" s="4">
        <v>59301</v>
      </c>
      <c r="C338" s="57">
        <v>139.07</v>
      </c>
      <c r="D338" s="4" t="str">
        <f t="shared" si="5"/>
        <v>EOM plus 10 days</v>
      </c>
      <c r="E338" s="4">
        <v>10</v>
      </c>
      <c r="F338" s="104"/>
    </row>
    <row r="339" spans="1:6" x14ac:dyDescent="0.25">
      <c r="A339" s="8">
        <v>41568</v>
      </c>
      <c r="B339" s="4">
        <v>59302</v>
      </c>
      <c r="C339" s="57">
        <v>266.02999999999997</v>
      </c>
      <c r="D339" s="4" t="str">
        <f t="shared" si="5"/>
        <v>EOM plus 15 days</v>
      </c>
      <c r="E339" s="4">
        <v>15</v>
      </c>
      <c r="F339" s="104"/>
    </row>
    <row r="340" spans="1:6" x14ac:dyDescent="0.25">
      <c r="A340" s="8">
        <v>41568</v>
      </c>
      <c r="B340" s="4">
        <v>59303</v>
      </c>
      <c r="C340" s="57">
        <v>217.73</v>
      </c>
      <c r="D340" s="4" t="str">
        <f t="shared" si="5"/>
        <v>EOM plus 10 days</v>
      </c>
      <c r="E340" s="4">
        <v>10</v>
      </c>
      <c r="F340" s="104"/>
    </row>
    <row r="341" spans="1:6" x14ac:dyDescent="0.25">
      <c r="A341" s="8">
        <v>41568</v>
      </c>
      <c r="B341" s="4">
        <v>59304</v>
      </c>
      <c r="C341" s="57">
        <v>85.16</v>
      </c>
      <c r="D341" s="4" t="str">
        <f t="shared" si="5"/>
        <v>EOM plus 10 days</v>
      </c>
      <c r="E341" s="4">
        <v>10</v>
      </c>
      <c r="F341" s="104"/>
    </row>
    <row r="342" spans="1:6" x14ac:dyDescent="0.25">
      <c r="A342" s="8">
        <v>41568</v>
      </c>
      <c r="B342" s="4">
        <v>59305</v>
      </c>
      <c r="C342" s="57">
        <v>173.62</v>
      </c>
      <c r="D342" s="4" t="str">
        <f t="shared" si="5"/>
        <v>EOM plus 20 days</v>
      </c>
      <c r="E342" s="4">
        <v>20</v>
      </c>
      <c r="F342" s="104"/>
    </row>
    <row r="343" spans="1:6" x14ac:dyDescent="0.25">
      <c r="A343" s="8">
        <v>41568</v>
      </c>
      <c r="B343" s="4">
        <v>59306</v>
      </c>
      <c r="C343" s="57">
        <v>60.2</v>
      </c>
      <c r="D343" s="4" t="str">
        <f t="shared" si="5"/>
        <v>EOM plus 15 days</v>
      </c>
      <c r="E343" s="4">
        <v>15</v>
      </c>
      <c r="F343" s="104"/>
    </row>
    <row r="344" spans="1:6" x14ac:dyDescent="0.25">
      <c r="A344" s="8">
        <v>41568</v>
      </c>
      <c r="B344" s="4">
        <v>59307</v>
      </c>
      <c r="C344" s="57">
        <v>358.84</v>
      </c>
      <c r="D344" s="4" t="str">
        <f t="shared" si="5"/>
        <v>EOM plus 20 days</v>
      </c>
      <c r="E344" s="4">
        <v>20</v>
      </c>
      <c r="F344" s="104"/>
    </row>
    <row r="345" spans="1:6" x14ac:dyDescent="0.25">
      <c r="A345" s="8">
        <v>41568</v>
      </c>
      <c r="B345" s="4">
        <v>59308</v>
      </c>
      <c r="C345" s="57">
        <v>362.58</v>
      </c>
      <c r="D345" s="4" t="str">
        <f t="shared" si="5"/>
        <v>EOM plus 10 days</v>
      </c>
      <c r="E345" s="4">
        <v>10</v>
      </c>
      <c r="F345" s="104"/>
    </row>
    <row r="346" spans="1:6" x14ac:dyDescent="0.25">
      <c r="A346" s="8">
        <v>41568</v>
      </c>
      <c r="B346" s="4">
        <v>59309</v>
      </c>
      <c r="C346" s="57">
        <v>104.01</v>
      </c>
      <c r="D346" s="4" t="str">
        <f t="shared" si="5"/>
        <v>EOM plus 15 days</v>
      </c>
      <c r="E346" s="4">
        <v>15</v>
      </c>
      <c r="F346" s="104"/>
    </row>
    <row r="347" spans="1:6" x14ac:dyDescent="0.25">
      <c r="A347" s="8">
        <v>41568</v>
      </c>
      <c r="B347" s="4">
        <v>59310</v>
      </c>
      <c r="C347" s="57">
        <v>342.57</v>
      </c>
      <c r="D347" s="4" t="str">
        <f t="shared" si="5"/>
        <v>EOM plus 20 days</v>
      </c>
      <c r="E347" s="4">
        <v>20</v>
      </c>
      <c r="F347" s="104"/>
    </row>
    <row r="348" spans="1:6" x14ac:dyDescent="0.25">
      <c r="A348" s="8">
        <v>41568</v>
      </c>
      <c r="B348" s="4">
        <v>59311</v>
      </c>
      <c r="C348" s="57">
        <v>155.13</v>
      </c>
      <c r="D348" s="4" t="str">
        <f t="shared" si="5"/>
        <v>EOM plus 10 days</v>
      </c>
      <c r="E348" s="4">
        <v>10</v>
      </c>
      <c r="F348" s="104"/>
    </row>
    <row r="349" spans="1:6" x14ac:dyDescent="0.25">
      <c r="A349" s="8">
        <v>41569</v>
      </c>
      <c r="B349" s="4">
        <v>59312</v>
      </c>
      <c r="C349" s="57">
        <v>218.18</v>
      </c>
      <c r="D349" s="4" t="str">
        <f t="shared" si="5"/>
        <v>EOM plus 5 days</v>
      </c>
      <c r="E349" s="4">
        <v>5</v>
      </c>
      <c r="F349" s="104"/>
    </row>
    <row r="350" spans="1:6" x14ac:dyDescent="0.25">
      <c r="A350" s="8">
        <v>41569</v>
      </c>
      <c r="B350" s="4">
        <v>59313</v>
      </c>
      <c r="C350" s="57">
        <v>248.48</v>
      </c>
      <c r="D350" s="4" t="str">
        <f t="shared" si="5"/>
        <v>EOM plus 5 days</v>
      </c>
      <c r="E350" s="4">
        <v>5</v>
      </c>
      <c r="F350" s="104"/>
    </row>
    <row r="351" spans="1:6" x14ac:dyDescent="0.25">
      <c r="A351" s="8">
        <v>41569</v>
      </c>
      <c r="B351" s="4">
        <v>59314</v>
      </c>
      <c r="C351" s="57">
        <v>207.69</v>
      </c>
      <c r="D351" s="4" t="str">
        <f t="shared" si="5"/>
        <v>EOM plus 5 days</v>
      </c>
      <c r="E351" s="4">
        <v>5</v>
      </c>
      <c r="F351" s="104"/>
    </row>
    <row r="352" spans="1:6" x14ac:dyDescent="0.25">
      <c r="A352" s="8">
        <v>41569</v>
      </c>
      <c r="B352" s="4">
        <v>59315</v>
      </c>
      <c r="C352" s="57">
        <v>147.53</v>
      </c>
      <c r="D352" s="4" t="str">
        <f t="shared" si="5"/>
        <v>EOM plus 20 days</v>
      </c>
      <c r="E352" s="4">
        <v>20</v>
      </c>
      <c r="F352" s="104"/>
    </row>
    <row r="353" spans="1:6" x14ac:dyDescent="0.25">
      <c r="A353" s="8">
        <v>41569</v>
      </c>
      <c r="B353" s="4">
        <v>59316</v>
      </c>
      <c r="C353" s="57">
        <v>356.08</v>
      </c>
      <c r="D353" s="4" t="str">
        <f t="shared" si="5"/>
        <v>EOM plus 10 days</v>
      </c>
      <c r="E353" s="4">
        <v>10</v>
      </c>
      <c r="F353" s="104"/>
    </row>
    <row r="354" spans="1:6" x14ac:dyDescent="0.25">
      <c r="A354" s="8">
        <v>41569</v>
      </c>
      <c r="B354" s="4">
        <v>59317</v>
      </c>
      <c r="C354" s="57">
        <v>276.2</v>
      </c>
      <c r="D354" s="4" t="str">
        <f t="shared" si="5"/>
        <v>EOM plus 10 days</v>
      </c>
      <c r="E354" s="4">
        <v>10</v>
      </c>
      <c r="F354" s="104"/>
    </row>
    <row r="355" spans="1:6" x14ac:dyDescent="0.25">
      <c r="A355" s="8">
        <v>41569</v>
      </c>
      <c r="B355" s="4">
        <v>59318</v>
      </c>
      <c r="C355" s="57">
        <v>350</v>
      </c>
      <c r="D355" s="4" t="str">
        <f t="shared" si="5"/>
        <v>EOM plus 5 days</v>
      </c>
      <c r="E355" s="4">
        <v>5</v>
      </c>
      <c r="F355" s="104"/>
    </row>
    <row r="356" spans="1:6" x14ac:dyDescent="0.25">
      <c r="A356" s="8">
        <v>41569</v>
      </c>
      <c r="B356" s="4">
        <v>59319</v>
      </c>
      <c r="C356" s="57">
        <v>232.3</v>
      </c>
      <c r="D356" s="4" t="str">
        <f t="shared" si="5"/>
        <v>EOM plus 15 days</v>
      </c>
      <c r="E356" s="4">
        <v>15</v>
      </c>
      <c r="F356" s="104"/>
    </row>
    <row r="357" spans="1:6" x14ac:dyDescent="0.25">
      <c r="A357" s="8">
        <v>41569</v>
      </c>
      <c r="B357" s="4">
        <v>59320</v>
      </c>
      <c r="C357" s="57">
        <v>364.81</v>
      </c>
      <c r="D357" s="4" t="str">
        <f t="shared" si="5"/>
        <v>EOM plus 10 days</v>
      </c>
      <c r="E357" s="4">
        <v>10</v>
      </c>
      <c r="F357" s="104"/>
    </row>
    <row r="358" spans="1:6" x14ac:dyDescent="0.25">
      <c r="A358" s="8">
        <v>41569</v>
      </c>
      <c r="B358" s="4">
        <v>59321</v>
      </c>
      <c r="C358" s="57">
        <v>307.27</v>
      </c>
      <c r="D358" s="4" t="str">
        <f t="shared" si="5"/>
        <v>EOM plus 20 days</v>
      </c>
      <c r="E358" s="4">
        <v>20</v>
      </c>
      <c r="F358" s="104"/>
    </row>
    <row r="359" spans="1:6" x14ac:dyDescent="0.25">
      <c r="A359" s="8">
        <v>41569</v>
      </c>
      <c r="B359" s="4">
        <v>59322</v>
      </c>
      <c r="C359" s="57">
        <v>377.42</v>
      </c>
      <c r="D359" s="4" t="str">
        <f t="shared" si="5"/>
        <v>EOM plus 5 days</v>
      </c>
      <c r="E359" s="4">
        <v>5</v>
      </c>
      <c r="F359" s="104"/>
    </row>
    <row r="360" spans="1:6" x14ac:dyDescent="0.25">
      <c r="A360" s="8">
        <v>41569</v>
      </c>
      <c r="B360" s="4">
        <v>59323</v>
      </c>
      <c r="C360" s="57">
        <v>218.34</v>
      </c>
      <c r="D360" s="4" t="str">
        <f t="shared" si="5"/>
        <v>EOM plus 10 days</v>
      </c>
      <c r="E360" s="4">
        <v>10</v>
      </c>
      <c r="F360" s="104"/>
    </row>
    <row r="361" spans="1:6" x14ac:dyDescent="0.25">
      <c r="A361" s="8">
        <v>41569</v>
      </c>
      <c r="B361" s="4">
        <v>59324</v>
      </c>
      <c r="C361" s="57">
        <v>296.11</v>
      </c>
      <c r="D361" s="4" t="str">
        <f t="shared" si="5"/>
        <v>EOM plus 10 days</v>
      </c>
      <c r="E361" s="4">
        <v>10</v>
      </c>
      <c r="F361" s="104"/>
    </row>
    <row r="362" spans="1:6" x14ac:dyDescent="0.25">
      <c r="A362" s="8">
        <v>41570</v>
      </c>
      <c r="B362" s="4">
        <v>59325</v>
      </c>
      <c r="C362" s="57">
        <v>289.73</v>
      </c>
      <c r="D362" s="4" t="str">
        <f t="shared" si="5"/>
        <v>EOM plus 10 days</v>
      </c>
      <c r="E362" s="4">
        <v>10</v>
      </c>
      <c r="F362" s="104"/>
    </row>
    <row r="363" spans="1:6" x14ac:dyDescent="0.25">
      <c r="A363" s="8">
        <v>41570</v>
      </c>
      <c r="B363" s="4">
        <v>59326</v>
      </c>
      <c r="C363" s="57">
        <v>45.43</v>
      </c>
      <c r="D363" s="4" t="str">
        <f t="shared" si="5"/>
        <v>EOM plus 15 days</v>
      </c>
      <c r="E363" s="4">
        <v>15</v>
      </c>
      <c r="F363" s="104"/>
    </row>
    <row r="364" spans="1:6" x14ac:dyDescent="0.25">
      <c r="A364" s="8">
        <v>41570</v>
      </c>
      <c r="B364" s="4">
        <v>59327</v>
      </c>
      <c r="C364" s="57">
        <v>288.60000000000002</v>
      </c>
      <c r="D364" s="4" t="str">
        <f t="shared" si="5"/>
        <v>EOM plus 10 days</v>
      </c>
      <c r="E364" s="4">
        <v>10</v>
      </c>
      <c r="F364" s="104"/>
    </row>
    <row r="365" spans="1:6" x14ac:dyDescent="0.25">
      <c r="A365" s="8">
        <v>41570</v>
      </c>
      <c r="B365" s="4">
        <v>59328</v>
      </c>
      <c r="C365" s="57">
        <v>273.41000000000003</v>
      </c>
      <c r="D365" s="4" t="str">
        <f t="shared" si="5"/>
        <v>EOM plus 5 days</v>
      </c>
      <c r="E365" s="4">
        <v>5</v>
      </c>
      <c r="F365" s="104"/>
    </row>
    <row r="366" spans="1:6" x14ac:dyDescent="0.25">
      <c r="A366" s="8">
        <v>41570</v>
      </c>
      <c r="B366" s="4">
        <v>59329</v>
      </c>
      <c r="C366" s="57">
        <v>282.18</v>
      </c>
      <c r="D366" s="4" t="str">
        <f t="shared" si="5"/>
        <v>EOM plus 10 days</v>
      </c>
      <c r="E366" s="4">
        <v>10</v>
      </c>
      <c r="F366" s="104"/>
    </row>
    <row r="367" spans="1:6" x14ac:dyDescent="0.25">
      <c r="A367" s="8">
        <v>41570</v>
      </c>
      <c r="B367" s="4">
        <v>59330</v>
      </c>
      <c r="C367" s="57">
        <v>278.48</v>
      </c>
      <c r="D367" s="4" t="str">
        <f t="shared" si="5"/>
        <v>EOM plus 20 days</v>
      </c>
      <c r="E367" s="4">
        <v>20</v>
      </c>
      <c r="F367" s="104"/>
    </row>
    <row r="368" spans="1:6" x14ac:dyDescent="0.25">
      <c r="A368" s="8">
        <v>41570</v>
      </c>
      <c r="B368" s="4">
        <v>59331</v>
      </c>
      <c r="C368" s="57">
        <v>381.07</v>
      </c>
      <c r="D368" s="4" t="str">
        <f t="shared" si="5"/>
        <v>EOM plus 15 days</v>
      </c>
      <c r="E368" s="4">
        <v>15</v>
      </c>
      <c r="F368" s="104"/>
    </row>
    <row r="369" spans="1:6" x14ac:dyDescent="0.25">
      <c r="A369" s="8">
        <v>41570</v>
      </c>
      <c r="B369" s="4">
        <v>59332</v>
      </c>
      <c r="C369" s="57">
        <v>332.98</v>
      </c>
      <c r="D369" s="4" t="str">
        <f t="shared" si="5"/>
        <v>EOM plus 5 days</v>
      </c>
      <c r="E369" s="4">
        <v>5</v>
      </c>
      <c r="F369" s="104"/>
    </row>
    <row r="370" spans="1:6" x14ac:dyDescent="0.25">
      <c r="A370" s="8">
        <v>41570</v>
      </c>
      <c r="B370" s="4">
        <v>59333</v>
      </c>
      <c r="C370" s="57">
        <v>142.49</v>
      </c>
      <c r="D370" s="4" t="str">
        <f t="shared" si="5"/>
        <v>EOM plus 5 days</v>
      </c>
      <c r="E370" s="4">
        <v>5</v>
      </c>
      <c r="F370" s="104"/>
    </row>
    <row r="371" spans="1:6" x14ac:dyDescent="0.25">
      <c r="A371" s="8">
        <v>41570</v>
      </c>
      <c r="B371" s="4">
        <v>59334</v>
      </c>
      <c r="C371" s="57">
        <v>85.06</v>
      </c>
      <c r="D371" s="4" t="str">
        <f t="shared" si="5"/>
        <v>EOM plus 10 days</v>
      </c>
      <c r="E371" s="4">
        <v>10</v>
      </c>
      <c r="F371" s="104"/>
    </row>
    <row r="372" spans="1:6" x14ac:dyDescent="0.25">
      <c r="A372" s="8">
        <v>41570</v>
      </c>
      <c r="B372" s="4">
        <v>59335</v>
      </c>
      <c r="C372" s="57">
        <v>203.88</v>
      </c>
      <c r="D372" s="4" t="str">
        <f t="shared" si="5"/>
        <v>EOM plus 5 days</v>
      </c>
      <c r="E372" s="4">
        <v>5</v>
      </c>
      <c r="F372" s="104"/>
    </row>
    <row r="373" spans="1:6" x14ac:dyDescent="0.25">
      <c r="A373" s="8">
        <v>41570</v>
      </c>
      <c r="B373" s="4">
        <v>59336</v>
      </c>
      <c r="C373" s="57">
        <v>371.79</v>
      </c>
      <c r="D373" s="4" t="str">
        <f t="shared" si="5"/>
        <v>EOM plus 10 days</v>
      </c>
      <c r="E373" s="4">
        <v>10</v>
      </c>
      <c r="F373" s="104"/>
    </row>
    <row r="374" spans="1:6" x14ac:dyDescent="0.25">
      <c r="A374" s="8">
        <v>41570</v>
      </c>
      <c r="B374" s="4">
        <v>59337</v>
      </c>
      <c r="C374" s="57">
        <v>266.83999999999997</v>
      </c>
      <c r="D374" s="4" t="str">
        <f t="shared" si="5"/>
        <v>EOM plus 20 days</v>
      </c>
      <c r="E374" s="4">
        <v>20</v>
      </c>
      <c r="F374" s="104"/>
    </row>
    <row r="375" spans="1:6" x14ac:dyDescent="0.25">
      <c r="A375" s="8">
        <v>41570</v>
      </c>
      <c r="B375" s="4">
        <v>59338</v>
      </c>
      <c r="C375" s="57">
        <v>85.41</v>
      </c>
      <c r="D375" s="4" t="str">
        <f t="shared" si="5"/>
        <v>EOM plus 10 days</v>
      </c>
      <c r="E375" s="4">
        <v>10</v>
      </c>
      <c r="F375" s="104"/>
    </row>
    <row r="376" spans="1:6" x14ac:dyDescent="0.25">
      <c r="A376" s="8">
        <v>41571</v>
      </c>
      <c r="B376" s="4">
        <v>59339</v>
      </c>
      <c r="C376" s="57">
        <v>37.520000000000003</v>
      </c>
      <c r="D376" s="4" t="str">
        <f t="shared" si="5"/>
        <v>EOM plus 10 days</v>
      </c>
      <c r="E376" s="4">
        <v>10</v>
      </c>
      <c r="F376" s="104"/>
    </row>
    <row r="377" spans="1:6" x14ac:dyDescent="0.25">
      <c r="A377" s="8">
        <v>41571</v>
      </c>
      <c r="B377" s="4">
        <v>59340</v>
      </c>
      <c r="C377" s="57">
        <v>278.62</v>
      </c>
      <c r="D377" s="4" t="str">
        <f t="shared" si="5"/>
        <v>EOM plus 5 days</v>
      </c>
      <c r="E377" s="4">
        <v>5</v>
      </c>
      <c r="F377" s="104"/>
    </row>
    <row r="378" spans="1:6" x14ac:dyDescent="0.25">
      <c r="A378" s="8">
        <v>41571</v>
      </c>
      <c r="B378" s="4">
        <v>59341</v>
      </c>
      <c r="C378" s="57">
        <v>314.97000000000003</v>
      </c>
      <c r="D378" s="4" t="str">
        <f t="shared" si="5"/>
        <v>EOM plus 10 days</v>
      </c>
      <c r="E378" s="4">
        <v>10</v>
      </c>
      <c r="F378" s="104"/>
    </row>
    <row r="379" spans="1:6" x14ac:dyDescent="0.25">
      <c r="A379" s="8">
        <v>41571</v>
      </c>
      <c r="B379" s="4">
        <v>59342</v>
      </c>
      <c r="C379" s="57">
        <v>74.430000000000007</v>
      </c>
      <c r="D379" s="4" t="str">
        <f t="shared" si="5"/>
        <v>EOM plus 10 days</v>
      </c>
      <c r="E379" s="4">
        <v>10</v>
      </c>
      <c r="F379" s="104"/>
    </row>
    <row r="380" spans="1:6" x14ac:dyDescent="0.25">
      <c r="A380" s="8">
        <v>41571</v>
      </c>
      <c r="B380" s="4">
        <v>59343</v>
      </c>
      <c r="C380" s="57">
        <v>190.74</v>
      </c>
      <c r="D380" s="4" t="str">
        <f t="shared" si="5"/>
        <v>EOM plus 15 days</v>
      </c>
      <c r="E380" s="4">
        <v>15</v>
      </c>
      <c r="F380" s="104"/>
    </row>
    <row r="381" spans="1:6" x14ac:dyDescent="0.25">
      <c r="A381" s="8">
        <v>41571</v>
      </c>
      <c r="B381" s="4">
        <v>59344</v>
      </c>
      <c r="C381" s="57">
        <v>263.36</v>
      </c>
      <c r="D381" s="4" t="str">
        <f t="shared" si="5"/>
        <v>EOM plus 5 days</v>
      </c>
      <c r="E381" s="4">
        <v>5</v>
      </c>
      <c r="F381" s="104"/>
    </row>
    <row r="382" spans="1:6" x14ac:dyDescent="0.25">
      <c r="A382" s="8">
        <v>41571</v>
      </c>
      <c r="B382" s="4">
        <v>59345</v>
      </c>
      <c r="C382" s="57">
        <v>66.19</v>
      </c>
      <c r="D382" s="4" t="str">
        <f t="shared" si="5"/>
        <v>EOM plus 10 days</v>
      </c>
      <c r="E382" s="4">
        <v>10</v>
      </c>
      <c r="F382" s="104"/>
    </row>
    <row r="383" spans="1:6" x14ac:dyDescent="0.25">
      <c r="A383" s="8">
        <v>41571</v>
      </c>
      <c r="B383" s="4">
        <v>59346</v>
      </c>
      <c r="C383" s="57">
        <v>233.47</v>
      </c>
      <c r="D383" s="4" t="str">
        <f t="shared" si="5"/>
        <v>EOM plus 10 days</v>
      </c>
      <c r="E383" s="4">
        <v>10</v>
      </c>
      <c r="F383" s="104"/>
    </row>
    <row r="384" spans="1:6" x14ac:dyDescent="0.25">
      <c r="A384" s="8">
        <v>41571</v>
      </c>
      <c r="B384" s="4">
        <v>59347</v>
      </c>
      <c r="C384" s="57">
        <v>298.95999999999998</v>
      </c>
      <c r="D384" s="4" t="str">
        <f t="shared" si="5"/>
        <v>EOM plus 5 days</v>
      </c>
      <c r="E384" s="4">
        <v>5</v>
      </c>
      <c r="F384" s="104"/>
    </row>
    <row r="385" spans="1:6" x14ac:dyDescent="0.25">
      <c r="A385" s="8">
        <v>41571</v>
      </c>
      <c r="B385" s="4">
        <v>59348</v>
      </c>
      <c r="C385" s="57">
        <v>250.18</v>
      </c>
      <c r="D385" s="4" t="str">
        <f t="shared" si="5"/>
        <v>EOM plus 5 days</v>
      </c>
      <c r="E385" s="4">
        <v>5</v>
      </c>
      <c r="F385" s="104"/>
    </row>
    <row r="386" spans="1:6" x14ac:dyDescent="0.25">
      <c r="A386" s="8">
        <v>41571</v>
      </c>
      <c r="B386" s="4">
        <v>59349</v>
      </c>
      <c r="C386" s="57">
        <v>241.52</v>
      </c>
      <c r="D386" s="4" t="str">
        <f t="shared" si="5"/>
        <v>EOM plus 15 days</v>
      </c>
      <c r="E386" s="4">
        <v>15</v>
      </c>
      <c r="F386" s="104"/>
    </row>
    <row r="387" spans="1:6" x14ac:dyDescent="0.25">
      <c r="A387" s="8">
        <v>41571</v>
      </c>
      <c r="B387" s="4">
        <v>59350</v>
      </c>
      <c r="C387" s="57">
        <v>359.59</v>
      </c>
      <c r="D387" s="4" t="str">
        <f t="shared" si="5"/>
        <v>EOM plus 5 days</v>
      </c>
      <c r="E387" s="4">
        <v>5</v>
      </c>
      <c r="F387" s="104"/>
    </row>
    <row r="388" spans="1:6" x14ac:dyDescent="0.25">
      <c r="A388" s="8">
        <v>41571</v>
      </c>
      <c r="B388" s="4">
        <v>59351</v>
      </c>
      <c r="C388" s="57">
        <v>211.22</v>
      </c>
      <c r="D388" s="4" t="str">
        <f t="shared" si="5"/>
        <v>EOM plus 15 days</v>
      </c>
      <c r="E388" s="4">
        <v>15</v>
      </c>
      <c r="F388" s="104"/>
    </row>
    <row r="389" spans="1:6" x14ac:dyDescent="0.25">
      <c r="A389" s="8">
        <v>41571</v>
      </c>
      <c r="B389" s="4">
        <v>59352</v>
      </c>
      <c r="C389" s="57">
        <v>148.49</v>
      </c>
      <c r="D389" s="4" t="str">
        <f t="shared" ref="D389:D452" si="6">"EOM plus "&amp;E389&amp;" days"</f>
        <v>EOM plus 20 days</v>
      </c>
      <c r="E389" s="4">
        <v>20</v>
      </c>
      <c r="F389" s="104"/>
    </row>
    <row r="390" spans="1:6" x14ac:dyDescent="0.25">
      <c r="A390" s="8">
        <v>41571</v>
      </c>
      <c r="B390" s="4">
        <v>59353</v>
      </c>
      <c r="C390" s="57">
        <v>260.04000000000002</v>
      </c>
      <c r="D390" s="4" t="str">
        <f t="shared" si="6"/>
        <v>EOM plus 20 days</v>
      </c>
      <c r="E390" s="4">
        <v>20</v>
      </c>
      <c r="F390" s="104"/>
    </row>
    <row r="391" spans="1:6" x14ac:dyDescent="0.25">
      <c r="A391" s="8">
        <v>41571</v>
      </c>
      <c r="B391" s="4">
        <v>59354</v>
      </c>
      <c r="C391" s="57">
        <v>330.04</v>
      </c>
      <c r="D391" s="4" t="str">
        <f t="shared" si="6"/>
        <v>EOM plus 20 days</v>
      </c>
      <c r="E391" s="4">
        <v>20</v>
      </c>
      <c r="F391" s="104"/>
    </row>
    <row r="392" spans="1:6" x14ac:dyDescent="0.25">
      <c r="A392" s="8">
        <v>41571</v>
      </c>
      <c r="B392" s="4">
        <v>59355</v>
      </c>
      <c r="C392" s="57">
        <v>68.209999999999994</v>
      </c>
      <c r="D392" s="4" t="str">
        <f t="shared" si="6"/>
        <v>EOM plus 15 days</v>
      </c>
      <c r="E392" s="4">
        <v>15</v>
      </c>
      <c r="F392" s="104"/>
    </row>
    <row r="393" spans="1:6" x14ac:dyDescent="0.25">
      <c r="A393" s="8">
        <v>41571</v>
      </c>
      <c r="B393" s="4">
        <v>59356</v>
      </c>
      <c r="C393" s="57">
        <v>263.42</v>
      </c>
      <c r="D393" s="4" t="str">
        <f t="shared" si="6"/>
        <v>EOM plus 10 days</v>
      </c>
      <c r="E393" s="4">
        <v>10</v>
      </c>
      <c r="F393" s="104"/>
    </row>
    <row r="394" spans="1:6" x14ac:dyDescent="0.25">
      <c r="A394" s="8">
        <v>41571</v>
      </c>
      <c r="B394" s="4">
        <v>59357</v>
      </c>
      <c r="C394" s="57">
        <v>377.89</v>
      </c>
      <c r="D394" s="4" t="str">
        <f t="shared" si="6"/>
        <v>EOM plus 10 days</v>
      </c>
      <c r="E394" s="4">
        <v>10</v>
      </c>
      <c r="F394" s="104"/>
    </row>
    <row r="395" spans="1:6" x14ac:dyDescent="0.25">
      <c r="A395" s="8">
        <v>41571</v>
      </c>
      <c r="B395" s="4">
        <v>59358</v>
      </c>
      <c r="C395" s="57">
        <v>288.32</v>
      </c>
      <c r="D395" s="4" t="str">
        <f t="shared" si="6"/>
        <v>EOM plus 10 days</v>
      </c>
      <c r="E395" s="4">
        <v>10</v>
      </c>
      <c r="F395" s="104"/>
    </row>
    <row r="396" spans="1:6" x14ac:dyDescent="0.25">
      <c r="A396" s="8">
        <v>41571</v>
      </c>
      <c r="B396" s="4">
        <v>59359</v>
      </c>
      <c r="C396" s="57">
        <v>291.08</v>
      </c>
      <c r="D396" s="4" t="str">
        <f t="shared" si="6"/>
        <v>EOM plus 5 days</v>
      </c>
      <c r="E396" s="4">
        <v>5</v>
      </c>
      <c r="F396" s="104"/>
    </row>
    <row r="397" spans="1:6" x14ac:dyDescent="0.25">
      <c r="A397" s="8">
        <v>41572</v>
      </c>
      <c r="B397" s="4">
        <v>59360</v>
      </c>
      <c r="C397" s="57">
        <v>177.81</v>
      </c>
      <c r="D397" s="4" t="str">
        <f t="shared" si="6"/>
        <v>EOM plus 10 days</v>
      </c>
      <c r="E397" s="4">
        <v>10</v>
      </c>
      <c r="F397" s="104"/>
    </row>
    <row r="398" spans="1:6" x14ac:dyDescent="0.25">
      <c r="A398" s="8">
        <v>41572</v>
      </c>
      <c r="B398" s="4">
        <v>59361</v>
      </c>
      <c r="C398" s="57">
        <v>77</v>
      </c>
      <c r="D398" s="4" t="str">
        <f t="shared" si="6"/>
        <v>EOM plus 5 days</v>
      </c>
      <c r="E398" s="4">
        <v>5</v>
      </c>
      <c r="F398" s="104"/>
    </row>
    <row r="399" spans="1:6" x14ac:dyDescent="0.25">
      <c r="A399" s="8">
        <v>41572</v>
      </c>
      <c r="B399" s="4">
        <v>59362</v>
      </c>
      <c r="C399" s="57">
        <v>111.64</v>
      </c>
      <c r="D399" s="4" t="str">
        <f t="shared" si="6"/>
        <v>EOM plus 10 days</v>
      </c>
      <c r="E399" s="4">
        <v>10</v>
      </c>
      <c r="F399" s="104"/>
    </row>
    <row r="400" spans="1:6" x14ac:dyDescent="0.25">
      <c r="A400" s="8">
        <v>41572</v>
      </c>
      <c r="B400" s="4">
        <v>59363</v>
      </c>
      <c r="C400" s="57">
        <v>278.05</v>
      </c>
      <c r="D400" s="4" t="str">
        <f t="shared" si="6"/>
        <v>EOM plus 10 days</v>
      </c>
      <c r="E400" s="4">
        <v>10</v>
      </c>
      <c r="F400" s="104"/>
    </row>
    <row r="401" spans="1:6" x14ac:dyDescent="0.25">
      <c r="A401" s="8">
        <v>41572</v>
      </c>
      <c r="B401" s="4">
        <v>59364</v>
      </c>
      <c r="C401" s="57">
        <v>276.39999999999998</v>
      </c>
      <c r="D401" s="4" t="str">
        <f t="shared" si="6"/>
        <v>EOM plus 10 days</v>
      </c>
      <c r="E401" s="4">
        <v>10</v>
      </c>
      <c r="F401" s="104"/>
    </row>
    <row r="402" spans="1:6" x14ac:dyDescent="0.25">
      <c r="A402" s="8">
        <v>41572</v>
      </c>
      <c r="B402" s="4">
        <v>59365</v>
      </c>
      <c r="C402" s="57">
        <v>307.06</v>
      </c>
      <c r="D402" s="4" t="str">
        <f t="shared" si="6"/>
        <v>EOM plus 10 days</v>
      </c>
      <c r="E402" s="4">
        <v>10</v>
      </c>
      <c r="F402" s="104"/>
    </row>
    <row r="403" spans="1:6" x14ac:dyDescent="0.25">
      <c r="A403" s="8">
        <v>41572</v>
      </c>
      <c r="B403" s="4">
        <v>59366</v>
      </c>
      <c r="C403" s="57">
        <v>73.959999999999994</v>
      </c>
      <c r="D403" s="4" t="str">
        <f t="shared" si="6"/>
        <v>EOM plus 10 days</v>
      </c>
      <c r="E403" s="4">
        <v>10</v>
      </c>
      <c r="F403" s="104"/>
    </row>
    <row r="404" spans="1:6" x14ac:dyDescent="0.25">
      <c r="A404" s="8">
        <v>41572</v>
      </c>
      <c r="B404" s="4">
        <v>59367</v>
      </c>
      <c r="C404" s="57">
        <v>316.89</v>
      </c>
      <c r="D404" s="4" t="str">
        <f t="shared" si="6"/>
        <v>EOM plus 10 days</v>
      </c>
      <c r="E404" s="4">
        <v>10</v>
      </c>
      <c r="F404" s="104"/>
    </row>
    <row r="405" spans="1:6" x14ac:dyDescent="0.25">
      <c r="A405" s="8">
        <v>41572</v>
      </c>
      <c r="B405" s="4">
        <v>59368</v>
      </c>
      <c r="C405" s="57">
        <v>224.97</v>
      </c>
      <c r="D405" s="4" t="str">
        <f t="shared" si="6"/>
        <v>EOM plus 5 days</v>
      </c>
      <c r="E405" s="4">
        <v>5</v>
      </c>
      <c r="F405" s="104"/>
    </row>
    <row r="406" spans="1:6" x14ac:dyDescent="0.25">
      <c r="A406" s="8">
        <v>41572</v>
      </c>
      <c r="B406" s="4">
        <v>59369</v>
      </c>
      <c r="C406" s="57">
        <v>189.31</v>
      </c>
      <c r="D406" s="4" t="str">
        <f t="shared" si="6"/>
        <v>EOM plus 5 days</v>
      </c>
      <c r="E406" s="4">
        <v>5</v>
      </c>
      <c r="F406" s="104"/>
    </row>
    <row r="407" spans="1:6" x14ac:dyDescent="0.25">
      <c r="A407" s="8">
        <v>41572</v>
      </c>
      <c r="B407" s="4">
        <v>59370</v>
      </c>
      <c r="C407" s="57">
        <v>113.93</v>
      </c>
      <c r="D407" s="4" t="str">
        <f t="shared" si="6"/>
        <v>EOM plus 10 days</v>
      </c>
      <c r="E407" s="4">
        <v>10</v>
      </c>
      <c r="F407" s="104"/>
    </row>
    <row r="408" spans="1:6" x14ac:dyDescent="0.25">
      <c r="A408" s="8">
        <v>41572</v>
      </c>
      <c r="B408" s="4">
        <v>59371</v>
      </c>
      <c r="C408" s="57">
        <v>213.9</v>
      </c>
      <c r="D408" s="4" t="str">
        <f t="shared" si="6"/>
        <v>EOM plus 20 days</v>
      </c>
      <c r="E408" s="4">
        <v>20</v>
      </c>
      <c r="F408" s="104"/>
    </row>
    <row r="409" spans="1:6" x14ac:dyDescent="0.25">
      <c r="A409" s="8">
        <v>41572</v>
      </c>
      <c r="B409" s="4">
        <v>59372</v>
      </c>
      <c r="C409" s="57">
        <v>257.81</v>
      </c>
      <c r="D409" s="4" t="str">
        <f t="shared" si="6"/>
        <v>EOM plus 10 days</v>
      </c>
      <c r="E409" s="4">
        <v>10</v>
      </c>
      <c r="F409" s="104"/>
    </row>
    <row r="410" spans="1:6" x14ac:dyDescent="0.25">
      <c r="A410" s="8">
        <v>41572</v>
      </c>
      <c r="B410" s="4">
        <v>59373</v>
      </c>
      <c r="C410" s="57">
        <v>370.91</v>
      </c>
      <c r="D410" s="4" t="str">
        <f t="shared" si="6"/>
        <v>EOM plus 10 days</v>
      </c>
      <c r="E410" s="4">
        <v>10</v>
      </c>
      <c r="F410" s="104"/>
    </row>
    <row r="411" spans="1:6" x14ac:dyDescent="0.25">
      <c r="A411" s="8">
        <v>41572</v>
      </c>
      <c r="B411" s="4">
        <v>59374</v>
      </c>
      <c r="C411" s="57">
        <v>277.77</v>
      </c>
      <c r="D411" s="4" t="str">
        <f t="shared" si="6"/>
        <v>EOM plus 10 days</v>
      </c>
      <c r="E411" s="4">
        <v>10</v>
      </c>
      <c r="F411" s="104"/>
    </row>
    <row r="412" spans="1:6" x14ac:dyDescent="0.25">
      <c r="A412" s="8">
        <v>41572</v>
      </c>
      <c r="B412" s="4">
        <v>59375</v>
      </c>
      <c r="C412" s="57">
        <v>219.95</v>
      </c>
      <c r="D412" s="4" t="str">
        <f t="shared" si="6"/>
        <v>EOM plus 5 days</v>
      </c>
      <c r="E412" s="4">
        <v>5</v>
      </c>
      <c r="F412" s="104"/>
    </row>
    <row r="413" spans="1:6" x14ac:dyDescent="0.25">
      <c r="A413" s="8">
        <v>41573</v>
      </c>
      <c r="B413" s="4">
        <v>59376</v>
      </c>
      <c r="C413" s="57">
        <v>318.58999999999997</v>
      </c>
      <c r="D413" s="4" t="str">
        <f t="shared" si="6"/>
        <v>EOM plus 10 days</v>
      </c>
      <c r="E413" s="4">
        <v>10</v>
      </c>
      <c r="F413" s="104"/>
    </row>
    <row r="414" spans="1:6" x14ac:dyDescent="0.25">
      <c r="A414" s="8">
        <v>41573</v>
      </c>
      <c r="B414" s="4">
        <v>59377</v>
      </c>
      <c r="C414" s="57">
        <v>211.71</v>
      </c>
      <c r="D414" s="4" t="str">
        <f t="shared" si="6"/>
        <v>EOM plus 5 days</v>
      </c>
      <c r="E414" s="4">
        <v>5</v>
      </c>
      <c r="F414" s="104"/>
    </row>
    <row r="415" spans="1:6" x14ac:dyDescent="0.25">
      <c r="A415" s="8">
        <v>41573</v>
      </c>
      <c r="B415" s="4">
        <v>59378</v>
      </c>
      <c r="C415" s="57">
        <v>309.19</v>
      </c>
      <c r="D415" s="4" t="str">
        <f t="shared" si="6"/>
        <v>EOM plus 10 days</v>
      </c>
      <c r="E415" s="4">
        <v>10</v>
      </c>
      <c r="F415" s="104"/>
    </row>
    <row r="416" spans="1:6" x14ac:dyDescent="0.25">
      <c r="A416" s="8">
        <v>41573</v>
      </c>
      <c r="B416" s="4">
        <v>59379</v>
      </c>
      <c r="C416" s="57">
        <v>140.55000000000001</v>
      </c>
      <c r="D416" s="4" t="str">
        <f t="shared" si="6"/>
        <v>EOM plus 15 days</v>
      </c>
      <c r="E416" s="4">
        <v>15</v>
      </c>
      <c r="F416" s="104"/>
    </row>
    <row r="417" spans="1:6" x14ac:dyDescent="0.25">
      <c r="A417" s="8">
        <v>41573</v>
      </c>
      <c r="B417" s="4">
        <v>59380</v>
      </c>
      <c r="C417" s="57">
        <v>130.9</v>
      </c>
      <c r="D417" s="4" t="str">
        <f t="shared" si="6"/>
        <v>EOM plus 10 days</v>
      </c>
      <c r="E417" s="4">
        <v>10</v>
      </c>
      <c r="F417" s="104"/>
    </row>
    <row r="418" spans="1:6" x14ac:dyDescent="0.25">
      <c r="A418" s="8">
        <v>41573</v>
      </c>
      <c r="B418" s="4">
        <v>59381</v>
      </c>
      <c r="C418" s="57">
        <v>110.71</v>
      </c>
      <c r="D418" s="4" t="str">
        <f t="shared" si="6"/>
        <v>EOM plus 20 days</v>
      </c>
      <c r="E418" s="4">
        <v>20</v>
      </c>
      <c r="F418" s="104"/>
    </row>
    <row r="419" spans="1:6" x14ac:dyDescent="0.25">
      <c r="A419" s="8">
        <v>41573</v>
      </c>
      <c r="B419" s="4">
        <v>59382</v>
      </c>
      <c r="C419" s="57">
        <v>299.55</v>
      </c>
      <c r="D419" s="4" t="str">
        <f t="shared" si="6"/>
        <v>EOM plus 10 days</v>
      </c>
      <c r="E419" s="4">
        <v>10</v>
      </c>
      <c r="F419" s="104"/>
    </row>
    <row r="420" spans="1:6" x14ac:dyDescent="0.25">
      <c r="A420" s="8">
        <v>41573</v>
      </c>
      <c r="B420" s="4">
        <v>59383</v>
      </c>
      <c r="C420" s="57">
        <v>187.88</v>
      </c>
      <c r="D420" s="4" t="str">
        <f t="shared" si="6"/>
        <v>EOM plus 20 days</v>
      </c>
      <c r="E420" s="4">
        <v>20</v>
      </c>
      <c r="F420" s="104"/>
    </row>
    <row r="421" spans="1:6" x14ac:dyDescent="0.25">
      <c r="A421" s="8">
        <v>41573</v>
      </c>
      <c r="B421" s="4">
        <v>59384</v>
      </c>
      <c r="C421" s="57">
        <v>225.97</v>
      </c>
      <c r="D421" s="4" t="str">
        <f t="shared" si="6"/>
        <v>EOM plus 15 days</v>
      </c>
      <c r="E421" s="4">
        <v>15</v>
      </c>
      <c r="F421" s="104"/>
    </row>
    <row r="422" spans="1:6" x14ac:dyDescent="0.25">
      <c r="A422" s="8">
        <v>41573</v>
      </c>
      <c r="B422" s="4">
        <v>59385</v>
      </c>
      <c r="C422" s="57">
        <v>196.22</v>
      </c>
      <c r="D422" s="4" t="str">
        <f t="shared" si="6"/>
        <v>EOM plus 5 days</v>
      </c>
      <c r="E422" s="4">
        <v>5</v>
      </c>
      <c r="F422" s="104"/>
    </row>
    <row r="423" spans="1:6" x14ac:dyDescent="0.25">
      <c r="A423" s="8">
        <v>41573</v>
      </c>
      <c r="B423" s="4">
        <v>59386</v>
      </c>
      <c r="C423" s="57">
        <v>61.71</v>
      </c>
      <c r="D423" s="4" t="str">
        <f t="shared" si="6"/>
        <v>EOM plus 5 days</v>
      </c>
      <c r="E423" s="4">
        <v>5</v>
      </c>
      <c r="F423" s="104"/>
    </row>
    <row r="424" spans="1:6" x14ac:dyDescent="0.25">
      <c r="A424" s="8">
        <v>41573</v>
      </c>
      <c r="B424" s="4">
        <v>59387</v>
      </c>
      <c r="C424" s="57">
        <v>85.95</v>
      </c>
      <c r="D424" s="4" t="str">
        <f t="shared" si="6"/>
        <v>EOM plus 10 days</v>
      </c>
      <c r="E424" s="4">
        <v>10</v>
      </c>
      <c r="F424" s="104"/>
    </row>
    <row r="425" spans="1:6" x14ac:dyDescent="0.25">
      <c r="A425" s="8">
        <v>41573</v>
      </c>
      <c r="B425" s="4">
        <v>59388</v>
      </c>
      <c r="C425" s="57">
        <v>332.24</v>
      </c>
      <c r="D425" s="4" t="str">
        <f t="shared" si="6"/>
        <v>EOM plus 10 days</v>
      </c>
      <c r="E425" s="4">
        <v>10</v>
      </c>
      <c r="F425" s="104"/>
    </row>
    <row r="426" spans="1:6" x14ac:dyDescent="0.25">
      <c r="A426" s="8">
        <v>41573</v>
      </c>
      <c r="B426" s="4">
        <v>59389</v>
      </c>
      <c r="C426" s="57">
        <v>192.54</v>
      </c>
      <c r="D426" s="4" t="str">
        <f t="shared" si="6"/>
        <v>EOM plus 10 days</v>
      </c>
      <c r="E426" s="4">
        <v>10</v>
      </c>
      <c r="F426" s="104"/>
    </row>
    <row r="427" spans="1:6" x14ac:dyDescent="0.25">
      <c r="A427" s="8">
        <v>41573</v>
      </c>
      <c r="B427" s="4">
        <v>59390</v>
      </c>
      <c r="C427" s="57">
        <v>333.95</v>
      </c>
      <c r="D427" s="4" t="str">
        <f t="shared" si="6"/>
        <v>EOM plus 10 days</v>
      </c>
      <c r="E427" s="4">
        <v>10</v>
      </c>
      <c r="F427" s="104"/>
    </row>
    <row r="428" spans="1:6" x14ac:dyDescent="0.25">
      <c r="A428" s="8">
        <v>41573</v>
      </c>
      <c r="B428" s="4">
        <v>59391</v>
      </c>
      <c r="C428" s="57">
        <v>259.44</v>
      </c>
      <c r="D428" s="4" t="str">
        <f t="shared" si="6"/>
        <v>EOM plus 10 days</v>
      </c>
      <c r="E428" s="4">
        <v>10</v>
      </c>
      <c r="F428" s="104"/>
    </row>
    <row r="429" spans="1:6" x14ac:dyDescent="0.25">
      <c r="A429" s="8">
        <v>41573</v>
      </c>
      <c r="B429" s="4">
        <v>59392</v>
      </c>
      <c r="C429" s="57">
        <v>91.71</v>
      </c>
      <c r="D429" s="4" t="str">
        <f t="shared" si="6"/>
        <v>EOM plus 5 days</v>
      </c>
      <c r="E429" s="4">
        <v>5</v>
      </c>
      <c r="F429" s="104"/>
    </row>
    <row r="430" spans="1:6" x14ac:dyDescent="0.25">
      <c r="A430" s="8">
        <v>41574</v>
      </c>
      <c r="B430" s="4">
        <v>59393</v>
      </c>
      <c r="C430" s="57">
        <v>110.18</v>
      </c>
      <c r="D430" s="4" t="str">
        <f t="shared" si="6"/>
        <v>EOM plus 5 days</v>
      </c>
      <c r="E430" s="4">
        <v>5</v>
      </c>
      <c r="F430" s="104"/>
    </row>
    <row r="431" spans="1:6" x14ac:dyDescent="0.25">
      <c r="A431" s="8">
        <v>41574</v>
      </c>
      <c r="B431" s="4">
        <v>59394</v>
      </c>
      <c r="C431" s="57">
        <v>196.23</v>
      </c>
      <c r="D431" s="4" t="str">
        <f t="shared" si="6"/>
        <v>EOM plus 10 days</v>
      </c>
      <c r="E431" s="4">
        <v>10</v>
      </c>
      <c r="F431" s="104"/>
    </row>
    <row r="432" spans="1:6" x14ac:dyDescent="0.25">
      <c r="A432" s="8">
        <v>41574</v>
      </c>
      <c r="B432" s="4">
        <v>59395</v>
      </c>
      <c r="C432" s="57">
        <v>43.36</v>
      </c>
      <c r="D432" s="4" t="str">
        <f t="shared" si="6"/>
        <v>EOM plus 5 days</v>
      </c>
      <c r="E432" s="4">
        <v>5</v>
      </c>
      <c r="F432" s="104"/>
    </row>
    <row r="433" spans="1:6" x14ac:dyDescent="0.25">
      <c r="A433" s="8">
        <v>41574</v>
      </c>
      <c r="B433" s="4">
        <v>59396</v>
      </c>
      <c r="C433" s="57">
        <v>281.57</v>
      </c>
      <c r="D433" s="4" t="str">
        <f t="shared" si="6"/>
        <v>EOM plus 5 days</v>
      </c>
      <c r="E433" s="4">
        <v>5</v>
      </c>
      <c r="F433" s="104"/>
    </row>
    <row r="434" spans="1:6" x14ac:dyDescent="0.25">
      <c r="A434" s="8">
        <v>41574</v>
      </c>
      <c r="B434" s="4">
        <v>59397</v>
      </c>
      <c r="C434" s="57">
        <v>353.41</v>
      </c>
      <c r="D434" s="4" t="str">
        <f t="shared" si="6"/>
        <v>EOM plus 20 days</v>
      </c>
      <c r="E434" s="4">
        <v>20</v>
      </c>
      <c r="F434" s="104"/>
    </row>
    <row r="435" spans="1:6" x14ac:dyDescent="0.25">
      <c r="A435" s="8">
        <v>41574</v>
      </c>
      <c r="B435" s="4">
        <v>59398</v>
      </c>
      <c r="C435" s="57">
        <v>45.37</v>
      </c>
      <c r="D435" s="4" t="str">
        <f t="shared" si="6"/>
        <v>EOM plus 5 days</v>
      </c>
      <c r="E435" s="4">
        <v>5</v>
      </c>
      <c r="F435" s="104"/>
    </row>
    <row r="436" spans="1:6" x14ac:dyDescent="0.25">
      <c r="A436" s="8">
        <v>41574</v>
      </c>
      <c r="B436" s="4">
        <v>59399</v>
      </c>
      <c r="C436" s="57">
        <v>186.27</v>
      </c>
      <c r="D436" s="4" t="str">
        <f t="shared" si="6"/>
        <v>EOM plus 20 days</v>
      </c>
      <c r="E436" s="4">
        <v>20</v>
      </c>
      <c r="F436" s="104"/>
    </row>
    <row r="437" spans="1:6" x14ac:dyDescent="0.25">
      <c r="A437" s="8">
        <v>41574</v>
      </c>
      <c r="B437" s="4">
        <v>59400</v>
      </c>
      <c r="C437" s="57">
        <v>183.08</v>
      </c>
      <c r="D437" s="4" t="str">
        <f t="shared" si="6"/>
        <v>EOM plus 15 days</v>
      </c>
      <c r="E437" s="4">
        <v>15</v>
      </c>
      <c r="F437" s="104"/>
    </row>
    <row r="438" spans="1:6" x14ac:dyDescent="0.25">
      <c r="A438" s="8">
        <v>41574</v>
      </c>
      <c r="B438" s="4">
        <v>59401</v>
      </c>
      <c r="C438" s="57">
        <v>236.97</v>
      </c>
      <c r="D438" s="4" t="str">
        <f t="shared" si="6"/>
        <v>EOM plus 20 days</v>
      </c>
      <c r="E438" s="4">
        <v>20</v>
      </c>
      <c r="F438" s="104"/>
    </row>
    <row r="439" spans="1:6" x14ac:dyDescent="0.25">
      <c r="A439" s="8">
        <v>41574</v>
      </c>
      <c r="B439" s="4">
        <v>59402</v>
      </c>
      <c r="C439" s="57">
        <v>252.81</v>
      </c>
      <c r="D439" s="4" t="str">
        <f t="shared" si="6"/>
        <v>EOM plus 5 days</v>
      </c>
      <c r="E439" s="4">
        <v>5</v>
      </c>
      <c r="F439" s="104"/>
    </row>
    <row r="440" spans="1:6" x14ac:dyDescent="0.25">
      <c r="A440" s="8">
        <v>41574</v>
      </c>
      <c r="B440" s="4">
        <v>59403</v>
      </c>
      <c r="C440" s="57">
        <v>78.09</v>
      </c>
      <c r="D440" s="4" t="str">
        <f t="shared" si="6"/>
        <v>EOM plus 5 days</v>
      </c>
      <c r="E440" s="4">
        <v>5</v>
      </c>
      <c r="F440" s="104"/>
    </row>
    <row r="441" spans="1:6" x14ac:dyDescent="0.25">
      <c r="A441" s="8">
        <v>41574</v>
      </c>
      <c r="B441" s="4">
        <v>59404</v>
      </c>
      <c r="C441" s="57">
        <v>122.24</v>
      </c>
      <c r="D441" s="4" t="str">
        <f t="shared" si="6"/>
        <v>EOM plus 15 days</v>
      </c>
      <c r="E441" s="4">
        <v>15</v>
      </c>
      <c r="F441" s="104"/>
    </row>
    <row r="442" spans="1:6" x14ac:dyDescent="0.25">
      <c r="A442" s="8">
        <v>41574</v>
      </c>
      <c r="B442" s="4">
        <v>59405</v>
      </c>
      <c r="C442" s="57">
        <v>346.97</v>
      </c>
      <c r="D442" s="4" t="str">
        <f t="shared" si="6"/>
        <v>EOM plus 10 days</v>
      </c>
      <c r="E442" s="4">
        <v>10</v>
      </c>
      <c r="F442" s="104"/>
    </row>
    <row r="443" spans="1:6" x14ac:dyDescent="0.25">
      <c r="A443" s="8">
        <v>41574</v>
      </c>
      <c r="B443" s="4">
        <v>59406</v>
      </c>
      <c r="C443" s="57">
        <v>217.76</v>
      </c>
      <c r="D443" s="4" t="str">
        <f t="shared" si="6"/>
        <v>EOM plus 10 days</v>
      </c>
      <c r="E443" s="4">
        <v>10</v>
      </c>
      <c r="F443" s="104"/>
    </row>
    <row r="444" spans="1:6" x14ac:dyDescent="0.25">
      <c r="A444" s="8">
        <v>41574</v>
      </c>
      <c r="B444" s="4">
        <v>59407</v>
      </c>
      <c r="C444" s="57">
        <v>150.05000000000001</v>
      </c>
      <c r="D444" s="4" t="str">
        <f t="shared" si="6"/>
        <v>EOM plus 10 days</v>
      </c>
      <c r="E444" s="4">
        <v>10</v>
      </c>
      <c r="F444" s="104"/>
    </row>
    <row r="445" spans="1:6" x14ac:dyDescent="0.25">
      <c r="A445" s="8">
        <v>41574</v>
      </c>
      <c r="B445" s="4">
        <v>59408</v>
      </c>
      <c r="C445" s="57">
        <v>350.83</v>
      </c>
      <c r="D445" s="4" t="str">
        <f t="shared" si="6"/>
        <v>EOM plus 5 days</v>
      </c>
      <c r="E445" s="4">
        <v>5</v>
      </c>
      <c r="F445" s="104"/>
    </row>
    <row r="446" spans="1:6" x14ac:dyDescent="0.25">
      <c r="A446" s="8">
        <v>41574</v>
      </c>
      <c r="B446" s="4">
        <v>59409</v>
      </c>
      <c r="C446" s="57">
        <v>81.650000000000006</v>
      </c>
      <c r="D446" s="4" t="str">
        <f t="shared" si="6"/>
        <v>EOM plus 10 days</v>
      </c>
      <c r="E446" s="4">
        <v>10</v>
      </c>
      <c r="F446" s="104"/>
    </row>
    <row r="447" spans="1:6" x14ac:dyDescent="0.25">
      <c r="A447" s="8">
        <v>41574</v>
      </c>
      <c r="B447" s="4">
        <v>59410</v>
      </c>
      <c r="C447" s="57">
        <v>56.29</v>
      </c>
      <c r="D447" s="4" t="str">
        <f t="shared" si="6"/>
        <v>EOM plus 5 days</v>
      </c>
      <c r="E447" s="4">
        <v>5</v>
      </c>
      <c r="F447" s="104"/>
    </row>
    <row r="448" spans="1:6" x14ac:dyDescent="0.25">
      <c r="A448" s="8">
        <v>41574</v>
      </c>
      <c r="B448" s="4">
        <v>59411</v>
      </c>
      <c r="C448" s="57">
        <v>105.36</v>
      </c>
      <c r="D448" s="4" t="str">
        <f t="shared" si="6"/>
        <v>EOM plus 10 days</v>
      </c>
      <c r="E448" s="4">
        <v>10</v>
      </c>
      <c r="F448" s="104"/>
    </row>
    <row r="449" spans="1:6" x14ac:dyDescent="0.25">
      <c r="A449" s="8">
        <v>41574</v>
      </c>
      <c r="B449" s="4">
        <v>59412</v>
      </c>
      <c r="C449" s="57">
        <v>142.54</v>
      </c>
      <c r="D449" s="4" t="str">
        <f t="shared" si="6"/>
        <v>EOM plus 10 days</v>
      </c>
      <c r="E449" s="4">
        <v>10</v>
      </c>
      <c r="F449" s="104"/>
    </row>
    <row r="450" spans="1:6" x14ac:dyDescent="0.25">
      <c r="A450" s="8">
        <v>41574</v>
      </c>
      <c r="B450" s="4">
        <v>59413</v>
      </c>
      <c r="C450" s="57">
        <v>207.18</v>
      </c>
      <c r="D450" s="4" t="str">
        <f t="shared" si="6"/>
        <v>EOM plus 20 days</v>
      </c>
      <c r="E450" s="4">
        <v>20</v>
      </c>
      <c r="F450" s="104"/>
    </row>
    <row r="451" spans="1:6" x14ac:dyDescent="0.25">
      <c r="A451" s="8">
        <v>41574</v>
      </c>
      <c r="B451" s="4">
        <v>59414</v>
      </c>
      <c r="C451" s="57">
        <v>368.45</v>
      </c>
      <c r="D451" s="4" t="str">
        <f t="shared" si="6"/>
        <v>EOM plus 15 days</v>
      </c>
      <c r="E451" s="4">
        <v>15</v>
      </c>
      <c r="F451" s="104"/>
    </row>
    <row r="452" spans="1:6" x14ac:dyDescent="0.25">
      <c r="A452" s="8">
        <v>41574</v>
      </c>
      <c r="B452" s="4">
        <v>59415</v>
      </c>
      <c r="C452" s="57">
        <v>329.03</v>
      </c>
      <c r="D452" s="4" t="str">
        <f t="shared" si="6"/>
        <v>EOM plus 5 days</v>
      </c>
      <c r="E452" s="4">
        <v>5</v>
      </c>
      <c r="F452" s="104"/>
    </row>
    <row r="453" spans="1:6" x14ac:dyDescent="0.25">
      <c r="A453" s="8">
        <v>41574</v>
      </c>
      <c r="B453" s="4">
        <v>59416</v>
      </c>
      <c r="C453" s="57">
        <v>128.97999999999999</v>
      </c>
      <c r="D453" s="4" t="str">
        <f t="shared" ref="D453:D516" si="7">"EOM plus "&amp;E453&amp;" days"</f>
        <v>EOM plus 15 days</v>
      </c>
      <c r="E453" s="4">
        <v>15</v>
      </c>
      <c r="F453" s="104"/>
    </row>
    <row r="454" spans="1:6" x14ac:dyDescent="0.25">
      <c r="A454" s="8">
        <v>41574</v>
      </c>
      <c r="B454" s="4">
        <v>59417</v>
      </c>
      <c r="C454" s="57">
        <v>42.15</v>
      </c>
      <c r="D454" s="4" t="str">
        <f t="shared" si="7"/>
        <v>EOM plus 5 days</v>
      </c>
      <c r="E454" s="4">
        <v>5</v>
      </c>
      <c r="F454" s="104"/>
    </row>
    <row r="455" spans="1:6" x14ac:dyDescent="0.25">
      <c r="A455" s="8">
        <v>41574</v>
      </c>
      <c r="B455" s="4">
        <v>59418</v>
      </c>
      <c r="C455" s="57">
        <v>271.10000000000002</v>
      </c>
      <c r="D455" s="4" t="str">
        <f t="shared" si="7"/>
        <v>EOM plus 15 days</v>
      </c>
      <c r="E455" s="4">
        <v>15</v>
      </c>
      <c r="F455" s="104"/>
    </row>
    <row r="456" spans="1:6" x14ac:dyDescent="0.25">
      <c r="A456" s="8">
        <v>41574</v>
      </c>
      <c r="B456" s="4">
        <v>59419</v>
      </c>
      <c r="C456" s="57">
        <v>176.72</v>
      </c>
      <c r="D456" s="4" t="str">
        <f t="shared" si="7"/>
        <v>EOM plus 10 days</v>
      </c>
      <c r="E456" s="4">
        <v>10</v>
      </c>
      <c r="F456" s="104"/>
    </row>
    <row r="457" spans="1:6" x14ac:dyDescent="0.25">
      <c r="A457" s="8">
        <v>41575</v>
      </c>
      <c r="B457" s="4">
        <v>59420</v>
      </c>
      <c r="C457" s="57">
        <v>177.77</v>
      </c>
      <c r="D457" s="4" t="str">
        <f t="shared" si="7"/>
        <v>EOM plus 20 days</v>
      </c>
      <c r="E457" s="4">
        <v>20</v>
      </c>
      <c r="F457" s="104"/>
    </row>
    <row r="458" spans="1:6" x14ac:dyDescent="0.25">
      <c r="A458" s="8">
        <v>41575</v>
      </c>
      <c r="B458" s="4">
        <v>59421</v>
      </c>
      <c r="C458" s="57">
        <v>381.81</v>
      </c>
      <c r="D458" s="4" t="str">
        <f t="shared" si="7"/>
        <v>EOM plus 5 days</v>
      </c>
      <c r="E458" s="4">
        <v>5</v>
      </c>
      <c r="F458" s="104"/>
    </row>
    <row r="459" spans="1:6" x14ac:dyDescent="0.25">
      <c r="A459" s="8">
        <v>41575</v>
      </c>
      <c r="B459" s="4">
        <v>59422</v>
      </c>
      <c r="C459" s="57">
        <v>42.82</v>
      </c>
      <c r="D459" s="4" t="str">
        <f t="shared" si="7"/>
        <v>EOM plus 10 days</v>
      </c>
      <c r="E459" s="4">
        <v>10</v>
      </c>
      <c r="F459" s="104"/>
    </row>
    <row r="460" spans="1:6" x14ac:dyDescent="0.25">
      <c r="A460" s="8">
        <v>41575</v>
      </c>
      <c r="B460" s="4">
        <v>59423</v>
      </c>
      <c r="C460" s="57">
        <v>130.19</v>
      </c>
      <c r="D460" s="4" t="str">
        <f t="shared" si="7"/>
        <v>EOM plus 10 days</v>
      </c>
      <c r="E460" s="4">
        <v>10</v>
      </c>
      <c r="F460" s="104"/>
    </row>
    <row r="461" spans="1:6" x14ac:dyDescent="0.25">
      <c r="A461" s="8">
        <v>41575</v>
      </c>
      <c r="B461" s="4">
        <v>59424</v>
      </c>
      <c r="C461" s="57">
        <v>123.64</v>
      </c>
      <c r="D461" s="4" t="str">
        <f t="shared" si="7"/>
        <v>EOM plus 10 days</v>
      </c>
      <c r="E461" s="4">
        <v>10</v>
      </c>
      <c r="F461" s="104"/>
    </row>
    <row r="462" spans="1:6" x14ac:dyDescent="0.25">
      <c r="A462" s="8">
        <v>41575</v>
      </c>
      <c r="B462" s="4">
        <v>59425</v>
      </c>
      <c r="C462" s="57">
        <v>327</v>
      </c>
      <c r="D462" s="4" t="str">
        <f t="shared" si="7"/>
        <v>EOM plus 20 days</v>
      </c>
      <c r="E462" s="4">
        <v>20</v>
      </c>
      <c r="F462" s="104"/>
    </row>
    <row r="463" spans="1:6" x14ac:dyDescent="0.25">
      <c r="A463" s="8">
        <v>41575</v>
      </c>
      <c r="B463" s="4">
        <v>59426</v>
      </c>
      <c r="C463" s="57">
        <v>388.07</v>
      </c>
      <c r="D463" s="4" t="str">
        <f t="shared" si="7"/>
        <v>EOM plus 5 days</v>
      </c>
      <c r="E463" s="4">
        <v>5</v>
      </c>
      <c r="F463" s="104"/>
    </row>
    <row r="464" spans="1:6" x14ac:dyDescent="0.25">
      <c r="A464" s="8">
        <v>41575</v>
      </c>
      <c r="B464" s="4">
        <v>59427</v>
      </c>
      <c r="C464" s="57">
        <v>64.92</v>
      </c>
      <c r="D464" s="4" t="str">
        <f t="shared" si="7"/>
        <v>EOM plus 15 days</v>
      </c>
      <c r="E464" s="4">
        <v>15</v>
      </c>
      <c r="F464" s="104"/>
    </row>
    <row r="465" spans="1:6" x14ac:dyDescent="0.25">
      <c r="A465" s="8">
        <v>41575</v>
      </c>
      <c r="B465" s="4">
        <v>59428</v>
      </c>
      <c r="C465" s="57">
        <v>289.25</v>
      </c>
      <c r="D465" s="4" t="str">
        <f t="shared" si="7"/>
        <v>EOM plus 10 days</v>
      </c>
      <c r="E465" s="4">
        <v>10</v>
      </c>
      <c r="F465" s="104"/>
    </row>
    <row r="466" spans="1:6" x14ac:dyDescent="0.25">
      <c r="A466" s="8">
        <v>41575</v>
      </c>
      <c r="B466" s="4">
        <v>59429</v>
      </c>
      <c r="C466" s="57">
        <v>384.69</v>
      </c>
      <c r="D466" s="4" t="str">
        <f t="shared" si="7"/>
        <v>EOM plus 10 days</v>
      </c>
      <c r="E466" s="4">
        <v>10</v>
      </c>
      <c r="F466" s="104"/>
    </row>
    <row r="467" spans="1:6" x14ac:dyDescent="0.25">
      <c r="A467" s="8">
        <v>41575</v>
      </c>
      <c r="B467" s="4">
        <v>59430</v>
      </c>
      <c r="C467" s="57">
        <v>228.27</v>
      </c>
      <c r="D467" s="4" t="str">
        <f t="shared" si="7"/>
        <v>EOM plus 10 days</v>
      </c>
      <c r="E467" s="4">
        <v>10</v>
      </c>
      <c r="F467" s="104"/>
    </row>
    <row r="468" spans="1:6" x14ac:dyDescent="0.25">
      <c r="A468" s="8">
        <v>41575</v>
      </c>
      <c r="B468" s="4">
        <v>59431</v>
      </c>
      <c r="C468" s="57">
        <v>101.11</v>
      </c>
      <c r="D468" s="4" t="str">
        <f t="shared" si="7"/>
        <v>EOM plus 5 days</v>
      </c>
      <c r="E468" s="4">
        <v>5</v>
      </c>
      <c r="F468" s="104"/>
    </row>
    <row r="469" spans="1:6" x14ac:dyDescent="0.25">
      <c r="A469" s="8">
        <v>41575</v>
      </c>
      <c r="B469" s="4">
        <v>59432</v>
      </c>
      <c r="C469" s="57">
        <v>366.63</v>
      </c>
      <c r="D469" s="4" t="str">
        <f t="shared" si="7"/>
        <v>EOM plus 20 days</v>
      </c>
      <c r="E469" s="4">
        <v>20</v>
      </c>
      <c r="F469" s="104"/>
    </row>
    <row r="470" spans="1:6" x14ac:dyDescent="0.25">
      <c r="A470" s="8">
        <v>41575</v>
      </c>
      <c r="B470" s="4">
        <v>59433</v>
      </c>
      <c r="C470" s="57">
        <v>48.07</v>
      </c>
      <c r="D470" s="4" t="str">
        <f t="shared" si="7"/>
        <v>EOM plus 5 days</v>
      </c>
      <c r="E470" s="4">
        <v>5</v>
      </c>
      <c r="F470" s="104"/>
    </row>
    <row r="471" spans="1:6" x14ac:dyDescent="0.25">
      <c r="A471" s="8">
        <v>41575</v>
      </c>
      <c r="B471" s="4">
        <v>59434</v>
      </c>
      <c r="C471" s="57">
        <v>82.5</v>
      </c>
      <c r="D471" s="4" t="str">
        <f t="shared" si="7"/>
        <v>EOM plus 5 days</v>
      </c>
      <c r="E471" s="4">
        <v>5</v>
      </c>
      <c r="F471" s="104"/>
    </row>
    <row r="472" spans="1:6" x14ac:dyDescent="0.25">
      <c r="A472" s="8">
        <v>41575</v>
      </c>
      <c r="B472" s="4">
        <v>59435</v>
      </c>
      <c r="C472" s="57">
        <v>108.81</v>
      </c>
      <c r="D472" s="4" t="str">
        <f t="shared" si="7"/>
        <v>EOM plus 10 days</v>
      </c>
      <c r="E472" s="4">
        <v>10</v>
      </c>
      <c r="F472" s="104"/>
    </row>
    <row r="473" spans="1:6" x14ac:dyDescent="0.25">
      <c r="A473" s="8">
        <v>41576</v>
      </c>
      <c r="B473" s="4">
        <v>59436</v>
      </c>
      <c r="C473" s="57">
        <v>240.5</v>
      </c>
      <c r="D473" s="4" t="str">
        <f t="shared" si="7"/>
        <v>EOM plus 10 days</v>
      </c>
      <c r="E473" s="4">
        <v>10</v>
      </c>
      <c r="F473" s="104"/>
    </row>
    <row r="474" spans="1:6" x14ac:dyDescent="0.25">
      <c r="A474" s="8">
        <v>41576</v>
      </c>
      <c r="B474" s="4">
        <v>59437</v>
      </c>
      <c r="C474" s="57">
        <v>376.38</v>
      </c>
      <c r="D474" s="4" t="str">
        <f t="shared" si="7"/>
        <v>EOM plus 10 days</v>
      </c>
      <c r="E474" s="4">
        <v>10</v>
      </c>
      <c r="F474" s="104"/>
    </row>
    <row r="475" spans="1:6" x14ac:dyDescent="0.25">
      <c r="A475" s="8">
        <v>41576</v>
      </c>
      <c r="B475" s="4">
        <v>59438</v>
      </c>
      <c r="C475" s="57">
        <v>186.61</v>
      </c>
      <c r="D475" s="4" t="str">
        <f t="shared" si="7"/>
        <v>EOM plus 5 days</v>
      </c>
      <c r="E475" s="4">
        <v>5</v>
      </c>
      <c r="F475" s="104"/>
    </row>
    <row r="476" spans="1:6" x14ac:dyDescent="0.25">
      <c r="A476" s="8">
        <v>41576</v>
      </c>
      <c r="B476" s="4">
        <v>59439</v>
      </c>
      <c r="C476" s="57">
        <v>317.88</v>
      </c>
      <c r="D476" s="4" t="str">
        <f t="shared" si="7"/>
        <v>EOM plus 10 days</v>
      </c>
      <c r="E476" s="4">
        <v>10</v>
      </c>
      <c r="F476" s="104"/>
    </row>
    <row r="477" spans="1:6" x14ac:dyDescent="0.25">
      <c r="A477" s="8">
        <v>41576</v>
      </c>
      <c r="B477" s="4">
        <v>59440</v>
      </c>
      <c r="C477" s="57">
        <v>137.52000000000001</v>
      </c>
      <c r="D477" s="4" t="str">
        <f t="shared" si="7"/>
        <v>EOM plus 5 days</v>
      </c>
      <c r="E477" s="4">
        <v>5</v>
      </c>
      <c r="F477" s="104"/>
    </row>
    <row r="478" spans="1:6" x14ac:dyDescent="0.25">
      <c r="A478" s="8">
        <v>41576</v>
      </c>
      <c r="B478" s="4">
        <v>59441</v>
      </c>
      <c r="C478" s="57">
        <v>198.13</v>
      </c>
      <c r="D478" s="4" t="str">
        <f t="shared" si="7"/>
        <v>EOM plus 5 days</v>
      </c>
      <c r="E478" s="4">
        <v>5</v>
      </c>
      <c r="F478" s="104"/>
    </row>
    <row r="479" spans="1:6" x14ac:dyDescent="0.25">
      <c r="A479" s="8">
        <v>41576</v>
      </c>
      <c r="B479" s="4">
        <v>59442</v>
      </c>
      <c r="C479" s="57">
        <v>50.82</v>
      </c>
      <c r="D479" s="4" t="str">
        <f t="shared" si="7"/>
        <v>EOM plus 15 days</v>
      </c>
      <c r="E479" s="4">
        <v>15</v>
      </c>
      <c r="F479" s="104"/>
    </row>
    <row r="480" spans="1:6" x14ac:dyDescent="0.25">
      <c r="A480" s="8">
        <v>41576</v>
      </c>
      <c r="B480" s="4">
        <v>59443</v>
      </c>
      <c r="C480" s="57">
        <v>312.32</v>
      </c>
      <c r="D480" s="4" t="str">
        <f t="shared" si="7"/>
        <v>EOM plus 15 days</v>
      </c>
      <c r="E480" s="4">
        <v>15</v>
      </c>
      <c r="F480" s="104"/>
    </row>
    <row r="481" spans="1:6" x14ac:dyDescent="0.25">
      <c r="A481" s="8">
        <v>41576</v>
      </c>
      <c r="B481" s="4">
        <v>59444</v>
      </c>
      <c r="C481" s="57">
        <v>66.89</v>
      </c>
      <c r="D481" s="4" t="str">
        <f t="shared" si="7"/>
        <v>EOM plus 5 days</v>
      </c>
      <c r="E481" s="4">
        <v>5</v>
      </c>
      <c r="F481" s="104"/>
    </row>
    <row r="482" spans="1:6" x14ac:dyDescent="0.25">
      <c r="A482" s="8">
        <v>41576</v>
      </c>
      <c r="B482" s="4">
        <v>59445</v>
      </c>
      <c r="C482" s="57">
        <v>38.200000000000003</v>
      </c>
      <c r="D482" s="4" t="str">
        <f t="shared" si="7"/>
        <v>EOM plus 10 days</v>
      </c>
      <c r="E482" s="4">
        <v>10</v>
      </c>
      <c r="F482" s="104"/>
    </row>
    <row r="483" spans="1:6" x14ac:dyDescent="0.25">
      <c r="A483" s="8">
        <v>41576</v>
      </c>
      <c r="B483" s="4">
        <v>59446</v>
      </c>
      <c r="C483" s="57">
        <v>365.01</v>
      </c>
      <c r="D483" s="4" t="str">
        <f t="shared" si="7"/>
        <v>EOM plus 15 days</v>
      </c>
      <c r="E483" s="4">
        <v>15</v>
      </c>
      <c r="F483" s="104"/>
    </row>
    <row r="484" spans="1:6" x14ac:dyDescent="0.25">
      <c r="A484" s="8">
        <v>41576</v>
      </c>
      <c r="B484" s="4">
        <v>59447</v>
      </c>
      <c r="C484" s="57">
        <v>351.64</v>
      </c>
      <c r="D484" s="4" t="str">
        <f t="shared" si="7"/>
        <v>EOM plus 10 days</v>
      </c>
      <c r="E484" s="4">
        <v>10</v>
      </c>
      <c r="F484" s="104"/>
    </row>
    <row r="485" spans="1:6" x14ac:dyDescent="0.25">
      <c r="A485" s="8">
        <v>41576</v>
      </c>
      <c r="B485" s="4">
        <v>59448</v>
      </c>
      <c r="C485" s="57">
        <v>370.4</v>
      </c>
      <c r="D485" s="4" t="str">
        <f t="shared" si="7"/>
        <v>EOM plus 10 days</v>
      </c>
      <c r="E485" s="4">
        <v>10</v>
      </c>
      <c r="F485" s="104"/>
    </row>
    <row r="486" spans="1:6" x14ac:dyDescent="0.25">
      <c r="A486" s="8">
        <v>41576</v>
      </c>
      <c r="B486" s="4">
        <v>59449</v>
      </c>
      <c r="C486" s="57">
        <v>270.39</v>
      </c>
      <c r="D486" s="4" t="str">
        <f t="shared" si="7"/>
        <v>EOM plus 5 days</v>
      </c>
      <c r="E486" s="4">
        <v>5</v>
      </c>
      <c r="F486" s="104"/>
    </row>
    <row r="487" spans="1:6" x14ac:dyDescent="0.25">
      <c r="A487" s="8">
        <v>41576</v>
      </c>
      <c r="B487" s="4">
        <v>59450</v>
      </c>
      <c r="C487" s="57">
        <v>75.55</v>
      </c>
      <c r="D487" s="4" t="str">
        <f t="shared" si="7"/>
        <v>EOM plus 10 days</v>
      </c>
      <c r="E487" s="4">
        <v>10</v>
      </c>
      <c r="F487" s="104"/>
    </row>
    <row r="488" spans="1:6" x14ac:dyDescent="0.25">
      <c r="A488" s="8">
        <v>41576</v>
      </c>
      <c r="B488" s="4">
        <v>59451</v>
      </c>
      <c r="C488" s="57">
        <v>211.01</v>
      </c>
      <c r="D488" s="4" t="str">
        <f t="shared" si="7"/>
        <v>EOM plus 5 days</v>
      </c>
      <c r="E488" s="4">
        <v>5</v>
      </c>
      <c r="F488" s="104"/>
    </row>
    <row r="489" spans="1:6" x14ac:dyDescent="0.25">
      <c r="A489" s="8">
        <v>41576</v>
      </c>
      <c r="B489" s="4">
        <v>59452</v>
      </c>
      <c r="C489" s="57">
        <v>214.08</v>
      </c>
      <c r="D489" s="4" t="str">
        <f t="shared" si="7"/>
        <v>EOM plus 5 days</v>
      </c>
      <c r="E489" s="4">
        <v>5</v>
      </c>
      <c r="F489" s="104"/>
    </row>
    <row r="490" spans="1:6" x14ac:dyDescent="0.25">
      <c r="A490" s="8">
        <v>41576</v>
      </c>
      <c r="B490" s="4">
        <v>59453</v>
      </c>
      <c r="C490" s="57">
        <v>168.15</v>
      </c>
      <c r="D490" s="4" t="str">
        <f t="shared" si="7"/>
        <v>EOM plus 10 days</v>
      </c>
      <c r="E490" s="4">
        <v>10</v>
      </c>
      <c r="F490" s="104"/>
    </row>
    <row r="491" spans="1:6" x14ac:dyDescent="0.25">
      <c r="A491" s="8">
        <v>41576</v>
      </c>
      <c r="B491" s="4">
        <v>59454</v>
      </c>
      <c r="C491" s="57">
        <v>212.1</v>
      </c>
      <c r="D491" s="4" t="str">
        <f t="shared" si="7"/>
        <v>EOM plus 5 days</v>
      </c>
      <c r="E491" s="4">
        <v>5</v>
      </c>
      <c r="F491" s="104"/>
    </row>
    <row r="492" spans="1:6" x14ac:dyDescent="0.25">
      <c r="A492" s="8">
        <v>41576</v>
      </c>
      <c r="B492" s="4">
        <v>59455</v>
      </c>
      <c r="C492" s="57">
        <v>243.27</v>
      </c>
      <c r="D492" s="4" t="str">
        <f t="shared" si="7"/>
        <v>EOM plus 5 days</v>
      </c>
      <c r="E492" s="4">
        <v>5</v>
      </c>
      <c r="F492" s="104"/>
    </row>
    <row r="493" spans="1:6" x14ac:dyDescent="0.25">
      <c r="A493" s="8">
        <v>41577</v>
      </c>
      <c r="B493" s="4">
        <v>59456</v>
      </c>
      <c r="C493" s="57">
        <v>118.22</v>
      </c>
      <c r="D493" s="4" t="str">
        <f t="shared" si="7"/>
        <v>EOM plus 5 days</v>
      </c>
      <c r="E493" s="4">
        <v>5</v>
      </c>
      <c r="F493" s="104"/>
    </row>
    <row r="494" spans="1:6" x14ac:dyDescent="0.25">
      <c r="A494" s="8">
        <v>41577</v>
      </c>
      <c r="B494" s="4">
        <v>59457</v>
      </c>
      <c r="C494" s="57">
        <v>301.37</v>
      </c>
      <c r="D494" s="4" t="str">
        <f t="shared" si="7"/>
        <v>EOM plus 5 days</v>
      </c>
      <c r="E494" s="4">
        <v>5</v>
      </c>
      <c r="F494" s="104"/>
    </row>
    <row r="495" spans="1:6" x14ac:dyDescent="0.25">
      <c r="A495" s="8">
        <v>41577</v>
      </c>
      <c r="B495" s="4">
        <v>59458</v>
      </c>
      <c r="C495" s="57">
        <v>106.08</v>
      </c>
      <c r="D495" s="4" t="str">
        <f t="shared" si="7"/>
        <v>EOM plus 5 days</v>
      </c>
      <c r="E495" s="4">
        <v>5</v>
      </c>
      <c r="F495" s="104"/>
    </row>
    <row r="496" spans="1:6" x14ac:dyDescent="0.25">
      <c r="A496" s="8">
        <v>41577</v>
      </c>
      <c r="B496" s="4">
        <v>59459</v>
      </c>
      <c r="C496" s="57">
        <v>224.36</v>
      </c>
      <c r="D496" s="4" t="str">
        <f t="shared" si="7"/>
        <v>EOM plus 10 days</v>
      </c>
      <c r="E496" s="4">
        <v>10</v>
      </c>
      <c r="F496" s="104"/>
    </row>
    <row r="497" spans="1:6" x14ac:dyDescent="0.25">
      <c r="A497" s="8">
        <v>41577</v>
      </c>
      <c r="B497" s="4">
        <v>59460</v>
      </c>
      <c r="C497" s="57">
        <v>151.16</v>
      </c>
      <c r="D497" s="4" t="str">
        <f t="shared" si="7"/>
        <v>EOM plus 5 days</v>
      </c>
      <c r="E497" s="4">
        <v>5</v>
      </c>
      <c r="F497" s="104"/>
    </row>
    <row r="498" spans="1:6" x14ac:dyDescent="0.25">
      <c r="A498" s="8">
        <v>41577</v>
      </c>
      <c r="B498" s="4">
        <v>59461</v>
      </c>
      <c r="C498" s="57">
        <v>258.17</v>
      </c>
      <c r="D498" s="4" t="str">
        <f t="shared" si="7"/>
        <v>EOM plus 5 days</v>
      </c>
      <c r="E498" s="4">
        <v>5</v>
      </c>
      <c r="F498" s="104"/>
    </row>
    <row r="499" spans="1:6" x14ac:dyDescent="0.25">
      <c r="A499" s="8">
        <v>41577</v>
      </c>
      <c r="B499" s="4">
        <v>59462</v>
      </c>
      <c r="C499" s="57">
        <v>312.19</v>
      </c>
      <c r="D499" s="4" t="str">
        <f t="shared" si="7"/>
        <v>EOM plus 10 days</v>
      </c>
      <c r="E499" s="4">
        <v>10</v>
      </c>
      <c r="F499" s="104"/>
    </row>
    <row r="500" spans="1:6" x14ac:dyDescent="0.25">
      <c r="A500" s="8">
        <v>41577</v>
      </c>
      <c r="B500" s="4">
        <v>59463</v>
      </c>
      <c r="C500" s="57">
        <v>236.59</v>
      </c>
      <c r="D500" s="4" t="str">
        <f t="shared" si="7"/>
        <v>EOM plus 10 days</v>
      </c>
      <c r="E500" s="4">
        <v>10</v>
      </c>
      <c r="F500" s="104"/>
    </row>
    <row r="501" spans="1:6" x14ac:dyDescent="0.25">
      <c r="A501" s="8">
        <v>41577</v>
      </c>
      <c r="B501" s="4">
        <v>59464</v>
      </c>
      <c r="C501" s="57">
        <v>190.59</v>
      </c>
      <c r="D501" s="4" t="str">
        <f t="shared" si="7"/>
        <v>EOM plus 15 days</v>
      </c>
      <c r="E501" s="4">
        <v>15</v>
      </c>
      <c r="F501" s="104"/>
    </row>
    <row r="502" spans="1:6" x14ac:dyDescent="0.25">
      <c r="A502" s="8">
        <v>41577</v>
      </c>
      <c r="B502" s="4">
        <v>59465</v>
      </c>
      <c r="C502" s="57">
        <v>377.43</v>
      </c>
      <c r="D502" s="4" t="str">
        <f t="shared" si="7"/>
        <v>EOM plus 10 days</v>
      </c>
      <c r="E502" s="4">
        <v>10</v>
      </c>
      <c r="F502" s="104"/>
    </row>
    <row r="503" spans="1:6" x14ac:dyDescent="0.25">
      <c r="A503" s="8">
        <v>41577</v>
      </c>
      <c r="B503" s="4">
        <v>59466</v>
      </c>
      <c r="C503" s="57">
        <v>371.73</v>
      </c>
      <c r="D503" s="4" t="str">
        <f t="shared" si="7"/>
        <v>EOM plus 5 days</v>
      </c>
      <c r="E503" s="4">
        <v>5</v>
      </c>
      <c r="F503" s="104"/>
    </row>
    <row r="504" spans="1:6" x14ac:dyDescent="0.25">
      <c r="A504" s="8">
        <v>41577</v>
      </c>
      <c r="B504" s="4">
        <v>59467</v>
      </c>
      <c r="C504" s="57">
        <v>73.87</v>
      </c>
      <c r="D504" s="4" t="str">
        <f t="shared" si="7"/>
        <v>EOM plus 10 days</v>
      </c>
      <c r="E504" s="4">
        <v>10</v>
      </c>
      <c r="F504" s="104"/>
    </row>
    <row r="505" spans="1:6" x14ac:dyDescent="0.25">
      <c r="A505" s="8">
        <v>41577</v>
      </c>
      <c r="B505" s="4">
        <v>59468</v>
      </c>
      <c r="C505" s="57">
        <v>309.99</v>
      </c>
      <c r="D505" s="4" t="str">
        <f t="shared" si="7"/>
        <v>EOM plus 15 days</v>
      </c>
      <c r="E505" s="4">
        <v>15</v>
      </c>
      <c r="F505" s="104"/>
    </row>
    <row r="506" spans="1:6" x14ac:dyDescent="0.25">
      <c r="A506" s="8">
        <v>41578</v>
      </c>
      <c r="B506" s="4">
        <v>59469</v>
      </c>
      <c r="C506" s="57">
        <v>76.099999999999994</v>
      </c>
      <c r="D506" s="4" t="str">
        <f t="shared" si="7"/>
        <v>EOM plus 15 days</v>
      </c>
      <c r="E506" s="4">
        <v>15</v>
      </c>
      <c r="F506" s="104"/>
    </row>
    <row r="507" spans="1:6" x14ac:dyDescent="0.25">
      <c r="A507" s="8">
        <v>41578</v>
      </c>
      <c r="B507" s="4">
        <v>59470</v>
      </c>
      <c r="C507" s="57">
        <v>166.77</v>
      </c>
      <c r="D507" s="4" t="str">
        <f t="shared" si="7"/>
        <v>EOM plus 5 days</v>
      </c>
      <c r="E507" s="4">
        <v>5</v>
      </c>
      <c r="F507" s="104"/>
    </row>
    <row r="508" spans="1:6" x14ac:dyDescent="0.25">
      <c r="A508" s="8">
        <v>41578</v>
      </c>
      <c r="B508" s="4">
        <v>59471</v>
      </c>
      <c r="C508" s="57">
        <v>281.33999999999997</v>
      </c>
      <c r="D508" s="4" t="str">
        <f t="shared" si="7"/>
        <v>EOM plus 15 days</v>
      </c>
      <c r="E508" s="4">
        <v>15</v>
      </c>
      <c r="F508" s="104"/>
    </row>
    <row r="509" spans="1:6" x14ac:dyDescent="0.25">
      <c r="A509" s="8">
        <v>41578</v>
      </c>
      <c r="B509" s="4">
        <v>59472</v>
      </c>
      <c r="C509" s="57">
        <v>313.36</v>
      </c>
      <c r="D509" s="4" t="str">
        <f t="shared" si="7"/>
        <v>EOM plus 20 days</v>
      </c>
      <c r="E509" s="4">
        <v>20</v>
      </c>
      <c r="F509" s="104"/>
    </row>
    <row r="510" spans="1:6" x14ac:dyDescent="0.25">
      <c r="A510" s="8">
        <v>41578</v>
      </c>
      <c r="B510" s="4">
        <v>59473</v>
      </c>
      <c r="C510" s="57">
        <v>75.06</v>
      </c>
      <c r="D510" s="4" t="str">
        <f t="shared" si="7"/>
        <v>EOM plus 5 days</v>
      </c>
      <c r="E510" s="4">
        <v>5</v>
      </c>
      <c r="F510" s="104"/>
    </row>
    <row r="511" spans="1:6" x14ac:dyDescent="0.25">
      <c r="A511" s="8">
        <v>41578</v>
      </c>
      <c r="B511" s="4">
        <v>59474</v>
      </c>
      <c r="C511" s="57">
        <v>173.69</v>
      </c>
      <c r="D511" s="4" t="str">
        <f t="shared" si="7"/>
        <v>EOM plus 10 days</v>
      </c>
      <c r="E511" s="4">
        <v>10</v>
      </c>
      <c r="F511" s="104"/>
    </row>
    <row r="512" spans="1:6" x14ac:dyDescent="0.25">
      <c r="A512" s="8">
        <v>41578</v>
      </c>
      <c r="B512" s="4">
        <v>59475</v>
      </c>
      <c r="C512" s="57">
        <v>185.36</v>
      </c>
      <c r="D512" s="4" t="str">
        <f t="shared" si="7"/>
        <v>EOM plus 5 days</v>
      </c>
      <c r="E512" s="4">
        <v>5</v>
      </c>
      <c r="F512" s="104"/>
    </row>
    <row r="513" spans="1:6" x14ac:dyDescent="0.25">
      <c r="A513" s="8">
        <v>41578</v>
      </c>
      <c r="B513" s="4">
        <v>59476</v>
      </c>
      <c r="C513" s="57">
        <v>339.26</v>
      </c>
      <c r="D513" s="4" t="str">
        <f t="shared" si="7"/>
        <v>EOM plus 10 days</v>
      </c>
      <c r="E513" s="4">
        <v>10</v>
      </c>
      <c r="F513" s="104"/>
    </row>
    <row r="514" spans="1:6" x14ac:dyDescent="0.25">
      <c r="A514" s="8">
        <v>41578</v>
      </c>
      <c r="B514" s="4">
        <v>59477</v>
      </c>
      <c r="C514" s="57">
        <v>261.49</v>
      </c>
      <c r="D514" s="4" t="str">
        <f t="shared" si="7"/>
        <v>EOM plus 20 days</v>
      </c>
      <c r="E514" s="4">
        <v>20</v>
      </c>
      <c r="F514" s="104"/>
    </row>
    <row r="515" spans="1:6" x14ac:dyDescent="0.25">
      <c r="A515" s="8">
        <v>41578</v>
      </c>
      <c r="B515" s="4">
        <v>59478</v>
      </c>
      <c r="C515" s="57">
        <v>114.09</v>
      </c>
      <c r="D515" s="4" t="str">
        <f t="shared" si="7"/>
        <v>EOM plus 10 days</v>
      </c>
      <c r="E515" s="4">
        <v>10</v>
      </c>
      <c r="F515" s="104"/>
    </row>
    <row r="516" spans="1:6" x14ac:dyDescent="0.25">
      <c r="A516" s="8">
        <v>41578</v>
      </c>
      <c r="B516" s="4">
        <v>59479</v>
      </c>
      <c r="C516" s="57">
        <v>166.49</v>
      </c>
      <c r="D516" s="4" t="str">
        <f t="shared" si="7"/>
        <v>EOM plus 10 days</v>
      </c>
      <c r="E516" s="4">
        <v>10</v>
      </c>
      <c r="F516" s="104"/>
    </row>
    <row r="517" spans="1:6" x14ac:dyDescent="0.25">
      <c r="A517" s="8">
        <v>41578</v>
      </c>
      <c r="B517" s="4">
        <v>59480</v>
      </c>
      <c r="C517" s="57">
        <v>95.1</v>
      </c>
      <c r="D517" s="4" t="str">
        <f t="shared" ref="D517:D580" si="8">"EOM plus "&amp;E517&amp;" days"</f>
        <v>EOM plus 10 days</v>
      </c>
      <c r="E517" s="4">
        <v>10</v>
      </c>
      <c r="F517" s="104"/>
    </row>
    <row r="518" spans="1:6" x14ac:dyDescent="0.25">
      <c r="A518" s="8">
        <v>41578</v>
      </c>
      <c r="B518" s="4">
        <v>59481</v>
      </c>
      <c r="C518" s="57">
        <v>109.95</v>
      </c>
      <c r="D518" s="4" t="str">
        <f t="shared" si="8"/>
        <v>EOM plus 10 days</v>
      </c>
      <c r="E518" s="4">
        <v>10</v>
      </c>
      <c r="F518" s="104"/>
    </row>
    <row r="519" spans="1:6" x14ac:dyDescent="0.25">
      <c r="A519" s="8">
        <v>41578</v>
      </c>
      <c r="B519" s="4">
        <v>59482</v>
      </c>
      <c r="C519" s="57">
        <v>290.08999999999997</v>
      </c>
      <c r="D519" s="4" t="str">
        <f t="shared" si="8"/>
        <v>EOM plus 15 days</v>
      </c>
      <c r="E519" s="4">
        <v>15</v>
      </c>
      <c r="F519" s="104"/>
    </row>
    <row r="520" spans="1:6" x14ac:dyDescent="0.25">
      <c r="A520" s="8">
        <v>41578</v>
      </c>
      <c r="B520" s="4">
        <v>59483</v>
      </c>
      <c r="C520" s="57">
        <v>297.85000000000002</v>
      </c>
      <c r="D520" s="4" t="str">
        <f t="shared" si="8"/>
        <v>EOM plus 15 days</v>
      </c>
      <c r="E520" s="4">
        <v>15</v>
      </c>
      <c r="F520" s="104"/>
    </row>
    <row r="521" spans="1:6" x14ac:dyDescent="0.25">
      <c r="A521" s="8">
        <v>41578</v>
      </c>
      <c r="B521" s="4">
        <v>59484</v>
      </c>
      <c r="C521" s="57">
        <v>331.36</v>
      </c>
      <c r="D521" s="4" t="str">
        <f t="shared" si="8"/>
        <v>EOM plus 10 days</v>
      </c>
      <c r="E521" s="4">
        <v>10</v>
      </c>
      <c r="F521" s="104"/>
    </row>
    <row r="522" spans="1:6" x14ac:dyDescent="0.25">
      <c r="A522" s="8">
        <v>41578</v>
      </c>
      <c r="B522" s="4">
        <v>59485</v>
      </c>
      <c r="C522" s="57">
        <v>104.21</v>
      </c>
      <c r="D522" s="4" t="str">
        <f t="shared" si="8"/>
        <v>EOM plus 5 days</v>
      </c>
      <c r="E522" s="4">
        <v>5</v>
      </c>
      <c r="F522" s="104"/>
    </row>
    <row r="523" spans="1:6" x14ac:dyDescent="0.25">
      <c r="A523" s="8">
        <v>41578</v>
      </c>
      <c r="B523" s="4">
        <v>59486</v>
      </c>
      <c r="C523" s="57">
        <v>136.32</v>
      </c>
      <c r="D523" s="4" t="str">
        <f t="shared" si="8"/>
        <v>EOM plus 15 days</v>
      </c>
      <c r="E523" s="4">
        <v>15</v>
      </c>
      <c r="F523" s="104"/>
    </row>
    <row r="524" spans="1:6" x14ac:dyDescent="0.25">
      <c r="A524" s="8">
        <v>41578</v>
      </c>
      <c r="B524" s="4">
        <v>59487</v>
      </c>
      <c r="C524" s="57">
        <v>228.75</v>
      </c>
      <c r="D524" s="4" t="str">
        <f t="shared" si="8"/>
        <v>EOM plus 10 days</v>
      </c>
      <c r="E524" s="4">
        <v>10</v>
      </c>
      <c r="F524" s="104"/>
    </row>
    <row r="525" spans="1:6" x14ac:dyDescent="0.25">
      <c r="A525" s="8">
        <v>41578</v>
      </c>
      <c r="B525" s="4">
        <v>59488</v>
      </c>
      <c r="C525" s="57">
        <v>370.83</v>
      </c>
      <c r="D525" s="4" t="str">
        <f t="shared" si="8"/>
        <v>EOM plus 20 days</v>
      </c>
      <c r="E525" s="4">
        <v>20</v>
      </c>
      <c r="F525" s="104"/>
    </row>
    <row r="526" spans="1:6" x14ac:dyDescent="0.25">
      <c r="A526" s="8">
        <v>41579</v>
      </c>
      <c r="B526" s="4">
        <v>59489</v>
      </c>
      <c r="C526" s="57">
        <v>42.44</v>
      </c>
      <c r="D526" s="4" t="str">
        <f t="shared" si="8"/>
        <v>EOM plus 10 days</v>
      </c>
      <c r="E526" s="4">
        <v>10</v>
      </c>
      <c r="F526" s="104"/>
    </row>
    <row r="527" spans="1:6" x14ac:dyDescent="0.25">
      <c r="A527" s="8">
        <v>41579</v>
      </c>
      <c r="B527" s="4">
        <v>59490</v>
      </c>
      <c r="C527" s="57">
        <v>208.22</v>
      </c>
      <c r="D527" s="4" t="str">
        <f t="shared" si="8"/>
        <v>EOM plus 5 days</v>
      </c>
      <c r="E527" s="4">
        <v>5</v>
      </c>
      <c r="F527" s="104"/>
    </row>
    <row r="528" spans="1:6" x14ac:dyDescent="0.25">
      <c r="A528" s="8">
        <v>41579</v>
      </c>
      <c r="B528" s="4">
        <v>59491</v>
      </c>
      <c r="C528" s="57">
        <v>152.13</v>
      </c>
      <c r="D528" s="4" t="str">
        <f t="shared" si="8"/>
        <v>EOM plus 5 days</v>
      </c>
      <c r="E528" s="4">
        <v>5</v>
      </c>
      <c r="F528" s="104"/>
    </row>
    <row r="529" spans="1:6" x14ac:dyDescent="0.25">
      <c r="A529" s="8">
        <v>41579</v>
      </c>
      <c r="B529" s="4">
        <v>59492</v>
      </c>
      <c r="C529" s="57">
        <v>35.090000000000003</v>
      </c>
      <c r="D529" s="4" t="str">
        <f t="shared" si="8"/>
        <v>EOM plus 10 days</v>
      </c>
      <c r="E529" s="4">
        <v>10</v>
      </c>
      <c r="F529" s="104"/>
    </row>
    <row r="530" spans="1:6" x14ac:dyDescent="0.25">
      <c r="A530" s="8">
        <v>41579</v>
      </c>
      <c r="B530" s="4">
        <v>59493</v>
      </c>
      <c r="C530" s="57">
        <v>226.73</v>
      </c>
      <c r="D530" s="4" t="str">
        <f t="shared" si="8"/>
        <v>EOM plus 5 days</v>
      </c>
      <c r="E530" s="4">
        <v>5</v>
      </c>
      <c r="F530" s="104"/>
    </row>
    <row r="531" spans="1:6" x14ac:dyDescent="0.25">
      <c r="A531" s="8">
        <v>41579</v>
      </c>
      <c r="B531" s="4">
        <v>59494</v>
      </c>
      <c r="C531" s="57">
        <v>230.33</v>
      </c>
      <c r="D531" s="4" t="str">
        <f t="shared" si="8"/>
        <v>EOM plus 5 days</v>
      </c>
      <c r="E531" s="4">
        <v>5</v>
      </c>
      <c r="F531" s="104"/>
    </row>
    <row r="532" spans="1:6" x14ac:dyDescent="0.25">
      <c r="A532" s="8">
        <v>41579</v>
      </c>
      <c r="B532" s="4">
        <v>59495</v>
      </c>
      <c r="C532" s="57">
        <v>122.14</v>
      </c>
      <c r="D532" s="4" t="str">
        <f t="shared" si="8"/>
        <v>EOM plus 10 days</v>
      </c>
      <c r="E532" s="4">
        <v>10</v>
      </c>
      <c r="F532" s="104"/>
    </row>
    <row r="533" spans="1:6" x14ac:dyDescent="0.25">
      <c r="A533" s="8">
        <v>41579</v>
      </c>
      <c r="B533" s="4">
        <v>59496</v>
      </c>
      <c r="C533" s="57">
        <v>375.41</v>
      </c>
      <c r="D533" s="4" t="str">
        <f t="shared" si="8"/>
        <v>EOM plus 5 days</v>
      </c>
      <c r="E533" s="4">
        <v>5</v>
      </c>
      <c r="F533" s="104"/>
    </row>
    <row r="534" spans="1:6" x14ac:dyDescent="0.25">
      <c r="A534" s="8">
        <v>41579</v>
      </c>
      <c r="B534" s="4">
        <v>59497</v>
      </c>
      <c r="C534" s="57">
        <v>38.65</v>
      </c>
      <c r="D534" s="4" t="str">
        <f t="shared" si="8"/>
        <v>EOM plus 10 days</v>
      </c>
      <c r="E534" s="4">
        <v>10</v>
      </c>
      <c r="F534" s="104"/>
    </row>
    <row r="535" spans="1:6" x14ac:dyDescent="0.25">
      <c r="A535" s="8">
        <v>41579</v>
      </c>
      <c r="B535" s="4">
        <v>59498</v>
      </c>
      <c r="C535" s="57">
        <v>129.86000000000001</v>
      </c>
      <c r="D535" s="4" t="str">
        <f t="shared" si="8"/>
        <v>EOM plus 5 days</v>
      </c>
      <c r="E535" s="4">
        <v>5</v>
      </c>
      <c r="F535" s="104"/>
    </row>
    <row r="536" spans="1:6" x14ac:dyDescent="0.25">
      <c r="A536" s="8">
        <v>41579</v>
      </c>
      <c r="B536" s="4">
        <v>59499</v>
      </c>
      <c r="C536" s="57">
        <v>306.52</v>
      </c>
      <c r="D536" s="4" t="str">
        <f t="shared" si="8"/>
        <v>EOM plus 10 days</v>
      </c>
      <c r="E536" s="4">
        <v>10</v>
      </c>
      <c r="F536" s="104"/>
    </row>
    <row r="537" spans="1:6" x14ac:dyDescent="0.25">
      <c r="A537" s="8">
        <v>41579</v>
      </c>
      <c r="B537" s="4">
        <v>59500</v>
      </c>
      <c r="C537" s="57">
        <v>264.52</v>
      </c>
      <c r="D537" s="4" t="str">
        <f t="shared" si="8"/>
        <v>EOM plus 15 days</v>
      </c>
      <c r="E537" s="4">
        <v>15</v>
      </c>
      <c r="F537" s="104"/>
    </row>
    <row r="538" spans="1:6" x14ac:dyDescent="0.25">
      <c r="A538" s="8">
        <v>41579</v>
      </c>
      <c r="B538" s="4">
        <v>59501</v>
      </c>
      <c r="C538" s="57">
        <v>144.53</v>
      </c>
      <c r="D538" s="4" t="str">
        <f t="shared" si="8"/>
        <v>EOM plus 5 days</v>
      </c>
      <c r="E538" s="4">
        <v>5</v>
      </c>
      <c r="F538" s="104"/>
    </row>
    <row r="539" spans="1:6" x14ac:dyDescent="0.25">
      <c r="A539" s="8">
        <v>41579</v>
      </c>
      <c r="B539" s="4">
        <v>59502</v>
      </c>
      <c r="C539" s="57">
        <v>198.64</v>
      </c>
      <c r="D539" s="4" t="str">
        <f t="shared" si="8"/>
        <v>EOM plus 5 days</v>
      </c>
      <c r="E539" s="4">
        <v>5</v>
      </c>
      <c r="F539" s="104"/>
    </row>
    <row r="540" spans="1:6" x14ac:dyDescent="0.25">
      <c r="A540" s="8">
        <v>41579</v>
      </c>
      <c r="B540" s="4">
        <v>59503</v>
      </c>
      <c r="C540" s="57">
        <v>298.51</v>
      </c>
      <c r="D540" s="4" t="str">
        <f t="shared" si="8"/>
        <v>EOM plus 5 days</v>
      </c>
      <c r="E540" s="4">
        <v>5</v>
      </c>
      <c r="F540" s="104"/>
    </row>
    <row r="541" spans="1:6" x14ac:dyDescent="0.25">
      <c r="A541" s="8">
        <v>41579</v>
      </c>
      <c r="B541" s="4">
        <v>59504</v>
      </c>
      <c r="C541" s="57">
        <v>314.27999999999997</v>
      </c>
      <c r="D541" s="4" t="str">
        <f t="shared" si="8"/>
        <v>EOM plus 10 days</v>
      </c>
      <c r="E541" s="4">
        <v>10</v>
      </c>
      <c r="F541" s="104"/>
    </row>
    <row r="542" spans="1:6" x14ac:dyDescent="0.25">
      <c r="A542" s="8">
        <v>41579</v>
      </c>
      <c r="B542" s="4">
        <v>59505</v>
      </c>
      <c r="C542" s="57">
        <v>234.39</v>
      </c>
      <c r="D542" s="4" t="str">
        <f t="shared" si="8"/>
        <v>EOM plus 10 days</v>
      </c>
      <c r="E542" s="4">
        <v>10</v>
      </c>
      <c r="F542" s="104"/>
    </row>
    <row r="543" spans="1:6" x14ac:dyDescent="0.25">
      <c r="A543" s="8">
        <v>41579</v>
      </c>
      <c r="B543" s="4">
        <v>59506</v>
      </c>
      <c r="C543" s="57">
        <v>250.87</v>
      </c>
      <c r="D543" s="4" t="str">
        <f t="shared" si="8"/>
        <v>EOM plus 10 days</v>
      </c>
      <c r="E543" s="4">
        <v>10</v>
      </c>
      <c r="F543" s="104"/>
    </row>
    <row r="544" spans="1:6" x14ac:dyDescent="0.25">
      <c r="A544" s="8">
        <v>41580</v>
      </c>
      <c r="B544" s="4">
        <v>59507</v>
      </c>
      <c r="C544" s="57">
        <v>198.9</v>
      </c>
      <c r="D544" s="4" t="str">
        <f t="shared" si="8"/>
        <v>EOM plus 15 days</v>
      </c>
      <c r="E544" s="4">
        <v>15</v>
      </c>
      <c r="F544" s="104"/>
    </row>
    <row r="545" spans="1:6" x14ac:dyDescent="0.25">
      <c r="A545" s="8">
        <v>41580</v>
      </c>
      <c r="B545" s="4">
        <v>59508</v>
      </c>
      <c r="C545" s="57">
        <v>197.89</v>
      </c>
      <c r="D545" s="4" t="str">
        <f t="shared" si="8"/>
        <v>EOM plus 10 days</v>
      </c>
      <c r="E545" s="4">
        <v>10</v>
      </c>
      <c r="F545" s="104"/>
    </row>
    <row r="546" spans="1:6" x14ac:dyDescent="0.25">
      <c r="A546" s="8">
        <v>41580</v>
      </c>
      <c r="B546" s="4">
        <v>59509</v>
      </c>
      <c r="C546" s="57">
        <v>269.07</v>
      </c>
      <c r="D546" s="4" t="str">
        <f t="shared" si="8"/>
        <v>EOM plus 10 days</v>
      </c>
      <c r="E546" s="4">
        <v>10</v>
      </c>
      <c r="F546" s="104"/>
    </row>
    <row r="547" spans="1:6" x14ac:dyDescent="0.25">
      <c r="A547" s="8">
        <v>41580</v>
      </c>
      <c r="B547" s="4">
        <v>59510</v>
      </c>
      <c r="C547" s="57">
        <v>323.58999999999997</v>
      </c>
      <c r="D547" s="4" t="str">
        <f t="shared" si="8"/>
        <v>EOM plus 5 days</v>
      </c>
      <c r="E547" s="4">
        <v>5</v>
      </c>
      <c r="F547" s="104"/>
    </row>
    <row r="548" spans="1:6" x14ac:dyDescent="0.25">
      <c r="A548" s="8">
        <v>41580</v>
      </c>
      <c r="B548" s="4">
        <v>59511</v>
      </c>
      <c r="C548" s="57">
        <v>330.16</v>
      </c>
      <c r="D548" s="4" t="str">
        <f t="shared" si="8"/>
        <v>EOM plus 10 days</v>
      </c>
      <c r="E548" s="4">
        <v>10</v>
      </c>
      <c r="F548" s="104"/>
    </row>
    <row r="549" spans="1:6" x14ac:dyDescent="0.25">
      <c r="A549" s="8">
        <v>41580</v>
      </c>
      <c r="B549" s="4">
        <v>59512</v>
      </c>
      <c r="C549" s="57">
        <v>306.01</v>
      </c>
      <c r="D549" s="4" t="str">
        <f t="shared" si="8"/>
        <v>EOM plus 10 days</v>
      </c>
      <c r="E549" s="4">
        <v>10</v>
      </c>
      <c r="F549" s="104"/>
    </row>
    <row r="550" spans="1:6" x14ac:dyDescent="0.25">
      <c r="A550" s="8">
        <v>41580</v>
      </c>
      <c r="B550" s="4">
        <v>59513</v>
      </c>
      <c r="C550" s="57">
        <v>159.76</v>
      </c>
      <c r="D550" s="4" t="str">
        <f t="shared" si="8"/>
        <v>EOM plus 5 days</v>
      </c>
      <c r="E550" s="4">
        <v>5</v>
      </c>
      <c r="F550" s="104"/>
    </row>
    <row r="551" spans="1:6" x14ac:dyDescent="0.25">
      <c r="A551" s="8">
        <v>41580</v>
      </c>
      <c r="B551" s="4">
        <v>59514</v>
      </c>
      <c r="C551" s="57">
        <v>56.38</v>
      </c>
      <c r="D551" s="4" t="str">
        <f t="shared" si="8"/>
        <v>EOM plus 10 days</v>
      </c>
      <c r="E551" s="4">
        <v>10</v>
      </c>
      <c r="F551" s="104"/>
    </row>
    <row r="552" spans="1:6" x14ac:dyDescent="0.25">
      <c r="A552" s="8">
        <v>41580</v>
      </c>
      <c r="B552" s="4">
        <v>59515</v>
      </c>
      <c r="C552" s="57">
        <v>257.33</v>
      </c>
      <c r="D552" s="4" t="str">
        <f t="shared" si="8"/>
        <v>EOM plus 20 days</v>
      </c>
      <c r="E552" s="4">
        <v>20</v>
      </c>
      <c r="F552" s="104"/>
    </row>
    <row r="553" spans="1:6" x14ac:dyDescent="0.25">
      <c r="A553" s="8">
        <v>41580</v>
      </c>
      <c r="B553" s="4">
        <v>59516</v>
      </c>
      <c r="C553" s="57">
        <v>225.88</v>
      </c>
      <c r="D553" s="4" t="str">
        <f t="shared" si="8"/>
        <v>EOM plus 5 days</v>
      </c>
      <c r="E553" s="4">
        <v>5</v>
      </c>
      <c r="F553" s="104"/>
    </row>
    <row r="554" spans="1:6" x14ac:dyDescent="0.25">
      <c r="A554" s="8">
        <v>41580</v>
      </c>
      <c r="B554" s="4">
        <v>59517</v>
      </c>
      <c r="C554" s="57">
        <v>252.19</v>
      </c>
      <c r="D554" s="4" t="str">
        <f t="shared" si="8"/>
        <v>EOM plus 15 days</v>
      </c>
      <c r="E554" s="4">
        <v>15</v>
      </c>
      <c r="F554" s="104"/>
    </row>
    <row r="555" spans="1:6" x14ac:dyDescent="0.25">
      <c r="A555" s="8">
        <v>41580</v>
      </c>
      <c r="B555" s="4">
        <v>59518</v>
      </c>
      <c r="C555" s="57">
        <v>207.84</v>
      </c>
      <c r="D555" s="4" t="str">
        <f t="shared" si="8"/>
        <v>EOM plus 15 days</v>
      </c>
      <c r="E555" s="4">
        <v>15</v>
      </c>
      <c r="F555" s="104"/>
    </row>
    <row r="556" spans="1:6" x14ac:dyDescent="0.25">
      <c r="A556" s="8">
        <v>41580</v>
      </c>
      <c r="B556" s="4">
        <v>59519</v>
      </c>
      <c r="C556" s="57">
        <v>361.07</v>
      </c>
      <c r="D556" s="4" t="str">
        <f t="shared" si="8"/>
        <v>EOM plus 10 days</v>
      </c>
      <c r="E556" s="4">
        <v>10</v>
      </c>
      <c r="F556" s="104"/>
    </row>
    <row r="557" spans="1:6" x14ac:dyDescent="0.25">
      <c r="A557" s="8">
        <v>41580</v>
      </c>
      <c r="B557" s="4">
        <v>59520</v>
      </c>
      <c r="C557" s="57">
        <v>125.04</v>
      </c>
      <c r="D557" s="4" t="str">
        <f t="shared" si="8"/>
        <v>EOM plus 15 days</v>
      </c>
      <c r="E557" s="4">
        <v>15</v>
      </c>
      <c r="F557" s="104"/>
    </row>
    <row r="558" spans="1:6" x14ac:dyDescent="0.25">
      <c r="A558" s="8">
        <v>41580</v>
      </c>
      <c r="B558" s="4">
        <v>59521</v>
      </c>
      <c r="C558" s="57">
        <v>302.86</v>
      </c>
      <c r="D558" s="4" t="str">
        <f t="shared" si="8"/>
        <v>EOM plus 10 days</v>
      </c>
      <c r="E558" s="4">
        <v>10</v>
      </c>
      <c r="F558" s="104"/>
    </row>
    <row r="559" spans="1:6" x14ac:dyDescent="0.25">
      <c r="A559" s="8">
        <v>41580</v>
      </c>
      <c r="B559" s="4">
        <v>59522</v>
      </c>
      <c r="C559" s="57">
        <v>113.55</v>
      </c>
      <c r="D559" s="4" t="str">
        <f t="shared" si="8"/>
        <v>EOM plus 5 days</v>
      </c>
      <c r="E559" s="4">
        <v>5</v>
      </c>
      <c r="F559" s="104"/>
    </row>
    <row r="560" spans="1:6" x14ac:dyDescent="0.25">
      <c r="A560" s="8">
        <v>41580</v>
      </c>
      <c r="B560" s="4">
        <v>59523</v>
      </c>
      <c r="C560" s="57">
        <v>205.97</v>
      </c>
      <c r="D560" s="4" t="str">
        <f t="shared" si="8"/>
        <v>EOM plus 5 days</v>
      </c>
      <c r="E560" s="4">
        <v>5</v>
      </c>
      <c r="F560" s="104"/>
    </row>
    <row r="561" spans="1:6" x14ac:dyDescent="0.25">
      <c r="A561" s="8">
        <v>41580</v>
      </c>
      <c r="B561" s="4">
        <v>59524</v>
      </c>
      <c r="C561" s="57">
        <v>313.77</v>
      </c>
      <c r="D561" s="4" t="str">
        <f t="shared" si="8"/>
        <v>EOM plus 10 days</v>
      </c>
      <c r="E561" s="4">
        <v>10</v>
      </c>
      <c r="F561" s="104"/>
    </row>
    <row r="562" spans="1:6" x14ac:dyDescent="0.25">
      <c r="A562" s="8">
        <v>41580</v>
      </c>
      <c r="B562" s="4">
        <v>59525</v>
      </c>
      <c r="C562" s="57">
        <v>131.78</v>
      </c>
      <c r="D562" s="4" t="str">
        <f t="shared" si="8"/>
        <v>EOM plus 10 days</v>
      </c>
      <c r="E562" s="4">
        <v>10</v>
      </c>
      <c r="F562" s="104"/>
    </row>
    <row r="563" spans="1:6" x14ac:dyDescent="0.25">
      <c r="A563" s="8">
        <v>41580</v>
      </c>
      <c r="B563" s="4">
        <v>59526</v>
      </c>
      <c r="C563" s="57">
        <v>128.65</v>
      </c>
      <c r="D563" s="4" t="str">
        <f t="shared" si="8"/>
        <v>EOM plus 20 days</v>
      </c>
      <c r="E563" s="4">
        <v>20</v>
      </c>
      <c r="F563" s="104"/>
    </row>
    <row r="564" spans="1:6" x14ac:dyDescent="0.25">
      <c r="A564" s="8">
        <v>41580</v>
      </c>
      <c r="B564" s="4">
        <v>59527</v>
      </c>
      <c r="C564" s="57">
        <v>286.83</v>
      </c>
      <c r="D564" s="4" t="str">
        <f t="shared" si="8"/>
        <v>EOM plus 10 days</v>
      </c>
      <c r="E564" s="4">
        <v>10</v>
      </c>
      <c r="F564" s="104"/>
    </row>
    <row r="565" spans="1:6" x14ac:dyDescent="0.25">
      <c r="A565" s="8">
        <v>41581</v>
      </c>
      <c r="B565" s="4">
        <v>59528</v>
      </c>
      <c r="C565" s="57">
        <v>184.58</v>
      </c>
      <c r="D565" s="4" t="str">
        <f t="shared" si="8"/>
        <v>EOM plus 20 days</v>
      </c>
      <c r="E565" s="4">
        <v>20</v>
      </c>
      <c r="F565" s="104"/>
    </row>
    <row r="566" spans="1:6" x14ac:dyDescent="0.25">
      <c r="A566" s="8">
        <v>41581</v>
      </c>
      <c r="B566" s="4">
        <v>59529</v>
      </c>
      <c r="C566" s="57">
        <v>191.32</v>
      </c>
      <c r="D566" s="4" t="str">
        <f t="shared" si="8"/>
        <v>EOM plus 5 days</v>
      </c>
      <c r="E566" s="4">
        <v>5</v>
      </c>
      <c r="F566" s="104"/>
    </row>
    <row r="567" spans="1:6" x14ac:dyDescent="0.25">
      <c r="A567" s="8">
        <v>41581</v>
      </c>
      <c r="B567" s="4">
        <v>59530</v>
      </c>
      <c r="C567" s="57">
        <v>239.69</v>
      </c>
      <c r="D567" s="4" t="str">
        <f t="shared" si="8"/>
        <v>EOM plus 10 days</v>
      </c>
      <c r="E567" s="4">
        <v>10</v>
      </c>
      <c r="F567" s="104"/>
    </row>
    <row r="568" spans="1:6" x14ac:dyDescent="0.25">
      <c r="A568" s="8">
        <v>41581</v>
      </c>
      <c r="B568" s="4">
        <v>59531</v>
      </c>
      <c r="C568" s="57">
        <v>174.84</v>
      </c>
      <c r="D568" s="4" t="str">
        <f t="shared" si="8"/>
        <v>EOM plus 5 days</v>
      </c>
      <c r="E568" s="4">
        <v>5</v>
      </c>
      <c r="F568" s="104"/>
    </row>
    <row r="569" spans="1:6" x14ac:dyDescent="0.25">
      <c r="A569" s="8">
        <v>41581</v>
      </c>
      <c r="B569" s="4">
        <v>59532</v>
      </c>
      <c r="C569" s="57">
        <v>229.17</v>
      </c>
      <c r="D569" s="4" t="str">
        <f t="shared" si="8"/>
        <v>EOM plus 10 days</v>
      </c>
      <c r="E569" s="4">
        <v>10</v>
      </c>
      <c r="F569" s="104"/>
    </row>
    <row r="570" spans="1:6" x14ac:dyDescent="0.25">
      <c r="A570" s="8">
        <v>41581</v>
      </c>
      <c r="B570" s="4">
        <v>59533</v>
      </c>
      <c r="C570" s="57">
        <v>271.29000000000002</v>
      </c>
      <c r="D570" s="4" t="str">
        <f t="shared" si="8"/>
        <v>EOM plus 5 days</v>
      </c>
      <c r="E570" s="4">
        <v>5</v>
      </c>
      <c r="F570" s="104"/>
    </row>
    <row r="571" spans="1:6" x14ac:dyDescent="0.25">
      <c r="A571" s="8">
        <v>41581</v>
      </c>
      <c r="B571" s="4">
        <v>59534</v>
      </c>
      <c r="C571" s="57">
        <v>88.86</v>
      </c>
      <c r="D571" s="4" t="str">
        <f t="shared" si="8"/>
        <v>EOM plus 10 days</v>
      </c>
      <c r="E571" s="4">
        <v>10</v>
      </c>
      <c r="F571" s="104"/>
    </row>
    <row r="572" spans="1:6" x14ac:dyDescent="0.25">
      <c r="A572" s="8">
        <v>41581</v>
      </c>
      <c r="B572" s="4">
        <v>59535</v>
      </c>
      <c r="C572" s="57">
        <v>99.75</v>
      </c>
      <c r="D572" s="4" t="str">
        <f t="shared" si="8"/>
        <v>EOM plus 10 days</v>
      </c>
      <c r="E572" s="4">
        <v>10</v>
      </c>
      <c r="F572" s="104"/>
    </row>
    <row r="573" spans="1:6" x14ac:dyDescent="0.25">
      <c r="A573" s="8">
        <v>41581</v>
      </c>
      <c r="B573" s="4">
        <v>59536</v>
      </c>
      <c r="C573" s="57">
        <v>57.05</v>
      </c>
      <c r="D573" s="4" t="str">
        <f t="shared" si="8"/>
        <v>EOM plus 5 days</v>
      </c>
      <c r="E573" s="4">
        <v>5</v>
      </c>
      <c r="F573" s="104"/>
    </row>
    <row r="574" spans="1:6" x14ac:dyDescent="0.25">
      <c r="A574" s="8">
        <v>41581</v>
      </c>
      <c r="B574" s="4">
        <v>59537</v>
      </c>
      <c r="C574" s="57">
        <v>370.57</v>
      </c>
      <c r="D574" s="4" t="str">
        <f t="shared" si="8"/>
        <v>EOM plus 5 days</v>
      </c>
      <c r="E574" s="4">
        <v>5</v>
      </c>
      <c r="F574" s="104"/>
    </row>
    <row r="575" spans="1:6" x14ac:dyDescent="0.25">
      <c r="A575" s="8">
        <v>41581</v>
      </c>
      <c r="B575" s="4">
        <v>59538</v>
      </c>
      <c r="C575" s="57">
        <v>65.66</v>
      </c>
      <c r="D575" s="4" t="str">
        <f t="shared" si="8"/>
        <v>EOM plus 20 days</v>
      </c>
      <c r="E575" s="4">
        <v>20</v>
      </c>
      <c r="F575" s="104"/>
    </row>
    <row r="576" spans="1:6" x14ac:dyDescent="0.25">
      <c r="A576" s="8">
        <v>41581</v>
      </c>
      <c r="B576" s="4">
        <v>59539</v>
      </c>
      <c r="C576" s="57">
        <v>86.83</v>
      </c>
      <c r="D576" s="4" t="str">
        <f t="shared" si="8"/>
        <v>EOM plus 10 days</v>
      </c>
      <c r="E576" s="4">
        <v>10</v>
      </c>
      <c r="F576" s="104"/>
    </row>
    <row r="577" spans="1:6" x14ac:dyDescent="0.25">
      <c r="A577" s="8">
        <v>41581</v>
      </c>
      <c r="B577" s="4">
        <v>59540</v>
      </c>
      <c r="C577" s="57">
        <v>268.2</v>
      </c>
      <c r="D577" s="4" t="str">
        <f t="shared" si="8"/>
        <v>EOM plus 5 days</v>
      </c>
      <c r="E577" s="4">
        <v>5</v>
      </c>
      <c r="F577" s="104"/>
    </row>
    <row r="578" spans="1:6" x14ac:dyDescent="0.25">
      <c r="A578" s="8">
        <v>41581</v>
      </c>
      <c r="B578" s="4">
        <v>59541</v>
      </c>
      <c r="C578" s="57">
        <v>256.89999999999998</v>
      </c>
      <c r="D578" s="4" t="str">
        <f t="shared" si="8"/>
        <v>EOM plus 20 days</v>
      </c>
      <c r="E578" s="4">
        <v>20</v>
      </c>
      <c r="F578" s="104"/>
    </row>
    <row r="579" spans="1:6" x14ac:dyDescent="0.25">
      <c r="A579" s="8">
        <v>41581</v>
      </c>
      <c r="B579" s="4">
        <v>59542</v>
      </c>
      <c r="C579" s="57">
        <v>104.25</v>
      </c>
      <c r="D579" s="4" t="str">
        <f t="shared" si="8"/>
        <v>EOM plus 10 days</v>
      </c>
      <c r="E579" s="4">
        <v>10</v>
      </c>
      <c r="F579" s="104"/>
    </row>
    <row r="580" spans="1:6" x14ac:dyDescent="0.25">
      <c r="A580" s="8">
        <v>41581</v>
      </c>
      <c r="B580" s="4">
        <v>59543</v>
      </c>
      <c r="C580" s="57">
        <v>154.52000000000001</v>
      </c>
      <c r="D580" s="4" t="str">
        <f t="shared" si="8"/>
        <v>EOM plus 10 days</v>
      </c>
      <c r="E580" s="4">
        <v>10</v>
      </c>
      <c r="F580" s="104"/>
    </row>
    <row r="581" spans="1:6" x14ac:dyDescent="0.25">
      <c r="A581" s="8">
        <v>41581</v>
      </c>
      <c r="B581" s="4">
        <v>59544</v>
      </c>
      <c r="C581" s="57">
        <v>308.67</v>
      </c>
      <c r="D581" s="4" t="str">
        <f t="shared" ref="D581:D644" si="9">"EOM plus "&amp;E581&amp;" days"</f>
        <v>EOM plus 20 days</v>
      </c>
      <c r="E581" s="4">
        <v>20</v>
      </c>
      <c r="F581" s="104"/>
    </row>
    <row r="582" spans="1:6" x14ac:dyDescent="0.25">
      <c r="A582" s="8">
        <v>41581</v>
      </c>
      <c r="B582" s="4">
        <v>59545</v>
      </c>
      <c r="C582" s="57">
        <v>132.1</v>
      </c>
      <c r="D582" s="4" t="str">
        <f t="shared" si="9"/>
        <v>EOM plus 10 days</v>
      </c>
      <c r="E582" s="4">
        <v>10</v>
      </c>
      <c r="F582" s="104"/>
    </row>
    <row r="583" spans="1:6" x14ac:dyDescent="0.25">
      <c r="A583" s="8">
        <v>41582</v>
      </c>
      <c r="B583" s="4">
        <v>59546</v>
      </c>
      <c r="C583" s="57">
        <v>112.68</v>
      </c>
      <c r="D583" s="4" t="str">
        <f t="shared" si="9"/>
        <v>EOM plus 20 days</v>
      </c>
      <c r="E583" s="4">
        <v>20</v>
      </c>
      <c r="F583" s="104"/>
    </row>
    <row r="584" spans="1:6" x14ac:dyDescent="0.25">
      <c r="A584" s="8">
        <v>41582</v>
      </c>
      <c r="B584" s="4">
        <v>59547</v>
      </c>
      <c r="C584" s="57">
        <v>77.59</v>
      </c>
      <c r="D584" s="4" t="str">
        <f t="shared" si="9"/>
        <v>EOM plus 20 days</v>
      </c>
      <c r="E584" s="4">
        <v>20</v>
      </c>
      <c r="F584" s="104"/>
    </row>
    <row r="585" spans="1:6" x14ac:dyDescent="0.25">
      <c r="A585" s="8">
        <v>41582</v>
      </c>
      <c r="B585" s="4">
        <v>59548</v>
      </c>
      <c r="C585" s="57">
        <v>299.49</v>
      </c>
      <c r="D585" s="4" t="str">
        <f t="shared" si="9"/>
        <v>EOM plus 5 days</v>
      </c>
      <c r="E585" s="4">
        <v>5</v>
      </c>
      <c r="F585" s="104"/>
    </row>
    <row r="586" spans="1:6" x14ac:dyDescent="0.25">
      <c r="A586" s="8">
        <v>41582</v>
      </c>
      <c r="B586" s="4">
        <v>59549</v>
      </c>
      <c r="C586" s="57">
        <v>370.28</v>
      </c>
      <c r="D586" s="4" t="str">
        <f t="shared" si="9"/>
        <v>EOM plus 15 days</v>
      </c>
      <c r="E586" s="4">
        <v>15</v>
      </c>
      <c r="F586" s="104"/>
    </row>
    <row r="587" spans="1:6" x14ac:dyDescent="0.25">
      <c r="A587" s="8">
        <v>41582</v>
      </c>
      <c r="B587" s="4">
        <v>59550</v>
      </c>
      <c r="C587" s="57">
        <v>39.869999999999997</v>
      </c>
      <c r="D587" s="4" t="str">
        <f t="shared" si="9"/>
        <v>EOM plus 5 days</v>
      </c>
      <c r="E587" s="4">
        <v>5</v>
      </c>
      <c r="F587" s="104"/>
    </row>
    <row r="588" spans="1:6" x14ac:dyDescent="0.25">
      <c r="A588" s="8">
        <v>41582</v>
      </c>
      <c r="B588" s="4">
        <v>59551</v>
      </c>
      <c r="C588" s="57">
        <v>292.36</v>
      </c>
      <c r="D588" s="4" t="str">
        <f t="shared" si="9"/>
        <v>EOM plus 10 days</v>
      </c>
      <c r="E588" s="4">
        <v>10</v>
      </c>
      <c r="F588" s="104"/>
    </row>
    <row r="589" spans="1:6" x14ac:dyDescent="0.25">
      <c r="A589" s="8">
        <v>41582</v>
      </c>
      <c r="B589" s="4">
        <v>59552</v>
      </c>
      <c r="C589" s="57">
        <v>273.2</v>
      </c>
      <c r="D589" s="4" t="str">
        <f t="shared" si="9"/>
        <v>EOM plus 10 days</v>
      </c>
      <c r="E589" s="4">
        <v>10</v>
      </c>
      <c r="F589" s="104"/>
    </row>
    <row r="590" spans="1:6" x14ac:dyDescent="0.25">
      <c r="A590" s="8">
        <v>41582</v>
      </c>
      <c r="B590" s="4">
        <v>59553</v>
      </c>
      <c r="C590" s="57">
        <v>128.47999999999999</v>
      </c>
      <c r="D590" s="4" t="str">
        <f t="shared" si="9"/>
        <v>EOM plus 15 days</v>
      </c>
      <c r="E590" s="4">
        <v>15</v>
      </c>
      <c r="F590" s="104"/>
    </row>
    <row r="591" spans="1:6" x14ac:dyDescent="0.25">
      <c r="A591" s="8">
        <v>41582</v>
      </c>
      <c r="B591" s="4">
        <v>59554</v>
      </c>
      <c r="C591" s="57">
        <v>187.38</v>
      </c>
      <c r="D591" s="4" t="str">
        <f t="shared" si="9"/>
        <v>EOM plus 5 days</v>
      </c>
      <c r="E591" s="4">
        <v>5</v>
      </c>
      <c r="F591" s="104"/>
    </row>
    <row r="592" spans="1:6" x14ac:dyDescent="0.25">
      <c r="A592" s="8">
        <v>41582</v>
      </c>
      <c r="B592" s="4">
        <v>59555</v>
      </c>
      <c r="C592" s="57">
        <v>237.8</v>
      </c>
      <c r="D592" s="4" t="str">
        <f t="shared" si="9"/>
        <v>EOM plus 5 days</v>
      </c>
      <c r="E592" s="4">
        <v>5</v>
      </c>
      <c r="F592" s="104"/>
    </row>
    <row r="593" spans="1:6" x14ac:dyDescent="0.25">
      <c r="A593" s="8">
        <v>41582</v>
      </c>
      <c r="B593" s="4">
        <v>59556</v>
      </c>
      <c r="C593" s="57">
        <v>262.93</v>
      </c>
      <c r="D593" s="4" t="str">
        <f t="shared" si="9"/>
        <v>EOM plus 20 days</v>
      </c>
      <c r="E593" s="4">
        <v>20</v>
      </c>
      <c r="F593" s="104"/>
    </row>
    <row r="594" spans="1:6" x14ac:dyDescent="0.25">
      <c r="A594" s="8">
        <v>41582</v>
      </c>
      <c r="B594" s="4">
        <v>59557</v>
      </c>
      <c r="C594" s="57">
        <v>247.58</v>
      </c>
      <c r="D594" s="4" t="str">
        <f t="shared" si="9"/>
        <v>EOM plus 5 days</v>
      </c>
      <c r="E594" s="4">
        <v>5</v>
      </c>
      <c r="F594" s="104"/>
    </row>
    <row r="595" spans="1:6" x14ac:dyDescent="0.25">
      <c r="A595" s="8">
        <v>41582</v>
      </c>
      <c r="B595" s="4">
        <v>59558</v>
      </c>
      <c r="C595" s="57">
        <v>213.83</v>
      </c>
      <c r="D595" s="4" t="str">
        <f t="shared" si="9"/>
        <v>EOM plus 10 days</v>
      </c>
      <c r="E595" s="4">
        <v>10</v>
      </c>
      <c r="F595" s="104"/>
    </row>
    <row r="596" spans="1:6" x14ac:dyDescent="0.25">
      <c r="A596" s="8">
        <v>41582</v>
      </c>
      <c r="B596" s="4">
        <v>59559</v>
      </c>
      <c r="C596" s="57">
        <v>371.78</v>
      </c>
      <c r="D596" s="4" t="str">
        <f t="shared" si="9"/>
        <v>EOM plus 10 days</v>
      </c>
      <c r="E596" s="4">
        <v>10</v>
      </c>
      <c r="F596" s="104"/>
    </row>
    <row r="597" spans="1:6" x14ac:dyDescent="0.25">
      <c r="A597" s="8">
        <v>41582</v>
      </c>
      <c r="B597" s="4">
        <v>59560</v>
      </c>
      <c r="C597" s="57">
        <v>305.64999999999998</v>
      </c>
      <c r="D597" s="4" t="str">
        <f t="shared" si="9"/>
        <v>EOM plus 5 days</v>
      </c>
      <c r="E597" s="4">
        <v>5</v>
      </c>
      <c r="F597" s="104"/>
    </row>
    <row r="598" spans="1:6" x14ac:dyDescent="0.25">
      <c r="A598" s="8">
        <v>41582</v>
      </c>
      <c r="B598" s="4">
        <v>59561</v>
      </c>
      <c r="C598" s="57">
        <v>266.76</v>
      </c>
      <c r="D598" s="4" t="str">
        <f t="shared" si="9"/>
        <v>EOM plus 10 days</v>
      </c>
      <c r="E598" s="4">
        <v>10</v>
      </c>
      <c r="F598" s="104"/>
    </row>
    <row r="599" spans="1:6" x14ac:dyDescent="0.25">
      <c r="A599" s="8">
        <v>41582</v>
      </c>
      <c r="B599" s="4">
        <v>59562</v>
      </c>
      <c r="C599" s="57">
        <v>55.89</v>
      </c>
      <c r="D599" s="4" t="str">
        <f t="shared" si="9"/>
        <v>EOM plus 10 days</v>
      </c>
      <c r="E599" s="4">
        <v>10</v>
      </c>
      <c r="F599" s="104"/>
    </row>
    <row r="600" spans="1:6" x14ac:dyDescent="0.25">
      <c r="A600" s="8">
        <v>41582</v>
      </c>
      <c r="B600" s="4">
        <v>59563</v>
      </c>
      <c r="C600" s="57">
        <v>349.79</v>
      </c>
      <c r="D600" s="4" t="str">
        <f t="shared" si="9"/>
        <v>EOM plus 15 days</v>
      </c>
      <c r="E600" s="4">
        <v>15</v>
      </c>
      <c r="F600" s="104"/>
    </row>
    <row r="601" spans="1:6" x14ac:dyDescent="0.25">
      <c r="A601" s="8">
        <v>41582</v>
      </c>
      <c r="B601" s="4">
        <v>59564</v>
      </c>
      <c r="C601" s="57">
        <v>331.79</v>
      </c>
      <c r="D601" s="4" t="str">
        <f t="shared" si="9"/>
        <v>EOM plus 20 days</v>
      </c>
      <c r="E601" s="4">
        <v>20</v>
      </c>
      <c r="F601" s="104"/>
    </row>
    <row r="602" spans="1:6" x14ac:dyDescent="0.25">
      <c r="A602" s="8">
        <v>41583</v>
      </c>
      <c r="B602" s="4">
        <v>59565</v>
      </c>
      <c r="C602" s="57">
        <v>121.38</v>
      </c>
      <c r="D602" s="4" t="str">
        <f t="shared" si="9"/>
        <v>EOM plus 10 days</v>
      </c>
      <c r="E602" s="4">
        <v>10</v>
      </c>
      <c r="F602" s="104"/>
    </row>
    <row r="603" spans="1:6" x14ac:dyDescent="0.25">
      <c r="A603" s="8">
        <v>41583</v>
      </c>
      <c r="B603" s="4">
        <v>59566</v>
      </c>
      <c r="C603" s="57">
        <v>289.72000000000003</v>
      </c>
      <c r="D603" s="4" t="str">
        <f t="shared" si="9"/>
        <v>EOM plus 5 days</v>
      </c>
      <c r="E603" s="4">
        <v>5</v>
      </c>
      <c r="F603" s="104"/>
    </row>
    <row r="604" spans="1:6" x14ac:dyDescent="0.25">
      <c r="A604" s="8">
        <v>41583</v>
      </c>
      <c r="B604" s="4">
        <v>59567</v>
      </c>
      <c r="C604" s="57">
        <v>103.8</v>
      </c>
      <c r="D604" s="4" t="str">
        <f t="shared" si="9"/>
        <v>EOM plus 5 days</v>
      </c>
      <c r="E604" s="4">
        <v>5</v>
      </c>
      <c r="F604" s="104"/>
    </row>
    <row r="605" spans="1:6" x14ac:dyDescent="0.25">
      <c r="A605" s="8">
        <v>41583</v>
      </c>
      <c r="B605" s="4">
        <v>59568</v>
      </c>
      <c r="C605" s="57">
        <v>332.61</v>
      </c>
      <c r="D605" s="4" t="str">
        <f t="shared" si="9"/>
        <v>EOM plus 10 days</v>
      </c>
      <c r="E605" s="4">
        <v>10</v>
      </c>
      <c r="F605" s="104"/>
    </row>
    <row r="606" spans="1:6" x14ac:dyDescent="0.25">
      <c r="A606" s="8">
        <v>41583</v>
      </c>
      <c r="B606" s="4">
        <v>59569</v>
      </c>
      <c r="C606" s="57">
        <v>39.96</v>
      </c>
      <c r="D606" s="4" t="str">
        <f t="shared" si="9"/>
        <v>EOM plus 10 days</v>
      </c>
      <c r="E606" s="4">
        <v>10</v>
      </c>
      <c r="F606" s="104"/>
    </row>
    <row r="607" spans="1:6" x14ac:dyDescent="0.25">
      <c r="A607" s="8">
        <v>41583</v>
      </c>
      <c r="B607" s="4">
        <v>59570</v>
      </c>
      <c r="C607" s="57">
        <v>119.58</v>
      </c>
      <c r="D607" s="4" t="str">
        <f t="shared" si="9"/>
        <v>EOM plus 5 days</v>
      </c>
      <c r="E607" s="4">
        <v>5</v>
      </c>
      <c r="F607" s="104"/>
    </row>
    <row r="608" spans="1:6" x14ac:dyDescent="0.25">
      <c r="A608" s="8">
        <v>41583</v>
      </c>
      <c r="B608" s="4">
        <v>59571</v>
      </c>
      <c r="C608" s="57">
        <v>252.3</v>
      </c>
      <c r="D608" s="4" t="str">
        <f t="shared" si="9"/>
        <v>EOM plus 20 days</v>
      </c>
      <c r="E608" s="4">
        <v>20</v>
      </c>
      <c r="F608" s="104"/>
    </row>
    <row r="609" spans="1:6" x14ac:dyDescent="0.25">
      <c r="A609" s="8">
        <v>41583</v>
      </c>
      <c r="B609" s="4">
        <v>59572</v>
      </c>
      <c r="C609" s="57">
        <v>160.78</v>
      </c>
      <c r="D609" s="4" t="str">
        <f t="shared" si="9"/>
        <v>EOM plus 20 days</v>
      </c>
      <c r="E609" s="4">
        <v>20</v>
      </c>
      <c r="F609" s="104"/>
    </row>
    <row r="610" spans="1:6" x14ac:dyDescent="0.25">
      <c r="A610" s="8">
        <v>41583</v>
      </c>
      <c r="B610" s="4">
        <v>59573</v>
      </c>
      <c r="C610" s="57">
        <v>354.26</v>
      </c>
      <c r="D610" s="4" t="str">
        <f t="shared" si="9"/>
        <v>EOM plus 10 days</v>
      </c>
      <c r="E610" s="4">
        <v>10</v>
      </c>
      <c r="F610" s="104"/>
    </row>
    <row r="611" spans="1:6" x14ac:dyDescent="0.25">
      <c r="A611" s="8">
        <v>41583</v>
      </c>
      <c r="B611" s="4">
        <v>59574</v>
      </c>
      <c r="C611" s="57">
        <v>231.99</v>
      </c>
      <c r="D611" s="4" t="str">
        <f t="shared" si="9"/>
        <v>EOM plus 10 days</v>
      </c>
      <c r="E611" s="4">
        <v>10</v>
      </c>
      <c r="F611" s="104"/>
    </row>
    <row r="612" spans="1:6" x14ac:dyDescent="0.25">
      <c r="A612" s="8">
        <v>41583</v>
      </c>
      <c r="B612" s="4">
        <v>59575</v>
      </c>
      <c r="C612" s="57">
        <v>160.72</v>
      </c>
      <c r="D612" s="4" t="str">
        <f t="shared" si="9"/>
        <v>EOM plus 20 days</v>
      </c>
      <c r="E612" s="4">
        <v>20</v>
      </c>
      <c r="F612" s="104"/>
    </row>
    <row r="613" spans="1:6" x14ac:dyDescent="0.25">
      <c r="A613" s="8">
        <v>41583</v>
      </c>
      <c r="B613" s="4">
        <v>59576</v>
      </c>
      <c r="C613" s="57">
        <v>226.1</v>
      </c>
      <c r="D613" s="4" t="str">
        <f t="shared" si="9"/>
        <v>EOM plus 10 days</v>
      </c>
      <c r="E613" s="4">
        <v>10</v>
      </c>
      <c r="F613" s="104"/>
    </row>
    <row r="614" spans="1:6" x14ac:dyDescent="0.25">
      <c r="A614" s="8">
        <v>41583</v>
      </c>
      <c r="B614" s="4">
        <v>59577</v>
      </c>
      <c r="C614" s="57">
        <v>311.95</v>
      </c>
      <c r="D614" s="4" t="str">
        <f t="shared" si="9"/>
        <v>EOM plus 5 days</v>
      </c>
      <c r="E614" s="4">
        <v>5</v>
      </c>
      <c r="F614" s="104"/>
    </row>
    <row r="615" spans="1:6" x14ac:dyDescent="0.25">
      <c r="A615" s="8">
        <v>41583</v>
      </c>
      <c r="B615" s="4">
        <v>59578</v>
      </c>
      <c r="C615" s="57">
        <v>126.87</v>
      </c>
      <c r="D615" s="4" t="str">
        <f t="shared" si="9"/>
        <v>EOM plus 5 days</v>
      </c>
      <c r="E615" s="4">
        <v>5</v>
      </c>
      <c r="F615" s="104"/>
    </row>
    <row r="616" spans="1:6" x14ac:dyDescent="0.25">
      <c r="A616" s="8">
        <v>41583</v>
      </c>
      <c r="B616" s="4">
        <v>59579</v>
      </c>
      <c r="C616" s="57">
        <v>180.1</v>
      </c>
      <c r="D616" s="4" t="str">
        <f t="shared" si="9"/>
        <v>EOM plus 5 days</v>
      </c>
      <c r="E616" s="4">
        <v>5</v>
      </c>
      <c r="F616" s="104"/>
    </row>
    <row r="617" spans="1:6" x14ac:dyDescent="0.25">
      <c r="A617" s="8">
        <v>41583</v>
      </c>
      <c r="B617" s="4">
        <v>59580</v>
      </c>
      <c r="C617" s="57">
        <v>142.63</v>
      </c>
      <c r="D617" s="4" t="str">
        <f t="shared" si="9"/>
        <v>EOM plus 15 days</v>
      </c>
      <c r="E617" s="4">
        <v>15</v>
      </c>
      <c r="F617" s="104"/>
    </row>
    <row r="618" spans="1:6" x14ac:dyDescent="0.25">
      <c r="A618" s="8">
        <v>41583</v>
      </c>
      <c r="B618" s="4">
        <v>59581</v>
      </c>
      <c r="C618" s="57">
        <v>199.15</v>
      </c>
      <c r="D618" s="4" t="str">
        <f t="shared" si="9"/>
        <v>EOM plus 5 days</v>
      </c>
      <c r="E618" s="4">
        <v>5</v>
      </c>
      <c r="F618" s="104"/>
    </row>
    <row r="619" spans="1:6" x14ac:dyDescent="0.25">
      <c r="A619" s="8">
        <v>41584</v>
      </c>
      <c r="B619" s="4">
        <v>59582</v>
      </c>
      <c r="C619" s="57">
        <v>51.96</v>
      </c>
      <c r="D619" s="4" t="str">
        <f t="shared" si="9"/>
        <v>EOM plus 20 days</v>
      </c>
      <c r="E619" s="4">
        <v>20</v>
      </c>
      <c r="F619" s="104"/>
    </row>
    <row r="620" spans="1:6" x14ac:dyDescent="0.25">
      <c r="A620" s="8">
        <v>41584</v>
      </c>
      <c r="B620" s="4">
        <v>59583</v>
      </c>
      <c r="C620" s="57">
        <v>117.75</v>
      </c>
      <c r="D620" s="4" t="str">
        <f t="shared" si="9"/>
        <v>EOM plus 10 days</v>
      </c>
      <c r="E620" s="4">
        <v>10</v>
      </c>
      <c r="F620" s="104"/>
    </row>
    <row r="621" spans="1:6" x14ac:dyDescent="0.25">
      <c r="A621" s="8">
        <v>41584</v>
      </c>
      <c r="B621" s="4">
        <v>59584</v>
      </c>
      <c r="C621" s="57">
        <v>314.08999999999997</v>
      </c>
      <c r="D621" s="4" t="str">
        <f t="shared" si="9"/>
        <v>EOM plus 5 days</v>
      </c>
      <c r="E621" s="4">
        <v>5</v>
      </c>
      <c r="F621" s="104"/>
    </row>
    <row r="622" spans="1:6" x14ac:dyDescent="0.25">
      <c r="A622" s="8">
        <v>41584</v>
      </c>
      <c r="B622" s="4">
        <v>59585</v>
      </c>
      <c r="C622" s="57">
        <v>114.02</v>
      </c>
      <c r="D622" s="4" t="str">
        <f t="shared" si="9"/>
        <v>EOM plus 10 days</v>
      </c>
      <c r="E622" s="4">
        <v>10</v>
      </c>
      <c r="F622" s="104"/>
    </row>
    <row r="623" spans="1:6" x14ac:dyDescent="0.25">
      <c r="A623" s="8">
        <v>41584</v>
      </c>
      <c r="B623" s="4">
        <v>59586</v>
      </c>
      <c r="C623" s="57">
        <v>137.59</v>
      </c>
      <c r="D623" s="4" t="str">
        <f t="shared" si="9"/>
        <v>EOM plus 5 days</v>
      </c>
      <c r="E623" s="4">
        <v>5</v>
      </c>
      <c r="F623" s="104"/>
    </row>
    <row r="624" spans="1:6" x14ac:dyDescent="0.25">
      <c r="A624" s="8">
        <v>41584</v>
      </c>
      <c r="B624" s="4">
        <v>59587</v>
      </c>
      <c r="C624" s="57">
        <v>196.36</v>
      </c>
      <c r="D624" s="4" t="str">
        <f t="shared" si="9"/>
        <v>EOM plus 15 days</v>
      </c>
      <c r="E624" s="4">
        <v>15</v>
      </c>
      <c r="F624" s="104"/>
    </row>
    <row r="625" spans="1:6" x14ac:dyDescent="0.25">
      <c r="A625" s="8">
        <v>41584</v>
      </c>
      <c r="B625" s="4">
        <v>59588</v>
      </c>
      <c r="C625" s="57">
        <v>295.97000000000003</v>
      </c>
      <c r="D625" s="4" t="str">
        <f t="shared" si="9"/>
        <v>EOM plus 10 days</v>
      </c>
      <c r="E625" s="4">
        <v>10</v>
      </c>
      <c r="F625" s="104"/>
    </row>
    <row r="626" spans="1:6" x14ac:dyDescent="0.25">
      <c r="A626" s="8">
        <v>41584</v>
      </c>
      <c r="B626" s="4">
        <v>59589</v>
      </c>
      <c r="C626" s="57">
        <v>69.09</v>
      </c>
      <c r="D626" s="4" t="str">
        <f t="shared" si="9"/>
        <v>EOM plus 10 days</v>
      </c>
      <c r="E626" s="4">
        <v>10</v>
      </c>
      <c r="F626" s="104"/>
    </row>
    <row r="627" spans="1:6" x14ac:dyDescent="0.25">
      <c r="A627" s="8">
        <v>41584</v>
      </c>
      <c r="B627" s="4">
        <v>59590</v>
      </c>
      <c r="C627" s="57">
        <v>163.38</v>
      </c>
      <c r="D627" s="4" t="str">
        <f t="shared" si="9"/>
        <v>EOM plus 20 days</v>
      </c>
      <c r="E627" s="4">
        <v>20</v>
      </c>
      <c r="F627" s="104"/>
    </row>
    <row r="628" spans="1:6" x14ac:dyDescent="0.25">
      <c r="A628" s="8">
        <v>41584</v>
      </c>
      <c r="B628" s="4">
        <v>59591</v>
      </c>
      <c r="C628" s="57">
        <v>338.13</v>
      </c>
      <c r="D628" s="4" t="str">
        <f t="shared" si="9"/>
        <v>EOM plus 10 days</v>
      </c>
      <c r="E628" s="4">
        <v>10</v>
      </c>
      <c r="F628" s="104"/>
    </row>
    <row r="629" spans="1:6" x14ac:dyDescent="0.25">
      <c r="A629" s="8">
        <v>41584</v>
      </c>
      <c r="B629" s="4">
        <v>59592</v>
      </c>
      <c r="C629" s="57">
        <v>189.16</v>
      </c>
      <c r="D629" s="4" t="str">
        <f t="shared" si="9"/>
        <v>EOM plus 5 days</v>
      </c>
      <c r="E629" s="4">
        <v>5</v>
      </c>
      <c r="F629" s="104"/>
    </row>
    <row r="630" spans="1:6" x14ac:dyDescent="0.25">
      <c r="A630" s="8">
        <v>41584</v>
      </c>
      <c r="B630" s="4">
        <v>59593</v>
      </c>
      <c r="C630" s="57">
        <v>89.41</v>
      </c>
      <c r="D630" s="4" t="str">
        <f t="shared" si="9"/>
        <v>EOM plus 10 days</v>
      </c>
      <c r="E630" s="4">
        <v>10</v>
      </c>
      <c r="F630" s="104"/>
    </row>
    <row r="631" spans="1:6" x14ac:dyDescent="0.25">
      <c r="A631" s="8">
        <v>41584</v>
      </c>
      <c r="B631" s="4">
        <v>59594</v>
      </c>
      <c r="C631" s="57">
        <v>386.62</v>
      </c>
      <c r="D631" s="4" t="str">
        <f t="shared" si="9"/>
        <v>EOM plus 10 days</v>
      </c>
      <c r="E631" s="4">
        <v>10</v>
      </c>
      <c r="F631" s="104"/>
    </row>
    <row r="632" spans="1:6" x14ac:dyDescent="0.25">
      <c r="A632" s="8">
        <v>41584</v>
      </c>
      <c r="B632" s="4">
        <v>59595</v>
      </c>
      <c r="C632" s="57">
        <v>345.51</v>
      </c>
      <c r="D632" s="4" t="str">
        <f t="shared" si="9"/>
        <v>EOM plus 10 days</v>
      </c>
      <c r="E632" s="4">
        <v>10</v>
      </c>
      <c r="F632" s="104"/>
    </row>
    <row r="633" spans="1:6" x14ac:dyDescent="0.25">
      <c r="A633" s="8">
        <v>41584</v>
      </c>
      <c r="B633" s="4">
        <v>59596</v>
      </c>
      <c r="C633" s="57">
        <v>217.68</v>
      </c>
      <c r="D633" s="4" t="str">
        <f t="shared" si="9"/>
        <v>EOM plus 10 days</v>
      </c>
      <c r="E633" s="4">
        <v>10</v>
      </c>
      <c r="F633" s="104"/>
    </row>
    <row r="634" spans="1:6" x14ac:dyDescent="0.25">
      <c r="A634" s="8">
        <v>41584</v>
      </c>
      <c r="B634" s="4">
        <v>59597</v>
      </c>
      <c r="C634" s="57">
        <v>278.47000000000003</v>
      </c>
      <c r="D634" s="4" t="str">
        <f t="shared" si="9"/>
        <v>EOM plus 10 days</v>
      </c>
      <c r="E634" s="4">
        <v>10</v>
      </c>
      <c r="F634" s="104"/>
    </row>
    <row r="635" spans="1:6" x14ac:dyDescent="0.25">
      <c r="A635" s="8">
        <v>41585</v>
      </c>
      <c r="B635" s="4">
        <v>59598</v>
      </c>
      <c r="C635" s="57">
        <v>265.13</v>
      </c>
      <c r="D635" s="4" t="str">
        <f t="shared" si="9"/>
        <v>EOM plus 10 days</v>
      </c>
      <c r="E635" s="4">
        <v>10</v>
      </c>
      <c r="F635" s="104"/>
    </row>
    <row r="636" spans="1:6" x14ac:dyDescent="0.25">
      <c r="A636" s="8">
        <v>41585</v>
      </c>
      <c r="B636" s="4">
        <v>59599</v>
      </c>
      <c r="C636" s="57">
        <v>302.02999999999997</v>
      </c>
      <c r="D636" s="4" t="str">
        <f t="shared" si="9"/>
        <v>EOM plus 10 days</v>
      </c>
      <c r="E636" s="4">
        <v>10</v>
      </c>
      <c r="F636" s="104"/>
    </row>
    <row r="637" spans="1:6" x14ac:dyDescent="0.25">
      <c r="A637" s="8">
        <v>41585</v>
      </c>
      <c r="B637" s="4">
        <v>59600</v>
      </c>
      <c r="C637" s="57">
        <v>334.55</v>
      </c>
      <c r="D637" s="4" t="str">
        <f t="shared" si="9"/>
        <v>EOM plus 10 days</v>
      </c>
      <c r="E637" s="4">
        <v>10</v>
      </c>
      <c r="F637" s="104"/>
    </row>
    <row r="638" spans="1:6" x14ac:dyDescent="0.25">
      <c r="A638" s="8">
        <v>41585</v>
      </c>
      <c r="B638" s="4">
        <v>59601</v>
      </c>
      <c r="C638" s="57">
        <v>305.52999999999997</v>
      </c>
      <c r="D638" s="4" t="str">
        <f t="shared" si="9"/>
        <v>EOM plus 5 days</v>
      </c>
      <c r="E638" s="4">
        <v>5</v>
      </c>
      <c r="F638" s="104"/>
    </row>
    <row r="639" spans="1:6" x14ac:dyDescent="0.25">
      <c r="A639" s="8">
        <v>41585</v>
      </c>
      <c r="B639" s="4">
        <v>59602</v>
      </c>
      <c r="C639" s="57">
        <v>212.99</v>
      </c>
      <c r="D639" s="4" t="str">
        <f t="shared" si="9"/>
        <v>EOM plus 10 days</v>
      </c>
      <c r="E639" s="4">
        <v>10</v>
      </c>
      <c r="F639" s="104"/>
    </row>
    <row r="640" spans="1:6" x14ac:dyDescent="0.25">
      <c r="A640" s="8">
        <v>41585</v>
      </c>
      <c r="B640" s="4">
        <v>59603</v>
      </c>
      <c r="C640" s="57">
        <v>312.42</v>
      </c>
      <c r="D640" s="4" t="str">
        <f t="shared" si="9"/>
        <v>EOM plus 5 days</v>
      </c>
      <c r="E640" s="4">
        <v>5</v>
      </c>
      <c r="F640" s="104"/>
    </row>
    <row r="641" spans="1:6" x14ac:dyDescent="0.25">
      <c r="A641" s="8">
        <v>41585</v>
      </c>
      <c r="B641" s="4">
        <v>59604</v>
      </c>
      <c r="C641" s="57">
        <v>238.55</v>
      </c>
      <c r="D641" s="4" t="str">
        <f t="shared" si="9"/>
        <v>EOM plus 5 days</v>
      </c>
      <c r="E641" s="4">
        <v>5</v>
      </c>
      <c r="F641" s="104"/>
    </row>
    <row r="642" spans="1:6" x14ac:dyDescent="0.25">
      <c r="A642" s="8">
        <v>41585</v>
      </c>
      <c r="B642" s="4">
        <v>59605</v>
      </c>
      <c r="C642" s="57">
        <v>279.61</v>
      </c>
      <c r="D642" s="4" t="str">
        <f t="shared" si="9"/>
        <v>EOM plus 15 days</v>
      </c>
      <c r="E642" s="4">
        <v>15</v>
      </c>
      <c r="F642" s="104"/>
    </row>
    <row r="643" spans="1:6" x14ac:dyDescent="0.25">
      <c r="A643" s="8">
        <v>41585</v>
      </c>
      <c r="B643" s="4">
        <v>59606</v>
      </c>
      <c r="C643" s="57">
        <v>183.24</v>
      </c>
      <c r="D643" s="4" t="str">
        <f t="shared" si="9"/>
        <v>EOM plus 15 days</v>
      </c>
      <c r="E643" s="4">
        <v>15</v>
      </c>
      <c r="F643" s="104"/>
    </row>
    <row r="644" spans="1:6" x14ac:dyDescent="0.25">
      <c r="A644" s="8">
        <v>41585</v>
      </c>
      <c r="B644" s="4">
        <v>59607</v>
      </c>
      <c r="C644" s="57">
        <v>269.95</v>
      </c>
      <c r="D644" s="4" t="str">
        <f t="shared" si="9"/>
        <v>EOM plus 5 days</v>
      </c>
      <c r="E644" s="4">
        <v>5</v>
      </c>
      <c r="F644" s="104"/>
    </row>
    <row r="645" spans="1:6" x14ac:dyDescent="0.25">
      <c r="A645" s="8">
        <v>41585</v>
      </c>
      <c r="B645" s="4">
        <v>59608</v>
      </c>
      <c r="C645" s="57">
        <v>49.01</v>
      </c>
      <c r="D645" s="4" t="str">
        <f t="shared" ref="D645:D708" si="10">"EOM plus "&amp;E645&amp;" days"</f>
        <v>EOM plus 10 days</v>
      </c>
      <c r="E645" s="4">
        <v>10</v>
      </c>
      <c r="F645" s="104"/>
    </row>
    <row r="646" spans="1:6" x14ac:dyDescent="0.25">
      <c r="A646" s="8">
        <v>41585</v>
      </c>
      <c r="B646" s="4">
        <v>59609</v>
      </c>
      <c r="C646" s="57">
        <v>185.58</v>
      </c>
      <c r="D646" s="4" t="str">
        <f t="shared" si="10"/>
        <v>EOM plus 15 days</v>
      </c>
      <c r="E646" s="4">
        <v>15</v>
      </c>
      <c r="F646" s="104"/>
    </row>
    <row r="647" spans="1:6" x14ac:dyDescent="0.25">
      <c r="A647" s="8">
        <v>41585</v>
      </c>
      <c r="B647" s="4">
        <v>59610</v>
      </c>
      <c r="C647" s="57">
        <v>123.72</v>
      </c>
      <c r="D647" s="4" t="str">
        <f t="shared" si="10"/>
        <v>EOM plus 10 days</v>
      </c>
      <c r="E647" s="4">
        <v>10</v>
      </c>
      <c r="F647" s="104"/>
    </row>
    <row r="648" spans="1:6" x14ac:dyDescent="0.25">
      <c r="A648" s="8">
        <v>41585</v>
      </c>
      <c r="B648" s="4">
        <v>59611</v>
      </c>
      <c r="C648" s="57">
        <v>46.16</v>
      </c>
      <c r="D648" s="4" t="str">
        <f t="shared" si="10"/>
        <v>EOM plus 5 days</v>
      </c>
      <c r="E648" s="4">
        <v>5</v>
      </c>
      <c r="F648" s="104"/>
    </row>
    <row r="649" spans="1:6" x14ac:dyDescent="0.25">
      <c r="A649" s="8">
        <v>41585</v>
      </c>
      <c r="B649" s="4">
        <v>59612</v>
      </c>
      <c r="C649" s="57">
        <v>313.41000000000003</v>
      </c>
      <c r="D649" s="4" t="str">
        <f t="shared" si="10"/>
        <v>EOM plus 15 days</v>
      </c>
      <c r="E649" s="4">
        <v>15</v>
      </c>
      <c r="F649" s="104"/>
    </row>
    <row r="650" spans="1:6" x14ac:dyDescent="0.25">
      <c r="A650" s="8">
        <v>41585</v>
      </c>
      <c r="B650" s="4">
        <v>59613</v>
      </c>
      <c r="C650" s="57">
        <v>81.03</v>
      </c>
      <c r="D650" s="4" t="str">
        <f t="shared" si="10"/>
        <v>EOM plus 10 days</v>
      </c>
      <c r="E650" s="4">
        <v>10</v>
      </c>
      <c r="F650" s="104"/>
    </row>
    <row r="651" spans="1:6" x14ac:dyDescent="0.25">
      <c r="A651" s="8">
        <v>41585</v>
      </c>
      <c r="B651" s="4">
        <v>59614</v>
      </c>
      <c r="C651" s="57">
        <v>362.07</v>
      </c>
      <c r="D651" s="4" t="str">
        <f t="shared" si="10"/>
        <v>EOM plus 20 days</v>
      </c>
      <c r="E651" s="4">
        <v>20</v>
      </c>
      <c r="F651" s="104"/>
    </row>
    <row r="652" spans="1:6" x14ac:dyDescent="0.25">
      <c r="A652" s="8">
        <v>41585</v>
      </c>
      <c r="B652" s="4">
        <v>59615</v>
      </c>
      <c r="C652" s="57">
        <v>342.32</v>
      </c>
      <c r="D652" s="4" t="str">
        <f t="shared" si="10"/>
        <v>EOM plus 5 days</v>
      </c>
      <c r="E652" s="4">
        <v>5</v>
      </c>
      <c r="F652" s="104"/>
    </row>
    <row r="653" spans="1:6" x14ac:dyDescent="0.25">
      <c r="A653" s="8">
        <v>41585</v>
      </c>
      <c r="B653" s="4">
        <v>59616</v>
      </c>
      <c r="C653" s="57">
        <v>84.8</v>
      </c>
      <c r="D653" s="4" t="str">
        <f t="shared" si="10"/>
        <v>EOM plus 15 days</v>
      </c>
      <c r="E653" s="4">
        <v>15</v>
      </c>
      <c r="F653" s="104"/>
    </row>
    <row r="654" spans="1:6" x14ac:dyDescent="0.25">
      <c r="A654" s="8">
        <v>41585</v>
      </c>
      <c r="B654" s="4">
        <v>59617</v>
      </c>
      <c r="C654" s="57">
        <v>361.98</v>
      </c>
      <c r="D654" s="4" t="str">
        <f t="shared" si="10"/>
        <v>EOM plus 5 days</v>
      </c>
      <c r="E654" s="4">
        <v>5</v>
      </c>
      <c r="F654" s="104"/>
    </row>
    <row r="655" spans="1:6" x14ac:dyDescent="0.25">
      <c r="A655" s="8">
        <v>41585</v>
      </c>
      <c r="B655" s="4">
        <v>59618</v>
      </c>
      <c r="C655" s="57">
        <v>79.989999999999995</v>
      </c>
      <c r="D655" s="4" t="str">
        <f t="shared" si="10"/>
        <v>EOM plus 5 days</v>
      </c>
      <c r="E655" s="4">
        <v>5</v>
      </c>
      <c r="F655" s="104"/>
    </row>
    <row r="656" spans="1:6" x14ac:dyDescent="0.25">
      <c r="A656" s="8">
        <v>41585</v>
      </c>
      <c r="B656" s="4">
        <v>59619</v>
      </c>
      <c r="C656" s="57">
        <v>184.95</v>
      </c>
      <c r="D656" s="4" t="str">
        <f t="shared" si="10"/>
        <v>EOM plus 15 days</v>
      </c>
      <c r="E656" s="4">
        <v>15</v>
      </c>
      <c r="F656" s="104"/>
    </row>
    <row r="657" spans="1:6" x14ac:dyDescent="0.25">
      <c r="A657" s="8">
        <v>41585</v>
      </c>
      <c r="B657" s="4">
        <v>59620</v>
      </c>
      <c r="C657" s="57">
        <v>81.12</v>
      </c>
      <c r="D657" s="4" t="str">
        <f t="shared" si="10"/>
        <v>EOM plus 5 days</v>
      </c>
      <c r="E657" s="4">
        <v>5</v>
      </c>
      <c r="F657" s="104"/>
    </row>
    <row r="658" spans="1:6" x14ac:dyDescent="0.25">
      <c r="A658" s="8">
        <v>41586</v>
      </c>
      <c r="B658" s="4">
        <v>59621</v>
      </c>
      <c r="C658" s="57">
        <v>157.56</v>
      </c>
      <c r="D658" s="4" t="str">
        <f t="shared" si="10"/>
        <v>EOM plus 15 days</v>
      </c>
      <c r="E658" s="4">
        <v>15</v>
      </c>
      <c r="F658" s="104"/>
    </row>
    <row r="659" spans="1:6" x14ac:dyDescent="0.25">
      <c r="A659" s="8">
        <v>41586</v>
      </c>
      <c r="B659" s="4">
        <v>59622</v>
      </c>
      <c r="C659" s="57">
        <v>204.43</v>
      </c>
      <c r="D659" s="4" t="str">
        <f t="shared" si="10"/>
        <v>EOM plus 10 days</v>
      </c>
      <c r="E659" s="4">
        <v>10</v>
      </c>
      <c r="F659" s="104"/>
    </row>
    <row r="660" spans="1:6" x14ac:dyDescent="0.25">
      <c r="A660" s="8">
        <v>41586</v>
      </c>
      <c r="B660" s="4">
        <v>59623</v>
      </c>
      <c r="C660" s="57">
        <v>248.36</v>
      </c>
      <c r="D660" s="4" t="str">
        <f t="shared" si="10"/>
        <v>EOM plus 10 days</v>
      </c>
      <c r="E660" s="4">
        <v>10</v>
      </c>
      <c r="F660" s="104"/>
    </row>
    <row r="661" spans="1:6" x14ac:dyDescent="0.25">
      <c r="A661" s="8">
        <v>41586</v>
      </c>
      <c r="B661" s="4">
        <v>59624</v>
      </c>
      <c r="C661" s="57">
        <v>350.77</v>
      </c>
      <c r="D661" s="4" t="str">
        <f t="shared" si="10"/>
        <v>EOM plus 10 days</v>
      </c>
      <c r="E661" s="4">
        <v>10</v>
      </c>
      <c r="F661" s="104"/>
    </row>
    <row r="662" spans="1:6" x14ac:dyDescent="0.25">
      <c r="A662" s="8">
        <v>41586</v>
      </c>
      <c r="B662" s="4">
        <v>59625</v>
      </c>
      <c r="C662" s="57">
        <v>57.13</v>
      </c>
      <c r="D662" s="4" t="str">
        <f t="shared" si="10"/>
        <v>EOM plus 20 days</v>
      </c>
      <c r="E662" s="4">
        <v>20</v>
      </c>
      <c r="F662" s="104"/>
    </row>
    <row r="663" spans="1:6" x14ac:dyDescent="0.25">
      <c r="A663" s="8">
        <v>41586</v>
      </c>
      <c r="B663" s="4">
        <v>59626</v>
      </c>
      <c r="C663" s="57">
        <v>125.32</v>
      </c>
      <c r="D663" s="4" t="str">
        <f t="shared" si="10"/>
        <v>EOM plus 5 days</v>
      </c>
      <c r="E663" s="4">
        <v>5</v>
      </c>
      <c r="F663" s="104"/>
    </row>
    <row r="664" spans="1:6" x14ac:dyDescent="0.25">
      <c r="A664" s="8">
        <v>41586</v>
      </c>
      <c r="B664" s="4">
        <v>59627</v>
      </c>
      <c r="C664" s="57">
        <v>107.93</v>
      </c>
      <c r="D664" s="4" t="str">
        <f t="shared" si="10"/>
        <v>EOM plus 5 days</v>
      </c>
      <c r="E664" s="4">
        <v>5</v>
      </c>
      <c r="F664" s="104"/>
    </row>
    <row r="665" spans="1:6" x14ac:dyDescent="0.25">
      <c r="A665" s="8">
        <v>41586</v>
      </c>
      <c r="B665" s="4">
        <v>59628</v>
      </c>
      <c r="C665" s="57">
        <v>208.18</v>
      </c>
      <c r="D665" s="4" t="str">
        <f t="shared" si="10"/>
        <v>EOM plus 20 days</v>
      </c>
      <c r="E665" s="4">
        <v>20</v>
      </c>
      <c r="F665" s="104"/>
    </row>
    <row r="666" spans="1:6" x14ac:dyDescent="0.25">
      <c r="A666" s="8">
        <v>41586</v>
      </c>
      <c r="B666" s="4">
        <v>59629</v>
      </c>
      <c r="C666" s="57">
        <v>47.44</v>
      </c>
      <c r="D666" s="4" t="str">
        <f t="shared" si="10"/>
        <v>EOM plus 5 days</v>
      </c>
      <c r="E666" s="4">
        <v>5</v>
      </c>
      <c r="F666" s="104"/>
    </row>
    <row r="667" spans="1:6" x14ac:dyDescent="0.25">
      <c r="A667" s="8">
        <v>41586</v>
      </c>
      <c r="B667" s="4">
        <v>59630</v>
      </c>
      <c r="C667" s="57">
        <v>89.51</v>
      </c>
      <c r="D667" s="4" t="str">
        <f t="shared" si="10"/>
        <v>EOM plus 15 days</v>
      </c>
      <c r="E667" s="4">
        <v>15</v>
      </c>
      <c r="F667" s="104"/>
    </row>
    <row r="668" spans="1:6" x14ac:dyDescent="0.25">
      <c r="A668" s="8">
        <v>41586</v>
      </c>
      <c r="B668" s="4">
        <v>59631</v>
      </c>
      <c r="C668" s="57">
        <v>68.22</v>
      </c>
      <c r="D668" s="4" t="str">
        <f t="shared" si="10"/>
        <v>EOM plus 10 days</v>
      </c>
      <c r="E668" s="4">
        <v>10</v>
      </c>
      <c r="F668" s="104"/>
    </row>
    <row r="669" spans="1:6" x14ac:dyDescent="0.25">
      <c r="A669" s="8">
        <v>41586</v>
      </c>
      <c r="B669" s="4">
        <v>59632</v>
      </c>
      <c r="C669" s="57">
        <v>206.4</v>
      </c>
      <c r="D669" s="4" t="str">
        <f t="shared" si="10"/>
        <v>EOM plus 10 days</v>
      </c>
      <c r="E669" s="4">
        <v>10</v>
      </c>
      <c r="F669" s="104"/>
    </row>
    <row r="670" spans="1:6" x14ac:dyDescent="0.25">
      <c r="A670" s="8">
        <v>41586</v>
      </c>
      <c r="B670" s="4">
        <v>59633</v>
      </c>
      <c r="C670" s="57">
        <v>336.27</v>
      </c>
      <c r="D670" s="4" t="str">
        <f t="shared" si="10"/>
        <v>EOM plus 15 days</v>
      </c>
      <c r="E670" s="4">
        <v>15</v>
      </c>
      <c r="F670" s="104"/>
    </row>
    <row r="671" spans="1:6" x14ac:dyDescent="0.25">
      <c r="A671" s="8">
        <v>41587</v>
      </c>
      <c r="B671" s="4">
        <v>59634</v>
      </c>
      <c r="C671" s="57">
        <v>90.59</v>
      </c>
      <c r="D671" s="4" t="str">
        <f t="shared" si="10"/>
        <v>EOM plus 5 days</v>
      </c>
      <c r="E671" s="4">
        <v>5</v>
      </c>
      <c r="F671" s="104"/>
    </row>
    <row r="672" spans="1:6" x14ac:dyDescent="0.25">
      <c r="A672" s="8">
        <v>41587</v>
      </c>
      <c r="B672" s="4">
        <v>59635</v>
      </c>
      <c r="C672" s="57">
        <v>187.88</v>
      </c>
      <c r="D672" s="4" t="str">
        <f t="shared" si="10"/>
        <v>EOM plus 15 days</v>
      </c>
      <c r="E672" s="4">
        <v>15</v>
      </c>
      <c r="F672" s="104"/>
    </row>
    <row r="673" spans="1:6" x14ac:dyDescent="0.25">
      <c r="A673" s="8">
        <v>41587</v>
      </c>
      <c r="B673" s="4">
        <v>59636</v>
      </c>
      <c r="C673" s="57">
        <v>122.01</v>
      </c>
      <c r="D673" s="4" t="str">
        <f t="shared" si="10"/>
        <v>EOM plus 5 days</v>
      </c>
      <c r="E673" s="4">
        <v>5</v>
      </c>
      <c r="F673" s="104"/>
    </row>
    <row r="674" spans="1:6" x14ac:dyDescent="0.25">
      <c r="A674" s="8">
        <v>41587</v>
      </c>
      <c r="B674" s="4">
        <v>59637</v>
      </c>
      <c r="C674" s="57">
        <v>202.11</v>
      </c>
      <c r="D674" s="4" t="str">
        <f t="shared" si="10"/>
        <v>EOM plus 10 days</v>
      </c>
      <c r="E674" s="4">
        <v>10</v>
      </c>
      <c r="F674" s="104"/>
    </row>
    <row r="675" spans="1:6" x14ac:dyDescent="0.25">
      <c r="A675" s="8">
        <v>41587</v>
      </c>
      <c r="B675" s="4">
        <v>59638</v>
      </c>
      <c r="C675" s="57">
        <v>43.78</v>
      </c>
      <c r="D675" s="4" t="str">
        <f t="shared" si="10"/>
        <v>EOM plus 10 days</v>
      </c>
      <c r="E675" s="4">
        <v>10</v>
      </c>
      <c r="F675" s="104"/>
    </row>
    <row r="676" spans="1:6" x14ac:dyDescent="0.25">
      <c r="A676" s="8">
        <v>41587</v>
      </c>
      <c r="B676" s="4">
        <v>59639</v>
      </c>
      <c r="C676" s="57">
        <v>136.88</v>
      </c>
      <c r="D676" s="4" t="str">
        <f t="shared" si="10"/>
        <v>EOM plus 5 days</v>
      </c>
      <c r="E676" s="4">
        <v>5</v>
      </c>
      <c r="F676" s="104"/>
    </row>
    <row r="677" spans="1:6" x14ac:dyDescent="0.25">
      <c r="A677" s="8">
        <v>41587</v>
      </c>
      <c r="B677" s="4">
        <v>59640</v>
      </c>
      <c r="C677" s="57">
        <v>73.92</v>
      </c>
      <c r="D677" s="4" t="str">
        <f t="shared" si="10"/>
        <v>EOM plus 5 days</v>
      </c>
      <c r="E677" s="4">
        <v>5</v>
      </c>
      <c r="F677" s="104"/>
    </row>
    <row r="678" spans="1:6" x14ac:dyDescent="0.25">
      <c r="A678" s="8">
        <v>41587</v>
      </c>
      <c r="B678" s="4">
        <v>59641</v>
      </c>
      <c r="C678" s="57">
        <v>166.45</v>
      </c>
      <c r="D678" s="4" t="str">
        <f t="shared" si="10"/>
        <v>EOM plus 5 days</v>
      </c>
      <c r="E678" s="4">
        <v>5</v>
      </c>
      <c r="F678" s="104"/>
    </row>
    <row r="679" spans="1:6" x14ac:dyDescent="0.25">
      <c r="A679" s="8">
        <v>41587</v>
      </c>
      <c r="B679" s="4">
        <v>59642</v>
      </c>
      <c r="C679" s="57">
        <v>214.87</v>
      </c>
      <c r="D679" s="4" t="str">
        <f t="shared" si="10"/>
        <v>EOM plus 5 days</v>
      </c>
      <c r="E679" s="4">
        <v>5</v>
      </c>
      <c r="F679" s="104"/>
    </row>
    <row r="680" spans="1:6" x14ac:dyDescent="0.25">
      <c r="A680" s="8">
        <v>41587</v>
      </c>
      <c r="B680" s="4">
        <v>59643</v>
      </c>
      <c r="C680" s="57">
        <v>119.85</v>
      </c>
      <c r="D680" s="4" t="str">
        <f t="shared" si="10"/>
        <v>EOM plus 5 days</v>
      </c>
      <c r="E680" s="4">
        <v>5</v>
      </c>
      <c r="F680" s="104"/>
    </row>
    <row r="681" spans="1:6" x14ac:dyDescent="0.25">
      <c r="A681" s="8">
        <v>41587</v>
      </c>
      <c r="B681" s="4">
        <v>59644</v>
      </c>
      <c r="C681" s="57">
        <v>67.56</v>
      </c>
      <c r="D681" s="4" t="str">
        <f t="shared" si="10"/>
        <v>EOM plus 15 days</v>
      </c>
      <c r="E681" s="4">
        <v>15</v>
      </c>
      <c r="F681" s="104"/>
    </row>
    <row r="682" spans="1:6" x14ac:dyDescent="0.25">
      <c r="A682" s="8">
        <v>41587</v>
      </c>
      <c r="B682" s="4">
        <v>59645</v>
      </c>
      <c r="C682" s="57">
        <v>368.51</v>
      </c>
      <c r="D682" s="4" t="str">
        <f t="shared" si="10"/>
        <v>EOM plus 5 days</v>
      </c>
      <c r="E682" s="4">
        <v>5</v>
      </c>
      <c r="F682" s="104"/>
    </row>
    <row r="683" spans="1:6" x14ac:dyDescent="0.25">
      <c r="A683" s="8">
        <v>41587</v>
      </c>
      <c r="B683" s="4">
        <v>59646</v>
      </c>
      <c r="C683" s="57">
        <v>51.49</v>
      </c>
      <c r="D683" s="4" t="str">
        <f t="shared" si="10"/>
        <v>EOM plus 5 days</v>
      </c>
      <c r="E683" s="4">
        <v>5</v>
      </c>
      <c r="F683" s="104"/>
    </row>
    <row r="684" spans="1:6" x14ac:dyDescent="0.25">
      <c r="A684" s="8">
        <v>41587</v>
      </c>
      <c r="B684" s="4">
        <v>59647</v>
      </c>
      <c r="C684" s="57">
        <v>261.58</v>
      </c>
      <c r="D684" s="4" t="str">
        <f t="shared" si="10"/>
        <v>EOM plus 10 days</v>
      </c>
      <c r="E684" s="4">
        <v>10</v>
      </c>
      <c r="F684" s="104"/>
    </row>
    <row r="685" spans="1:6" x14ac:dyDescent="0.25">
      <c r="A685" s="8">
        <v>41588</v>
      </c>
      <c r="B685" s="4">
        <v>59648</v>
      </c>
      <c r="C685" s="57">
        <v>126.61</v>
      </c>
      <c r="D685" s="4" t="str">
        <f t="shared" si="10"/>
        <v>EOM plus 10 days</v>
      </c>
      <c r="E685" s="4">
        <v>10</v>
      </c>
      <c r="F685" s="104"/>
    </row>
    <row r="686" spans="1:6" x14ac:dyDescent="0.25">
      <c r="A686" s="8">
        <v>41588</v>
      </c>
      <c r="B686" s="4">
        <v>59649</v>
      </c>
      <c r="C686" s="57">
        <v>304.48</v>
      </c>
      <c r="D686" s="4" t="str">
        <f t="shared" si="10"/>
        <v>EOM plus 15 days</v>
      </c>
      <c r="E686" s="4">
        <v>15</v>
      </c>
      <c r="F686" s="104"/>
    </row>
    <row r="687" spans="1:6" x14ac:dyDescent="0.25">
      <c r="A687" s="8">
        <v>41588</v>
      </c>
      <c r="B687" s="4">
        <v>59650</v>
      </c>
      <c r="C687" s="57">
        <v>96.5</v>
      </c>
      <c r="D687" s="4" t="str">
        <f t="shared" si="10"/>
        <v>EOM plus 20 days</v>
      </c>
      <c r="E687" s="4">
        <v>20</v>
      </c>
      <c r="F687" s="104"/>
    </row>
    <row r="688" spans="1:6" x14ac:dyDescent="0.25">
      <c r="A688" s="8">
        <v>41588</v>
      </c>
      <c r="B688" s="4">
        <v>59651</v>
      </c>
      <c r="C688" s="57">
        <v>123.14</v>
      </c>
      <c r="D688" s="4" t="str">
        <f t="shared" si="10"/>
        <v>EOM plus 15 days</v>
      </c>
      <c r="E688" s="4">
        <v>15</v>
      </c>
      <c r="F688" s="104"/>
    </row>
    <row r="689" spans="1:6" x14ac:dyDescent="0.25">
      <c r="A689" s="8">
        <v>41588</v>
      </c>
      <c r="B689" s="4">
        <v>59652</v>
      </c>
      <c r="C689" s="57">
        <v>157.99</v>
      </c>
      <c r="D689" s="4" t="str">
        <f t="shared" si="10"/>
        <v>EOM plus 15 days</v>
      </c>
      <c r="E689" s="4">
        <v>15</v>
      </c>
      <c r="F689" s="104"/>
    </row>
    <row r="690" spans="1:6" x14ac:dyDescent="0.25">
      <c r="A690" s="8">
        <v>41588</v>
      </c>
      <c r="B690" s="4">
        <v>59653</v>
      </c>
      <c r="C690" s="57">
        <v>229.05</v>
      </c>
      <c r="D690" s="4" t="str">
        <f t="shared" si="10"/>
        <v>EOM plus 15 days</v>
      </c>
      <c r="E690" s="4">
        <v>15</v>
      </c>
      <c r="F690" s="104"/>
    </row>
    <row r="691" spans="1:6" x14ac:dyDescent="0.25">
      <c r="A691" s="8">
        <v>41588</v>
      </c>
      <c r="B691" s="4">
        <v>59654</v>
      </c>
      <c r="C691" s="57">
        <v>229.8</v>
      </c>
      <c r="D691" s="4" t="str">
        <f t="shared" si="10"/>
        <v>EOM plus 15 days</v>
      </c>
      <c r="E691" s="4">
        <v>15</v>
      </c>
      <c r="F691" s="104"/>
    </row>
    <row r="692" spans="1:6" x14ac:dyDescent="0.25">
      <c r="A692" s="8">
        <v>41588</v>
      </c>
      <c r="B692" s="4">
        <v>59655</v>
      </c>
      <c r="C692" s="57">
        <v>322.58999999999997</v>
      </c>
      <c r="D692" s="4" t="str">
        <f t="shared" si="10"/>
        <v>EOM plus 5 days</v>
      </c>
      <c r="E692" s="4">
        <v>5</v>
      </c>
      <c r="F692" s="104"/>
    </row>
    <row r="693" spans="1:6" x14ac:dyDescent="0.25">
      <c r="A693" s="8">
        <v>41588</v>
      </c>
      <c r="B693" s="4">
        <v>59656</v>
      </c>
      <c r="C693" s="57">
        <v>244.16</v>
      </c>
      <c r="D693" s="4" t="str">
        <f t="shared" si="10"/>
        <v>EOM plus 10 days</v>
      </c>
      <c r="E693" s="4">
        <v>10</v>
      </c>
      <c r="F693" s="104"/>
    </row>
    <row r="694" spans="1:6" x14ac:dyDescent="0.25">
      <c r="A694" s="8">
        <v>41588</v>
      </c>
      <c r="B694" s="4">
        <v>59657</v>
      </c>
      <c r="C694" s="57">
        <v>277.33</v>
      </c>
      <c r="D694" s="4" t="str">
        <f t="shared" si="10"/>
        <v>EOM plus 5 days</v>
      </c>
      <c r="E694" s="4">
        <v>5</v>
      </c>
      <c r="F694" s="104"/>
    </row>
    <row r="695" spans="1:6" x14ac:dyDescent="0.25">
      <c r="A695" s="8">
        <v>41588</v>
      </c>
      <c r="B695" s="4">
        <v>59658</v>
      </c>
      <c r="C695" s="57">
        <v>99.39</v>
      </c>
      <c r="D695" s="4" t="str">
        <f t="shared" si="10"/>
        <v>EOM plus 5 days</v>
      </c>
      <c r="E695" s="4">
        <v>5</v>
      </c>
      <c r="F695" s="104"/>
    </row>
    <row r="696" spans="1:6" x14ac:dyDescent="0.25">
      <c r="A696" s="8">
        <v>41588</v>
      </c>
      <c r="B696" s="4">
        <v>59659</v>
      </c>
      <c r="C696" s="57">
        <v>295.95999999999998</v>
      </c>
      <c r="D696" s="4" t="str">
        <f t="shared" si="10"/>
        <v>EOM plus 15 days</v>
      </c>
      <c r="E696" s="4">
        <v>15</v>
      </c>
      <c r="F696" s="104"/>
    </row>
    <row r="697" spans="1:6" x14ac:dyDescent="0.25">
      <c r="A697" s="8">
        <v>41588</v>
      </c>
      <c r="B697" s="4">
        <v>59660</v>
      </c>
      <c r="C697" s="57">
        <v>310.51</v>
      </c>
      <c r="D697" s="4" t="str">
        <f t="shared" si="10"/>
        <v>EOM plus 10 days</v>
      </c>
      <c r="E697" s="4">
        <v>10</v>
      </c>
      <c r="F697" s="104"/>
    </row>
    <row r="698" spans="1:6" x14ac:dyDescent="0.25">
      <c r="A698" s="8">
        <v>41588</v>
      </c>
      <c r="B698" s="4">
        <v>59661</v>
      </c>
      <c r="C698" s="57">
        <v>94.44</v>
      </c>
      <c r="D698" s="4" t="str">
        <f t="shared" si="10"/>
        <v>EOM plus 20 days</v>
      </c>
      <c r="E698" s="4">
        <v>20</v>
      </c>
      <c r="F698" s="104"/>
    </row>
    <row r="699" spans="1:6" x14ac:dyDescent="0.25">
      <c r="A699" s="8">
        <v>41588</v>
      </c>
      <c r="B699" s="4">
        <v>59662</v>
      </c>
      <c r="C699" s="57">
        <v>147</v>
      </c>
      <c r="D699" s="4" t="str">
        <f t="shared" si="10"/>
        <v>EOM plus 20 days</v>
      </c>
      <c r="E699" s="4">
        <v>20</v>
      </c>
      <c r="F699" s="104"/>
    </row>
    <row r="700" spans="1:6" x14ac:dyDescent="0.25">
      <c r="A700" s="8">
        <v>41588</v>
      </c>
      <c r="B700" s="4">
        <v>59663</v>
      </c>
      <c r="C700" s="57">
        <v>108.48</v>
      </c>
      <c r="D700" s="4" t="str">
        <f t="shared" si="10"/>
        <v>EOM plus 10 days</v>
      </c>
      <c r="E700" s="4">
        <v>10</v>
      </c>
      <c r="F700" s="104"/>
    </row>
    <row r="701" spans="1:6" x14ac:dyDescent="0.25">
      <c r="A701" s="8">
        <v>41588</v>
      </c>
      <c r="B701" s="4">
        <v>59664</v>
      </c>
      <c r="C701" s="57">
        <v>156.03</v>
      </c>
      <c r="D701" s="4" t="str">
        <f t="shared" si="10"/>
        <v>EOM plus 20 days</v>
      </c>
      <c r="E701" s="4">
        <v>20</v>
      </c>
      <c r="F701" s="104"/>
    </row>
    <row r="702" spans="1:6" x14ac:dyDescent="0.25">
      <c r="A702" s="8">
        <v>41588</v>
      </c>
      <c r="B702" s="4">
        <v>59665</v>
      </c>
      <c r="C702" s="57">
        <v>45.15</v>
      </c>
      <c r="D702" s="4" t="str">
        <f t="shared" si="10"/>
        <v>EOM plus 10 days</v>
      </c>
      <c r="E702" s="4">
        <v>10</v>
      </c>
      <c r="F702" s="104"/>
    </row>
    <row r="703" spans="1:6" x14ac:dyDescent="0.25">
      <c r="A703" s="8">
        <v>41588</v>
      </c>
      <c r="B703" s="4">
        <v>59666</v>
      </c>
      <c r="C703" s="57">
        <v>192.48</v>
      </c>
      <c r="D703" s="4" t="str">
        <f t="shared" si="10"/>
        <v>EOM plus 15 days</v>
      </c>
      <c r="E703" s="4">
        <v>15</v>
      </c>
      <c r="F703" s="104"/>
    </row>
    <row r="704" spans="1:6" x14ac:dyDescent="0.25">
      <c r="A704" s="8">
        <v>41588</v>
      </c>
      <c r="B704" s="4">
        <v>59667</v>
      </c>
      <c r="C704" s="57">
        <v>43.34</v>
      </c>
      <c r="D704" s="4" t="str">
        <f t="shared" si="10"/>
        <v>EOM plus 10 days</v>
      </c>
      <c r="E704" s="4">
        <v>10</v>
      </c>
      <c r="F704" s="104"/>
    </row>
    <row r="705" spans="1:6" x14ac:dyDescent="0.25">
      <c r="A705" s="8">
        <v>41588</v>
      </c>
      <c r="B705" s="4">
        <v>59668</v>
      </c>
      <c r="C705" s="57">
        <v>169.85</v>
      </c>
      <c r="D705" s="4" t="str">
        <f t="shared" si="10"/>
        <v>EOM plus 20 days</v>
      </c>
      <c r="E705" s="4">
        <v>20</v>
      </c>
      <c r="F705" s="104"/>
    </row>
    <row r="706" spans="1:6" x14ac:dyDescent="0.25">
      <c r="A706" s="8">
        <v>41588</v>
      </c>
      <c r="B706" s="4">
        <v>59669</v>
      </c>
      <c r="C706" s="57">
        <v>280.01</v>
      </c>
      <c r="D706" s="4" t="str">
        <f t="shared" si="10"/>
        <v>EOM plus 5 days</v>
      </c>
      <c r="E706" s="4">
        <v>5</v>
      </c>
      <c r="F706" s="104"/>
    </row>
    <row r="707" spans="1:6" x14ac:dyDescent="0.25">
      <c r="A707" s="8">
        <v>41588</v>
      </c>
      <c r="B707" s="4">
        <v>59670</v>
      </c>
      <c r="C707" s="57">
        <v>377.44</v>
      </c>
      <c r="D707" s="4" t="str">
        <f t="shared" si="10"/>
        <v>EOM plus 15 days</v>
      </c>
      <c r="E707" s="4">
        <v>15</v>
      </c>
      <c r="F707" s="104"/>
    </row>
    <row r="708" spans="1:6" x14ac:dyDescent="0.25">
      <c r="A708" s="8">
        <v>41588</v>
      </c>
      <c r="B708" s="4">
        <v>59671</v>
      </c>
      <c r="C708" s="57">
        <v>345.72</v>
      </c>
      <c r="D708" s="4" t="str">
        <f t="shared" si="10"/>
        <v>EOM plus 10 days</v>
      </c>
      <c r="E708" s="4">
        <v>10</v>
      </c>
      <c r="F708" s="104"/>
    </row>
    <row r="709" spans="1:6" x14ac:dyDescent="0.25">
      <c r="A709" s="8">
        <v>41589</v>
      </c>
      <c r="B709" s="4">
        <v>59672</v>
      </c>
      <c r="C709" s="57">
        <v>151.81</v>
      </c>
      <c r="D709" s="4" t="str">
        <f t="shared" ref="D709:D772" si="11">"EOM plus "&amp;E709&amp;" days"</f>
        <v>EOM plus 10 days</v>
      </c>
      <c r="E709" s="4">
        <v>10</v>
      </c>
      <c r="F709" s="104"/>
    </row>
    <row r="710" spans="1:6" x14ac:dyDescent="0.25">
      <c r="A710" s="8">
        <v>41589</v>
      </c>
      <c r="B710" s="4">
        <v>59673</v>
      </c>
      <c r="C710" s="57">
        <v>96.52</v>
      </c>
      <c r="D710" s="4" t="str">
        <f t="shared" si="11"/>
        <v>EOM plus 5 days</v>
      </c>
      <c r="E710" s="4">
        <v>5</v>
      </c>
      <c r="F710" s="104"/>
    </row>
    <row r="711" spans="1:6" x14ac:dyDescent="0.25">
      <c r="A711" s="8">
        <v>41589</v>
      </c>
      <c r="B711" s="4">
        <v>59674</v>
      </c>
      <c r="C711" s="57">
        <v>185.18</v>
      </c>
      <c r="D711" s="4" t="str">
        <f t="shared" si="11"/>
        <v>EOM plus 5 days</v>
      </c>
      <c r="E711" s="4">
        <v>5</v>
      </c>
      <c r="F711" s="104"/>
    </row>
    <row r="712" spans="1:6" x14ac:dyDescent="0.25">
      <c r="A712" s="8">
        <v>41589</v>
      </c>
      <c r="B712" s="4">
        <v>59675</v>
      </c>
      <c r="C712" s="57">
        <v>115.43</v>
      </c>
      <c r="D712" s="4" t="str">
        <f t="shared" si="11"/>
        <v>EOM plus 20 days</v>
      </c>
      <c r="E712" s="4">
        <v>20</v>
      </c>
      <c r="F712" s="104"/>
    </row>
    <row r="713" spans="1:6" x14ac:dyDescent="0.25">
      <c r="A713" s="8">
        <v>41589</v>
      </c>
      <c r="B713" s="4">
        <v>59676</v>
      </c>
      <c r="C713" s="57">
        <v>289.58999999999997</v>
      </c>
      <c r="D713" s="4" t="str">
        <f t="shared" si="11"/>
        <v>EOM plus 15 days</v>
      </c>
      <c r="E713" s="4">
        <v>15</v>
      </c>
      <c r="F713" s="104"/>
    </row>
    <row r="714" spans="1:6" x14ac:dyDescent="0.25">
      <c r="A714" s="8">
        <v>41589</v>
      </c>
      <c r="B714" s="4">
        <v>59677</v>
      </c>
      <c r="C714" s="57">
        <v>68.97</v>
      </c>
      <c r="D714" s="4" t="str">
        <f t="shared" si="11"/>
        <v>EOM plus 5 days</v>
      </c>
      <c r="E714" s="4">
        <v>5</v>
      </c>
      <c r="F714" s="104"/>
    </row>
    <row r="715" spans="1:6" x14ac:dyDescent="0.25">
      <c r="A715" s="8">
        <v>41589</v>
      </c>
      <c r="B715" s="4">
        <v>59678</v>
      </c>
      <c r="C715" s="57">
        <v>99.07</v>
      </c>
      <c r="D715" s="4" t="str">
        <f t="shared" si="11"/>
        <v>EOM plus 10 days</v>
      </c>
      <c r="E715" s="4">
        <v>10</v>
      </c>
      <c r="F715" s="104"/>
    </row>
    <row r="716" spans="1:6" x14ac:dyDescent="0.25">
      <c r="A716" s="8">
        <v>41589</v>
      </c>
      <c r="B716" s="4">
        <v>59679</v>
      </c>
      <c r="C716" s="57">
        <v>154.46</v>
      </c>
      <c r="D716" s="4" t="str">
        <f t="shared" si="11"/>
        <v>EOM plus 10 days</v>
      </c>
      <c r="E716" s="4">
        <v>10</v>
      </c>
      <c r="F716" s="104"/>
    </row>
    <row r="717" spans="1:6" x14ac:dyDescent="0.25">
      <c r="A717" s="8">
        <v>41589</v>
      </c>
      <c r="B717" s="4">
        <v>59680</v>
      </c>
      <c r="C717" s="57">
        <v>229.51</v>
      </c>
      <c r="D717" s="4" t="str">
        <f t="shared" si="11"/>
        <v>EOM plus 15 days</v>
      </c>
      <c r="E717" s="4">
        <v>15</v>
      </c>
      <c r="F717" s="104"/>
    </row>
    <row r="718" spans="1:6" x14ac:dyDescent="0.25">
      <c r="A718" s="8">
        <v>41589</v>
      </c>
      <c r="B718" s="4">
        <v>59681</v>
      </c>
      <c r="C718" s="57">
        <v>189.82</v>
      </c>
      <c r="D718" s="4" t="str">
        <f t="shared" si="11"/>
        <v>EOM plus 10 days</v>
      </c>
      <c r="E718" s="4">
        <v>10</v>
      </c>
      <c r="F718" s="104"/>
    </row>
    <row r="719" spans="1:6" x14ac:dyDescent="0.25">
      <c r="A719" s="8">
        <v>41589</v>
      </c>
      <c r="B719" s="4">
        <v>59682</v>
      </c>
      <c r="C719" s="57">
        <v>119.18</v>
      </c>
      <c r="D719" s="4" t="str">
        <f t="shared" si="11"/>
        <v>EOM plus 15 days</v>
      </c>
      <c r="E719" s="4">
        <v>15</v>
      </c>
      <c r="F719" s="104"/>
    </row>
    <row r="720" spans="1:6" x14ac:dyDescent="0.25">
      <c r="A720" s="8">
        <v>41589</v>
      </c>
      <c r="B720" s="4">
        <v>59683</v>
      </c>
      <c r="C720" s="57">
        <v>104.63</v>
      </c>
      <c r="D720" s="4" t="str">
        <f t="shared" si="11"/>
        <v>EOM plus 10 days</v>
      </c>
      <c r="E720" s="4">
        <v>10</v>
      </c>
      <c r="F720" s="104"/>
    </row>
    <row r="721" spans="1:6" x14ac:dyDescent="0.25">
      <c r="A721" s="8">
        <v>41589</v>
      </c>
      <c r="B721" s="4">
        <v>59684</v>
      </c>
      <c r="C721" s="57">
        <v>378.81</v>
      </c>
      <c r="D721" s="4" t="str">
        <f t="shared" si="11"/>
        <v>EOM plus 10 days</v>
      </c>
      <c r="E721" s="4">
        <v>10</v>
      </c>
      <c r="F721" s="104"/>
    </row>
    <row r="722" spans="1:6" x14ac:dyDescent="0.25">
      <c r="A722" s="8">
        <v>41589</v>
      </c>
      <c r="B722" s="4">
        <v>59685</v>
      </c>
      <c r="C722" s="57">
        <v>245.55</v>
      </c>
      <c r="D722" s="4" t="str">
        <f t="shared" si="11"/>
        <v>EOM plus 10 days</v>
      </c>
      <c r="E722" s="4">
        <v>10</v>
      </c>
      <c r="F722" s="104"/>
    </row>
    <row r="723" spans="1:6" x14ac:dyDescent="0.25">
      <c r="A723" s="8">
        <v>41589</v>
      </c>
      <c r="B723" s="4">
        <v>59686</v>
      </c>
      <c r="C723" s="57">
        <v>94.6</v>
      </c>
      <c r="D723" s="4" t="str">
        <f t="shared" si="11"/>
        <v>EOM plus 5 days</v>
      </c>
      <c r="E723" s="4">
        <v>5</v>
      </c>
      <c r="F723" s="104"/>
    </row>
    <row r="724" spans="1:6" x14ac:dyDescent="0.25">
      <c r="A724" s="8">
        <v>41590</v>
      </c>
      <c r="B724" s="4">
        <v>59687</v>
      </c>
      <c r="C724" s="57">
        <v>195.05</v>
      </c>
      <c r="D724" s="4" t="str">
        <f t="shared" si="11"/>
        <v>EOM plus 5 days</v>
      </c>
      <c r="E724" s="4">
        <v>5</v>
      </c>
      <c r="F724" s="104"/>
    </row>
    <row r="725" spans="1:6" x14ac:dyDescent="0.25">
      <c r="A725" s="8">
        <v>41590</v>
      </c>
      <c r="B725" s="4">
        <v>59688</v>
      </c>
      <c r="C725" s="57">
        <v>353.03</v>
      </c>
      <c r="D725" s="4" t="str">
        <f t="shared" si="11"/>
        <v>EOM plus 10 days</v>
      </c>
      <c r="E725" s="4">
        <v>10</v>
      </c>
      <c r="F725" s="104"/>
    </row>
    <row r="726" spans="1:6" x14ac:dyDescent="0.25">
      <c r="A726" s="8">
        <v>41590</v>
      </c>
      <c r="B726" s="4">
        <v>59689</v>
      </c>
      <c r="C726" s="57">
        <v>277.45999999999998</v>
      </c>
      <c r="D726" s="4" t="str">
        <f t="shared" si="11"/>
        <v>EOM plus 10 days</v>
      </c>
      <c r="E726" s="4">
        <v>10</v>
      </c>
      <c r="F726" s="104"/>
    </row>
    <row r="727" spans="1:6" x14ac:dyDescent="0.25">
      <c r="A727" s="8">
        <v>41590</v>
      </c>
      <c r="B727" s="4">
        <v>59690</v>
      </c>
      <c r="C727" s="57">
        <v>236.52</v>
      </c>
      <c r="D727" s="4" t="str">
        <f t="shared" si="11"/>
        <v>EOM plus 5 days</v>
      </c>
      <c r="E727" s="4">
        <v>5</v>
      </c>
      <c r="F727" s="104"/>
    </row>
    <row r="728" spans="1:6" x14ac:dyDescent="0.25">
      <c r="A728" s="8">
        <v>41590</v>
      </c>
      <c r="B728" s="4">
        <v>59691</v>
      </c>
      <c r="C728" s="57">
        <v>265.38</v>
      </c>
      <c r="D728" s="4" t="str">
        <f t="shared" si="11"/>
        <v>EOM plus 20 days</v>
      </c>
      <c r="E728" s="4">
        <v>20</v>
      </c>
      <c r="F728" s="104"/>
    </row>
    <row r="729" spans="1:6" x14ac:dyDescent="0.25">
      <c r="A729" s="8">
        <v>41590</v>
      </c>
      <c r="B729" s="4">
        <v>59692</v>
      </c>
      <c r="C729" s="57">
        <v>294.17</v>
      </c>
      <c r="D729" s="4" t="str">
        <f t="shared" si="11"/>
        <v>EOM plus 15 days</v>
      </c>
      <c r="E729" s="4">
        <v>15</v>
      </c>
      <c r="F729" s="104"/>
    </row>
    <row r="730" spans="1:6" x14ac:dyDescent="0.25">
      <c r="A730" s="8">
        <v>41590</v>
      </c>
      <c r="B730" s="4">
        <v>59693</v>
      </c>
      <c r="C730" s="57">
        <v>245.73</v>
      </c>
      <c r="D730" s="4" t="str">
        <f t="shared" si="11"/>
        <v>EOM plus 10 days</v>
      </c>
      <c r="E730" s="4">
        <v>10</v>
      </c>
      <c r="F730" s="104"/>
    </row>
    <row r="731" spans="1:6" x14ac:dyDescent="0.25">
      <c r="A731" s="8">
        <v>41590</v>
      </c>
      <c r="B731" s="4">
        <v>59694</v>
      </c>
      <c r="C731" s="57">
        <v>242.94</v>
      </c>
      <c r="D731" s="4" t="str">
        <f t="shared" si="11"/>
        <v>EOM plus 15 days</v>
      </c>
      <c r="E731" s="4">
        <v>15</v>
      </c>
      <c r="F731" s="104"/>
    </row>
    <row r="732" spans="1:6" x14ac:dyDescent="0.25">
      <c r="A732" s="8">
        <v>41590</v>
      </c>
      <c r="B732" s="4">
        <v>59695</v>
      </c>
      <c r="C732" s="57">
        <v>56.78</v>
      </c>
      <c r="D732" s="4" t="str">
        <f t="shared" si="11"/>
        <v>EOM plus 10 days</v>
      </c>
      <c r="E732" s="4">
        <v>10</v>
      </c>
      <c r="F732" s="104"/>
    </row>
    <row r="733" spans="1:6" x14ac:dyDescent="0.25">
      <c r="A733" s="8">
        <v>41590</v>
      </c>
      <c r="B733" s="4">
        <v>59696</v>
      </c>
      <c r="C733" s="57">
        <v>199.23</v>
      </c>
      <c r="D733" s="4" t="str">
        <f t="shared" si="11"/>
        <v>EOM plus 10 days</v>
      </c>
      <c r="E733" s="4">
        <v>10</v>
      </c>
      <c r="F733" s="104"/>
    </row>
    <row r="734" spans="1:6" x14ac:dyDescent="0.25">
      <c r="A734" s="8">
        <v>41590</v>
      </c>
      <c r="B734" s="4">
        <v>59697</v>
      </c>
      <c r="C734" s="57">
        <v>37.520000000000003</v>
      </c>
      <c r="D734" s="4" t="str">
        <f t="shared" si="11"/>
        <v>EOM plus 10 days</v>
      </c>
      <c r="E734" s="4">
        <v>10</v>
      </c>
      <c r="F734" s="104"/>
    </row>
    <row r="735" spans="1:6" x14ac:dyDescent="0.25">
      <c r="A735" s="8">
        <v>41590</v>
      </c>
      <c r="B735" s="4">
        <v>59698</v>
      </c>
      <c r="C735" s="57">
        <v>96.26</v>
      </c>
      <c r="D735" s="4" t="str">
        <f t="shared" si="11"/>
        <v>EOM plus 10 days</v>
      </c>
      <c r="E735" s="4">
        <v>10</v>
      </c>
      <c r="F735" s="104"/>
    </row>
    <row r="736" spans="1:6" x14ac:dyDescent="0.25">
      <c r="A736" s="8">
        <v>41590</v>
      </c>
      <c r="B736" s="4">
        <v>59699</v>
      </c>
      <c r="C736" s="57">
        <v>164.62</v>
      </c>
      <c r="D736" s="4" t="str">
        <f t="shared" si="11"/>
        <v>EOM plus 5 days</v>
      </c>
      <c r="E736" s="4">
        <v>5</v>
      </c>
      <c r="F736" s="104"/>
    </row>
    <row r="737" spans="1:6" x14ac:dyDescent="0.25">
      <c r="A737" s="8">
        <v>41590</v>
      </c>
      <c r="B737" s="4">
        <v>59700</v>
      </c>
      <c r="C737" s="57">
        <v>164.22</v>
      </c>
      <c r="D737" s="4" t="str">
        <f t="shared" si="11"/>
        <v>EOM plus 10 days</v>
      </c>
      <c r="E737" s="4">
        <v>10</v>
      </c>
      <c r="F737" s="104"/>
    </row>
    <row r="738" spans="1:6" x14ac:dyDescent="0.25">
      <c r="A738" s="8">
        <v>41590</v>
      </c>
      <c r="B738" s="4">
        <v>59701</v>
      </c>
      <c r="C738" s="57">
        <v>169.44</v>
      </c>
      <c r="D738" s="4" t="str">
        <f t="shared" si="11"/>
        <v>EOM plus 10 days</v>
      </c>
      <c r="E738" s="4">
        <v>10</v>
      </c>
      <c r="F738" s="104"/>
    </row>
    <row r="739" spans="1:6" x14ac:dyDescent="0.25">
      <c r="A739" s="8">
        <v>41590</v>
      </c>
      <c r="B739" s="4">
        <v>59702</v>
      </c>
      <c r="C739" s="57">
        <v>278.86</v>
      </c>
      <c r="D739" s="4" t="str">
        <f t="shared" si="11"/>
        <v>EOM plus 5 days</v>
      </c>
      <c r="E739" s="4">
        <v>5</v>
      </c>
      <c r="F739" s="104"/>
    </row>
    <row r="740" spans="1:6" x14ac:dyDescent="0.25">
      <c r="A740" s="8">
        <v>41591</v>
      </c>
      <c r="B740" s="4">
        <v>59703</v>
      </c>
      <c r="C740" s="57">
        <v>97.98</v>
      </c>
      <c r="D740" s="4" t="str">
        <f t="shared" si="11"/>
        <v>EOM plus 10 days</v>
      </c>
      <c r="E740" s="4">
        <v>10</v>
      </c>
      <c r="F740" s="104"/>
    </row>
    <row r="741" spans="1:6" x14ac:dyDescent="0.25">
      <c r="A741" s="8">
        <v>41591</v>
      </c>
      <c r="B741" s="4">
        <v>59704</v>
      </c>
      <c r="C741" s="57">
        <v>56.11</v>
      </c>
      <c r="D741" s="4" t="str">
        <f t="shared" si="11"/>
        <v>EOM plus 10 days</v>
      </c>
      <c r="E741" s="4">
        <v>10</v>
      </c>
      <c r="F741" s="104"/>
    </row>
    <row r="742" spans="1:6" x14ac:dyDescent="0.25">
      <c r="A742" s="8">
        <v>41591</v>
      </c>
      <c r="B742" s="4">
        <v>59705</v>
      </c>
      <c r="C742" s="57">
        <v>54.86</v>
      </c>
      <c r="D742" s="4" t="str">
        <f t="shared" si="11"/>
        <v>EOM plus 20 days</v>
      </c>
      <c r="E742" s="4">
        <v>20</v>
      </c>
      <c r="F742" s="104"/>
    </row>
    <row r="743" spans="1:6" x14ac:dyDescent="0.25">
      <c r="A743" s="8">
        <v>41591</v>
      </c>
      <c r="B743" s="4">
        <v>59706</v>
      </c>
      <c r="C743" s="57">
        <v>78.06</v>
      </c>
      <c r="D743" s="4" t="str">
        <f t="shared" si="11"/>
        <v>EOM plus 10 days</v>
      </c>
      <c r="E743" s="4">
        <v>10</v>
      </c>
      <c r="F743" s="104"/>
    </row>
    <row r="744" spans="1:6" x14ac:dyDescent="0.25">
      <c r="A744" s="8">
        <v>41591</v>
      </c>
      <c r="B744" s="4">
        <v>59707</v>
      </c>
      <c r="C744" s="57">
        <v>55.38</v>
      </c>
      <c r="D744" s="4" t="str">
        <f t="shared" si="11"/>
        <v>EOM plus 10 days</v>
      </c>
      <c r="E744" s="4">
        <v>10</v>
      </c>
      <c r="F744" s="104"/>
    </row>
    <row r="745" spans="1:6" x14ac:dyDescent="0.25">
      <c r="A745" s="8">
        <v>41591</v>
      </c>
      <c r="B745" s="4">
        <v>59708</v>
      </c>
      <c r="C745" s="57">
        <v>95.66</v>
      </c>
      <c r="D745" s="4" t="str">
        <f t="shared" si="11"/>
        <v>EOM plus 15 days</v>
      </c>
      <c r="E745" s="4">
        <v>15</v>
      </c>
      <c r="F745" s="104"/>
    </row>
    <row r="746" spans="1:6" x14ac:dyDescent="0.25">
      <c r="A746" s="8">
        <v>41591</v>
      </c>
      <c r="B746" s="4">
        <v>59709</v>
      </c>
      <c r="C746" s="57">
        <v>159.21</v>
      </c>
      <c r="D746" s="4" t="str">
        <f t="shared" si="11"/>
        <v>EOM plus 10 days</v>
      </c>
      <c r="E746" s="4">
        <v>10</v>
      </c>
      <c r="F746" s="104"/>
    </row>
    <row r="747" spans="1:6" x14ac:dyDescent="0.25">
      <c r="A747" s="8">
        <v>41591</v>
      </c>
      <c r="B747" s="4">
        <v>59710</v>
      </c>
      <c r="C747" s="57">
        <v>64.09</v>
      </c>
      <c r="D747" s="4" t="str">
        <f t="shared" si="11"/>
        <v>EOM plus 15 days</v>
      </c>
      <c r="E747" s="4">
        <v>15</v>
      </c>
      <c r="F747" s="104"/>
    </row>
    <row r="748" spans="1:6" x14ac:dyDescent="0.25">
      <c r="A748" s="8">
        <v>41591</v>
      </c>
      <c r="B748" s="4">
        <v>59711</v>
      </c>
      <c r="C748" s="57">
        <v>326.10000000000002</v>
      </c>
      <c r="D748" s="4" t="str">
        <f t="shared" si="11"/>
        <v>EOM plus 10 days</v>
      </c>
      <c r="E748" s="4">
        <v>10</v>
      </c>
      <c r="F748" s="104"/>
    </row>
    <row r="749" spans="1:6" x14ac:dyDescent="0.25">
      <c r="A749" s="8">
        <v>41591</v>
      </c>
      <c r="B749" s="4">
        <v>59712</v>
      </c>
      <c r="C749" s="57">
        <v>193.39</v>
      </c>
      <c r="D749" s="4" t="str">
        <f t="shared" si="11"/>
        <v>EOM plus 5 days</v>
      </c>
      <c r="E749" s="4">
        <v>5</v>
      </c>
      <c r="F749" s="104"/>
    </row>
    <row r="750" spans="1:6" x14ac:dyDescent="0.25">
      <c r="A750" s="8">
        <v>41591</v>
      </c>
      <c r="B750" s="4">
        <v>59713</v>
      </c>
      <c r="C750" s="57">
        <v>317.72000000000003</v>
      </c>
      <c r="D750" s="4" t="str">
        <f t="shared" si="11"/>
        <v>EOM plus 20 days</v>
      </c>
      <c r="E750" s="4">
        <v>20</v>
      </c>
      <c r="F750" s="104"/>
    </row>
    <row r="751" spans="1:6" x14ac:dyDescent="0.25">
      <c r="A751" s="8">
        <v>41591</v>
      </c>
      <c r="B751" s="4">
        <v>59714</v>
      </c>
      <c r="C751" s="57">
        <v>48.07</v>
      </c>
      <c r="D751" s="4" t="str">
        <f t="shared" si="11"/>
        <v>EOM plus 20 days</v>
      </c>
      <c r="E751" s="4">
        <v>20</v>
      </c>
      <c r="F751" s="104"/>
    </row>
    <row r="752" spans="1:6" x14ac:dyDescent="0.25">
      <c r="A752" s="8">
        <v>41591</v>
      </c>
      <c r="B752" s="4">
        <v>59715</v>
      </c>
      <c r="C752" s="57">
        <v>193.25</v>
      </c>
      <c r="D752" s="4" t="str">
        <f t="shared" si="11"/>
        <v>EOM plus 10 days</v>
      </c>
      <c r="E752" s="4">
        <v>10</v>
      </c>
      <c r="F752" s="104"/>
    </row>
    <row r="753" spans="1:6" x14ac:dyDescent="0.25">
      <c r="A753" s="8">
        <v>41591</v>
      </c>
      <c r="B753" s="4">
        <v>59716</v>
      </c>
      <c r="C753" s="57">
        <v>294.49</v>
      </c>
      <c r="D753" s="4" t="str">
        <f t="shared" si="11"/>
        <v>EOM plus 10 days</v>
      </c>
      <c r="E753" s="4">
        <v>10</v>
      </c>
      <c r="F753" s="104"/>
    </row>
    <row r="754" spans="1:6" x14ac:dyDescent="0.25">
      <c r="A754" s="8">
        <v>41591</v>
      </c>
      <c r="B754" s="4">
        <v>59717</v>
      </c>
      <c r="C754" s="57">
        <v>217</v>
      </c>
      <c r="D754" s="4" t="str">
        <f t="shared" si="11"/>
        <v>EOM plus 10 days</v>
      </c>
      <c r="E754" s="4">
        <v>10</v>
      </c>
      <c r="F754" s="104"/>
    </row>
    <row r="755" spans="1:6" x14ac:dyDescent="0.25">
      <c r="A755" s="8">
        <v>41591</v>
      </c>
      <c r="B755" s="4">
        <v>59718</v>
      </c>
      <c r="C755" s="57">
        <v>104.04</v>
      </c>
      <c r="D755" s="4" t="str">
        <f t="shared" si="11"/>
        <v>EOM plus 10 days</v>
      </c>
      <c r="E755" s="4">
        <v>10</v>
      </c>
      <c r="F755" s="104"/>
    </row>
    <row r="756" spans="1:6" x14ac:dyDescent="0.25">
      <c r="A756" s="8">
        <v>41591</v>
      </c>
      <c r="B756" s="4">
        <v>59719</v>
      </c>
      <c r="C756" s="57">
        <v>153.94999999999999</v>
      </c>
      <c r="D756" s="4" t="str">
        <f t="shared" si="11"/>
        <v>EOM plus 10 days</v>
      </c>
      <c r="E756" s="4">
        <v>10</v>
      </c>
      <c r="F756" s="104"/>
    </row>
    <row r="757" spans="1:6" x14ac:dyDescent="0.25">
      <c r="A757" s="8">
        <v>41591</v>
      </c>
      <c r="B757" s="4">
        <v>59720</v>
      </c>
      <c r="C757" s="57">
        <v>79.61</v>
      </c>
      <c r="D757" s="4" t="str">
        <f t="shared" si="11"/>
        <v>EOM plus 5 days</v>
      </c>
      <c r="E757" s="4">
        <v>5</v>
      </c>
      <c r="F757" s="104"/>
    </row>
    <row r="758" spans="1:6" x14ac:dyDescent="0.25">
      <c r="A758" s="8">
        <v>41592</v>
      </c>
      <c r="B758" s="4">
        <v>59721</v>
      </c>
      <c r="C758" s="57">
        <v>58.5</v>
      </c>
      <c r="D758" s="4" t="str">
        <f t="shared" si="11"/>
        <v>EOM plus 15 days</v>
      </c>
      <c r="E758" s="4">
        <v>15</v>
      </c>
      <c r="F758" s="104"/>
    </row>
    <row r="759" spans="1:6" x14ac:dyDescent="0.25">
      <c r="A759" s="8">
        <v>41592</v>
      </c>
      <c r="B759" s="4">
        <v>59722</v>
      </c>
      <c r="C759" s="57">
        <v>203.04</v>
      </c>
      <c r="D759" s="4" t="str">
        <f t="shared" si="11"/>
        <v>EOM plus 20 days</v>
      </c>
      <c r="E759" s="4">
        <v>20</v>
      </c>
      <c r="F759" s="104"/>
    </row>
    <row r="760" spans="1:6" x14ac:dyDescent="0.25">
      <c r="A760" s="8">
        <v>41592</v>
      </c>
      <c r="B760" s="4">
        <v>59723</v>
      </c>
      <c r="C760" s="57">
        <v>244.87</v>
      </c>
      <c r="D760" s="4" t="str">
        <f t="shared" si="11"/>
        <v>EOM plus 10 days</v>
      </c>
      <c r="E760" s="4">
        <v>10</v>
      </c>
      <c r="F760" s="104"/>
    </row>
    <row r="761" spans="1:6" x14ac:dyDescent="0.25">
      <c r="A761" s="8">
        <v>41592</v>
      </c>
      <c r="B761" s="4">
        <v>59724</v>
      </c>
      <c r="C761" s="57">
        <v>234.89</v>
      </c>
      <c r="D761" s="4" t="str">
        <f t="shared" si="11"/>
        <v>EOM plus 10 days</v>
      </c>
      <c r="E761" s="4">
        <v>10</v>
      </c>
      <c r="F761" s="104"/>
    </row>
    <row r="762" spans="1:6" x14ac:dyDescent="0.25">
      <c r="A762" s="8">
        <v>41592</v>
      </c>
      <c r="B762" s="4">
        <v>59725</v>
      </c>
      <c r="C762" s="57">
        <v>166.17</v>
      </c>
      <c r="D762" s="4" t="str">
        <f t="shared" si="11"/>
        <v>EOM plus 5 days</v>
      </c>
      <c r="E762" s="4">
        <v>5</v>
      </c>
      <c r="F762" s="104"/>
    </row>
    <row r="763" spans="1:6" x14ac:dyDescent="0.25">
      <c r="A763" s="8">
        <v>41592</v>
      </c>
      <c r="B763" s="4">
        <v>59726</v>
      </c>
      <c r="C763" s="57">
        <v>279.49</v>
      </c>
      <c r="D763" s="4" t="str">
        <f t="shared" si="11"/>
        <v>EOM plus 10 days</v>
      </c>
      <c r="E763" s="4">
        <v>10</v>
      </c>
      <c r="F763" s="104"/>
    </row>
    <row r="764" spans="1:6" x14ac:dyDescent="0.25">
      <c r="A764" s="8">
        <v>41592</v>
      </c>
      <c r="B764" s="4">
        <v>59727</v>
      </c>
      <c r="C764" s="57">
        <v>188.78</v>
      </c>
      <c r="D764" s="4" t="str">
        <f t="shared" si="11"/>
        <v>EOM plus 15 days</v>
      </c>
      <c r="E764" s="4">
        <v>15</v>
      </c>
      <c r="F764" s="104"/>
    </row>
    <row r="765" spans="1:6" x14ac:dyDescent="0.25">
      <c r="A765" s="8">
        <v>41592</v>
      </c>
      <c r="B765" s="4">
        <v>59728</v>
      </c>
      <c r="C765" s="57">
        <v>94.41</v>
      </c>
      <c r="D765" s="4" t="str">
        <f t="shared" si="11"/>
        <v>EOM plus 10 days</v>
      </c>
      <c r="E765" s="4">
        <v>10</v>
      </c>
      <c r="F765" s="104"/>
    </row>
    <row r="766" spans="1:6" x14ac:dyDescent="0.25">
      <c r="A766" s="8">
        <v>41592</v>
      </c>
      <c r="B766" s="4">
        <v>59729</v>
      </c>
      <c r="C766" s="57">
        <v>170.09</v>
      </c>
      <c r="D766" s="4" t="str">
        <f t="shared" si="11"/>
        <v>EOM plus 10 days</v>
      </c>
      <c r="E766" s="4">
        <v>10</v>
      </c>
      <c r="F766" s="104"/>
    </row>
    <row r="767" spans="1:6" x14ac:dyDescent="0.25">
      <c r="A767" s="8">
        <v>41592</v>
      </c>
      <c r="B767" s="4">
        <v>59730</v>
      </c>
      <c r="C767" s="57">
        <v>316.27999999999997</v>
      </c>
      <c r="D767" s="4" t="str">
        <f t="shared" si="11"/>
        <v>EOM plus 20 days</v>
      </c>
      <c r="E767" s="4">
        <v>20</v>
      </c>
      <c r="F767" s="104"/>
    </row>
    <row r="768" spans="1:6" x14ac:dyDescent="0.25">
      <c r="A768" s="8">
        <v>41592</v>
      </c>
      <c r="B768" s="4">
        <v>59731</v>
      </c>
      <c r="C768" s="57">
        <v>227.8</v>
      </c>
      <c r="D768" s="4" t="str">
        <f t="shared" si="11"/>
        <v>EOM plus 10 days</v>
      </c>
      <c r="E768" s="4">
        <v>10</v>
      </c>
      <c r="F768" s="104"/>
    </row>
    <row r="769" spans="1:6" x14ac:dyDescent="0.25">
      <c r="A769" s="8">
        <v>41592</v>
      </c>
      <c r="B769" s="4">
        <v>59732</v>
      </c>
      <c r="C769" s="57">
        <v>215.52</v>
      </c>
      <c r="D769" s="4" t="str">
        <f t="shared" si="11"/>
        <v>EOM plus 5 days</v>
      </c>
      <c r="E769" s="4">
        <v>5</v>
      </c>
      <c r="F769" s="104"/>
    </row>
    <row r="770" spans="1:6" x14ac:dyDescent="0.25">
      <c r="A770" s="8">
        <v>41592</v>
      </c>
      <c r="B770" s="4">
        <v>59733</v>
      </c>
      <c r="C770" s="57">
        <v>51.98</v>
      </c>
      <c r="D770" s="4" t="str">
        <f t="shared" si="11"/>
        <v>EOM plus 5 days</v>
      </c>
      <c r="E770" s="4">
        <v>5</v>
      </c>
      <c r="F770" s="104"/>
    </row>
    <row r="771" spans="1:6" x14ac:dyDescent="0.25">
      <c r="A771" s="8">
        <v>41592</v>
      </c>
      <c r="B771" s="4">
        <v>59734</v>
      </c>
      <c r="C771" s="57">
        <v>304.61</v>
      </c>
      <c r="D771" s="4" t="str">
        <f t="shared" si="11"/>
        <v>EOM plus 15 days</v>
      </c>
      <c r="E771" s="4">
        <v>15</v>
      </c>
      <c r="F771" s="104"/>
    </row>
    <row r="772" spans="1:6" x14ac:dyDescent="0.25">
      <c r="A772" s="8">
        <v>41592</v>
      </c>
      <c r="B772" s="4">
        <v>59735</v>
      </c>
      <c r="C772" s="57">
        <v>264.08</v>
      </c>
      <c r="D772" s="4" t="str">
        <f t="shared" si="11"/>
        <v>EOM plus 20 days</v>
      </c>
      <c r="E772" s="4">
        <v>20</v>
      </c>
      <c r="F772" s="104"/>
    </row>
    <row r="773" spans="1:6" x14ac:dyDescent="0.25">
      <c r="A773" s="8">
        <v>41592</v>
      </c>
      <c r="B773" s="4">
        <v>59736</v>
      </c>
      <c r="C773" s="57">
        <v>174.42</v>
      </c>
      <c r="D773" s="4" t="str">
        <f t="shared" ref="D773:D806" si="12">"EOM plus "&amp;E773&amp;" days"</f>
        <v>EOM plus 10 days</v>
      </c>
      <c r="E773" s="4">
        <v>10</v>
      </c>
      <c r="F773" s="104"/>
    </row>
    <row r="774" spans="1:6" x14ac:dyDescent="0.25">
      <c r="A774" s="8">
        <v>41592</v>
      </c>
      <c r="B774" s="4">
        <v>59737</v>
      </c>
      <c r="C774" s="57">
        <v>98.78</v>
      </c>
      <c r="D774" s="4" t="str">
        <f t="shared" si="12"/>
        <v>EOM plus 20 days</v>
      </c>
      <c r="E774" s="4">
        <v>20</v>
      </c>
      <c r="F774" s="104"/>
    </row>
    <row r="775" spans="1:6" x14ac:dyDescent="0.25">
      <c r="A775" s="8">
        <v>41592</v>
      </c>
      <c r="B775" s="4">
        <v>59738</v>
      </c>
      <c r="C775" s="57">
        <v>52.73</v>
      </c>
      <c r="D775" s="4" t="str">
        <f t="shared" si="12"/>
        <v>EOM plus 5 days</v>
      </c>
      <c r="E775" s="4">
        <v>5</v>
      </c>
      <c r="F775" s="104"/>
    </row>
    <row r="776" spans="1:6" x14ac:dyDescent="0.25">
      <c r="A776" s="8">
        <v>41592</v>
      </c>
      <c r="B776" s="4">
        <v>59739</v>
      </c>
      <c r="C776" s="57">
        <v>161.49</v>
      </c>
      <c r="D776" s="4" t="str">
        <f t="shared" si="12"/>
        <v>EOM plus 15 days</v>
      </c>
      <c r="E776" s="4">
        <v>15</v>
      </c>
      <c r="F776" s="104"/>
    </row>
    <row r="777" spans="1:6" x14ac:dyDescent="0.25">
      <c r="A777" s="8">
        <v>41592</v>
      </c>
      <c r="B777" s="4">
        <v>59740</v>
      </c>
      <c r="C777" s="57">
        <v>68.02</v>
      </c>
      <c r="D777" s="4" t="str">
        <f t="shared" si="12"/>
        <v>EOM plus 10 days</v>
      </c>
      <c r="E777" s="4">
        <v>10</v>
      </c>
      <c r="F777" s="104"/>
    </row>
    <row r="778" spans="1:6" x14ac:dyDescent="0.25">
      <c r="A778" s="8">
        <v>41592</v>
      </c>
      <c r="B778" s="4">
        <v>59741</v>
      </c>
      <c r="C778" s="57">
        <v>242.04</v>
      </c>
      <c r="D778" s="4" t="str">
        <f t="shared" si="12"/>
        <v>EOM plus 10 days</v>
      </c>
      <c r="E778" s="4">
        <v>10</v>
      </c>
      <c r="F778" s="104"/>
    </row>
    <row r="779" spans="1:6" x14ac:dyDescent="0.25">
      <c r="A779" s="8">
        <v>41592</v>
      </c>
      <c r="B779" s="4">
        <v>59742</v>
      </c>
      <c r="C779" s="57">
        <v>140.72</v>
      </c>
      <c r="D779" s="4" t="str">
        <f t="shared" si="12"/>
        <v>EOM plus 20 days</v>
      </c>
      <c r="E779" s="4">
        <v>20</v>
      </c>
      <c r="F779" s="104"/>
    </row>
    <row r="780" spans="1:6" x14ac:dyDescent="0.25">
      <c r="A780" s="8">
        <v>41592</v>
      </c>
      <c r="B780" s="4">
        <v>59743</v>
      </c>
      <c r="C780" s="57">
        <v>103.89</v>
      </c>
      <c r="D780" s="4" t="str">
        <f t="shared" si="12"/>
        <v>EOM plus 20 days</v>
      </c>
      <c r="E780" s="4">
        <v>20</v>
      </c>
      <c r="F780" s="104"/>
    </row>
    <row r="781" spans="1:6" x14ac:dyDescent="0.25">
      <c r="A781" s="8">
        <v>41592</v>
      </c>
      <c r="B781" s="4">
        <v>59744</v>
      </c>
      <c r="C781" s="57">
        <v>105.2</v>
      </c>
      <c r="D781" s="4" t="str">
        <f t="shared" si="12"/>
        <v>EOM plus 10 days</v>
      </c>
      <c r="E781" s="4">
        <v>10</v>
      </c>
      <c r="F781" s="104"/>
    </row>
    <row r="782" spans="1:6" x14ac:dyDescent="0.25">
      <c r="A782" s="8">
        <v>41592</v>
      </c>
      <c r="B782" s="4">
        <v>59745</v>
      </c>
      <c r="C782" s="57">
        <v>35.979999999999997</v>
      </c>
      <c r="D782" s="4" t="str">
        <f t="shared" si="12"/>
        <v>EOM plus 10 days</v>
      </c>
      <c r="E782" s="4">
        <v>10</v>
      </c>
      <c r="F782" s="104"/>
    </row>
    <row r="783" spans="1:6" x14ac:dyDescent="0.25">
      <c r="A783" s="8">
        <v>41593</v>
      </c>
      <c r="B783" s="4">
        <v>59746</v>
      </c>
      <c r="C783" s="57">
        <v>79.75</v>
      </c>
      <c r="D783" s="4" t="str">
        <f t="shared" si="12"/>
        <v>EOM plus 10 days</v>
      </c>
      <c r="E783" s="4">
        <v>10</v>
      </c>
      <c r="F783" s="104"/>
    </row>
    <row r="784" spans="1:6" x14ac:dyDescent="0.25">
      <c r="A784" s="8">
        <v>41593</v>
      </c>
      <c r="B784" s="4">
        <v>59747</v>
      </c>
      <c r="C784" s="57">
        <v>211.91</v>
      </c>
      <c r="D784" s="4" t="str">
        <f t="shared" si="12"/>
        <v>EOM plus 10 days</v>
      </c>
      <c r="E784" s="4">
        <v>10</v>
      </c>
      <c r="F784" s="104"/>
    </row>
    <row r="785" spans="1:6" x14ac:dyDescent="0.25">
      <c r="A785" s="8">
        <v>41593</v>
      </c>
      <c r="B785" s="4">
        <v>59748</v>
      </c>
      <c r="C785" s="57">
        <v>235.98</v>
      </c>
      <c r="D785" s="4" t="str">
        <f t="shared" si="12"/>
        <v>EOM plus 10 days</v>
      </c>
      <c r="E785" s="4">
        <v>10</v>
      </c>
      <c r="F785" s="104"/>
    </row>
    <row r="786" spans="1:6" x14ac:dyDescent="0.25">
      <c r="A786" s="8">
        <v>41593</v>
      </c>
      <c r="B786" s="4">
        <v>59749</v>
      </c>
      <c r="C786" s="57">
        <v>38.92</v>
      </c>
      <c r="D786" s="4" t="str">
        <f t="shared" si="12"/>
        <v>EOM plus 15 days</v>
      </c>
      <c r="E786" s="4">
        <v>15</v>
      </c>
      <c r="F786" s="104"/>
    </row>
    <row r="787" spans="1:6" x14ac:dyDescent="0.25">
      <c r="A787" s="8">
        <v>41593</v>
      </c>
      <c r="B787" s="4">
        <v>59750</v>
      </c>
      <c r="C787" s="57">
        <v>237.26</v>
      </c>
      <c r="D787" s="4" t="str">
        <f t="shared" si="12"/>
        <v>EOM plus 10 days</v>
      </c>
      <c r="E787" s="4">
        <v>10</v>
      </c>
      <c r="F787" s="104"/>
    </row>
    <row r="788" spans="1:6" x14ac:dyDescent="0.25">
      <c r="A788" s="8">
        <v>41593</v>
      </c>
      <c r="B788" s="4">
        <v>59751</v>
      </c>
      <c r="C788" s="57">
        <v>335.56</v>
      </c>
      <c r="D788" s="4" t="str">
        <f t="shared" si="12"/>
        <v>EOM plus 10 days</v>
      </c>
      <c r="E788" s="4">
        <v>10</v>
      </c>
      <c r="F788" s="104"/>
    </row>
    <row r="789" spans="1:6" x14ac:dyDescent="0.25">
      <c r="A789" s="8">
        <v>41593</v>
      </c>
      <c r="B789" s="4">
        <v>59752</v>
      </c>
      <c r="C789" s="57">
        <v>328.54</v>
      </c>
      <c r="D789" s="4" t="str">
        <f t="shared" si="12"/>
        <v>EOM plus 10 days</v>
      </c>
      <c r="E789" s="4">
        <v>10</v>
      </c>
      <c r="F789" s="104"/>
    </row>
    <row r="790" spans="1:6" x14ac:dyDescent="0.25">
      <c r="A790" s="8">
        <v>41593</v>
      </c>
      <c r="B790" s="4">
        <v>59753</v>
      </c>
      <c r="C790" s="57">
        <v>247.91</v>
      </c>
      <c r="D790" s="4" t="str">
        <f t="shared" si="12"/>
        <v>EOM plus 20 days</v>
      </c>
      <c r="E790" s="4">
        <v>20</v>
      </c>
      <c r="F790" s="104"/>
    </row>
    <row r="791" spans="1:6" x14ac:dyDescent="0.25">
      <c r="A791" s="8">
        <v>41593</v>
      </c>
      <c r="B791" s="4">
        <v>59754</v>
      </c>
      <c r="C791" s="57">
        <v>222.26</v>
      </c>
      <c r="D791" s="4" t="str">
        <f t="shared" si="12"/>
        <v>EOM plus 20 days</v>
      </c>
      <c r="E791" s="4">
        <v>20</v>
      </c>
      <c r="F791" s="104"/>
    </row>
    <row r="792" spans="1:6" x14ac:dyDescent="0.25">
      <c r="A792" s="8">
        <v>41593</v>
      </c>
      <c r="B792" s="4">
        <v>59755</v>
      </c>
      <c r="C792" s="57">
        <v>214.01</v>
      </c>
      <c r="D792" s="4" t="str">
        <f t="shared" si="12"/>
        <v>EOM plus 10 days</v>
      </c>
      <c r="E792" s="4">
        <v>10</v>
      </c>
      <c r="F792" s="104"/>
    </row>
    <row r="793" spans="1:6" x14ac:dyDescent="0.25">
      <c r="A793" s="8">
        <v>41593</v>
      </c>
      <c r="B793" s="4">
        <v>59756</v>
      </c>
      <c r="C793" s="57">
        <v>98.23</v>
      </c>
      <c r="D793" s="4" t="str">
        <f t="shared" si="12"/>
        <v>EOM plus 10 days</v>
      </c>
      <c r="E793" s="4">
        <v>10</v>
      </c>
      <c r="F793" s="104"/>
    </row>
    <row r="794" spans="1:6" x14ac:dyDescent="0.25">
      <c r="A794" s="8">
        <v>41593</v>
      </c>
      <c r="B794" s="4">
        <v>59757</v>
      </c>
      <c r="C794" s="57">
        <v>143.38999999999999</v>
      </c>
      <c r="D794" s="4" t="str">
        <f t="shared" si="12"/>
        <v>EOM plus 10 days</v>
      </c>
      <c r="E794" s="4">
        <v>10</v>
      </c>
      <c r="F794" s="104"/>
    </row>
    <row r="795" spans="1:6" x14ac:dyDescent="0.25">
      <c r="A795" s="8">
        <v>41593</v>
      </c>
      <c r="B795" s="4">
        <v>59758</v>
      </c>
      <c r="C795" s="57">
        <v>327.13</v>
      </c>
      <c r="D795" s="4" t="str">
        <f t="shared" si="12"/>
        <v>EOM plus 15 days</v>
      </c>
      <c r="E795" s="4">
        <v>15</v>
      </c>
      <c r="F795" s="104"/>
    </row>
    <row r="796" spans="1:6" x14ac:dyDescent="0.25">
      <c r="A796" s="8">
        <v>41593</v>
      </c>
      <c r="B796" s="4">
        <v>59759</v>
      </c>
      <c r="C796" s="57">
        <v>364.84</v>
      </c>
      <c r="D796" s="4" t="str">
        <f t="shared" si="12"/>
        <v>EOM plus 10 days</v>
      </c>
      <c r="E796" s="4">
        <v>10</v>
      </c>
      <c r="F796" s="104"/>
    </row>
    <row r="797" spans="1:6" x14ac:dyDescent="0.25">
      <c r="A797" s="8">
        <v>41593</v>
      </c>
      <c r="B797" s="4">
        <v>59760</v>
      </c>
      <c r="C797" s="57">
        <v>195.28</v>
      </c>
      <c r="D797" s="4" t="str">
        <f t="shared" si="12"/>
        <v>EOM plus 10 days</v>
      </c>
      <c r="E797" s="4">
        <v>10</v>
      </c>
      <c r="F797" s="104"/>
    </row>
    <row r="798" spans="1:6" x14ac:dyDescent="0.25">
      <c r="A798" s="8">
        <v>41593</v>
      </c>
      <c r="B798" s="4">
        <v>59761</v>
      </c>
      <c r="C798" s="57">
        <v>35.08</v>
      </c>
      <c r="D798" s="4" t="str">
        <f t="shared" si="12"/>
        <v>EOM plus 5 days</v>
      </c>
      <c r="E798" s="4">
        <v>5</v>
      </c>
      <c r="F798" s="104"/>
    </row>
    <row r="799" spans="1:6" x14ac:dyDescent="0.25">
      <c r="A799" s="8">
        <v>41593</v>
      </c>
      <c r="B799" s="4">
        <v>59762</v>
      </c>
      <c r="C799" s="57">
        <v>88.7</v>
      </c>
      <c r="D799" s="4" t="str">
        <f t="shared" si="12"/>
        <v>EOM plus 10 days</v>
      </c>
      <c r="E799" s="4">
        <v>10</v>
      </c>
      <c r="F799" s="104"/>
    </row>
    <row r="800" spans="1:6" x14ac:dyDescent="0.25">
      <c r="A800" s="8">
        <v>41593</v>
      </c>
      <c r="B800" s="4">
        <v>59763</v>
      </c>
      <c r="C800" s="57">
        <v>98.44</v>
      </c>
      <c r="D800" s="4" t="str">
        <f t="shared" si="12"/>
        <v>EOM plus 5 days</v>
      </c>
      <c r="E800" s="4">
        <v>5</v>
      </c>
      <c r="F800" s="104"/>
    </row>
    <row r="801" spans="1:6" x14ac:dyDescent="0.25">
      <c r="A801" s="8">
        <v>41593</v>
      </c>
      <c r="B801" s="4">
        <v>59764</v>
      </c>
      <c r="C801" s="57">
        <v>344.86</v>
      </c>
      <c r="D801" s="4" t="str">
        <f t="shared" si="12"/>
        <v>EOM plus 5 days</v>
      </c>
      <c r="E801" s="4">
        <v>5</v>
      </c>
      <c r="F801" s="104"/>
    </row>
    <row r="802" spans="1:6" x14ac:dyDescent="0.25">
      <c r="A802" s="8">
        <v>41593</v>
      </c>
      <c r="B802" s="4">
        <v>59765</v>
      </c>
      <c r="C802" s="57">
        <v>38.42</v>
      </c>
      <c r="D802" s="4" t="str">
        <f t="shared" si="12"/>
        <v>EOM plus 10 days</v>
      </c>
      <c r="E802" s="4">
        <v>10</v>
      </c>
      <c r="F802" s="104"/>
    </row>
    <row r="803" spans="1:6" x14ac:dyDescent="0.25">
      <c r="A803" s="8">
        <v>41593</v>
      </c>
      <c r="B803" s="4">
        <v>59766</v>
      </c>
      <c r="C803" s="57">
        <v>183.44</v>
      </c>
      <c r="D803" s="4" t="str">
        <f t="shared" si="12"/>
        <v>EOM plus 5 days</v>
      </c>
      <c r="E803" s="4">
        <v>5</v>
      </c>
      <c r="F803" s="104"/>
    </row>
    <row r="804" spans="1:6" x14ac:dyDescent="0.25">
      <c r="A804" s="8">
        <v>41593</v>
      </c>
      <c r="B804" s="4">
        <v>59767</v>
      </c>
      <c r="C804" s="57">
        <v>227.2</v>
      </c>
      <c r="D804" s="4" t="str">
        <f t="shared" si="12"/>
        <v>EOM plus 10 days</v>
      </c>
      <c r="E804" s="4">
        <v>10</v>
      </c>
      <c r="F804" s="104"/>
    </row>
    <row r="805" spans="1:6" x14ac:dyDescent="0.25">
      <c r="A805" s="8">
        <v>41593</v>
      </c>
      <c r="B805" s="4">
        <v>59768</v>
      </c>
      <c r="C805" s="57">
        <v>365.95</v>
      </c>
      <c r="D805" s="4" t="str">
        <f t="shared" si="12"/>
        <v>EOM plus 10 days</v>
      </c>
      <c r="E805" s="4">
        <v>10</v>
      </c>
      <c r="F805" s="104"/>
    </row>
    <row r="806" spans="1:6" x14ac:dyDescent="0.25">
      <c r="A806" s="8">
        <v>41593</v>
      </c>
      <c r="B806" s="4">
        <v>59769</v>
      </c>
      <c r="C806" s="57">
        <v>129.94999999999999</v>
      </c>
      <c r="D806" s="4" t="str">
        <f t="shared" si="12"/>
        <v>EOM plus 10 days</v>
      </c>
      <c r="E806" s="4">
        <v>10</v>
      </c>
      <c r="F806" s="104"/>
    </row>
  </sheetData>
  <sortState ref="A2:E803">
    <sortCondition ref="A4"/>
  </sortState>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N806"/>
  <sheetViews>
    <sheetView zoomScale="115" zoomScaleNormal="115" workbookViewId="0">
      <selection activeCell="K5" sqref="K5"/>
    </sheetView>
  </sheetViews>
  <sheetFormatPr defaultRowHeight="15" x14ac:dyDescent="0.25"/>
  <cols>
    <col min="1" max="1" width="17.7109375" customWidth="1"/>
    <col min="2" max="2" width="13" customWidth="1"/>
    <col min="3" max="3" width="9.85546875" bestFit="1" customWidth="1"/>
    <col min="4" max="4" width="17.42578125" bestFit="1" customWidth="1"/>
    <col min="5" max="5" width="16.42578125" customWidth="1"/>
    <col min="6" max="6" width="12.28515625" customWidth="1"/>
    <col min="7" max="7" width="1.85546875" customWidth="1"/>
    <col min="9" max="9" width="1.85546875" customWidth="1"/>
    <col min="10" max="10" width="11.85546875" bestFit="1" customWidth="1"/>
    <col min="11" max="11" width="11.140625" customWidth="1"/>
  </cols>
  <sheetData>
    <row r="1" spans="1:14" x14ac:dyDescent="0.25">
      <c r="A1" s="195" t="s">
        <v>1420</v>
      </c>
      <c r="B1" s="34"/>
      <c r="C1" s="34"/>
      <c r="D1" s="34"/>
      <c r="E1" s="34"/>
      <c r="F1" s="34"/>
      <c r="G1" s="34"/>
      <c r="H1" s="34"/>
      <c r="I1" s="34"/>
      <c r="J1" s="34"/>
      <c r="K1" s="34"/>
      <c r="L1" s="34"/>
      <c r="M1" s="34"/>
      <c r="N1" s="35"/>
    </row>
    <row r="2" spans="1:14" x14ac:dyDescent="0.25">
      <c r="A2" s="40" t="s">
        <v>1421</v>
      </c>
      <c r="B2" s="41"/>
      <c r="C2" s="41"/>
      <c r="D2" s="41"/>
      <c r="E2" s="41"/>
      <c r="F2" s="41"/>
      <c r="G2" s="41"/>
      <c r="H2" s="41"/>
      <c r="I2" s="41"/>
      <c r="J2" s="41"/>
      <c r="K2" s="41"/>
      <c r="L2" s="41"/>
      <c r="M2" s="41"/>
      <c r="N2" s="42"/>
    </row>
    <row r="4" spans="1:14" ht="26.25" x14ac:dyDescent="0.25">
      <c r="A4" s="11" t="s">
        <v>42</v>
      </c>
      <c r="B4" s="11" t="s">
        <v>1414</v>
      </c>
      <c r="C4" s="11" t="s">
        <v>1415</v>
      </c>
      <c r="D4" s="11" t="s">
        <v>1416</v>
      </c>
      <c r="E4" s="11" t="s">
        <v>1418</v>
      </c>
      <c r="F4" s="11" t="s">
        <v>1419</v>
      </c>
      <c r="J4" s="11" t="s">
        <v>1419</v>
      </c>
      <c r="L4" t="s">
        <v>1422</v>
      </c>
    </row>
    <row r="5" spans="1:14" x14ac:dyDescent="0.25">
      <c r="A5" s="8">
        <v>41550</v>
      </c>
      <c r="B5" s="4">
        <v>58968</v>
      </c>
      <c r="C5" s="57">
        <v>320.98</v>
      </c>
      <c r="D5" s="4" t="str">
        <f t="shared" ref="D5:D68" si="0">"EOM plus "&amp;E5&amp;" days"</f>
        <v>EOM plus 10 days</v>
      </c>
      <c r="E5" s="4">
        <v>10</v>
      </c>
      <c r="F5" s="104">
        <f>EOMONTH(A5,0)+E5</f>
        <v>41588</v>
      </c>
      <c r="J5" s="104">
        <f>DATE(YEAR(A5),MONTH(A5)+1,E5)</f>
        <v>41588</v>
      </c>
      <c r="L5" t="b">
        <f>J5=F5</f>
        <v>1</v>
      </c>
    </row>
    <row r="6" spans="1:14" x14ac:dyDescent="0.25">
      <c r="A6" s="8">
        <v>41550</v>
      </c>
      <c r="B6" s="4">
        <v>58969</v>
      </c>
      <c r="C6" s="57">
        <v>92.25</v>
      </c>
      <c r="D6" s="4" t="str">
        <f t="shared" si="0"/>
        <v>EOM plus 5 days</v>
      </c>
      <c r="E6" s="4">
        <v>5</v>
      </c>
      <c r="F6" s="104">
        <f t="shared" ref="F6:F69" si="1">EOMONTH(A6,0)+E6</f>
        <v>41583</v>
      </c>
      <c r="H6" t="s">
        <v>829</v>
      </c>
      <c r="J6" s="104">
        <f t="shared" ref="J6:J69" si="2">DATE(YEAR(A6),MONTH(A6)+1,E6)</f>
        <v>41583</v>
      </c>
      <c r="L6" t="b">
        <f t="shared" ref="L6:L69" si="3">J6=F6</f>
        <v>1</v>
      </c>
    </row>
    <row r="7" spans="1:14" x14ac:dyDescent="0.25">
      <c r="A7" s="8">
        <v>41550</v>
      </c>
      <c r="B7" s="4">
        <v>58970</v>
      </c>
      <c r="C7" s="57">
        <v>47.54</v>
      </c>
      <c r="D7" s="4" t="str">
        <f t="shared" si="0"/>
        <v>EOM plus 15 days</v>
      </c>
      <c r="E7" s="4">
        <v>15</v>
      </c>
      <c r="F7" s="104">
        <f t="shared" si="1"/>
        <v>41593</v>
      </c>
      <c r="J7" s="104">
        <f t="shared" si="2"/>
        <v>41593</v>
      </c>
      <c r="L7" t="b">
        <f t="shared" si="3"/>
        <v>1</v>
      </c>
    </row>
    <row r="8" spans="1:14" x14ac:dyDescent="0.25">
      <c r="A8" s="8">
        <v>41550</v>
      </c>
      <c r="B8" s="4">
        <v>58971</v>
      </c>
      <c r="C8" s="57">
        <v>385.71</v>
      </c>
      <c r="D8" s="4" t="str">
        <f t="shared" si="0"/>
        <v>EOM plus 20 days</v>
      </c>
      <c r="E8" s="4">
        <v>20</v>
      </c>
      <c r="F8" s="104">
        <f t="shared" si="1"/>
        <v>41598</v>
      </c>
      <c r="J8" s="104">
        <f t="shared" si="2"/>
        <v>41598</v>
      </c>
      <c r="L8" t="b">
        <f t="shared" si="3"/>
        <v>1</v>
      </c>
    </row>
    <row r="9" spans="1:14" x14ac:dyDescent="0.25">
      <c r="A9" s="8">
        <v>41550</v>
      </c>
      <c r="B9" s="4">
        <v>58972</v>
      </c>
      <c r="C9" s="57">
        <v>216.01</v>
      </c>
      <c r="D9" s="4" t="str">
        <f t="shared" si="0"/>
        <v>EOM plus 20 days</v>
      </c>
      <c r="E9" s="4">
        <v>20</v>
      </c>
      <c r="F9" s="104">
        <f t="shared" si="1"/>
        <v>41598</v>
      </c>
      <c r="J9" s="104">
        <f t="shared" si="2"/>
        <v>41598</v>
      </c>
      <c r="L9" t="b">
        <f t="shared" si="3"/>
        <v>1</v>
      </c>
    </row>
    <row r="10" spans="1:14" x14ac:dyDescent="0.25">
      <c r="A10" s="8">
        <v>41550</v>
      </c>
      <c r="B10" s="4">
        <v>58973</v>
      </c>
      <c r="C10" s="57">
        <v>236.64</v>
      </c>
      <c r="D10" s="4" t="str">
        <f t="shared" si="0"/>
        <v>EOM plus 5 days</v>
      </c>
      <c r="E10" s="4">
        <v>5</v>
      </c>
      <c r="F10" s="104">
        <f t="shared" si="1"/>
        <v>41583</v>
      </c>
      <c r="J10" s="104">
        <f t="shared" si="2"/>
        <v>41583</v>
      </c>
      <c r="L10" t="b">
        <f t="shared" si="3"/>
        <v>1</v>
      </c>
    </row>
    <row r="11" spans="1:14" x14ac:dyDescent="0.25">
      <c r="A11" s="8">
        <v>41550</v>
      </c>
      <c r="B11" s="4">
        <v>58974</v>
      </c>
      <c r="C11" s="57">
        <v>107.74</v>
      </c>
      <c r="D11" s="4" t="str">
        <f t="shared" si="0"/>
        <v>EOM plus 5 days</v>
      </c>
      <c r="E11" s="4">
        <v>5</v>
      </c>
      <c r="F11" s="104">
        <f t="shared" si="1"/>
        <v>41583</v>
      </c>
      <c r="J11" s="104">
        <f t="shared" si="2"/>
        <v>41583</v>
      </c>
      <c r="L11" t="b">
        <f t="shared" si="3"/>
        <v>1</v>
      </c>
    </row>
    <row r="12" spans="1:14" x14ac:dyDescent="0.25">
      <c r="A12" s="8">
        <v>41550</v>
      </c>
      <c r="B12" s="4">
        <v>58975</v>
      </c>
      <c r="C12" s="57">
        <v>258.29000000000002</v>
      </c>
      <c r="D12" s="4" t="str">
        <f t="shared" si="0"/>
        <v>EOM plus 5 days</v>
      </c>
      <c r="E12" s="4">
        <v>5</v>
      </c>
      <c r="F12" s="104">
        <f t="shared" si="1"/>
        <v>41583</v>
      </c>
      <c r="J12" s="104">
        <f t="shared" si="2"/>
        <v>41583</v>
      </c>
      <c r="L12" t="b">
        <f t="shared" si="3"/>
        <v>1</v>
      </c>
    </row>
    <row r="13" spans="1:14" x14ac:dyDescent="0.25">
      <c r="A13" s="8">
        <v>41550</v>
      </c>
      <c r="B13" s="4">
        <v>58976</v>
      </c>
      <c r="C13" s="57">
        <v>87.58</v>
      </c>
      <c r="D13" s="4" t="str">
        <f t="shared" si="0"/>
        <v>EOM plus 10 days</v>
      </c>
      <c r="E13" s="4">
        <v>10</v>
      </c>
      <c r="F13" s="104">
        <f t="shared" si="1"/>
        <v>41588</v>
      </c>
      <c r="J13" s="104">
        <f t="shared" si="2"/>
        <v>41588</v>
      </c>
      <c r="L13" t="b">
        <f t="shared" si="3"/>
        <v>1</v>
      </c>
    </row>
    <row r="14" spans="1:14" x14ac:dyDescent="0.25">
      <c r="A14" s="8">
        <v>41550</v>
      </c>
      <c r="B14" s="4">
        <v>58977</v>
      </c>
      <c r="C14" s="57">
        <v>122.03</v>
      </c>
      <c r="D14" s="4" t="str">
        <f t="shared" si="0"/>
        <v>EOM plus 20 days</v>
      </c>
      <c r="E14" s="4">
        <v>20</v>
      </c>
      <c r="F14" s="104">
        <f t="shared" si="1"/>
        <v>41598</v>
      </c>
      <c r="J14" s="104">
        <f t="shared" si="2"/>
        <v>41598</v>
      </c>
      <c r="L14" t="b">
        <f t="shared" si="3"/>
        <v>1</v>
      </c>
    </row>
    <row r="15" spans="1:14" x14ac:dyDescent="0.25">
      <c r="A15" s="8">
        <v>41550</v>
      </c>
      <c r="B15" s="4">
        <v>58978</v>
      </c>
      <c r="C15" s="57">
        <v>88.41</v>
      </c>
      <c r="D15" s="4" t="str">
        <f t="shared" si="0"/>
        <v>EOM plus 10 days</v>
      </c>
      <c r="E15" s="4">
        <v>10</v>
      </c>
      <c r="F15" s="104">
        <f t="shared" si="1"/>
        <v>41588</v>
      </c>
      <c r="J15" s="104">
        <f t="shared" si="2"/>
        <v>41588</v>
      </c>
      <c r="L15" t="b">
        <f t="shared" si="3"/>
        <v>1</v>
      </c>
    </row>
    <row r="16" spans="1:14" x14ac:dyDescent="0.25">
      <c r="A16" s="8">
        <v>41551</v>
      </c>
      <c r="B16" s="4">
        <v>58979</v>
      </c>
      <c r="C16" s="57">
        <v>286.39999999999998</v>
      </c>
      <c r="D16" s="4" t="str">
        <f t="shared" si="0"/>
        <v>EOM plus 10 days</v>
      </c>
      <c r="E16" s="4">
        <v>10</v>
      </c>
      <c r="F16" s="104">
        <f t="shared" si="1"/>
        <v>41588</v>
      </c>
      <c r="J16" s="104">
        <f t="shared" si="2"/>
        <v>41588</v>
      </c>
      <c r="L16" t="b">
        <f t="shared" si="3"/>
        <v>1</v>
      </c>
    </row>
    <row r="17" spans="1:12" x14ac:dyDescent="0.25">
      <c r="A17" s="8">
        <v>41551</v>
      </c>
      <c r="B17" s="4">
        <v>58980</v>
      </c>
      <c r="C17" s="57">
        <v>277.08999999999997</v>
      </c>
      <c r="D17" s="4" t="str">
        <f t="shared" si="0"/>
        <v>EOM plus 5 days</v>
      </c>
      <c r="E17" s="4">
        <v>5</v>
      </c>
      <c r="F17" s="104">
        <f t="shared" si="1"/>
        <v>41583</v>
      </c>
      <c r="J17" s="104">
        <f t="shared" si="2"/>
        <v>41583</v>
      </c>
      <c r="L17" t="b">
        <f t="shared" si="3"/>
        <v>1</v>
      </c>
    </row>
    <row r="18" spans="1:12" x14ac:dyDescent="0.25">
      <c r="A18" s="8">
        <v>41551</v>
      </c>
      <c r="B18" s="4">
        <v>58981</v>
      </c>
      <c r="C18" s="57">
        <v>212.03</v>
      </c>
      <c r="D18" s="4" t="str">
        <f t="shared" si="0"/>
        <v>EOM plus 10 days</v>
      </c>
      <c r="E18" s="4">
        <v>10</v>
      </c>
      <c r="F18" s="104">
        <f t="shared" si="1"/>
        <v>41588</v>
      </c>
      <c r="J18" s="104">
        <f t="shared" si="2"/>
        <v>41588</v>
      </c>
      <c r="L18" t="b">
        <f t="shared" si="3"/>
        <v>1</v>
      </c>
    </row>
    <row r="19" spans="1:12" x14ac:dyDescent="0.25">
      <c r="A19" s="8">
        <v>41551</v>
      </c>
      <c r="B19" s="4">
        <v>58982</v>
      </c>
      <c r="C19" s="57">
        <v>130.04</v>
      </c>
      <c r="D19" s="4" t="str">
        <f t="shared" si="0"/>
        <v>EOM plus 15 days</v>
      </c>
      <c r="E19" s="4">
        <v>15</v>
      </c>
      <c r="F19" s="104">
        <f t="shared" si="1"/>
        <v>41593</v>
      </c>
      <c r="J19" s="104">
        <f t="shared" si="2"/>
        <v>41593</v>
      </c>
      <c r="L19" t="b">
        <f t="shared" si="3"/>
        <v>1</v>
      </c>
    </row>
    <row r="20" spans="1:12" x14ac:dyDescent="0.25">
      <c r="A20" s="8">
        <v>41551</v>
      </c>
      <c r="B20" s="4">
        <v>58983</v>
      </c>
      <c r="C20" s="57">
        <v>272.83</v>
      </c>
      <c r="D20" s="4" t="str">
        <f t="shared" si="0"/>
        <v>EOM plus 15 days</v>
      </c>
      <c r="E20" s="4">
        <v>15</v>
      </c>
      <c r="F20" s="104">
        <f t="shared" si="1"/>
        <v>41593</v>
      </c>
      <c r="J20" s="104">
        <f t="shared" si="2"/>
        <v>41593</v>
      </c>
      <c r="L20" t="b">
        <f t="shared" si="3"/>
        <v>1</v>
      </c>
    </row>
    <row r="21" spans="1:12" x14ac:dyDescent="0.25">
      <c r="A21" s="8">
        <v>41551</v>
      </c>
      <c r="B21" s="4">
        <v>58984</v>
      </c>
      <c r="C21" s="57">
        <v>68.44</v>
      </c>
      <c r="D21" s="4" t="str">
        <f t="shared" si="0"/>
        <v>EOM plus 10 days</v>
      </c>
      <c r="E21" s="4">
        <v>10</v>
      </c>
      <c r="F21" s="104">
        <f t="shared" si="1"/>
        <v>41588</v>
      </c>
      <c r="J21" s="104">
        <f t="shared" si="2"/>
        <v>41588</v>
      </c>
      <c r="L21" t="b">
        <f t="shared" si="3"/>
        <v>1</v>
      </c>
    </row>
    <row r="22" spans="1:12" x14ac:dyDescent="0.25">
      <c r="A22" s="8">
        <v>41551</v>
      </c>
      <c r="B22" s="4">
        <v>58985</v>
      </c>
      <c r="C22" s="57">
        <v>63.62</v>
      </c>
      <c r="D22" s="4" t="str">
        <f t="shared" si="0"/>
        <v>EOM plus 5 days</v>
      </c>
      <c r="E22" s="4">
        <v>5</v>
      </c>
      <c r="F22" s="104">
        <f t="shared" si="1"/>
        <v>41583</v>
      </c>
      <c r="J22" s="104">
        <f t="shared" si="2"/>
        <v>41583</v>
      </c>
      <c r="L22" t="b">
        <f t="shared" si="3"/>
        <v>1</v>
      </c>
    </row>
    <row r="23" spans="1:12" x14ac:dyDescent="0.25">
      <c r="A23" s="8">
        <v>41551</v>
      </c>
      <c r="B23" s="4">
        <v>58986</v>
      </c>
      <c r="C23" s="57">
        <v>245.92</v>
      </c>
      <c r="D23" s="4" t="str">
        <f t="shared" si="0"/>
        <v>EOM plus 5 days</v>
      </c>
      <c r="E23" s="4">
        <v>5</v>
      </c>
      <c r="F23" s="104">
        <f t="shared" si="1"/>
        <v>41583</v>
      </c>
      <c r="J23" s="104">
        <f t="shared" si="2"/>
        <v>41583</v>
      </c>
      <c r="L23" t="b">
        <f t="shared" si="3"/>
        <v>1</v>
      </c>
    </row>
    <row r="24" spans="1:12" x14ac:dyDescent="0.25">
      <c r="A24" s="8">
        <v>41551</v>
      </c>
      <c r="B24" s="4">
        <v>58987</v>
      </c>
      <c r="C24" s="57">
        <v>285.31</v>
      </c>
      <c r="D24" s="4" t="str">
        <f t="shared" si="0"/>
        <v>EOM plus 5 days</v>
      </c>
      <c r="E24" s="4">
        <v>5</v>
      </c>
      <c r="F24" s="104">
        <f t="shared" si="1"/>
        <v>41583</v>
      </c>
      <c r="J24" s="104">
        <f t="shared" si="2"/>
        <v>41583</v>
      </c>
      <c r="L24" t="b">
        <f t="shared" si="3"/>
        <v>1</v>
      </c>
    </row>
    <row r="25" spans="1:12" x14ac:dyDescent="0.25">
      <c r="A25" s="8">
        <v>41551</v>
      </c>
      <c r="B25" s="4">
        <v>58988</v>
      </c>
      <c r="C25" s="57">
        <v>256.69</v>
      </c>
      <c r="D25" s="4" t="str">
        <f t="shared" si="0"/>
        <v>EOM plus 10 days</v>
      </c>
      <c r="E25" s="4">
        <v>10</v>
      </c>
      <c r="F25" s="104">
        <f t="shared" si="1"/>
        <v>41588</v>
      </c>
      <c r="J25" s="104">
        <f t="shared" si="2"/>
        <v>41588</v>
      </c>
      <c r="L25" t="b">
        <f t="shared" si="3"/>
        <v>1</v>
      </c>
    </row>
    <row r="26" spans="1:12" x14ac:dyDescent="0.25">
      <c r="A26" s="8">
        <v>41551</v>
      </c>
      <c r="B26" s="4">
        <v>58989</v>
      </c>
      <c r="C26" s="57">
        <v>329.98</v>
      </c>
      <c r="D26" s="4" t="str">
        <f t="shared" si="0"/>
        <v>EOM plus 5 days</v>
      </c>
      <c r="E26" s="4">
        <v>5</v>
      </c>
      <c r="F26" s="104">
        <f t="shared" si="1"/>
        <v>41583</v>
      </c>
      <c r="J26" s="104">
        <f t="shared" si="2"/>
        <v>41583</v>
      </c>
      <c r="L26" t="b">
        <f t="shared" si="3"/>
        <v>1</v>
      </c>
    </row>
    <row r="27" spans="1:12" x14ac:dyDescent="0.25">
      <c r="A27" s="8">
        <v>41551</v>
      </c>
      <c r="B27" s="4">
        <v>58990</v>
      </c>
      <c r="C27" s="57">
        <v>293.24</v>
      </c>
      <c r="D27" s="4" t="str">
        <f t="shared" si="0"/>
        <v>EOM plus 10 days</v>
      </c>
      <c r="E27" s="4">
        <v>10</v>
      </c>
      <c r="F27" s="104">
        <f t="shared" si="1"/>
        <v>41588</v>
      </c>
      <c r="J27" s="104">
        <f t="shared" si="2"/>
        <v>41588</v>
      </c>
      <c r="L27" t="b">
        <f t="shared" si="3"/>
        <v>1</v>
      </c>
    </row>
    <row r="28" spans="1:12" x14ac:dyDescent="0.25">
      <c r="A28" s="8">
        <v>41552</v>
      </c>
      <c r="B28" s="4">
        <v>58991</v>
      </c>
      <c r="C28" s="57">
        <v>269.52</v>
      </c>
      <c r="D28" s="4" t="str">
        <f t="shared" si="0"/>
        <v>EOM plus 10 days</v>
      </c>
      <c r="E28" s="4">
        <v>10</v>
      </c>
      <c r="F28" s="104">
        <f t="shared" si="1"/>
        <v>41588</v>
      </c>
      <c r="J28" s="104">
        <f t="shared" si="2"/>
        <v>41588</v>
      </c>
      <c r="L28" t="b">
        <f t="shared" si="3"/>
        <v>1</v>
      </c>
    </row>
    <row r="29" spans="1:12" x14ac:dyDescent="0.25">
      <c r="A29" s="8">
        <v>41552</v>
      </c>
      <c r="B29" s="4">
        <v>58992</v>
      </c>
      <c r="C29" s="57">
        <v>46.21</v>
      </c>
      <c r="D29" s="4" t="str">
        <f t="shared" si="0"/>
        <v>EOM plus 10 days</v>
      </c>
      <c r="E29" s="4">
        <v>10</v>
      </c>
      <c r="F29" s="104">
        <f t="shared" si="1"/>
        <v>41588</v>
      </c>
      <c r="J29" s="104">
        <f t="shared" si="2"/>
        <v>41588</v>
      </c>
      <c r="L29" t="b">
        <f t="shared" si="3"/>
        <v>1</v>
      </c>
    </row>
    <row r="30" spans="1:12" x14ac:dyDescent="0.25">
      <c r="A30" s="8">
        <v>41552</v>
      </c>
      <c r="B30" s="4">
        <v>58993</v>
      </c>
      <c r="C30" s="57">
        <v>193.27</v>
      </c>
      <c r="D30" s="4" t="str">
        <f t="shared" si="0"/>
        <v>EOM plus 10 days</v>
      </c>
      <c r="E30" s="4">
        <v>10</v>
      </c>
      <c r="F30" s="104">
        <f t="shared" si="1"/>
        <v>41588</v>
      </c>
      <c r="J30" s="104">
        <f t="shared" si="2"/>
        <v>41588</v>
      </c>
      <c r="L30" t="b">
        <f t="shared" si="3"/>
        <v>1</v>
      </c>
    </row>
    <row r="31" spans="1:12" x14ac:dyDescent="0.25">
      <c r="A31" s="8">
        <v>41552</v>
      </c>
      <c r="B31" s="4">
        <v>58994</v>
      </c>
      <c r="C31" s="57">
        <v>323.79000000000002</v>
      </c>
      <c r="D31" s="4" t="str">
        <f t="shared" si="0"/>
        <v>EOM plus 10 days</v>
      </c>
      <c r="E31" s="4">
        <v>10</v>
      </c>
      <c r="F31" s="104">
        <f t="shared" si="1"/>
        <v>41588</v>
      </c>
      <c r="J31" s="104">
        <f t="shared" si="2"/>
        <v>41588</v>
      </c>
      <c r="L31" t="b">
        <f t="shared" si="3"/>
        <v>1</v>
      </c>
    </row>
    <row r="32" spans="1:12" x14ac:dyDescent="0.25">
      <c r="A32" s="8">
        <v>41552</v>
      </c>
      <c r="B32" s="4">
        <v>58995</v>
      </c>
      <c r="C32" s="57">
        <v>130.78</v>
      </c>
      <c r="D32" s="4" t="str">
        <f t="shared" si="0"/>
        <v>EOM plus 10 days</v>
      </c>
      <c r="E32" s="4">
        <v>10</v>
      </c>
      <c r="F32" s="104">
        <f t="shared" si="1"/>
        <v>41588</v>
      </c>
      <c r="J32" s="104">
        <f t="shared" si="2"/>
        <v>41588</v>
      </c>
      <c r="L32" t="b">
        <f t="shared" si="3"/>
        <v>1</v>
      </c>
    </row>
    <row r="33" spans="1:12" x14ac:dyDescent="0.25">
      <c r="A33" s="8">
        <v>41552</v>
      </c>
      <c r="B33" s="4">
        <v>58996</v>
      </c>
      <c r="C33" s="57">
        <v>222.56</v>
      </c>
      <c r="D33" s="4" t="str">
        <f t="shared" si="0"/>
        <v>EOM plus 10 days</v>
      </c>
      <c r="E33" s="4">
        <v>10</v>
      </c>
      <c r="F33" s="104">
        <f t="shared" si="1"/>
        <v>41588</v>
      </c>
      <c r="J33" s="104">
        <f t="shared" si="2"/>
        <v>41588</v>
      </c>
      <c r="L33" t="b">
        <f t="shared" si="3"/>
        <v>1</v>
      </c>
    </row>
    <row r="34" spans="1:12" x14ac:dyDescent="0.25">
      <c r="A34" s="8">
        <v>41552</v>
      </c>
      <c r="B34" s="4">
        <v>58997</v>
      </c>
      <c r="C34" s="57">
        <v>263.54000000000002</v>
      </c>
      <c r="D34" s="4" t="str">
        <f t="shared" si="0"/>
        <v>EOM plus 5 days</v>
      </c>
      <c r="E34" s="4">
        <v>5</v>
      </c>
      <c r="F34" s="104">
        <f t="shared" si="1"/>
        <v>41583</v>
      </c>
      <c r="J34" s="104">
        <f t="shared" si="2"/>
        <v>41583</v>
      </c>
      <c r="L34" t="b">
        <f t="shared" si="3"/>
        <v>1</v>
      </c>
    </row>
    <row r="35" spans="1:12" x14ac:dyDescent="0.25">
      <c r="A35" s="8">
        <v>41552</v>
      </c>
      <c r="B35" s="4">
        <v>58998</v>
      </c>
      <c r="C35" s="57">
        <v>209.94</v>
      </c>
      <c r="D35" s="4" t="str">
        <f t="shared" si="0"/>
        <v>EOM plus 5 days</v>
      </c>
      <c r="E35" s="4">
        <v>5</v>
      </c>
      <c r="F35" s="104">
        <f t="shared" si="1"/>
        <v>41583</v>
      </c>
      <c r="J35" s="104">
        <f t="shared" si="2"/>
        <v>41583</v>
      </c>
      <c r="L35" t="b">
        <f t="shared" si="3"/>
        <v>1</v>
      </c>
    </row>
    <row r="36" spans="1:12" x14ac:dyDescent="0.25">
      <c r="A36" s="8">
        <v>41552</v>
      </c>
      <c r="B36" s="4">
        <v>58999</v>
      </c>
      <c r="C36" s="57">
        <v>105.09</v>
      </c>
      <c r="D36" s="4" t="str">
        <f t="shared" si="0"/>
        <v>EOM plus 5 days</v>
      </c>
      <c r="E36" s="4">
        <v>5</v>
      </c>
      <c r="F36" s="104">
        <f t="shared" si="1"/>
        <v>41583</v>
      </c>
      <c r="J36" s="104">
        <f t="shared" si="2"/>
        <v>41583</v>
      </c>
      <c r="L36" t="b">
        <f t="shared" si="3"/>
        <v>1</v>
      </c>
    </row>
    <row r="37" spans="1:12" x14ac:dyDescent="0.25">
      <c r="A37" s="8">
        <v>41552</v>
      </c>
      <c r="B37" s="4">
        <v>59000</v>
      </c>
      <c r="C37" s="57">
        <v>173.68</v>
      </c>
      <c r="D37" s="4" t="str">
        <f t="shared" si="0"/>
        <v>EOM plus 15 days</v>
      </c>
      <c r="E37" s="4">
        <v>15</v>
      </c>
      <c r="F37" s="104">
        <f t="shared" si="1"/>
        <v>41593</v>
      </c>
      <c r="J37" s="104">
        <f t="shared" si="2"/>
        <v>41593</v>
      </c>
      <c r="L37" t="b">
        <f t="shared" si="3"/>
        <v>1</v>
      </c>
    </row>
    <row r="38" spans="1:12" x14ac:dyDescent="0.25">
      <c r="A38" s="8">
        <v>41552</v>
      </c>
      <c r="B38" s="4">
        <v>59001</v>
      </c>
      <c r="C38" s="57">
        <v>307.77</v>
      </c>
      <c r="D38" s="4" t="str">
        <f t="shared" si="0"/>
        <v>EOM plus 10 days</v>
      </c>
      <c r="E38" s="4">
        <v>10</v>
      </c>
      <c r="F38" s="104">
        <f t="shared" si="1"/>
        <v>41588</v>
      </c>
      <c r="J38" s="104">
        <f t="shared" si="2"/>
        <v>41588</v>
      </c>
      <c r="L38" t="b">
        <f t="shared" si="3"/>
        <v>1</v>
      </c>
    </row>
    <row r="39" spans="1:12" x14ac:dyDescent="0.25">
      <c r="A39" s="8">
        <v>41552</v>
      </c>
      <c r="B39" s="4">
        <v>59002</v>
      </c>
      <c r="C39" s="57">
        <v>149.06</v>
      </c>
      <c r="D39" s="4" t="str">
        <f t="shared" si="0"/>
        <v>EOM plus 5 days</v>
      </c>
      <c r="E39" s="4">
        <v>5</v>
      </c>
      <c r="F39" s="104">
        <f t="shared" si="1"/>
        <v>41583</v>
      </c>
      <c r="J39" s="104">
        <f t="shared" si="2"/>
        <v>41583</v>
      </c>
      <c r="L39" t="b">
        <f t="shared" si="3"/>
        <v>1</v>
      </c>
    </row>
    <row r="40" spans="1:12" x14ac:dyDescent="0.25">
      <c r="A40" s="8">
        <v>41553</v>
      </c>
      <c r="B40" s="4">
        <v>59003</v>
      </c>
      <c r="C40" s="57">
        <v>248.51</v>
      </c>
      <c r="D40" s="4" t="str">
        <f t="shared" si="0"/>
        <v>EOM plus 20 days</v>
      </c>
      <c r="E40" s="4">
        <v>20</v>
      </c>
      <c r="F40" s="104">
        <f t="shared" si="1"/>
        <v>41598</v>
      </c>
      <c r="J40" s="104">
        <f t="shared" si="2"/>
        <v>41598</v>
      </c>
      <c r="L40" t="b">
        <f t="shared" si="3"/>
        <v>1</v>
      </c>
    </row>
    <row r="41" spans="1:12" x14ac:dyDescent="0.25">
      <c r="A41" s="8">
        <v>41553</v>
      </c>
      <c r="B41" s="4">
        <v>59004</v>
      </c>
      <c r="C41" s="57">
        <v>231.73</v>
      </c>
      <c r="D41" s="4" t="str">
        <f t="shared" si="0"/>
        <v>EOM plus 5 days</v>
      </c>
      <c r="E41" s="4">
        <v>5</v>
      </c>
      <c r="F41" s="104">
        <f t="shared" si="1"/>
        <v>41583</v>
      </c>
      <c r="J41" s="104">
        <f t="shared" si="2"/>
        <v>41583</v>
      </c>
      <c r="L41" t="b">
        <f t="shared" si="3"/>
        <v>1</v>
      </c>
    </row>
    <row r="42" spans="1:12" x14ac:dyDescent="0.25">
      <c r="A42" s="8">
        <v>41553</v>
      </c>
      <c r="B42" s="4">
        <v>59005</v>
      </c>
      <c r="C42" s="57">
        <v>324.43</v>
      </c>
      <c r="D42" s="4" t="str">
        <f t="shared" si="0"/>
        <v>EOM plus 10 days</v>
      </c>
      <c r="E42" s="4">
        <v>10</v>
      </c>
      <c r="F42" s="104">
        <f t="shared" si="1"/>
        <v>41588</v>
      </c>
      <c r="J42" s="104">
        <f t="shared" si="2"/>
        <v>41588</v>
      </c>
      <c r="L42" t="b">
        <f t="shared" si="3"/>
        <v>1</v>
      </c>
    </row>
    <row r="43" spans="1:12" x14ac:dyDescent="0.25">
      <c r="A43" s="8">
        <v>41553</v>
      </c>
      <c r="B43" s="4">
        <v>59006</v>
      </c>
      <c r="C43" s="57">
        <v>249.58</v>
      </c>
      <c r="D43" s="4" t="str">
        <f t="shared" si="0"/>
        <v>EOM plus 5 days</v>
      </c>
      <c r="E43" s="4">
        <v>5</v>
      </c>
      <c r="F43" s="104">
        <f t="shared" si="1"/>
        <v>41583</v>
      </c>
      <c r="J43" s="104">
        <f t="shared" si="2"/>
        <v>41583</v>
      </c>
      <c r="L43" t="b">
        <f t="shared" si="3"/>
        <v>1</v>
      </c>
    </row>
    <row r="44" spans="1:12" x14ac:dyDescent="0.25">
      <c r="A44" s="8">
        <v>41553</v>
      </c>
      <c r="B44" s="4">
        <v>59007</v>
      </c>
      <c r="C44" s="57">
        <v>161.94</v>
      </c>
      <c r="D44" s="4" t="str">
        <f t="shared" si="0"/>
        <v>EOM plus 10 days</v>
      </c>
      <c r="E44" s="4">
        <v>10</v>
      </c>
      <c r="F44" s="104">
        <f t="shared" si="1"/>
        <v>41588</v>
      </c>
      <c r="J44" s="104">
        <f t="shared" si="2"/>
        <v>41588</v>
      </c>
      <c r="L44" t="b">
        <f t="shared" si="3"/>
        <v>1</v>
      </c>
    </row>
    <row r="45" spans="1:12" x14ac:dyDescent="0.25">
      <c r="A45" s="8">
        <v>41553</v>
      </c>
      <c r="B45" s="4">
        <v>59008</v>
      </c>
      <c r="C45" s="57">
        <v>247.87</v>
      </c>
      <c r="D45" s="4" t="str">
        <f t="shared" si="0"/>
        <v>EOM plus 10 days</v>
      </c>
      <c r="E45" s="4">
        <v>10</v>
      </c>
      <c r="F45" s="104">
        <f t="shared" si="1"/>
        <v>41588</v>
      </c>
      <c r="J45" s="104">
        <f t="shared" si="2"/>
        <v>41588</v>
      </c>
      <c r="L45" t="b">
        <f t="shared" si="3"/>
        <v>1</v>
      </c>
    </row>
    <row r="46" spans="1:12" x14ac:dyDescent="0.25">
      <c r="A46" s="8">
        <v>41553</v>
      </c>
      <c r="B46" s="4">
        <v>59009</v>
      </c>
      <c r="C46" s="57">
        <v>248.86</v>
      </c>
      <c r="D46" s="4" t="str">
        <f t="shared" si="0"/>
        <v>EOM plus 15 days</v>
      </c>
      <c r="E46" s="4">
        <v>15</v>
      </c>
      <c r="F46" s="104">
        <f t="shared" si="1"/>
        <v>41593</v>
      </c>
      <c r="J46" s="104">
        <f t="shared" si="2"/>
        <v>41593</v>
      </c>
      <c r="L46" t="b">
        <f t="shared" si="3"/>
        <v>1</v>
      </c>
    </row>
    <row r="47" spans="1:12" x14ac:dyDescent="0.25">
      <c r="A47" s="8">
        <v>41553</v>
      </c>
      <c r="B47" s="4">
        <v>59010</v>
      </c>
      <c r="C47" s="57">
        <v>235.98</v>
      </c>
      <c r="D47" s="4" t="str">
        <f t="shared" si="0"/>
        <v>EOM plus 10 days</v>
      </c>
      <c r="E47" s="4">
        <v>10</v>
      </c>
      <c r="F47" s="104">
        <f t="shared" si="1"/>
        <v>41588</v>
      </c>
      <c r="J47" s="104">
        <f t="shared" si="2"/>
        <v>41588</v>
      </c>
      <c r="L47" t="b">
        <f t="shared" si="3"/>
        <v>1</v>
      </c>
    </row>
    <row r="48" spans="1:12" x14ac:dyDescent="0.25">
      <c r="A48" s="8">
        <v>41553</v>
      </c>
      <c r="B48" s="4">
        <v>59011</v>
      </c>
      <c r="C48" s="57">
        <v>224.49</v>
      </c>
      <c r="D48" s="4" t="str">
        <f t="shared" si="0"/>
        <v>EOM plus 10 days</v>
      </c>
      <c r="E48" s="4">
        <v>10</v>
      </c>
      <c r="F48" s="104">
        <f t="shared" si="1"/>
        <v>41588</v>
      </c>
      <c r="J48" s="104">
        <f t="shared" si="2"/>
        <v>41588</v>
      </c>
      <c r="L48" t="b">
        <f t="shared" si="3"/>
        <v>1</v>
      </c>
    </row>
    <row r="49" spans="1:12" x14ac:dyDescent="0.25">
      <c r="A49" s="8">
        <v>41553</v>
      </c>
      <c r="B49" s="4">
        <v>59012</v>
      </c>
      <c r="C49" s="57">
        <v>256.42</v>
      </c>
      <c r="D49" s="4" t="str">
        <f t="shared" si="0"/>
        <v>EOM plus 15 days</v>
      </c>
      <c r="E49" s="4">
        <v>15</v>
      </c>
      <c r="F49" s="104">
        <f t="shared" si="1"/>
        <v>41593</v>
      </c>
      <c r="J49" s="104">
        <f t="shared" si="2"/>
        <v>41593</v>
      </c>
      <c r="L49" t="b">
        <f t="shared" si="3"/>
        <v>1</v>
      </c>
    </row>
    <row r="50" spans="1:12" x14ac:dyDescent="0.25">
      <c r="A50" s="8">
        <v>41553</v>
      </c>
      <c r="B50" s="4">
        <v>59013</v>
      </c>
      <c r="C50" s="57">
        <v>233.01</v>
      </c>
      <c r="D50" s="4" t="str">
        <f t="shared" si="0"/>
        <v>EOM plus 20 days</v>
      </c>
      <c r="E50" s="4">
        <v>20</v>
      </c>
      <c r="F50" s="104">
        <f t="shared" si="1"/>
        <v>41598</v>
      </c>
      <c r="J50" s="104">
        <f t="shared" si="2"/>
        <v>41598</v>
      </c>
      <c r="L50" t="b">
        <f t="shared" si="3"/>
        <v>1</v>
      </c>
    </row>
    <row r="51" spans="1:12" x14ac:dyDescent="0.25">
      <c r="A51" s="8">
        <v>41553</v>
      </c>
      <c r="B51" s="4">
        <v>59014</v>
      </c>
      <c r="C51" s="57">
        <v>379.98</v>
      </c>
      <c r="D51" s="4" t="str">
        <f t="shared" si="0"/>
        <v>EOM plus 15 days</v>
      </c>
      <c r="E51" s="4">
        <v>15</v>
      </c>
      <c r="F51" s="104">
        <f t="shared" si="1"/>
        <v>41593</v>
      </c>
      <c r="J51" s="104">
        <f t="shared" si="2"/>
        <v>41593</v>
      </c>
      <c r="L51" t="b">
        <f t="shared" si="3"/>
        <v>1</v>
      </c>
    </row>
    <row r="52" spans="1:12" x14ac:dyDescent="0.25">
      <c r="A52" s="8">
        <v>41553</v>
      </c>
      <c r="B52" s="4">
        <v>59015</v>
      </c>
      <c r="C52" s="57">
        <v>219.3</v>
      </c>
      <c r="D52" s="4" t="str">
        <f t="shared" si="0"/>
        <v>EOM plus 20 days</v>
      </c>
      <c r="E52" s="4">
        <v>20</v>
      </c>
      <c r="F52" s="104">
        <f t="shared" si="1"/>
        <v>41598</v>
      </c>
      <c r="J52" s="104">
        <f t="shared" si="2"/>
        <v>41598</v>
      </c>
      <c r="L52" t="b">
        <f t="shared" si="3"/>
        <v>1</v>
      </c>
    </row>
    <row r="53" spans="1:12" x14ac:dyDescent="0.25">
      <c r="A53" s="8">
        <v>41553</v>
      </c>
      <c r="B53" s="4">
        <v>59016</v>
      </c>
      <c r="C53" s="57">
        <v>371.22</v>
      </c>
      <c r="D53" s="4" t="str">
        <f t="shared" si="0"/>
        <v>EOM plus 20 days</v>
      </c>
      <c r="E53" s="4">
        <v>20</v>
      </c>
      <c r="F53" s="104">
        <f t="shared" si="1"/>
        <v>41598</v>
      </c>
      <c r="J53" s="104">
        <f t="shared" si="2"/>
        <v>41598</v>
      </c>
      <c r="L53" t="b">
        <f t="shared" si="3"/>
        <v>1</v>
      </c>
    </row>
    <row r="54" spans="1:12" x14ac:dyDescent="0.25">
      <c r="A54" s="8">
        <v>41553</v>
      </c>
      <c r="B54" s="4">
        <v>59017</v>
      </c>
      <c r="C54" s="57">
        <v>385.88</v>
      </c>
      <c r="D54" s="4" t="str">
        <f t="shared" si="0"/>
        <v>EOM plus 5 days</v>
      </c>
      <c r="E54" s="4">
        <v>5</v>
      </c>
      <c r="F54" s="104">
        <f t="shared" si="1"/>
        <v>41583</v>
      </c>
      <c r="J54" s="104">
        <f t="shared" si="2"/>
        <v>41583</v>
      </c>
      <c r="L54" t="b">
        <f t="shared" si="3"/>
        <v>1</v>
      </c>
    </row>
    <row r="55" spans="1:12" x14ac:dyDescent="0.25">
      <c r="A55" s="8">
        <v>41553</v>
      </c>
      <c r="B55" s="4">
        <v>59018</v>
      </c>
      <c r="C55" s="57">
        <v>155.65</v>
      </c>
      <c r="D55" s="4" t="str">
        <f t="shared" si="0"/>
        <v>EOM plus 5 days</v>
      </c>
      <c r="E55" s="4">
        <v>5</v>
      </c>
      <c r="F55" s="104">
        <f t="shared" si="1"/>
        <v>41583</v>
      </c>
      <c r="J55" s="104">
        <f t="shared" si="2"/>
        <v>41583</v>
      </c>
      <c r="L55" t="b">
        <f t="shared" si="3"/>
        <v>1</v>
      </c>
    </row>
    <row r="56" spans="1:12" x14ac:dyDescent="0.25">
      <c r="A56" s="8">
        <v>41554</v>
      </c>
      <c r="B56" s="4">
        <v>59019</v>
      </c>
      <c r="C56" s="57">
        <v>325.83</v>
      </c>
      <c r="D56" s="4" t="str">
        <f t="shared" si="0"/>
        <v>EOM plus 5 days</v>
      </c>
      <c r="E56" s="4">
        <v>5</v>
      </c>
      <c r="F56" s="104">
        <f t="shared" si="1"/>
        <v>41583</v>
      </c>
      <c r="J56" s="104">
        <f t="shared" si="2"/>
        <v>41583</v>
      </c>
      <c r="L56" t="b">
        <f t="shared" si="3"/>
        <v>1</v>
      </c>
    </row>
    <row r="57" spans="1:12" x14ac:dyDescent="0.25">
      <c r="A57" s="8">
        <v>41554</v>
      </c>
      <c r="B57" s="4">
        <v>59020</v>
      </c>
      <c r="C57" s="57">
        <v>101.09</v>
      </c>
      <c r="D57" s="4" t="str">
        <f t="shared" si="0"/>
        <v>EOM plus 5 days</v>
      </c>
      <c r="E57" s="4">
        <v>5</v>
      </c>
      <c r="F57" s="104">
        <f t="shared" si="1"/>
        <v>41583</v>
      </c>
      <c r="J57" s="104">
        <f t="shared" si="2"/>
        <v>41583</v>
      </c>
      <c r="L57" t="b">
        <f t="shared" si="3"/>
        <v>1</v>
      </c>
    </row>
    <row r="58" spans="1:12" x14ac:dyDescent="0.25">
      <c r="A58" s="8">
        <v>41554</v>
      </c>
      <c r="B58" s="4">
        <v>59021</v>
      </c>
      <c r="C58" s="57">
        <v>259.24</v>
      </c>
      <c r="D58" s="4" t="str">
        <f t="shared" si="0"/>
        <v>EOM plus 5 days</v>
      </c>
      <c r="E58" s="4">
        <v>5</v>
      </c>
      <c r="F58" s="104">
        <f t="shared" si="1"/>
        <v>41583</v>
      </c>
      <c r="J58" s="104">
        <f t="shared" si="2"/>
        <v>41583</v>
      </c>
      <c r="L58" t="b">
        <f t="shared" si="3"/>
        <v>1</v>
      </c>
    </row>
    <row r="59" spans="1:12" x14ac:dyDescent="0.25">
      <c r="A59" s="8">
        <v>41554</v>
      </c>
      <c r="B59" s="4">
        <v>59022</v>
      </c>
      <c r="C59" s="57">
        <v>188.54</v>
      </c>
      <c r="D59" s="4" t="str">
        <f t="shared" si="0"/>
        <v>EOM plus 5 days</v>
      </c>
      <c r="E59" s="4">
        <v>5</v>
      </c>
      <c r="F59" s="104">
        <f t="shared" si="1"/>
        <v>41583</v>
      </c>
      <c r="J59" s="104">
        <f t="shared" si="2"/>
        <v>41583</v>
      </c>
      <c r="L59" t="b">
        <f t="shared" si="3"/>
        <v>1</v>
      </c>
    </row>
    <row r="60" spans="1:12" x14ac:dyDescent="0.25">
      <c r="A60" s="8">
        <v>41554</v>
      </c>
      <c r="B60" s="4">
        <v>59023</v>
      </c>
      <c r="C60" s="57">
        <v>56.87</v>
      </c>
      <c r="D60" s="4" t="str">
        <f t="shared" si="0"/>
        <v>EOM plus 20 days</v>
      </c>
      <c r="E60" s="4">
        <v>20</v>
      </c>
      <c r="F60" s="104">
        <f t="shared" si="1"/>
        <v>41598</v>
      </c>
      <c r="J60" s="104">
        <f t="shared" si="2"/>
        <v>41598</v>
      </c>
      <c r="L60" t="b">
        <f t="shared" si="3"/>
        <v>1</v>
      </c>
    </row>
    <row r="61" spans="1:12" x14ac:dyDescent="0.25">
      <c r="A61" s="8">
        <v>41554</v>
      </c>
      <c r="B61" s="4">
        <v>59024</v>
      </c>
      <c r="C61" s="57">
        <v>241.46</v>
      </c>
      <c r="D61" s="4" t="str">
        <f t="shared" si="0"/>
        <v>EOM plus 10 days</v>
      </c>
      <c r="E61" s="4">
        <v>10</v>
      </c>
      <c r="F61" s="104">
        <f t="shared" si="1"/>
        <v>41588</v>
      </c>
      <c r="J61" s="104">
        <f t="shared" si="2"/>
        <v>41588</v>
      </c>
      <c r="L61" t="b">
        <f t="shared" si="3"/>
        <v>1</v>
      </c>
    </row>
    <row r="62" spans="1:12" x14ac:dyDescent="0.25">
      <c r="A62" s="8">
        <v>41554</v>
      </c>
      <c r="B62" s="4">
        <v>59025</v>
      </c>
      <c r="C62" s="57">
        <v>99.87</v>
      </c>
      <c r="D62" s="4" t="str">
        <f t="shared" si="0"/>
        <v>EOM plus 20 days</v>
      </c>
      <c r="E62" s="4">
        <v>20</v>
      </c>
      <c r="F62" s="104">
        <f t="shared" si="1"/>
        <v>41598</v>
      </c>
      <c r="J62" s="104">
        <f t="shared" si="2"/>
        <v>41598</v>
      </c>
      <c r="L62" t="b">
        <f t="shared" si="3"/>
        <v>1</v>
      </c>
    </row>
    <row r="63" spans="1:12" x14ac:dyDescent="0.25">
      <c r="A63" s="8">
        <v>41554</v>
      </c>
      <c r="B63" s="4">
        <v>59026</v>
      </c>
      <c r="C63" s="57">
        <v>52.75</v>
      </c>
      <c r="D63" s="4" t="str">
        <f t="shared" si="0"/>
        <v>EOM plus 5 days</v>
      </c>
      <c r="E63" s="4">
        <v>5</v>
      </c>
      <c r="F63" s="104">
        <f t="shared" si="1"/>
        <v>41583</v>
      </c>
      <c r="J63" s="104">
        <f t="shared" si="2"/>
        <v>41583</v>
      </c>
      <c r="L63" t="b">
        <f t="shared" si="3"/>
        <v>1</v>
      </c>
    </row>
    <row r="64" spans="1:12" x14ac:dyDescent="0.25">
      <c r="A64" s="8">
        <v>41554</v>
      </c>
      <c r="B64" s="4">
        <v>59027</v>
      </c>
      <c r="C64" s="57">
        <v>67.819999999999993</v>
      </c>
      <c r="D64" s="4" t="str">
        <f t="shared" si="0"/>
        <v>EOM plus 10 days</v>
      </c>
      <c r="E64" s="4">
        <v>10</v>
      </c>
      <c r="F64" s="104">
        <f t="shared" si="1"/>
        <v>41588</v>
      </c>
      <c r="J64" s="104">
        <f t="shared" si="2"/>
        <v>41588</v>
      </c>
      <c r="L64" t="b">
        <f t="shared" si="3"/>
        <v>1</v>
      </c>
    </row>
    <row r="65" spans="1:12" x14ac:dyDescent="0.25">
      <c r="A65" s="8">
        <v>41554</v>
      </c>
      <c r="B65" s="4">
        <v>59028</v>
      </c>
      <c r="C65" s="57">
        <v>114.91</v>
      </c>
      <c r="D65" s="4" t="str">
        <f t="shared" si="0"/>
        <v>EOM plus 5 days</v>
      </c>
      <c r="E65" s="4">
        <v>5</v>
      </c>
      <c r="F65" s="104">
        <f t="shared" si="1"/>
        <v>41583</v>
      </c>
      <c r="J65" s="104">
        <f t="shared" si="2"/>
        <v>41583</v>
      </c>
      <c r="L65" t="b">
        <f t="shared" si="3"/>
        <v>1</v>
      </c>
    </row>
    <row r="66" spans="1:12" x14ac:dyDescent="0.25">
      <c r="A66" s="8">
        <v>41554</v>
      </c>
      <c r="B66" s="4">
        <v>59029</v>
      </c>
      <c r="C66" s="57">
        <v>189.99</v>
      </c>
      <c r="D66" s="4" t="str">
        <f t="shared" si="0"/>
        <v>EOM plus 20 days</v>
      </c>
      <c r="E66" s="4">
        <v>20</v>
      </c>
      <c r="F66" s="104">
        <f t="shared" si="1"/>
        <v>41598</v>
      </c>
      <c r="J66" s="104">
        <f t="shared" si="2"/>
        <v>41598</v>
      </c>
      <c r="L66" t="b">
        <f t="shared" si="3"/>
        <v>1</v>
      </c>
    </row>
    <row r="67" spans="1:12" x14ac:dyDescent="0.25">
      <c r="A67" s="8">
        <v>41554</v>
      </c>
      <c r="B67" s="4">
        <v>59030</v>
      </c>
      <c r="C67" s="57">
        <v>280.49</v>
      </c>
      <c r="D67" s="4" t="str">
        <f t="shared" si="0"/>
        <v>EOM plus 10 days</v>
      </c>
      <c r="E67" s="4">
        <v>10</v>
      </c>
      <c r="F67" s="104">
        <f t="shared" si="1"/>
        <v>41588</v>
      </c>
      <c r="J67" s="104">
        <f t="shared" si="2"/>
        <v>41588</v>
      </c>
      <c r="L67" t="b">
        <f t="shared" si="3"/>
        <v>1</v>
      </c>
    </row>
    <row r="68" spans="1:12" x14ac:dyDescent="0.25">
      <c r="A68" s="8">
        <v>41554</v>
      </c>
      <c r="B68" s="4">
        <v>59031</v>
      </c>
      <c r="C68" s="57">
        <v>137.1</v>
      </c>
      <c r="D68" s="4" t="str">
        <f t="shared" si="0"/>
        <v>EOM plus 10 days</v>
      </c>
      <c r="E68" s="4">
        <v>10</v>
      </c>
      <c r="F68" s="104">
        <f t="shared" si="1"/>
        <v>41588</v>
      </c>
      <c r="J68" s="104">
        <f t="shared" si="2"/>
        <v>41588</v>
      </c>
      <c r="L68" t="b">
        <f t="shared" si="3"/>
        <v>1</v>
      </c>
    </row>
    <row r="69" spans="1:12" x14ac:dyDescent="0.25">
      <c r="A69" s="8">
        <v>41554</v>
      </c>
      <c r="B69" s="4">
        <v>59032</v>
      </c>
      <c r="C69" s="57">
        <v>182.84</v>
      </c>
      <c r="D69" s="4" t="str">
        <f t="shared" ref="D69:D132" si="4">"EOM plus "&amp;E69&amp;" days"</f>
        <v>EOM plus 15 days</v>
      </c>
      <c r="E69" s="4">
        <v>15</v>
      </c>
      <c r="F69" s="104">
        <f t="shared" si="1"/>
        <v>41593</v>
      </c>
      <c r="J69" s="104">
        <f t="shared" si="2"/>
        <v>41593</v>
      </c>
      <c r="L69" t="b">
        <f t="shared" si="3"/>
        <v>1</v>
      </c>
    </row>
    <row r="70" spans="1:12" x14ac:dyDescent="0.25">
      <c r="A70" s="8">
        <v>41554</v>
      </c>
      <c r="B70" s="4">
        <v>59033</v>
      </c>
      <c r="C70" s="57">
        <v>327.64999999999998</v>
      </c>
      <c r="D70" s="4" t="str">
        <f t="shared" si="4"/>
        <v>EOM plus 10 days</v>
      </c>
      <c r="E70" s="4">
        <v>10</v>
      </c>
      <c r="F70" s="104">
        <f t="shared" ref="F70:F133" si="5">EOMONTH(A70,0)+E70</f>
        <v>41588</v>
      </c>
      <c r="J70" s="104">
        <f t="shared" ref="J70:J133" si="6">DATE(YEAR(A70),MONTH(A70)+1,E70)</f>
        <v>41588</v>
      </c>
      <c r="L70" t="b">
        <f t="shared" ref="L70:L133" si="7">J70=F70</f>
        <v>1</v>
      </c>
    </row>
    <row r="71" spans="1:12" x14ac:dyDescent="0.25">
      <c r="A71" s="8">
        <v>41554</v>
      </c>
      <c r="B71" s="4">
        <v>59034</v>
      </c>
      <c r="C71" s="57">
        <v>269.27</v>
      </c>
      <c r="D71" s="4" t="str">
        <f t="shared" si="4"/>
        <v>EOM plus 5 days</v>
      </c>
      <c r="E71" s="4">
        <v>5</v>
      </c>
      <c r="F71" s="104">
        <f t="shared" si="5"/>
        <v>41583</v>
      </c>
      <c r="J71" s="104">
        <f t="shared" si="6"/>
        <v>41583</v>
      </c>
      <c r="L71" t="b">
        <f t="shared" si="7"/>
        <v>1</v>
      </c>
    </row>
    <row r="72" spans="1:12" x14ac:dyDescent="0.25">
      <c r="A72" s="8">
        <v>41554</v>
      </c>
      <c r="B72" s="4">
        <v>59035</v>
      </c>
      <c r="C72" s="57">
        <v>92.39</v>
      </c>
      <c r="D72" s="4" t="str">
        <f t="shared" si="4"/>
        <v>EOM plus 20 days</v>
      </c>
      <c r="E72" s="4">
        <v>20</v>
      </c>
      <c r="F72" s="104">
        <f t="shared" si="5"/>
        <v>41598</v>
      </c>
      <c r="J72" s="104">
        <f t="shared" si="6"/>
        <v>41598</v>
      </c>
      <c r="L72" t="b">
        <f t="shared" si="7"/>
        <v>1</v>
      </c>
    </row>
    <row r="73" spans="1:12" x14ac:dyDescent="0.25">
      <c r="A73" s="8">
        <v>41554</v>
      </c>
      <c r="B73" s="4">
        <v>59036</v>
      </c>
      <c r="C73" s="57">
        <v>97.21</v>
      </c>
      <c r="D73" s="4" t="str">
        <f t="shared" si="4"/>
        <v>EOM plus 5 days</v>
      </c>
      <c r="E73" s="4">
        <v>5</v>
      </c>
      <c r="F73" s="104">
        <f t="shared" si="5"/>
        <v>41583</v>
      </c>
      <c r="J73" s="104">
        <f t="shared" si="6"/>
        <v>41583</v>
      </c>
      <c r="L73" t="b">
        <f t="shared" si="7"/>
        <v>1</v>
      </c>
    </row>
    <row r="74" spans="1:12" x14ac:dyDescent="0.25">
      <c r="A74" s="8">
        <v>41555</v>
      </c>
      <c r="B74" s="4">
        <v>59037</v>
      </c>
      <c r="C74" s="57">
        <v>97.59</v>
      </c>
      <c r="D74" s="4" t="str">
        <f t="shared" si="4"/>
        <v>EOM plus 10 days</v>
      </c>
      <c r="E74" s="4">
        <v>10</v>
      </c>
      <c r="F74" s="104">
        <f t="shared" si="5"/>
        <v>41588</v>
      </c>
      <c r="J74" s="104">
        <f t="shared" si="6"/>
        <v>41588</v>
      </c>
      <c r="L74" t="b">
        <f t="shared" si="7"/>
        <v>1</v>
      </c>
    </row>
    <row r="75" spans="1:12" x14ac:dyDescent="0.25">
      <c r="A75" s="8">
        <v>41555</v>
      </c>
      <c r="B75" s="4">
        <v>59038</v>
      </c>
      <c r="C75" s="57">
        <v>353.5</v>
      </c>
      <c r="D75" s="4" t="str">
        <f t="shared" si="4"/>
        <v>EOM plus 15 days</v>
      </c>
      <c r="E75" s="4">
        <v>15</v>
      </c>
      <c r="F75" s="104">
        <f t="shared" si="5"/>
        <v>41593</v>
      </c>
      <c r="J75" s="104">
        <f t="shared" si="6"/>
        <v>41593</v>
      </c>
      <c r="L75" t="b">
        <f t="shared" si="7"/>
        <v>1</v>
      </c>
    </row>
    <row r="76" spans="1:12" x14ac:dyDescent="0.25">
      <c r="A76" s="8">
        <v>41555</v>
      </c>
      <c r="B76" s="4">
        <v>59039</v>
      </c>
      <c r="C76" s="57">
        <v>130.79</v>
      </c>
      <c r="D76" s="4" t="str">
        <f t="shared" si="4"/>
        <v>EOM plus 10 days</v>
      </c>
      <c r="E76" s="4">
        <v>10</v>
      </c>
      <c r="F76" s="104">
        <f t="shared" si="5"/>
        <v>41588</v>
      </c>
      <c r="J76" s="104">
        <f t="shared" si="6"/>
        <v>41588</v>
      </c>
      <c r="L76" t="b">
        <f t="shared" si="7"/>
        <v>1</v>
      </c>
    </row>
    <row r="77" spans="1:12" x14ac:dyDescent="0.25">
      <c r="A77" s="8">
        <v>41555</v>
      </c>
      <c r="B77" s="4">
        <v>59040</v>
      </c>
      <c r="C77" s="57">
        <v>379.46</v>
      </c>
      <c r="D77" s="4" t="str">
        <f t="shared" si="4"/>
        <v>EOM plus 15 days</v>
      </c>
      <c r="E77" s="4">
        <v>15</v>
      </c>
      <c r="F77" s="104">
        <f t="shared" si="5"/>
        <v>41593</v>
      </c>
      <c r="J77" s="104">
        <f t="shared" si="6"/>
        <v>41593</v>
      </c>
      <c r="L77" t="b">
        <f t="shared" si="7"/>
        <v>1</v>
      </c>
    </row>
    <row r="78" spans="1:12" x14ac:dyDescent="0.25">
      <c r="A78" s="8">
        <v>41555</v>
      </c>
      <c r="B78" s="4">
        <v>59041</v>
      </c>
      <c r="C78" s="57">
        <v>143.1</v>
      </c>
      <c r="D78" s="4" t="str">
        <f t="shared" si="4"/>
        <v>EOM plus 5 days</v>
      </c>
      <c r="E78" s="4">
        <v>5</v>
      </c>
      <c r="F78" s="104">
        <f t="shared" si="5"/>
        <v>41583</v>
      </c>
      <c r="J78" s="104">
        <f t="shared" si="6"/>
        <v>41583</v>
      </c>
      <c r="L78" t="b">
        <f t="shared" si="7"/>
        <v>1</v>
      </c>
    </row>
    <row r="79" spans="1:12" x14ac:dyDescent="0.25">
      <c r="A79" s="8">
        <v>41555</v>
      </c>
      <c r="B79" s="4">
        <v>59042</v>
      </c>
      <c r="C79" s="57">
        <v>163.51</v>
      </c>
      <c r="D79" s="4" t="str">
        <f t="shared" si="4"/>
        <v>EOM plus 10 days</v>
      </c>
      <c r="E79" s="4">
        <v>10</v>
      </c>
      <c r="F79" s="104">
        <f t="shared" si="5"/>
        <v>41588</v>
      </c>
      <c r="J79" s="104">
        <f t="shared" si="6"/>
        <v>41588</v>
      </c>
      <c r="L79" t="b">
        <f t="shared" si="7"/>
        <v>1</v>
      </c>
    </row>
    <row r="80" spans="1:12" x14ac:dyDescent="0.25">
      <c r="A80" s="8">
        <v>41555</v>
      </c>
      <c r="B80" s="4">
        <v>59043</v>
      </c>
      <c r="C80" s="57">
        <v>131.96</v>
      </c>
      <c r="D80" s="4" t="str">
        <f t="shared" si="4"/>
        <v>EOM plus 5 days</v>
      </c>
      <c r="E80" s="4">
        <v>5</v>
      </c>
      <c r="F80" s="104">
        <f t="shared" si="5"/>
        <v>41583</v>
      </c>
      <c r="J80" s="104">
        <f t="shared" si="6"/>
        <v>41583</v>
      </c>
      <c r="L80" t="b">
        <f t="shared" si="7"/>
        <v>1</v>
      </c>
    </row>
    <row r="81" spans="1:12" x14ac:dyDescent="0.25">
      <c r="A81" s="8">
        <v>41555</v>
      </c>
      <c r="B81" s="4">
        <v>59044</v>
      </c>
      <c r="C81" s="57">
        <v>365.99</v>
      </c>
      <c r="D81" s="4" t="str">
        <f t="shared" si="4"/>
        <v>EOM plus 15 days</v>
      </c>
      <c r="E81" s="4">
        <v>15</v>
      </c>
      <c r="F81" s="104">
        <f t="shared" si="5"/>
        <v>41593</v>
      </c>
      <c r="J81" s="104">
        <f t="shared" si="6"/>
        <v>41593</v>
      </c>
      <c r="L81" t="b">
        <f t="shared" si="7"/>
        <v>1</v>
      </c>
    </row>
    <row r="82" spans="1:12" x14ac:dyDescent="0.25">
      <c r="A82" s="8">
        <v>41555</v>
      </c>
      <c r="B82" s="4">
        <v>59045</v>
      </c>
      <c r="C82" s="57">
        <v>311.20999999999998</v>
      </c>
      <c r="D82" s="4" t="str">
        <f t="shared" si="4"/>
        <v>EOM plus 10 days</v>
      </c>
      <c r="E82" s="4">
        <v>10</v>
      </c>
      <c r="F82" s="104">
        <f t="shared" si="5"/>
        <v>41588</v>
      </c>
      <c r="J82" s="104">
        <f t="shared" si="6"/>
        <v>41588</v>
      </c>
      <c r="L82" t="b">
        <f t="shared" si="7"/>
        <v>1</v>
      </c>
    </row>
    <row r="83" spans="1:12" x14ac:dyDescent="0.25">
      <c r="A83" s="8">
        <v>41555</v>
      </c>
      <c r="B83" s="4">
        <v>59046</v>
      </c>
      <c r="C83" s="57">
        <v>163.16999999999999</v>
      </c>
      <c r="D83" s="4" t="str">
        <f t="shared" si="4"/>
        <v>EOM plus 10 days</v>
      </c>
      <c r="E83" s="4">
        <v>10</v>
      </c>
      <c r="F83" s="104">
        <f t="shared" si="5"/>
        <v>41588</v>
      </c>
      <c r="J83" s="104">
        <f t="shared" si="6"/>
        <v>41588</v>
      </c>
      <c r="L83" t="b">
        <f t="shared" si="7"/>
        <v>1</v>
      </c>
    </row>
    <row r="84" spans="1:12" x14ac:dyDescent="0.25">
      <c r="A84" s="8">
        <v>41555</v>
      </c>
      <c r="B84" s="4">
        <v>59047</v>
      </c>
      <c r="C84" s="57">
        <v>68.66</v>
      </c>
      <c r="D84" s="4" t="str">
        <f t="shared" si="4"/>
        <v>EOM plus 10 days</v>
      </c>
      <c r="E84" s="4">
        <v>10</v>
      </c>
      <c r="F84" s="104">
        <f t="shared" si="5"/>
        <v>41588</v>
      </c>
      <c r="J84" s="104">
        <f t="shared" si="6"/>
        <v>41588</v>
      </c>
      <c r="L84" t="b">
        <f t="shared" si="7"/>
        <v>1</v>
      </c>
    </row>
    <row r="85" spans="1:12" x14ac:dyDescent="0.25">
      <c r="A85" s="8">
        <v>41555</v>
      </c>
      <c r="B85" s="4">
        <v>59048</v>
      </c>
      <c r="C85" s="57">
        <v>72.08</v>
      </c>
      <c r="D85" s="4" t="str">
        <f t="shared" si="4"/>
        <v>EOM plus 15 days</v>
      </c>
      <c r="E85" s="4">
        <v>15</v>
      </c>
      <c r="F85" s="104">
        <f t="shared" si="5"/>
        <v>41593</v>
      </c>
      <c r="J85" s="104">
        <f t="shared" si="6"/>
        <v>41593</v>
      </c>
      <c r="L85" t="b">
        <f t="shared" si="7"/>
        <v>1</v>
      </c>
    </row>
    <row r="86" spans="1:12" x14ac:dyDescent="0.25">
      <c r="A86" s="8">
        <v>41555</v>
      </c>
      <c r="B86" s="4">
        <v>59049</v>
      </c>
      <c r="C86" s="57">
        <v>363.6</v>
      </c>
      <c r="D86" s="4" t="str">
        <f t="shared" si="4"/>
        <v>EOM plus 15 days</v>
      </c>
      <c r="E86" s="4">
        <v>15</v>
      </c>
      <c r="F86" s="104">
        <f t="shared" si="5"/>
        <v>41593</v>
      </c>
      <c r="J86" s="104">
        <f t="shared" si="6"/>
        <v>41593</v>
      </c>
      <c r="L86" t="b">
        <f t="shared" si="7"/>
        <v>1</v>
      </c>
    </row>
    <row r="87" spans="1:12" x14ac:dyDescent="0.25">
      <c r="A87" s="8">
        <v>41555</v>
      </c>
      <c r="B87" s="4">
        <v>59050</v>
      </c>
      <c r="C87" s="57">
        <v>291.38</v>
      </c>
      <c r="D87" s="4" t="str">
        <f t="shared" si="4"/>
        <v>EOM plus 5 days</v>
      </c>
      <c r="E87" s="4">
        <v>5</v>
      </c>
      <c r="F87" s="104">
        <f t="shared" si="5"/>
        <v>41583</v>
      </c>
      <c r="J87" s="104">
        <f t="shared" si="6"/>
        <v>41583</v>
      </c>
      <c r="L87" t="b">
        <f t="shared" si="7"/>
        <v>1</v>
      </c>
    </row>
    <row r="88" spans="1:12" x14ac:dyDescent="0.25">
      <c r="A88" s="8">
        <v>41555</v>
      </c>
      <c r="B88" s="4">
        <v>59051</v>
      </c>
      <c r="C88" s="57">
        <v>317.54000000000002</v>
      </c>
      <c r="D88" s="4" t="str">
        <f t="shared" si="4"/>
        <v>EOM plus 10 days</v>
      </c>
      <c r="E88" s="4">
        <v>10</v>
      </c>
      <c r="F88" s="104">
        <f t="shared" si="5"/>
        <v>41588</v>
      </c>
      <c r="J88" s="104">
        <f t="shared" si="6"/>
        <v>41588</v>
      </c>
      <c r="L88" t="b">
        <f t="shared" si="7"/>
        <v>1</v>
      </c>
    </row>
    <row r="89" spans="1:12" x14ac:dyDescent="0.25">
      <c r="A89" s="8">
        <v>41555</v>
      </c>
      <c r="B89" s="4">
        <v>59052</v>
      </c>
      <c r="C89" s="57">
        <v>381.83</v>
      </c>
      <c r="D89" s="4" t="str">
        <f t="shared" si="4"/>
        <v>EOM plus 5 days</v>
      </c>
      <c r="E89" s="4">
        <v>5</v>
      </c>
      <c r="F89" s="104">
        <f t="shared" si="5"/>
        <v>41583</v>
      </c>
      <c r="J89" s="104">
        <f t="shared" si="6"/>
        <v>41583</v>
      </c>
      <c r="L89" t="b">
        <f t="shared" si="7"/>
        <v>1</v>
      </c>
    </row>
    <row r="90" spans="1:12" x14ac:dyDescent="0.25">
      <c r="A90" s="8">
        <v>41555</v>
      </c>
      <c r="B90" s="4">
        <v>59053</v>
      </c>
      <c r="C90" s="57">
        <v>199.1</v>
      </c>
      <c r="D90" s="4" t="str">
        <f t="shared" si="4"/>
        <v>EOM plus 15 days</v>
      </c>
      <c r="E90" s="4">
        <v>15</v>
      </c>
      <c r="F90" s="104">
        <f t="shared" si="5"/>
        <v>41593</v>
      </c>
      <c r="J90" s="104">
        <f t="shared" si="6"/>
        <v>41593</v>
      </c>
      <c r="L90" t="b">
        <f t="shared" si="7"/>
        <v>1</v>
      </c>
    </row>
    <row r="91" spans="1:12" x14ac:dyDescent="0.25">
      <c r="A91" s="8">
        <v>41555</v>
      </c>
      <c r="B91" s="4">
        <v>59054</v>
      </c>
      <c r="C91" s="57">
        <v>194.58</v>
      </c>
      <c r="D91" s="4" t="str">
        <f t="shared" si="4"/>
        <v>EOM plus 10 days</v>
      </c>
      <c r="E91" s="4">
        <v>10</v>
      </c>
      <c r="F91" s="104">
        <f t="shared" si="5"/>
        <v>41588</v>
      </c>
      <c r="J91" s="104">
        <f t="shared" si="6"/>
        <v>41588</v>
      </c>
      <c r="L91" t="b">
        <f t="shared" si="7"/>
        <v>1</v>
      </c>
    </row>
    <row r="92" spans="1:12" x14ac:dyDescent="0.25">
      <c r="A92" s="8">
        <v>41555</v>
      </c>
      <c r="B92" s="4">
        <v>59055</v>
      </c>
      <c r="C92" s="57">
        <v>84.63</v>
      </c>
      <c r="D92" s="4" t="str">
        <f t="shared" si="4"/>
        <v>EOM plus 20 days</v>
      </c>
      <c r="E92" s="4">
        <v>20</v>
      </c>
      <c r="F92" s="104">
        <f t="shared" si="5"/>
        <v>41598</v>
      </c>
      <c r="J92" s="104">
        <f t="shared" si="6"/>
        <v>41598</v>
      </c>
      <c r="L92" t="b">
        <f t="shared" si="7"/>
        <v>1</v>
      </c>
    </row>
    <row r="93" spans="1:12" x14ac:dyDescent="0.25">
      <c r="A93" s="8">
        <v>41555</v>
      </c>
      <c r="B93" s="4">
        <v>59056</v>
      </c>
      <c r="C93" s="57">
        <v>174.5</v>
      </c>
      <c r="D93" s="4" t="str">
        <f t="shared" si="4"/>
        <v>EOM plus 5 days</v>
      </c>
      <c r="E93" s="4">
        <v>5</v>
      </c>
      <c r="F93" s="104">
        <f t="shared" si="5"/>
        <v>41583</v>
      </c>
      <c r="J93" s="104">
        <f t="shared" si="6"/>
        <v>41583</v>
      </c>
      <c r="L93" t="b">
        <f t="shared" si="7"/>
        <v>1</v>
      </c>
    </row>
    <row r="94" spans="1:12" x14ac:dyDescent="0.25">
      <c r="A94" s="8">
        <v>41556</v>
      </c>
      <c r="B94" s="4">
        <v>59057</v>
      </c>
      <c r="C94" s="57">
        <v>70.510000000000005</v>
      </c>
      <c r="D94" s="4" t="str">
        <f t="shared" si="4"/>
        <v>EOM plus 5 days</v>
      </c>
      <c r="E94" s="4">
        <v>5</v>
      </c>
      <c r="F94" s="104">
        <f t="shared" si="5"/>
        <v>41583</v>
      </c>
      <c r="J94" s="104">
        <f t="shared" si="6"/>
        <v>41583</v>
      </c>
      <c r="L94" t="b">
        <f t="shared" si="7"/>
        <v>1</v>
      </c>
    </row>
    <row r="95" spans="1:12" x14ac:dyDescent="0.25">
      <c r="A95" s="8">
        <v>41556</v>
      </c>
      <c r="B95" s="4">
        <v>59058</v>
      </c>
      <c r="C95" s="57">
        <v>243.02</v>
      </c>
      <c r="D95" s="4" t="str">
        <f t="shared" si="4"/>
        <v>EOM plus 5 days</v>
      </c>
      <c r="E95" s="4">
        <v>5</v>
      </c>
      <c r="F95" s="104">
        <f t="shared" si="5"/>
        <v>41583</v>
      </c>
      <c r="J95" s="104">
        <f t="shared" si="6"/>
        <v>41583</v>
      </c>
      <c r="L95" t="b">
        <f t="shared" si="7"/>
        <v>1</v>
      </c>
    </row>
    <row r="96" spans="1:12" x14ac:dyDescent="0.25">
      <c r="A96" s="8">
        <v>41556</v>
      </c>
      <c r="B96" s="4">
        <v>59059</v>
      </c>
      <c r="C96" s="57">
        <v>185.32</v>
      </c>
      <c r="D96" s="4" t="str">
        <f t="shared" si="4"/>
        <v>EOM plus 10 days</v>
      </c>
      <c r="E96" s="4">
        <v>10</v>
      </c>
      <c r="F96" s="104">
        <f t="shared" si="5"/>
        <v>41588</v>
      </c>
      <c r="J96" s="104">
        <f t="shared" si="6"/>
        <v>41588</v>
      </c>
      <c r="L96" t="b">
        <f t="shared" si="7"/>
        <v>1</v>
      </c>
    </row>
    <row r="97" spans="1:12" x14ac:dyDescent="0.25">
      <c r="A97" s="8">
        <v>41556</v>
      </c>
      <c r="B97" s="4">
        <v>59060</v>
      </c>
      <c r="C97" s="57">
        <v>344.37</v>
      </c>
      <c r="D97" s="4" t="str">
        <f t="shared" si="4"/>
        <v>EOM plus 10 days</v>
      </c>
      <c r="E97" s="4">
        <v>10</v>
      </c>
      <c r="F97" s="104">
        <f t="shared" si="5"/>
        <v>41588</v>
      </c>
      <c r="J97" s="104">
        <f t="shared" si="6"/>
        <v>41588</v>
      </c>
      <c r="L97" t="b">
        <f t="shared" si="7"/>
        <v>1</v>
      </c>
    </row>
    <row r="98" spans="1:12" x14ac:dyDescent="0.25">
      <c r="A98" s="8">
        <v>41556</v>
      </c>
      <c r="B98" s="4">
        <v>59061</v>
      </c>
      <c r="C98" s="57">
        <v>192.89</v>
      </c>
      <c r="D98" s="4" t="str">
        <f t="shared" si="4"/>
        <v>EOM plus 10 days</v>
      </c>
      <c r="E98" s="4">
        <v>10</v>
      </c>
      <c r="F98" s="104">
        <f t="shared" si="5"/>
        <v>41588</v>
      </c>
      <c r="J98" s="104">
        <f t="shared" si="6"/>
        <v>41588</v>
      </c>
      <c r="L98" t="b">
        <f t="shared" si="7"/>
        <v>1</v>
      </c>
    </row>
    <row r="99" spans="1:12" x14ac:dyDescent="0.25">
      <c r="A99" s="8">
        <v>41556</v>
      </c>
      <c r="B99" s="4">
        <v>59062</v>
      </c>
      <c r="C99" s="57">
        <v>343.18</v>
      </c>
      <c r="D99" s="4" t="str">
        <f t="shared" si="4"/>
        <v>EOM plus 10 days</v>
      </c>
      <c r="E99" s="4">
        <v>10</v>
      </c>
      <c r="F99" s="104">
        <f t="shared" si="5"/>
        <v>41588</v>
      </c>
      <c r="J99" s="104">
        <f t="shared" si="6"/>
        <v>41588</v>
      </c>
      <c r="L99" t="b">
        <f t="shared" si="7"/>
        <v>1</v>
      </c>
    </row>
    <row r="100" spans="1:12" x14ac:dyDescent="0.25">
      <c r="A100" s="8">
        <v>41556</v>
      </c>
      <c r="B100" s="4">
        <v>59063</v>
      </c>
      <c r="C100" s="57">
        <v>233.61</v>
      </c>
      <c r="D100" s="4" t="str">
        <f t="shared" si="4"/>
        <v>EOM plus 5 days</v>
      </c>
      <c r="E100" s="4">
        <v>5</v>
      </c>
      <c r="F100" s="104">
        <f t="shared" si="5"/>
        <v>41583</v>
      </c>
      <c r="J100" s="104">
        <f t="shared" si="6"/>
        <v>41583</v>
      </c>
      <c r="L100" t="b">
        <f t="shared" si="7"/>
        <v>1</v>
      </c>
    </row>
    <row r="101" spans="1:12" x14ac:dyDescent="0.25">
      <c r="A101" s="8">
        <v>41556</v>
      </c>
      <c r="B101" s="4">
        <v>59064</v>
      </c>
      <c r="C101" s="57">
        <v>263.82</v>
      </c>
      <c r="D101" s="4" t="str">
        <f t="shared" si="4"/>
        <v>EOM plus 20 days</v>
      </c>
      <c r="E101" s="4">
        <v>20</v>
      </c>
      <c r="F101" s="104">
        <f t="shared" si="5"/>
        <v>41598</v>
      </c>
      <c r="J101" s="104">
        <f t="shared" si="6"/>
        <v>41598</v>
      </c>
      <c r="L101" t="b">
        <f t="shared" si="7"/>
        <v>1</v>
      </c>
    </row>
    <row r="102" spans="1:12" x14ac:dyDescent="0.25">
      <c r="A102" s="8">
        <v>41556</v>
      </c>
      <c r="B102" s="4">
        <v>59065</v>
      </c>
      <c r="C102" s="57">
        <v>42.16</v>
      </c>
      <c r="D102" s="4" t="str">
        <f t="shared" si="4"/>
        <v>EOM plus 15 days</v>
      </c>
      <c r="E102" s="4">
        <v>15</v>
      </c>
      <c r="F102" s="104">
        <f t="shared" si="5"/>
        <v>41593</v>
      </c>
      <c r="J102" s="104">
        <f t="shared" si="6"/>
        <v>41593</v>
      </c>
      <c r="L102" t="b">
        <f t="shared" si="7"/>
        <v>1</v>
      </c>
    </row>
    <row r="103" spans="1:12" x14ac:dyDescent="0.25">
      <c r="A103" s="8">
        <v>41556</v>
      </c>
      <c r="B103" s="4">
        <v>59066</v>
      </c>
      <c r="C103" s="57">
        <v>193.92</v>
      </c>
      <c r="D103" s="4" t="str">
        <f t="shared" si="4"/>
        <v>EOM plus 20 days</v>
      </c>
      <c r="E103" s="4">
        <v>20</v>
      </c>
      <c r="F103" s="104">
        <f t="shared" si="5"/>
        <v>41598</v>
      </c>
      <c r="J103" s="104">
        <f t="shared" si="6"/>
        <v>41598</v>
      </c>
      <c r="L103" t="b">
        <f t="shared" si="7"/>
        <v>1</v>
      </c>
    </row>
    <row r="104" spans="1:12" x14ac:dyDescent="0.25">
      <c r="A104" s="8">
        <v>41556</v>
      </c>
      <c r="B104" s="4">
        <v>59067</v>
      </c>
      <c r="C104" s="57">
        <v>263.2</v>
      </c>
      <c r="D104" s="4" t="str">
        <f t="shared" si="4"/>
        <v>EOM plus 20 days</v>
      </c>
      <c r="E104" s="4">
        <v>20</v>
      </c>
      <c r="F104" s="104">
        <f t="shared" si="5"/>
        <v>41598</v>
      </c>
      <c r="J104" s="104">
        <f t="shared" si="6"/>
        <v>41598</v>
      </c>
      <c r="L104" t="b">
        <f t="shared" si="7"/>
        <v>1</v>
      </c>
    </row>
    <row r="105" spans="1:12" x14ac:dyDescent="0.25">
      <c r="A105" s="8">
        <v>41556</v>
      </c>
      <c r="B105" s="4">
        <v>59068</v>
      </c>
      <c r="C105" s="57">
        <v>237.3</v>
      </c>
      <c r="D105" s="4" t="str">
        <f t="shared" si="4"/>
        <v>EOM plus 10 days</v>
      </c>
      <c r="E105" s="4">
        <v>10</v>
      </c>
      <c r="F105" s="104">
        <f t="shared" si="5"/>
        <v>41588</v>
      </c>
      <c r="J105" s="104">
        <f t="shared" si="6"/>
        <v>41588</v>
      </c>
      <c r="L105" t="b">
        <f t="shared" si="7"/>
        <v>1</v>
      </c>
    </row>
    <row r="106" spans="1:12" x14ac:dyDescent="0.25">
      <c r="A106" s="8">
        <v>41556</v>
      </c>
      <c r="B106" s="4">
        <v>59069</v>
      </c>
      <c r="C106" s="57">
        <v>335.98</v>
      </c>
      <c r="D106" s="4" t="str">
        <f t="shared" si="4"/>
        <v>EOM plus 20 days</v>
      </c>
      <c r="E106" s="4">
        <v>20</v>
      </c>
      <c r="F106" s="104">
        <f t="shared" si="5"/>
        <v>41598</v>
      </c>
      <c r="J106" s="104">
        <f t="shared" si="6"/>
        <v>41598</v>
      </c>
      <c r="L106" t="b">
        <f t="shared" si="7"/>
        <v>1</v>
      </c>
    </row>
    <row r="107" spans="1:12" x14ac:dyDescent="0.25">
      <c r="A107" s="8">
        <v>41556</v>
      </c>
      <c r="B107" s="4">
        <v>59070</v>
      </c>
      <c r="C107" s="57">
        <v>89.59</v>
      </c>
      <c r="D107" s="4" t="str">
        <f t="shared" si="4"/>
        <v>EOM plus 20 days</v>
      </c>
      <c r="E107" s="4">
        <v>20</v>
      </c>
      <c r="F107" s="104">
        <f t="shared" si="5"/>
        <v>41598</v>
      </c>
      <c r="J107" s="104">
        <f t="shared" si="6"/>
        <v>41598</v>
      </c>
      <c r="L107" t="b">
        <f t="shared" si="7"/>
        <v>1</v>
      </c>
    </row>
    <row r="108" spans="1:12" x14ac:dyDescent="0.25">
      <c r="A108" s="8">
        <v>41556</v>
      </c>
      <c r="B108" s="4">
        <v>59071</v>
      </c>
      <c r="C108" s="57">
        <v>273.16000000000003</v>
      </c>
      <c r="D108" s="4" t="str">
        <f t="shared" si="4"/>
        <v>EOM plus 10 days</v>
      </c>
      <c r="E108" s="4">
        <v>10</v>
      </c>
      <c r="F108" s="104">
        <f t="shared" si="5"/>
        <v>41588</v>
      </c>
      <c r="J108" s="104">
        <f t="shared" si="6"/>
        <v>41588</v>
      </c>
      <c r="L108" t="b">
        <f t="shared" si="7"/>
        <v>1</v>
      </c>
    </row>
    <row r="109" spans="1:12" x14ac:dyDescent="0.25">
      <c r="A109" s="8">
        <v>41556</v>
      </c>
      <c r="B109" s="4">
        <v>59072</v>
      </c>
      <c r="C109" s="57">
        <v>160.41</v>
      </c>
      <c r="D109" s="4" t="str">
        <f t="shared" si="4"/>
        <v>EOM plus 5 days</v>
      </c>
      <c r="E109" s="4">
        <v>5</v>
      </c>
      <c r="F109" s="104">
        <f t="shared" si="5"/>
        <v>41583</v>
      </c>
      <c r="J109" s="104">
        <f t="shared" si="6"/>
        <v>41583</v>
      </c>
      <c r="L109" t="b">
        <f t="shared" si="7"/>
        <v>1</v>
      </c>
    </row>
    <row r="110" spans="1:12" x14ac:dyDescent="0.25">
      <c r="A110" s="8">
        <v>41557</v>
      </c>
      <c r="B110" s="4">
        <v>59073</v>
      </c>
      <c r="C110" s="57">
        <v>111.8</v>
      </c>
      <c r="D110" s="4" t="str">
        <f t="shared" si="4"/>
        <v>EOM plus 20 days</v>
      </c>
      <c r="E110" s="4">
        <v>20</v>
      </c>
      <c r="F110" s="104">
        <f t="shared" si="5"/>
        <v>41598</v>
      </c>
      <c r="J110" s="104">
        <f t="shared" si="6"/>
        <v>41598</v>
      </c>
      <c r="L110" t="b">
        <f t="shared" si="7"/>
        <v>1</v>
      </c>
    </row>
    <row r="111" spans="1:12" x14ac:dyDescent="0.25">
      <c r="A111" s="8">
        <v>41557</v>
      </c>
      <c r="B111" s="4">
        <v>59074</v>
      </c>
      <c r="C111" s="57">
        <v>57.68</v>
      </c>
      <c r="D111" s="4" t="str">
        <f t="shared" si="4"/>
        <v>EOM plus 10 days</v>
      </c>
      <c r="E111" s="4">
        <v>10</v>
      </c>
      <c r="F111" s="104">
        <f t="shared" si="5"/>
        <v>41588</v>
      </c>
      <c r="J111" s="104">
        <f t="shared" si="6"/>
        <v>41588</v>
      </c>
      <c r="L111" t="b">
        <f t="shared" si="7"/>
        <v>1</v>
      </c>
    </row>
    <row r="112" spans="1:12" x14ac:dyDescent="0.25">
      <c r="A112" s="8">
        <v>41557</v>
      </c>
      <c r="B112" s="4">
        <v>59075</v>
      </c>
      <c r="C112" s="57">
        <v>172.57</v>
      </c>
      <c r="D112" s="4" t="str">
        <f t="shared" si="4"/>
        <v>EOM plus 20 days</v>
      </c>
      <c r="E112" s="4">
        <v>20</v>
      </c>
      <c r="F112" s="104">
        <f t="shared" si="5"/>
        <v>41598</v>
      </c>
      <c r="J112" s="104">
        <f t="shared" si="6"/>
        <v>41598</v>
      </c>
      <c r="L112" t="b">
        <f t="shared" si="7"/>
        <v>1</v>
      </c>
    </row>
    <row r="113" spans="1:12" x14ac:dyDescent="0.25">
      <c r="A113" s="8">
        <v>41557</v>
      </c>
      <c r="B113" s="4">
        <v>59076</v>
      </c>
      <c r="C113" s="57">
        <v>265.02999999999997</v>
      </c>
      <c r="D113" s="4" t="str">
        <f t="shared" si="4"/>
        <v>EOM plus 5 days</v>
      </c>
      <c r="E113" s="4">
        <v>5</v>
      </c>
      <c r="F113" s="104">
        <f t="shared" si="5"/>
        <v>41583</v>
      </c>
      <c r="J113" s="104">
        <f t="shared" si="6"/>
        <v>41583</v>
      </c>
      <c r="L113" t="b">
        <f t="shared" si="7"/>
        <v>1</v>
      </c>
    </row>
    <row r="114" spans="1:12" x14ac:dyDescent="0.25">
      <c r="A114" s="8">
        <v>41557</v>
      </c>
      <c r="B114" s="4">
        <v>59077</v>
      </c>
      <c r="C114" s="57">
        <v>253.47</v>
      </c>
      <c r="D114" s="4" t="str">
        <f t="shared" si="4"/>
        <v>EOM plus 5 days</v>
      </c>
      <c r="E114" s="4">
        <v>5</v>
      </c>
      <c r="F114" s="104">
        <f t="shared" si="5"/>
        <v>41583</v>
      </c>
      <c r="J114" s="104">
        <f t="shared" si="6"/>
        <v>41583</v>
      </c>
      <c r="L114" t="b">
        <f t="shared" si="7"/>
        <v>1</v>
      </c>
    </row>
    <row r="115" spans="1:12" x14ac:dyDescent="0.25">
      <c r="A115" s="8">
        <v>41557</v>
      </c>
      <c r="B115" s="4">
        <v>59078</v>
      </c>
      <c r="C115" s="57">
        <v>344.94</v>
      </c>
      <c r="D115" s="4" t="str">
        <f t="shared" si="4"/>
        <v>EOM plus 10 days</v>
      </c>
      <c r="E115" s="4">
        <v>10</v>
      </c>
      <c r="F115" s="104">
        <f t="shared" si="5"/>
        <v>41588</v>
      </c>
      <c r="J115" s="104">
        <f t="shared" si="6"/>
        <v>41588</v>
      </c>
      <c r="L115" t="b">
        <f t="shared" si="7"/>
        <v>1</v>
      </c>
    </row>
    <row r="116" spans="1:12" x14ac:dyDescent="0.25">
      <c r="A116" s="8">
        <v>41557</v>
      </c>
      <c r="B116" s="4">
        <v>59079</v>
      </c>
      <c r="C116" s="57">
        <v>159.99</v>
      </c>
      <c r="D116" s="4" t="str">
        <f t="shared" si="4"/>
        <v>EOM plus 10 days</v>
      </c>
      <c r="E116" s="4">
        <v>10</v>
      </c>
      <c r="F116" s="104">
        <f t="shared" si="5"/>
        <v>41588</v>
      </c>
      <c r="J116" s="104">
        <f t="shared" si="6"/>
        <v>41588</v>
      </c>
      <c r="L116" t="b">
        <f t="shared" si="7"/>
        <v>1</v>
      </c>
    </row>
    <row r="117" spans="1:12" x14ac:dyDescent="0.25">
      <c r="A117" s="8">
        <v>41557</v>
      </c>
      <c r="B117" s="4">
        <v>59080</v>
      </c>
      <c r="C117" s="57">
        <v>333.4</v>
      </c>
      <c r="D117" s="4" t="str">
        <f t="shared" si="4"/>
        <v>EOM plus 15 days</v>
      </c>
      <c r="E117" s="4">
        <v>15</v>
      </c>
      <c r="F117" s="104">
        <f t="shared" si="5"/>
        <v>41593</v>
      </c>
      <c r="J117" s="104">
        <f t="shared" si="6"/>
        <v>41593</v>
      </c>
      <c r="L117" t="b">
        <f t="shared" si="7"/>
        <v>1</v>
      </c>
    </row>
    <row r="118" spans="1:12" x14ac:dyDescent="0.25">
      <c r="A118" s="8">
        <v>41557</v>
      </c>
      <c r="B118" s="4">
        <v>59081</v>
      </c>
      <c r="C118" s="57">
        <v>107.94</v>
      </c>
      <c r="D118" s="4" t="str">
        <f t="shared" si="4"/>
        <v>EOM plus 10 days</v>
      </c>
      <c r="E118" s="4">
        <v>10</v>
      </c>
      <c r="F118" s="104">
        <f t="shared" si="5"/>
        <v>41588</v>
      </c>
      <c r="J118" s="104">
        <f t="shared" si="6"/>
        <v>41588</v>
      </c>
      <c r="L118" t="b">
        <f t="shared" si="7"/>
        <v>1</v>
      </c>
    </row>
    <row r="119" spans="1:12" x14ac:dyDescent="0.25">
      <c r="A119" s="8">
        <v>41557</v>
      </c>
      <c r="B119" s="4">
        <v>59082</v>
      </c>
      <c r="C119" s="57">
        <v>71.91</v>
      </c>
      <c r="D119" s="4" t="str">
        <f t="shared" si="4"/>
        <v>EOM plus 15 days</v>
      </c>
      <c r="E119" s="4">
        <v>15</v>
      </c>
      <c r="F119" s="104">
        <f t="shared" si="5"/>
        <v>41593</v>
      </c>
      <c r="J119" s="104">
        <f t="shared" si="6"/>
        <v>41593</v>
      </c>
      <c r="L119" t="b">
        <f t="shared" si="7"/>
        <v>1</v>
      </c>
    </row>
    <row r="120" spans="1:12" x14ac:dyDescent="0.25">
      <c r="A120" s="8">
        <v>41557</v>
      </c>
      <c r="B120" s="4">
        <v>59083</v>
      </c>
      <c r="C120" s="57">
        <v>72.510000000000005</v>
      </c>
      <c r="D120" s="4" t="str">
        <f t="shared" si="4"/>
        <v>EOM plus 10 days</v>
      </c>
      <c r="E120" s="4">
        <v>10</v>
      </c>
      <c r="F120" s="104">
        <f t="shared" si="5"/>
        <v>41588</v>
      </c>
      <c r="J120" s="104">
        <f t="shared" si="6"/>
        <v>41588</v>
      </c>
      <c r="L120" t="b">
        <f t="shared" si="7"/>
        <v>1</v>
      </c>
    </row>
    <row r="121" spans="1:12" x14ac:dyDescent="0.25">
      <c r="A121" s="8">
        <v>41557</v>
      </c>
      <c r="B121" s="4">
        <v>59084</v>
      </c>
      <c r="C121" s="57">
        <v>163.51</v>
      </c>
      <c r="D121" s="4" t="str">
        <f t="shared" si="4"/>
        <v>EOM plus 15 days</v>
      </c>
      <c r="E121" s="4">
        <v>15</v>
      </c>
      <c r="F121" s="104">
        <f t="shared" si="5"/>
        <v>41593</v>
      </c>
      <c r="J121" s="104">
        <f t="shared" si="6"/>
        <v>41593</v>
      </c>
      <c r="L121" t="b">
        <f t="shared" si="7"/>
        <v>1</v>
      </c>
    </row>
    <row r="122" spans="1:12" x14ac:dyDescent="0.25">
      <c r="A122" s="8">
        <v>41557</v>
      </c>
      <c r="B122" s="4">
        <v>59085</v>
      </c>
      <c r="C122" s="57">
        <v>83.31</v>
      </c>
      <c r="D122" s="4" t="str">
        <f t="shared" si="4"/>
        <v>EOM plus 5 days</v>
      </c>
      <c r="E122" s="4">
        <v>5</v>
      </c>
      <c r="F122" s="104">
        <f t="shared" si="5"/>
        <v>41583</v>
      </c>
      <c r="J122" s="104">
        <f t="shared" si="6"/>
        <v>41583</v>
      </c>
      <c r="L122" t="b">
        <f t="shared" si="7"/>
        <v>1</v>
      </c>
    </row>
    <row r="123" spans="1:12" x14ac:dyDescent="0.25">
      <c r="A123" s="8">
        <v>41557</v>
      </c>
      <c r="B123" s="4">
        <v>59086</v>
      </c>
      <c r="C123" s="57">
        <v>178.08</v>
      </c>
      <c r="D123" s="4" t="str">
        <f t="shared" si="4"/>
        <v>EOM plus 10 days</v>
      </c>
      <c r="E123" s="4">
        <v>10</v>
      </c>
      <c r="F123" s="104">
        <f t="shared" si="5"/>
        <v>41588</v>
      </c>
      <c r="J123" s="104">
        <f t="shared" si="6"/>
        <v>41588</v>
      </c>
      <c r="L123" t="b">
        <f t="shared" si="7"/>
        <v>1</v>
      </c>
    </row>
    <row r="124" spans="1:12" x14ac:dyDescent="0.25">
      <c r="A124" s="8">
        <v>41557</v>
      </c>
      <c r="B124" s="4">
        <v>59087</v>
      </c>
      <c r="C124" s="57">
        <v>133.58000000000001</v>
      </c>
      <c r="D124" s="4" t="str">
        <f t="shared" si="4"/>
        <v>EOM plus 10 days</v>
      </c>
      <c r="E124" s="4">
        <v>10</v>
      </c>
      <c r="F124" s="104">
        <f t="shared" si="5"/>
        <v>41588</v>
      </c>
      <c r="J124" s="104">
        <f t="shared" si="6"/>
        <v>41588</v>
      </c>
      <c r="L124" t="b">
        <f t="shared" si="7"/>
        <v>1</v>
      </c>
    </row>
    <row r="125" spans="1:12" x14ac:dyDescent="0.25">
      <c r="A125" s="8">
        <v>41557</v>
      </c>
      <c r="B125" s="4">
        <v>59088</v>
      </c>
      <c r="C125" s="57">
        <v>332.54</v>
      </c>
      <c r="D125" s="4" t="str">
        <f t="shared" si="4"/>
        <v>EOM plus 20 days</v>
      </c>
      <c r="E125" s="4">
        <v>20</v>
      </c>
      <c r="F125" s="104">
        <f t="shared" si="5"/>
        <v>41598</v>
      </c>
      <c r="J125" s="104">
        <f t="shared" si="6"/>
        <v>41598</v>
      </c>
      <c r="L125" t="b">
        <f t="shared" si="7"/>
        <v>1</v>
      </c>
    </row>
    <row r="126" spans="1:12" x14ac:dyDescent="0.25">
      <c r="A126" s="8">
        <v>41557</v>
      </c>
      <c r="B126" s="4">
        <v>59089</v>
      </c>
      <c r="C126" s="57">
        <v>170.48</v>
      </c>
      <c r="D126" s="4" t="str">
        <f t="shared" si="4"/>
        <v>EOM plus 10 days</v>
      </c>
      <c r="E126" s="4">
        <v>10</v>
      </c>
      <c r="F126" s="104">
        <f t="shared" si="5"/>
        <v>41588</v>
      </c>
      <c r="J126" s="104">
        <f t="shared" si="6"/>
        <v>41588</v>
      </c>
      <c r="L126" t="b">
        <f t="shared" si="7"/>
        <v>1</v>
      </c>
    </row>
    <row r="127" spans="1:12" x14ac:dyDescent="0.25">
      <c r="A127" s="8">
        <v>41557</v>
      </c>
      <c r="B127" s="4">
        <v>59090</v>
      </c>
      <c r="C127" s="57">
        <v>328.78</v>
      </c>
      <c r="D127" s="4" t="str">
        <f t="shared" si="4"/>
        <v>EOM plus 10 days</v>
      </c>
      <c r="E127" s="4">
        <v>10</v>
      </c>
      <c r="F127" s="104">
        <f t="shared" si="5"/>
        <v>41588</v>
      </c>
      <c r="J127" s="104">
        <f t="shared" si="6"/>
        <v>41588</v>
      </c>
      <c r="L127" t="b">
        <f t="shared" si="7"/>
        <v>1</v>
      </c>
    </row>
    <row r="128" spans="1:12" x14ac:dyDescent="0.25">
      <c r="A128" s="8">
        <v>41557</v>
      </c>
      <c r="B128" s="4">
        <v>59091</v>
      </c>
      <c r="C128" s="57">
        <v>200.31</v>
      </c>
      <c r="D128" s="4" t="str">
        <f t="shared" si="4"/>
        <v>EOM plus 5 days</v>
      </c>
      <c r="E128" s="4">
        <v>5</v>
      </c>
      <c r="F128" s="104">
        <f t="shared" si="5"/>
        <v>41583</v>
      </c>
      <c r="J128" s="104">
        <f t="shared" si="6"/>
        <v>41583</v>
      </c>
      <c r="L128" t="b">
        <f t="shared" si="7"/>
        <v>1</v>
      </c>
    </row>
    <row r="129" spans="1:12" x14ac:dyDescent="0.25">
      <c r="A129" s="8">
        <v>41557</v>
      </c>
      <c r="B129" s="4">
        <v>59092</v>
      </c>
      <c r="C129" s="57">
        <v>152.29</v>
      </c>
      <c r="D129" s="4" t="str">
        <f t="shared" si="4"/>
        <v>EOM plus 20 days</v>
      </c>
      <c r="E129" s="4">
        <v>20</v>
      </c>
      <c r="F129" s="104">
        <f t="shared" si="5"/>
        <v>41598</v>
      </c>
      <c r="J129" s="104">
        <f t="shared" si="6"/>
        <v>41598</v>
      </c>
      <c r="L129" t="b">
        <f t="shared" si="7"/>
        <v>1</v>
      </c>
    </row>
    <row r="130" spans="1:12" x14ac:dyDescent="0.25">
      <c r="A130" s="8">
        <v>41557</v>
      </c>
      <c r="B130" s="4">
        <v>59093</v>
      </c>
      <c r="C130" s="57">
        <v>304.70999999999998</v>
      </c>
      <c r="D130" s="4" t="str">
        <f t="shared" si="4"/>
        <v>EOM plus 20 days</v>
      </c>
      <c r="E130" s="4">
        <v>20</v>
      </c>
      <c r="F130" s="104">
        <f t="shared" si="5"/>
        <v>41598</v>
      </c>
      <c r="J130" s="104">
        <f t="shared" si="6"/>
        <v>41598</v>
      </c>
      <c r="L130" t="b">
        <f t="shared" si="7"/>
        <v>1</v>
      </c>
    </row>
    <row r="131" spans="1:12" x14ac:dyDescent="0.25">
      <c r="A131" s="8">
        <v>41557</v>
      </c>
      <c r="B131" s="4">
        <v>59094</v>
      </c>
      <c r="C131" s="57">
        <v>371.78</v>
      </c>
      <c r="D131" s="4" t="str">
        <f t="shared" si="4"/>
        <v>EOM plus 10 days</v>
      </c>
      <c r="E131" s="4">
        <v>10</v>
      </c>
      <c r="F131" s="104">
        <f t="shared" si="5"/>
        <v>41588</v>
      </c>
      <c r="J131" s="104">
        <f t="shared" si="6"/>
        <v>41588</v>
      </c>
      <c r="L131" t="b">
        <f t="shared" si="7"/>
        <v>1</v>
      </c>
    </row>
    <row r="132" spans="1:12" x14ac:dyDescent="0.25">
      <c r="A132" s="8">
        <v>41558</v>
      </c>
      <c r="B132" s="4">
        <v>59095</v>
      </c>
      <c r="C132" s="57">
        <v>204.74</v>
      </c>
      <c r="D132" s="4" t="str">
        <f t="shared" si="4"/>
        <v>EOM plus 10 days</v>
      </c>
      <c r="E132" s="4">
        <v>10</v>
      </c>
      <c r="F132" s="104">
        <f t="shared" si="5"/>
        <v>41588</v>
      </c>
      <c r="J132" s="104">
        <f t="shared" si="6"/>
        <v>41588</v>
      </c>
      <c r="L132" t="b">
        <f t="shared" si="7"/>
        <v>1</v>
      </c>
    </row>
    <row r="133" spans="1:12" x14ac:dyDescent="0.25">
      <c r="A133" s="8">
        <v>41558</v>
      </c>
      <c r="B133" s="4">
        <v>59096</v>
      </c>
      <c r="C133" s="57">
        <v>169.07</v>
      </c>
      <c r="D133" s="4" t="str">
        <f t="shared" ref="D133:D196" si="8">"EOM plus "&amp;E133&amp;" days"</f>
        <v>EOM plus 10 days</v>
      </c>
      <c r="E133" s="4">
        <v>10</v>
      </c>
      <c r="F133" s="104">
        <f t="shared" si="5"/>
        <v>41588</v>
      </c>
      <c r="J133" s="104">
        <f t="shared" si="6"/>
        <v>41588</v>
      </c>
      <c r="L133" t="b">
        <f t="shared" si="7"/>
        <v>1</v>
      </c>
    </row>
    <row r="134" spans="1:12" x14ac:dyDescent="0.25">
      <c r="A134" s="8">
        <v>41558</v>
      </c>
      <c r="B134" s="4">
        <v>59097</v>
      </c>
      <c r="C134" s="57">
        <v>321.23</v>
      </c>
      <c r="D134" s="4" t="str">
        <f t="shared" si="8"/>
        <v>EOM plus 5 days</v>
      </c>
      <c r="E134" s="4">
        <v>5</v>
      </c>
      <c r="F134" s="104">
        <f t="shared" ref="F134:F197" si="9">EOMONTH(A134,0)+E134</f>
        <v>41583</v>
      </c>
      <c r="J134" s="104">
        <f t="shared" ref="J134:J197" si="10">DATE(YEAR(A134),MONTH(A134)+1,E134)</f>
        <v>41583</v>
      </c>
      <c r="L134" t="b">
        <f t="shared" ref="L134:L197" si="11">J134=F134</f>
        <v>1</v>
      </c>
    </row>
    <row r="135" spans="1:12" x14ac:dyDescent="0.25">
      <c r="A135" s="8">
        <v>41558</v>
      </c>
      <c r="B135" s="4">
        <v>59098</v>
      </c>
      <c r="C135" s="57">
        <v>266.52999999999997</v>
      </c>
      <c r="D135" s="4" t="str">
        <f t="shared" si="8"/>
        <v>EOM plus 5 days</v>
      </c>
      <c r="E135" s="4">
        <v>5</v>
      </c>
      <c r="F135" s="104">
        <f t="shared" si="9"/>
        <v>41583</v>
      </c>
      <c r="J135" s="104">
        <f t="shared" si="10"/>
        <v>41583</v>
      </c>
      <c r="L135" t="b">
        <f t="shared" si="11"/>
        <v>1</v>
      </c>
    </row>
    <row r="136" spans="1:12" x14ac:dyDescent="0.25">
      <c r="A136" s="8">
        <v>41558</v>
      </c>
      <c r="B136" s="4">
        <v>59099</v>
      </c>
      <c r="C136" s="57">
        <v>262.87</v>
      </c>
      <c r="D136" s="4" t="str">
        <f t="shared" si="8"/>
        <v>EOM plus 5 days</v>
      </c>
      <c r="E136" s="4">
        <v>5</v>
      </c>
      <c r="F136" s="104">
        <f t="shared" si="9"/>
        <v>41583</v>
      </c>
      <c r="J136" s="104">
        <f t="shared" si="10"/>
        <v>41583</v>
      </c>
      <c r="L136" t="b">
        <f t="shared" si="11"/>
        <v>1</v>
      </c>
    </row>
    <row r="137" spans="1:12" x14ac:dyDescent="0.25">
      <c r="A137" s="8">
        <v>41558</v>
      </c>
      <c r="B137" s="4">
        <v>59100</v>
      </c>
      <c r="C137" s="57">
        <v>103.58</v>
      </c>
      <c r="D137" s="4" t="str">
        <f t="shared" si="8"/>
        <v>EOM plus 10 days</v>
      </c>
      <c r="E137" s="4">
        <v>10</v>
      </c>
      <c r="F137" s="104">
        <f t="shared" si="9"/>
        <v>41588</v>
      </c>
      <c r="J137" s="104">
        <f t="shared" si="10"/>
        <v>41588</v>
      </c>
      <c r="L137" t="b">
        <f t="shared" si="11"/>
        <v>1</v>
      </c>
    </row>
    <row r="138" spans="1:12" x14ac:dyDescent="0.25">
      <c r="A138" s="8">
        <v>41558</v>
      </c>
      <c r="B138" s="4">
        <v>59101</v>
      </c>
      <c r="C138" s="57">
        <v>218.88</v>
      </c>
      <c r="D138" s="4" t="str">
        <f t="shared" si="8"/>
        <v>EOM plus 10 days</v>
      </c>
      <c r="E138" s="4">
        <v>10</v>
      </c>
      <c r="F138" s="104">
        <f t="shared" si="9"/>
        <v>41588</v>
      </c>
      <c r="J138" s="104">
        <f t="shared" si="10"/>
        <v>41588</v>
      </c>
      <c r="L138" t="b">
        <f t="shared" si="11"/>
        <v>1</v>
      </c>
    </row>
    <row r="139" spans="1:12" x14ac:dyDescent="0.25">
      <c r="A139" s="8">
        <v>41558</v>
      </c>
      <c r="B139" s="4">
        <v>59102</v>
      </c>
      <c r="C139" s="57">
        <v>271.44</v>
      </c>
      <c r="D139" s="4" t="str">
        <f t="shared" si="8"/>
        <v>EOM plus 15 days</v>
      </c>
      <c r="E139" s="4">
        <v>15</v>
      </c>
      <c r="F139" s="104">
        <f t="shared" si="9"/>
        <v>41593</v>
      </c>
      <c r="J139" s="104">
        <f t="shared" si="10"/>
        <v>41593</v>
      </c>
      <c r="L139" t="b">
        <f t="shared" si="11"/>
        <v>1</v>
      </c>
    </row>
    <row r="140" spans="1:12" x14ac:dyDescent="0.25">
      <c r="A140" s="8">
        <v>41558</v>
      </c>
      <c r="B140" s="4">
        <v>59103</v>
      </c>
      <c r="C140" s="57">
        <v>309.05</v>
      </c>
      <c r="D140" s="4" t="str">
        <f t="shared" si="8"/>
        <v>EOM plus 20 days</v>
      </c>
      <c r="E140" s="4">
        <v>20</v>
      </c>
      <c r="F140" s="104">
        <f t="shared" si="9"/>
        <v>41598</v>
      </c>
      <c r="J140" s="104">
        <f t="shared" si="10"/>
        <v>41598</v>
      </c>
      <c r="L140" t="b">
        <f t="shared" si="11"/>
        <v>1</v>
      </c>
    </row>
    <row r="141" spans="1:12" x14ac:dyDescent="0.25">
      <c r="A141" s="8">
        <v>41558</v>
      </c>
      <c r="B141" s="4">
        <v>59104</v>
      </c>
      <c r="C141" s="57">
        <v>243.41</v>
      </c>
      <c r="D141" s="4" t="str">
        <f t="shared" si="8"/>
        <v>EOM plus 20 days</v>
      </c>
      <c r="E141" s="4">
        <v>20</v>
      </c>
      <c r="F141" s="104">
        <f t="shared" si="9"/>
        <v>41598</v>
      </c>
      <c r="J141" s="104">
        <f t="shared" si="10"/>
        <v>41598</v>
      </c>
      <c r="L141" t="b">
        <f t="shared" si="11"/>
        <v>1</v>
      </c>
    </row>
    <row r="142" spans="1:12" x14ac:dyDescent="0.25">
      <c r="A142" s="8">
        <v>41558</v>
      </c>
      <c r="B142" s="4">
        <v>59105</v>
      </c>
      <c r="C142" s="57">
        <v>43.12</v>
      </c>
      <c r="D142" s="4" t="str">
        <f t="shared" si="8"/>
        <v>EOM plus 5 days</v>
      </c>
      <c r="E142" s="4">
        <v>5</v>
      </c>
      <c r="F142" s="104">
        <f t="shared" si="9"/>
        <v>41583</v>
      </c>
      <c r="J142" s="104">
        <f t="shared" si="10"/>
        <v>41583</v>
      </c>
      <c r="L142" t="b">
        <f t="shared" si="11"/>
        <v>1</v>
      </c>
    </row>
    <row r="143" spans="1:12" x14ac:dyDescent="0.25">
      <c r="A143" s="8">
        <v>41558</v>
      </c>
      <c r="B143" s="4">
        <v>59106</v>
      </c>
      <c r="C143" s="57">
        <v>202.33</v>
      </c>
      <c r="D143" s="4" t="str">
        <f t="shared" si="8"/>
        <v>EOM plus 10 days</v>
      </c>
      <c r="E143" s="4">
        <v>10</v>
      </c>
      <c r="F143" s="104">
        <f t="shared" si="9"/>
        <v>41588</v>
      </c>
      <c r="J143" s="104">
        <f t="shared" si="10"/>
        <v>41588</v>
      </c>
      <c r="L143" t="b">
        <f t="shared" si="11"/>
        <v>1</v>
      </c>
    </row>
    <row r="144" spans="1:12" x14ac:dyDescent="0.25">
      <c r="A144" s="8">
        <v>41558</v>
      </c>
      <c r="B144" s="4">
        <v>59107</v>
      </c>
      <c r="C144" s="57">
        <v>77.84</v>
      </c>
      <c r="D144" s="4" t="str">
        <f t="shared" si="8"/>
        <v>EOM plus 5 days</v>
      </c>
      <c r="E144" s="4">
        <v>5</v>
      </c>
      <c r="F144" s="104">
        <f t="shared" si="9"/>
        <v>41583</v>
      </c>
      <c r="J144" s="104">
        <f t="shared" si="10"/>
        <v>41583</v>
      </c>
      <c r="L144" t="b">
        <f t="shared" si="11"/>
        <v>1</v>
      </c>
    </row>
    <row r="145" spans="1:12" x14ac:dyDescent="0.25">
      <c r="A145" s="8">
        <v>41558</v>
      </c>
      <c r="B145" s="4">
        <v>59108</v>
      </c>
      <c r="C145" s="57">
        <v>63</v>
      </c>
      <c r="D145" s="4" t="str">
        <f t="shared" si="8"/>
        <v>EOM plus 15 days</v>
      </c>
      <c r="E145" s="4">
        <v>15</v>
      </c>
      <c r="F145" s="104">
        <f t="shared" si="9"/>
        <v>41593</v>
      </c>
      <c r="J145" s="104">
        <f t="shared" si="10"/>
        <v>41593</v>
      </c>
      <c r="L145" t="b">
        <f t="shared" si="11"/>
        <v>1</v>
      </c>
    </row>
    <row r="146" spans="1:12" x14ac:dyDescent="0.25">
      <c r="A146" s="8">
        <v>41558</v>
      </c>
      <c r="B146" s="4">
        <v>59109</v>
      </c>
      <c r="C146" s="57">
        <v>157.47999999999999</v>
      </c>
      <c r="D146" s="4" t="str">
        <f t="shared" si="8"/>
        <v>EOM plus 15 days</v>
      </c>
      <c r="E146" s="4">
        <v>15</v>
      </c>
      <c r="F146" s="104">
        <f t="shared" si="9"/>
        <v>41593</v>
      </c>
      <c r="J146" s="104">
        <f t="shared" si="10"/>
        <v>41593</v>
      </c>
      <c r="L146" t="b">
        <f t="shared" si="11"/>
        <v>1</v>
      </c>
    </row>
    <row r="147" spans="1:12" x14ac:dyDescent="0.25">
      <c r="A147" s="8">
        <v>41558</v>
      </c>
      <c r="B147" s="4">
        <v>59110</v>
      </c>
      <c r="C147" s="57">
        <v>37.21</v>
      </c>
      <c r="D147" s="4" t="str">
        <f t="shared" si="8"/>
        <v>EOM plus 15 days</v>
      </c>
      <c r="E147" s="4">
        <v>15</v>
      </c>
      <c r="F147" s="104">
        <f t="shared" si="9"/>
        <v>41593</v>
      </c>
      <c r="J147" s="104">
        <f t="shared" si="10"/>
        <v>41593</v>
      </c>
      <c r="L147" t="b">
        <f t="shared" si="11"/>
        <v>1</v>
      </c>
    </row>
    <row r="148" spans="1:12" x14ac:dyDescent="0.25">
      <c r="A148" s="8">
        <v>41558</v>
      </c>
      <c r="B148" s="4">
        <v>59111</v>
      </c>
      <c r="C148" s="57">
        <v>259.35000000000002</v>
      </c>
      <c r="D148" s="4" t="str">
        <f t="shared" si="8"/>
        <v>EOM plus 10 days</v>
      </c>
      <c r="E148" s="4">
        <v>10</v>
      </c>
      <c r="F148" s="104">
        <f t="shared" si="9"/>
        <v>41588</v>
      </c>
      <c r="J148" s="104">
        <f t="shared" si="10"/>
        <v>41588</v>
      </c>
      <c r="L148" t="b">
        <f t="shared" si="11"/>
        <v>1</v>
      </c>
    </row>
    <row r="149" spans="1:12" x14ac:dyDescent="0.25">
      <c r="A149" s="8">
        <v>41558</v>
      </c>
      <c r="B149" s="4">
        <v>59112</v>
      </c>
      <c r="C149" s="57">
        <v>227.62</v>
      </c>
      <c r="D149" s="4" t="str">
        <f t="shared" si="8"/>
        <v>EOM plus 10 days</v>
      </c>
      <c r="E149" s="4">
        <v>10</v>
      </c>
      <c r="F149" s="104">
        <f t="shared" si="9"/>
        <v>41588</v>
      </c>
      <c r="J149" s="104">
        <f t="shared" si="10"/>
        <v>41588</v>
      </c>
      <c r="L149" t="b">
        <f t="shared" si="11"/>
        <v>1</v>
      </c>
    </row>
    <row r="150" spans="1:12" x14ac:dyDescent="0.25">
      <c r="A150" s="8">
        <v>41558</v>
      </c>
      <c r="B150" s="4">
        <v>59113</v>
      </c>
      <c r="C150" s="57">
        <v>40.020000000000003</v>
      </c>
      <c r="D150" s="4" t="str">
        <f t="shared" si="8"/>
        <v>EOM plus 20 days</v>
      </c>
      <c r="E150" s="4">
        <v>20</v>
      </c>
      <c r="F150" s="104">
        <f t="shared" si="9"/>
        <v>41598</v>
      </c>
      <c r="J150" s="104">
        <f t="shared" si="10"/>
        <v>41598</v>
      </c>
      <c r="L150" t="b">
        <f t="shared" si="11"/>
        <v>1</v>
      </c>
    </row>
    <row r="151" spans="1:12" x14ac:dyDescent="0.25">
      <c r="A151" s="8">
        <v>41558</v>
      </c>
      <c r="B151" s="4">
        <v>59114</v>
      </c>
      <c r="C151" s="57">
        <v>246.71</v>
      </c>
      <c r="D151" s="4" t="str">
        <f t="shared" si="8"/>
        <v>EOM plus 10 days</v>
      </c>
      <c r="E151" s="4">
        <v>10</v>
      </c>
      <c r="F151" s="104">
        <f t="shared" si="9"/>
        <v>41588</v>
      </c>
      <c r="J151" s="104">
        <f t="shared" si="10"/>
        <v>41588</v>
      </c>
      <c r="L151" t="b">
        <f t="shared" si="11"/>
        <v>1</v>
      </c>
    </row>
    <row r="152" spans="1:12" x14ac:dyDescent="0.25">
      <c r="A152" s="8">
        <v>41558</v>
      </c>
      <c r="B152" s="4">
        <v>59115</v>
      </c>
      <c r="C152" s="57">
        <v>120.66</v>
      </c>
      <c r="D152" s="4" t="str">
        <f t="shared" si="8"/>
        <v>EOM plus 10 days</v>
      </c>
      <c r="E152" s="4">
        <v>10</v>
      </c>
      <c r="F152" s="104">
        <f t="shared" si="9"/>
        <v>41588</v>
      </c>
      <c r="J152" s="104">
        <f t="shared" si="10"/>
        <v>41588</v>
      </c>
      <c r="L152" t="b">
        <f t="shared" si="11"/>
        <v>1</v>
      </c>
    </row>
    <row r="153" spans="1:12" x14ac:dyDescent="0.25">
      <c r="A153" s="8">
        <v>41558</v>
      </c>
      <c r="B153" s="4">
        <v>59116</v>
      </c>
      <c r="C153" s="57">
        <v>53.84</v>
      </c>
      <c r="D153" s="4" t="str">
        <f t="shared" si="8"/>
        <v>EOM plus 20 days</v>
      </c>
      <c r="E153" s="4">
        <v>20</v>
      </c>
      <c r="F153" s="104">
        <f t="shared" si="9"/>
        <v>41598</v>
      </c>
      <c r="J153" s="104">
        <f t="shared" si="10"/>
        <v>41598</v>
      </c>
      <c r="L153" t="b">
        <f t="shared" si="11"/>
        <v>1</v>
      </c>
    </row>
    <row r="154" spans="1:12" x14ac:dyDescent="0.25">
      <c r="A154" s="8">
        <v>41558</v>
      </c>
      <c r="B154" s="4">
        <v>59117</v>
      </c>
      <c r="C154" s="57">
        <v>90.75</v>
      </c>
      <c r="D154" s="4" t="str">
        <f t="shared" si="8"/>
        <v>EOM plus 10 days</v>
      </c>
      <c r="E154" s="4">
        <v>10</v>
      </c>
      <c r="F154" s="104">
        <f t="shared" si="9"/>
        <v>41588</v>
      </c>
      <c r="J154" s="104">
        <f t="shared" si="10"/>
        <v>41588</v>
      </c>
      <c r="L154" t="b">
        <f t="shared" si="11"/>
        <v>1</v>
      </c>
    </row>
    <row r="155" spans="1:12" x14ac:dyDescent="0.25">
      <c r="A155" s="8">
        <v>41558</v>
      </c>
      <c r="B155" s="4">
        <v>59118</v>
      </c>
      <c r="C155" s="57">
        <v>66.25</v>
      </c>
      <c r="D155" s="4" t="str">
        <f t="shared" si="8"/>
        <v>EOM plus 15 days</v>
      </c>
      <c r="E155" s="4">
        <v>15</v>
      </c>
      <c r="F155" s="104">
        <f t="shared" si="9"/>
        <v>41593</v>
      </c>
      <c r="J155" s="104">
        <f t="shared" si="10"/>
        <v>41593</v>
      </c>
      <c r="L155" t="b">
        <f t="shared" si="11"/>
        <v>1</v>
      </c>
    </row>
    <row r="156" spans="1:12" x14ac:dyDescent="0.25">
      <c r="A156" s="8">
        <v>41558</v>
      </c>
      <c r="B156" s="4">
        <v>59119</v>
      </c>
      <c r="C156" s="57">
        <v>329.61</v>
      </c>
      <c r="D156" s="4" t="str">
        <f t="shared" si="8"/>
        <v>EOM plus 10 days</v>
      </c>
      <c r="E156" s="4">
        <v>10</v>
      </c>
      <c r="F156" s="104">
        <f t="shared" si="9"/>
        <v>41588</v>
      </c>
      <c r="J156" s="104">
        <f t="shared" si="10"/>
        <v>41588</v>
      </c>
      <c r="L156" t="b">
        <f t="shared" si="11"/>
        <v>1</v>
      </c>
    </row>
    <row r="157" spans="1:12" x14ac:dyDescent="0.25">
      <c r="A157" s="8">
        <v>41558</v>
      </c>
      <c r="B157" s="4">
        <v>59120</v>
      </c>
      <c r="C157" s="57">
        <v>322.38</v>
      </c>
      <c r="D157" s="4" t="str">
        <f t="shared" si="8"/>
        <v>EOM plus 10 days</v>
      </c>
      <c r="E157" s="4">
        <v>10</v>
      </c>
      <c r="F157" s="104">
        <f t="shared" si="9"/>
        <v>41588</v>
      </c>
      <c r="J157" s="104">
        <f t="shared" si="10"/>
        <v>41588</v>
      </c>
      <c r="L157" t="b">
        <f t="shared" si="11"/>
        <v>1</v>
      </c>
    </row>
    <row r="158" spans="1:12" x14ac:dyDescent="0.25">
      <c r="A158" s="8">
        <v>41559</v>
      </c>
      <c r="B158" s="4">
        <v>59121</v>
      </c>
      <c r="C158" s="57">
        <v>325.39</v>
      </c>
      <c r="D158" s="4" t="str">
        <f t="shared" si="8"/>
        <v>EOM plus 10 days</v>
      </c>
      <c r="E158" s="4">
        <v>10</v>
      </c>
      <c r="F158" s="104">
        <f t="shared" si="9"/>
        <v>41588</v>
      </c>
      <c r="J158" s="104">
        <f t="shared" si="10"/>
        <v>41588</v>
      </c>
      <c r="L158" t="b">
        <f t="shared" si="11"/>
        <v>1</v>
      </c>
    </row>
    <row r="159" spans="1:12" x14ac:dyDescent="0.25">
      <c r="A159" s="8">
        <v>41559</v>
      </c>
      <c r="B159" s="4">
        <v>59122</v>
      </c>
      <c r="C159" s="57">
        <v>329.75</v>
      </c>
      <c r="D159" s="4" t="str">
        <f t="shared" si="8"/>
        <v>EOM plus 5 days</v>
      </c>
      <c r="E159" s="4">
        <v>5</v>
      </c>
      <c r="F159" s="104">
        <f t="shared" si="9"/>
        <v>41583</v>
      </c>
      <c r="J159" s="104">
        <f t="shared" si="10"/>
        <v>41583</v>
      </c>
      <c r="L159" t="b">
        <f t="shared" si="11"/>
        <v>1</v>
      </c>
    </row>
    <row r="160" spans="1:12" x14ac:dyDescent="0.25">
      <c r="A160" s="8">
        <v>41559</v>
      </c>
      <c r="B160" s="4">
        <v>59123</v>
      </c>
      <c r="C160" s="57">
        <v>47.73</v>
      </c>
      <c r="D160" s="4" t="str">
        <f t="shared" si="8"/>
        <v>EOM plus 5 days</v>
      </c>
      <c r="E160" s="4">
        <v>5</v>
      </c>
      <c r="F160" s="104">
        <f t="shared" si="9"/>
        <v>41583</v>
      </c>
      <c r="J160" s="104">
        <f t="shared" si="10"/>
        <v>41583</v>
      </c>
      <c r="L160" t="b">
        <f t="shared" si="11"/>
        <v>1</v>
      </c>
    </row>
    <row r="161" spans="1:12" x14ac:dyDescent="0.25">
      <c r="A161" s="8">
        <v>41559</v>
      </c>
      <c r="B161" s="4">
        <v>59124</v>
      </c>
      <c r="C161" s="57">
        <v>75.069999999999993</v>
      </c>
      <c r="D161" s="4" t="str">
        <f t="shared" si="8"/>
        <v>EOM plus 10 days</v>
      </c>
      <c r="E161" s="4">
        <v>10</v>
      </c>
      <c r="F161" s="104">
        <f t="shared" si="9"/>
        <v>41588</v>
      </c>
      <c r="J161" s="104">
        <f t="shared" si="10"/>
        <v>41588</v>
      </c>
      <c r="L161" t="b">
        <f t="shared" si="11"/>
        <v>1</v>
      </c>
    </row>
    <row r="162" spans="1:12" x14ac:dyDescent="0.25">
      <c r="A162" s="8">
        <v>41559</v>
      </c>
      <c r="B162" s="4">
        <v>59125</v>
      </c>
      <c r="C162" s="57">
        <v>152.38999999999999</v>
      </c>
      <c r="D162" s="4" t="str">
        <f t="shared" si="8"/>
        <v>EOM plus 5 days</v>
      </c>
      <c r="E162" s="4">
        <v>5</v>
      </c>
      <c r="F162" s="104">
        <f t="shared" si="9"/>
        <v>41583</v>
      </c>
      <c r="J162" s="104">
        <f t="shared" si="10"/>
        <v>41583</v>
      </c>
      <c r="L162" t="b">
        <f t="shared" si="11"/>
        <v>1</v>
      </c>
    </row>
    <row r="163" spans="1:12" x14ac:dyDescent="0.25">
      <c r="A163" s="8">
        <v>41559</v>
      </c>
      <c r="B163" s="4">
        <v>59126</v>
      </c>
      <c r="C163" s="57">
        <v>285.69</v>
      </c>
      <c r="D163" s="4" t="str">
        <f t="shared" si="8"/>
        <v>EOM plus 5 days</v>
      </c>
      <c r="E163" s="4">
        <v>5</v>
      </c>
      <c r="F163" s="104">
        <f t="shared" si="9"/>
        <v>41583</v>
      </c>
      <c r="J163" s="104">
        <f t="shared" si="10"/>
        <v>41583</v>
      </c>
      <c r="L163" t="b">
        <f t="shared" si="11"/>
        <v>1</v>
      </c>
    </row>
    <row r="164" spans="1:12" x14ac:dyDescent="0.25">
      <c r="A164" s="8">
        <v>41559</v>
      </c>
      <c r="B164" s="4">
        <v>59127</v>
      </c>
      <c r="C164" s="57">
        <v>284.08</v>
      </c>
      <c r="D164" s="4" t="str">
        <f t="shared" si="8"/>
        <v>EOM plus 5 days</v>
      </c>
      <c r="E164" s="4">
        <v>5</v>
      </c>
      <c r="F164" s="104">
        <f t="shared" si="9"/>
        <v>41583</v>
      </c>
      <c r="J164" s="104">
        <f t="shared" si="10"/>
        <v>41583</v>
      </c>
      <c r="L164" t="b">
        <f t="shared" si="11"/>
        <v>1</v>
      </c>
    </row>
    <row r="165" spans="1:12" x14ac:dyDescent="0.25">
      <c r="A165" s="8">
        <v>41559</v>
      </c>
      <c r="B165" s="4">
        <v>59128</v>
      </c>
      <c r="C165" s="57">
        <v>111.94</v>
      </c>
      <c r="D165" s="4" t="str">
        <f t="shared" si="8"/>
        <v>EOM plus 10 days</v>
      </c>
      <c r="E165" s="4">
        <v>10</v>
      </c>
      <c r="F165" s="104">
        <f t="shared" si="9"/>
        <v>41588</v>
      </c>
      <c r="J165" s="104">
        <f t="shared" si="10"/>
        <v>41588</v>
      </c>
      <c r="L165" t="b">
        <f t="shared" si="11"/>
        <v>1</v>
      </c>
    </row>
    <row r="166" spans="1:12" x14ac:dyDescent="0.25">
      <c r="A166" s="8">
        <v>41559</v>
      </c>
      <c r="B166" s="4">
        <v>59129</v>
      </c>
      <c r="C166" s="57">
        <v>58.69</v>
      </c>
      <c r="D166" s="4" t="str">
        <f t="shared" si="8"/>
        <v>EOM plus 10 days</v>
      </c>
      <c r="E166" s="4">
        <v>10</v>
      </c>
      <c r="F166" s="104">
        <f t="shared" si="9"/>
        <v>41588</v>
      </c>
      <c r="J166" s="104">
        <f t="shared" si="10"/>
        <v>41588</v>
      </c>
      <c r="L166" t="b">
        <f t="shared" si="11"/>
        <v>1</v>
      </c>
    </row>
    <row r="167" spans="1:12" x14ac:dyDescent="0.25">
      <c r="A167" s="8">
        <v>41559</v>
      </c>
      <c r="B167" s="4">
        <v>59130</v>
      </c>
      <c r="C167" s="57">
        <v>74.290000000000006</v>
      </c>
      <c r="D167" s="4" t="str">
        <f t="shared" si="8"/>
        <v>EOM plus 10 days</v>
      </c>
      <c r="E167" s="4">
        <v>10</v>
      </c>
      <c r="F167" s="104">
        <f t="shared" si="9"/>
        <v>41588</v>
      </c>
      <c r="J167" s="104">
        <f t="shared" si="10"/>
        <v>41588</v>
      </c>
      <c r="L167" t="b">
        <f t="shared" si="11"/>
        <v>1</v>
      </c>
    </row>
    <row r="168" spans="1:12" x14ac:dyDescent="0.25">
      <c r="A168" s="8">
        <v>41559</v>
      </c>
      <c r="B168" s="4">
        <v>59131</v>
      </c>
      <c r="C168" s="57">
        <v>230.41</v>
      </c>
      <c r="D168" s="4" t="str">
        <f t="shared" si="8"/>
        <v>EOM plus 10 days</v>
      </c>
      <c r="E168" s="4">
        <v>10</v>
      </c>
      <c r="F168" s="104">
        <f t="shared" si="9"/>
        <v>41588</v>
      </c>
      <c r="J168" s="104">
        <f t="shared" si="10"/>
        <v>41588</v>
      </c>
      <c r="L168" t="b">
        <f t="shared" si="11"/>
        <v>1</v>
      </c>
    </row>
    <row r="169" spans="1:12" x14ac:dyDescent="0.25">
      <c r="A169" s="8">
        <v>41559</v>
      </c>
      <c r="B169" s="4">
        <v>59132</v>
      </c>
      <c r="C169" s="57">
        <v>348.47</v>
      </c>
      <c r="D169" s="4" t="str">
        <f t="shared" si="8"/>
        <v>EOM plus 5 days</v>
      </c>
      <c r="E169" s="4">
        <v>5</v>
      </c>
      <c r="F169" s="104">
        <f t="shared" si="9"/>
        <v>41583</v>
      </c>
      <c r="J169" s="104">
        <f t="shared" si="10"/>
        <v>41583</v>
      </c>
      <c r="L169" t="b">
        <f t="shared" si="11"/>
        <v>1</v>
      </c>
    </row>
    <row r="170" spans="1:12" x14ac:dyDescent="0.25">
      <c r="A170" s="8">
        <v>41559</v>
      </c>
      <c r="B170" s="4">
        <v>59133</v>
      </c>
      <c r="C170" s="57">
        <v>357.34</v>
      </c>
      <c r="D170" s="4" t="str">
        <f t="shared" si="8"/>
        <v>EOM plus 20 days</v>
      </c>
      <c r="E170" s="4">
        <v>20</v>
      </c>
      <c r="F170" s="104">
        <f t="shared" si="9"/>
        <v>41598</v>
      </c>
      <c r="J170" s="104">
        <f t="shared" si="10"/>
        <v>41598</v>
      </c>
      <c r="L170" t="b">
        <f t="shared" si="11"/>
        <v>1</v>
      </c>
    </row>
    <row r="171" spans="1:12" x14ac:dyDescent="0.25">
      <c r="A171" s="8">
        <v>41559</v>
      </c>
      <c r="B171" s="4">
        <v>59134</v>
      </c>
      <c r="C171" s="57">
        <v>145.47</v>
      </c>
      <c r="D171" s="4" t="str">
        <f t="shared" si="8"/>
        <v>EOM plus 20 days</v>
      </c>
      <c r="E171" s="4">
        <v>20</v>
      </c>
      <c r="F171" s="104">
        <f t="shared" si="9"/>
        <v>41598</v>
      </c>
      <c r="J171" s="104">
        <f t="shared" si="10"/>
        <v>41598</v>
      </c>
      <c r="L171" t="b">
        <f t="shared" si="11"/>
        <v>1</v>
      </c>
    </row>
    <row r="172" spans="1:12" x14ac:dyDescent="0.25">
      <c r="A172" s="8">
        <v>41559</v>
      </c>
      <c r="B172" s="4">
        <v>59135</v>
      </c>
      <c r="C172" s="57">
        <v>48.37</v>
      </c>
      <c r="D172" s="4" t="str">
        <f t="shared" si="8"/>
        <v>EOM plus 10 days</v>
      </c>
      <c r="E172" s="4">
        <v>10</v>
      </c>
      <c r="F172" s="104">
        <f t="shared" si="9"/>
        <v>41588</v>
      </c>
      <c r="J172" s="104">
        <f t="shared" si="10"/>
        <v>41588</v>
      </c>
      <c r="L172" t="b">
        <f t="shared" si="11"/>
        <v>1</v>
      </c>
    </row>
    <row r="173" spans="1:12" x14ac:dyDescent="0.25">
      <c r="A173" s="8">
        <v>41559</v>
      </c>
      <c r="B173" s="4">
        <v>59136</v>
      </c>
      <c r="C173" s="57">
        <v>342.34</v>
      </c>
      <c r="D173" s="4" t="str">
        <f t="shared" si="8"/>
        <v>EOM plus 10 days</v>
      </c>
      <c r="E173" s="4">
        <v>10</v>
      </c>
      <c r="F173" s="104">
        <f t="shared" si="9"/>
        <v>41588</v>
      </c>
      <c r="J173" s="104">
        <f t="shared" si="10"/>
        <v>41588</v>
      </c>
      <c r="L173" t="b">
        <f t="shared" si="11"/>
        <v>1</v>
      </c>
    </row>
    <row r="174" spans="1:12" x14ac:dyDescent="0.25">
      <c r="A174" s="8">
        <v>41559</v>
      </c>
      <c r="B174" s="4">
        <v>59137</v>
      </c>
      <c r="C174" s="57">
        <v>278.18</v>
      </c>
      <c r="D174" s="4" t="str">
        <f t="shared" si="8"/>
        <v>EOM plus 5 days</v>
      </c>
      <c r="E174" s="4">
        <v>5</v>
      </c>
      <c r="F174" s="104">
        <f t="shared" si="9"/>
        <v>41583</v>
      </c>
      <c r="J174" s="104">
        <f t="shared" si="10"/>
        <v>41583</v>
      </c>
      <c r="L174" t="b">
        <f t="shared" si="11"/>
        <v>1</v>
      </c>
    </row>
    <row r="175" spans="1:12" x14ac:dyDescent="0.25">
      <c r="A175" s="8">
        <v>41559</v>
      </c>
      <c r="B175" s="4">
        <v>59138</v>
      </c>
      <c r="C175" s="57">
        <v>324.29000000000002</v>
      </c>
      <c r="D175" s="4" t="str">
        <f t="shared" si="8"/>
        <v>EOM plus 10 days</v>
      </c>
      <c r="E175" s="4">
        <v>10</v>
      </c>
      <c r="F175" s="104">
        <f t="shared" si="9"/>
        <v>41588</v>
      </c>
      <c r="J175" s="104">
        <f t="shared" si="10"/>
        <v>41588</v>
      </c>
      <c r="L175" t="b">
        <f t="shared" si="11"/>
        <v>1</v>
      </c>
    </row>
    <row r="176" spans="1:12" x14ac:dyDescent="0.25">
      <c r="A176" s="8">
        <v>41559</v>
      </c>
      <c r="B176" s="4">
        <v>59139</v>
      </c>
      <c r="C176" s="57">
        <v>76.45</v>
      </c>
      <c r="D176" s="4" t="str">
        <f t="shared" si="8"/>
        <v>EOM plus 15 days</v>
      </c>
      <c r="E176" s="4">
        <v>15</v>
      </c>
      <c r="F176" s="104">
        <f t="shared" si="9"/>
        <v>41593</v>
      </c>
      <c r="J176" s="104">
        <f t="shared" si="10"/>
        <v>41593</v>
      </c>
      <c r="L176" t="b">
        <f t="shared" si="11"/>
        <v>1</v>
      </c>
    </row>
    <row r="177" spans="1:12" x14ac:dyDescent="0.25">
      <c r="A177" s="8">
        <v>41559</v>
      </c>
      <c r="B177" s="4">
        <v>59140</v>
      </c>
      <c r="C177" s="57">
        <v>114.44</v>
      </c>
      <c r="D177" s="4" t="str">
        <f t="shared" si="8"/>
        <v>EOM plus 10 days</v>
      </c>
      <c r="E177" s="4">
        <v>10</v>
      </c>
      <c r="F177" s="104">
        <f t="shared" si="9"/>
        <v>41588</v>
      </c>
      <c r="J177" s="104">
        <f t="shared" si="10"/>
        <v>41588</v>
      </c>
      <c r="L177" t="b">
        <f t="shared" si="11"/>
        <v>1</v>
      </c>
    </row>
    <row r="178" spans="1:12" x14ac:dyDescent="0.25">
      <c r="A178" s="8">
        <v>41559</v>
      </c>
      <c r="B178" s="4">
        <v>59141</v>
      </c>
      <c r="C178" s="57">
        <v>125.72</v>
      </c>
      <c r="D178" s="4" t="str">
        <f t="shared" si="8"/>
        <v>EOM plus 5 days</v>
      </c>
      <c r="E178" s="4">
        <v>5</v>
      </c>
      <c r="F178" s="104">
        <f t="shared" si="9"/>
        <v>41583</v>
      </c>
      <c r="J178" s="104">
        <f t="shared" si="10"/>
        <v>41583</v>
      </c>
      <c r="L178" t="b">
        <f t="shared" si="11"/>
        <v>1</v>
      </c>
    </row>
    <row r="179" spans="1:12" x14ac:dyDescent="0.25">
      <c r="A179" s="8">
        <v>41560</v>
      </c>
      <c r="B179" s="4">
        <v>59142</v>
      </c>
      <c r="C179" s="57">
        <v>111.16</v>
      </c>
      <c r="D179" s="4" t="str">
        <f t="shared" si="8"/>
        <v>EOM plus 15 days</v>
      </c>
      <c r="E179" s="4">
        <v>15</v>
      </c>
      <c r="F179" s="104">
        <f t="shared" si="9"/>
        <v>41593</v>
      </c>
      <c r="J179" s="104">
        <f t="shared" si="10"/>
        <v>41593</v>
      </c>
      <c r="L179" t="b">
        <f t="shared" si="11"/>
        <v>1</v>
      </c>
    </row>
    <row r="180" spans="1:12" x14ac:dyDescent="0.25">
      <c r="A180" s="8">
        <v>41560</v>
      </c>
      <c r="B180" s="4">
        <v>59143</v>
      </c>
      <c r="C180" s="57">
        <v>46.82</v>
      </c>
      <c r="D180" s="4" t="str">
        <f t="shared" si="8"/>
        <v>EOM plus 5 days</v>
      </c>
      <c r="E180" s="4">
        <v>5</v>
      </c>
      <c r="F180" s="104">
        <f t="shared" si="9"/>
        <v>41583</v>
      </c>
      <c r="J180" s="104">
        <f t="shared" si="10"/>
        <v>41583</v>
      </c>
      <c r="L180" t="b">
        <f t="shared" si="11"/>
        <v>1</v>
      </c>
    </row>
    <row r="181" spans="1:12" x14ac:dyDescent="0.25">
      <c r="A181" s="8">
        <v>41560</v>
      </c>
      <c r="B181" s="4">
        <v>59144</v>
      </c>
      <c r="C181" s="57">
        <v>213.48</v>
      </c>
      <c r="D181" s="4" t="str">
        <f t="shared" si="8"/>
        <v>EOM plus 10 days</v>
      </c>
      <c r="E181" s="4">
        <v>10</v>
      </c>
      <c r="F181" s="104">
        <f t="shared" si="9"/>
        <v>41588</v>
      </c>
      <c r="J181" s="104">
        <f t="shared" si="10"/>
        <v>41588</v>
      </c>
      <c r="L181" t="b">
        <f t="shared" si="11"/>
        <v>1</v>
      </c>
    </row>
    <row r="182" spans="1:12" x14ac:dyDescent="0.25">
      <c r="A182" s="8">
        <v>41560</v>
      </c>
      <c r="B182" s="4">
        <v>59145</v>
      </c>
      <c r="C182" s="57">
        <v>128.81</v>
      </c>
      <c r="D182" s="4" t="str">
        <f t="shared" si="8"/>
        <v>EOM plus 10 days</v>
      </c>
      <c r="E182" s="4">
        <v>10</v>
      </c>
      <c r="F182" s="104">
        <f t="shared" si="9"/>
        <v>41588</v>
      </c>
      <c r="J182" s="104">
        <f t="shared" si="10"/>
        <v>41588</v>
      </c>
      <c r="L182" t="b">
        <f t="shared" si="11"/>
        <v>1</v>
      </c>
    </row>
    <row r="183" spans="1:12" x14ac:dyDescent="0.25">
      <c r="A183" s="8">
        <v>41560</v>
      </c>
      <c r="B183" s="4">
        <v>59146</v>
      </c>
      <c r="C183" s="57">
        <v>380.16</v>
      </c>
      <c r="D183" s="4" t="str">
        <f t="shared" si="8"/>
        <v>EOM plus 10 days</v>
      </c>
      <c r="E183" s="4">
        <v>10</v>
      </c>
      <c r="F183" s="104">
        <f t="shared" si="9"/>
        <v>41588</v>
      </c>
      <c r="J183" s="104">
        <f t="shared" si="10"/>
        <v>41588</v>
      </c>
      <c r="L183" t="b">
        <f t="shared" si="11"/>
        <v>1</v>
      </c>
    </row>
    <row r="184" spans="1:12" x14ac:dyDescent="0.25">
      <c r="A184" s="8">
        <v>41560</v>
      </c>
      <c r="B184" s="4">
        <v>59147</v>
      </c>
      <c r="C184" s="57">
        <v>71.739999999999995</v>
      </c>
      <c r="D184" s="4" t="str">
        <f t="shared" si="8"/>
        <v>EOM plus 5 days</v>
      </c>
      <c r="E184" s="4">
        <v>5</v>
      </c>
      <c r="F184" s="104">
        <f t="shared" si="9"/>
        <v>41583</v>
      </c>
      <c r="J184" s="104">
        <f t="shared" si="10"/>
        <v>41583</v>
      </c>
      <c r="L184" t="b">
        <f t="shared" si="11"/>
        <v>1</v>
      </c>
    </row>
    <row r="185" spans="1:12" x14ac:dyDescent="0.25">
      <c r="A185" s="8">
        <v>41560</v>
      </c>
      <c r="B185" s="4">
        <v>59148</v>
      </c>
      <c r="C185" s="57">
        <v>340.88</v>
      </c>
      <c r="D185" s="4" t="str">
        <f t="shared" si="8"/>
        <v>EOM plus 15 days</v>
      </c>
      <c r="E185" s="4">
        <v>15</v>
      </c>
      <c r="F185" s="104">
        <f t="shared" si="9"/>
        <v>41593</v>
      </c>
      <c r="J185" s="104">
        <f t="shared" si="10"/>
        <v>41593</v>
      </c>
      <c r="L185" t="b">
        <f t="shared" si="11"/>
        <v>1</v>
      </c>
    </row>
    <row r="186" spans="1:12" x14ac:dyDescent="0.25">
      <c r="A186" s="8">
        <v>41560</v>
      </c>
      <c r="B186" s="4">
        <v>59149</v>
      </c>
      <c r="C186" s="57">
        <v>182.63</v>
      </c>
      <c r="D186" s="4" t="str">
        <f t="shared" si="8"/>
        <v>EOM plus 5 days</v>
      </c>
      <c r="E186" s="4">
        <v>5</v>
      </c>
      <c r="F186" s="104">
        <f t="shared" si="9"/>
        <v>41583</v>
      </c>
      <c r="J186" s="104">
        <f t="shared" si="10"/>
        <v>41583</v>
      </c>
      <c r="L186" t="b">
        <f t="shared" si="11"/>
        <v>1</v>
      </c>
    </row>
    <row r="187" spans="1:12" x14ac:dyDescent="0.25">
      <c r="A187" s="8">
        <v>41560</v>
      </c>
      <c r="B187" s="4">
        <v>59150</v>
      </c>
      <c r="C187" s="57">
        <v>260.07</v>
      </c>
      <c r="D187" s="4" t="str">
        <f t="shared" si="8"/>
        <v>EOM plus 5 days</v>
      </c>
      <c r="E187" s="4">
        <v>5</v>
      </c>
      <c r="F187" s="104">
        <f t="shared" si="9"/>
        <v>41583</v>
      </c>
      <c r="J187" s="104">
        <f t="shared" si="10"/>
        <v>41583</v>
      </c>
      <c r="L187" t="b">
        <f t="shared" si="11"/>
        <v>1</v>
      </c>
    </row>
    <row r="188" spans="1:12" x14ac:dyDescent="0.25">
      <c r="A188" s="8">
        <v>41560</v>
      </c>
      <c r="B188" s="4">
        <v>59151</v>
      </c>
      <c r="C188" s="57">
        <v>314.39999999999998</v>
      </c>
      <c r="D188" s="4" t="str">
        <f t="shared" si="8"/>
        <v>EOM plus 10 days</v>
      </c>
      <c r="E188" s="4">
        <v>10</v>
      </c>
      <c r="F188" s="104">
        <f t="shared" si="9"/>
        <v>41588</v>
      </c>
      <c r="J188" s="104">
        <f t="shared" si="10"/>
        <v>41588</v>
      </c>
      <c r="L188" t="b">
        <f t="shared" si="11"/>
        <v>1</v>
      </c>
    </row>
    <row r="189" spans="1:12" x14ac:dyDescent="0.25">
      <c r="A189" s="8">
        <v>41560</v>
      </c>
      <c r="B189" s="4">
        <v>59152</v>
      </c>
      <c r="C189" s="57">
        <v>49.44</v>
      </c>
      <c r="D189" s="4" t="str">
        <f t="shared" si="8"/>
        <v>EOM plus 10 days</v>
      </c>
      <c r="E189" s="4">
        <v>10</v>
      </c>
      <c r="F189" s="104">
        <f t="shared" si="9"/>
        <v>41588</v>
      </c>
      <c r="J189" s="104">
        <f t="shared" si="10"/>
        <v>41588</v>
      </c>
      <c r="L189" t="b">
        <f t="shared" si="11"/>
        <v>1</v>
      </c>
    </row>
    <row r="190" spans="1:12" x14ac:dyDescent="0.25">
      <c r="A190" s="8">
        <v>41560</v>
      </c>
      <c r="B190" s="4">
        <v>59153</v>
      </c>
      <c r="C190" s="57">
        <v>39.53</v>
      </c>
      <c r="D190" s="4" t="str">
        <f t="shared" si="8"/>
        <v>EOM plus 5 days</v>
      </c>
      <c r="E190" s="4">
        <v>5</v>
      </c>
      <c r="F190" s="104">
        <f t="shared" si="9"/>
        <v>41583</v>
      </c>
      <c r="J190" s="104">
        <f t="shared" si="10"/>
        <v>41583</v>
      </c>
      <c r="L190" t="b">
        <f t="shared" si="11"/>
        <v>1</v>
      </c>
    </row>
    <row r="191" spans="1:12" x14ac:dyDescent="0.25">
      <c r="A191" s="8">
        <v>41560</v>
      </c>
      <c r="B191" s="4">
        <v>59154</v>
      </c>
      <c r="C191" s="57">
        <v>157.85</v>
      </c>
      <c r="D191" s="4" t="str">
        <f t="shared" si="8"/>
        <v>EOM plus 5 days</v>
      </c>
      <c r="E191" s="4">
        <v>5</v>
      </c>
      <c r="F191" s="104">
        <f t="shared" si="9"/>
        <v>41583</v>
      </c>
      <c r="J191" s="104">
        <f t="shared" si="10"/>
        <v>41583</v>
      </c>
      <c r="L191" t="b">
        <f t="shared" si="11"/>
        <v>1</v>
      </c>
    </row>
    <row r="192" spans="1:12" x14ac:dyDescent="0.25">
      <c r="A192" s="8">
        <v>41560</v>
      </c>
      <c r="B192" s="4">
        <v>59155</v>
      </c>
      <c r="C192" s="57">
        <v>99.53</v>
      </c>
      <c r="D192" s="4" t="str">
        <f t="shared" si="8"/>
        <v>EOM plus 10 days</v>
      </c>
      <c r="E192" s="4">
        <v>10</v>
      </c>
      <c r="F192" s="104">
        <f t="shared" si="9"/>
        <v>41588</v>
      </c>
      <c r="J192" s="104">
        <f t="shared" si="10"/>
        <v>41588</v>
      </c>
      <c r="L192" t="b">
        <f t="shared" si="11"/>
        <v>1</v>
      </c>
    </row>
    <row r="193" spans="1:12" x14ac:dyDescent="0.25">
      <c r="A193" s="8">
        <v>41560</v>
      </c>
      <c r="B193" s="4">
        <v>59156</v>
      </c>
      <c r="C193" s="57">
        <v>180.01</v>
      </c>
      <c r="D193" s="4" t="str">
        <f t="shared" si="8"/>
        <v>EOM plus 5 days</v>
      </c>
      <c r="E193" s="4">
        <v>5</v>
      </c>
      <c r="F193" s="104">
        <f t="shared" si="9"/>
        <v>41583</v>
      </c>
      <c r="J193" s="104">
        <f t="shared" si="10"/>
        <v>41583</v>
      </c>
      <c r="L193" t="b">
        <f t="shared" si="11"/>
        <v>1</v>
      </c>
    </row>
    <row r="194" spans="1:12" x14ac:dyDescent="0.25">
      <c r="A194" s="8">
        <v>41561</v>
      </c>
      <c r="B194" s="4">
        <v>59157</v>
      </c>
      <c r="C194" s="57">
        <v>168.56</v>
      </c>
      <c r="D194" s="4" t="str">
        <f t="shared" si="8"/>
        <v>EOM plus 10 days</v>
      </c>
      <c r="E194" s="4">
        <v>10</v>
      </c>
      <c r="F194" s="104">
        <f t="shared" si="9"/>
        <v>41588</v>
      </c>
      <c r="J194" s="104">
        <f t="shared" si="10"/>
        <v>41588</v>
      </c>
      <c r="L194" t="b">
        <f t="shared" si="11"/>
        <v>1</v>
      </c>
    </row>
    <row r="195" spans="1:12" x14ac:dyDescent="0.25">
      <c r="A195" s="8">
        <v>41561</v>
      </c>
      <c r="B195" s="4">
        <v>59158</v>
      </c>
      <c r="C195" s="57">
        <v>169.08</v>
      </c>
      <c r="D195" s="4" t="str">
        <f t="shared" si="8"/>
        <v>EOM plus 5 days</v>
      </c>
      <c r="E195" s="4">
        <v>5</v>
      </c>
      <c r="F195" s="104">
        <f t="shared" si="9"/>
        <v>41583</v>
      </c>
      <c r="J195" s="104">
        <f t="shared" si="10"/>
        <v>41583</v>
      </c>
      <c r="L195" t="b">
        <f t="shared" si="11"/>
        <v>1</v>
      </c>
    </row>
    <row r="196" spans="1:12" x14ac:dyDescent="0.25">
      <c r="A196" s="8">
        <v>41561</v>
      </c>
      <c r="B196" s="4">
        <v>59159</v>
      </c>
      <c r="C196" s="57">
        <v>39.119999999999997</v>
      </c>
      <c r="D196" s="4" t="str">
        <f t="shared" si="8"/>
        <v>EOM plus 10 days</v>
      </c>
      <c r="E196" s="4">
        <v>10</v>
      </c>
      <c r="F196" s="104">
        <f t="shared" si="9"/>
        <v>41588</v>
      </c>
      <c r="J196" s="104">
        <f t="shared" si="10"/>
        <v>41588</v>
      </c>
      <c r="L196" t="b">
        <f t="shared" si="11"/>
        <v>1</v>
      </c>
    </row>
    <row r="197" spans="1:12" x14ac:dyDescent="0.25">
      <c r="A197" s="8">
        <v>41561</v>
      </c>
      <c r="B197" s="4">
        <v>59160</v>
      </c>
      <c r="C197" s="57">
        <v>78.98</v>
      </c>
      <c r="D197" s="4" t="str">
        <f t="shared" ref="D197:D260" si="12">"EOM plus "&amp;E197&amp;" days"</f>
        <v>EOM plus 5 days</v>
      </c>
      <c r="E197" s="4">
        <v>5</v>
      </c>
      <c r="F197" s="104">
        <f t="shared" si="9"/>
        <v>41583</v>
      </c>
      <c r="J197" s="104">
        <f t="shared" si="10"/>
        <v>41583</v>
      </c>
      <c r="L197" t="b">
        <f t="shared" si="11"/>
        <v>1</v>
      </c>
    </row>
    <row r="198" spans="1:12" x14ac:dyDescent="0.25">
      <c r="A198" s="8">
        <v>41561</v>
      </c>
      <c r="B198" s="4">
        <v>59161</v>
      </c>
      <c r="C198" s="57">
        <v>195.01</v>
      </c>
      <c r="D198" s="4" t="str">
        <f t="shared" si="12"/>
        <v>EOM plus 10 days</v>
      </c>
      <c r="E198" s="4">
        <v>10</v>
      </c>
      <c r="F198" s="104">
        <f t="shared" ref="F198:F261" si="13">EOMONTH(A198,0)+E198</f>
        <v>41588</v>
      </c>
      <c r="J198" s="104">
        <f t="shared" ref="J198:J261" si="14">DATE(YEAR(A198),MONTH(A198)+1,E198)</f>
        <v>41588</v>
      </c>
      <c r="L198" t="b">
        <f t="shared" ref="L198:L261" si="15">J198=F198</f>
        <v>1</v>
      </c>
    </row>
    <row r="199" spans="1:12" x14ac:dyDescent="0.25">
      <c r="A199" s="8">
        <v>41561</v>
      </c>
      <c r="B199" s="4">
        <v>59162</v>
      </c>
      <c r="C199" s="57">
        <v>308.02</v>
      </c>
      <c r="D199" s="4" t="str">
        <f t="shared" si="12"/>
        <v>EOM plus 15 days</v>
      </c>
      <c r="E199" s="4">
        <v>15</v>
      </c>
      <c r="F199" s="104">
        <f t="shared" si="13"/>
        <v>41593</v>
      </c>
      <c r="J199" s="104">
        <f t="shared" si="14"/>
        <v>41593</v>
      </c>
      <c r="L199" t="b">
        <f t="shared" si="15"/>
        <v>1</v>
      </c>
    </row>
    <row r="200" spans="1:12" x14ac:dyDescent="0.25">
      <c r="A200" s="8">
        <v>41561</v>
      </c>
      <c r="B200" s="4">
        <v>59163</v>
      </c>
      <c r="C200" s="57">
        <v>331.5</v>
      </c>
      <c r="D200" s="4" t="str">
        <f t="shared" si="12"/>
        <v>EOM plus 5 days</v>
      </c>
      <c r="E200" s="4">
        <v>5</v>
      </c>
      <c r="F200" s="104">
        <f t="shared" si="13"/>
        <v>41583</v>
      </c>
      <c r="J200" s="104">
        <f t="shared" si="14"/>
        <v>41583</v>
      </c>
      <c r="L200" t="b">
        <f t="shared" si="15"/>
        <v>1</v>
      </c>
    </row>
    <row r="201" spans="1:12" x14ac:dyDescent="0.25">
      <c r="A201" s="8">
        <v>41561</v>
      </c>
      <c r="B201" s="4">
        <v>59164</v>
      </c>
      <c r="C201" s="57">
        <v>389.32</v>
      </c>
      <c r="D201" s="4" t="str">
        <f t="shared" si="12"/>
        <v>EOM plus 10 days</v>
      </c>
      <c r="E201" s="4">
        <v>10</v>
      </c>
      <c r="F201" s="104">
        <f t="shared" si="13"/>
        <v>41588</v>
      </c>
      <c r="J201" s="104">
        <f t="shared" si="14"/>
        <v>41588</v>
      </c>
      <c r="L201" t="b">
        <f t="shared" si="15"/>
        <v>1</v>
      </c>
    </row>
    <row r="202" spans="1:12" x14ac:dyDescent="0.25">
      <c r="A202" s="8">
        <v>41561</v>
      </c>
      <c r="B202" s="4">
        <v>59165</v>
      </c>
      <c r="C202" s="57">
        <v>78.14</v>
      </c>
      <c r="D202" s="4" t="str">
        <f t="shared" si="12"/>
        <v>EOM plus 15 days</v>
      </c>
      <c r="E202" s="4">
        <v>15</v>
      </c>
      <c r="F202" s="104">
        <f t="shared" si="13"/>
        <v>41593</v>
      </c>
      <c r="J202" s="104">
        <f t="shared" si="14"/>
        <v>41593</v>
      </c>
      <c r="L202" t="b">
        <f t="shared" si="15"/>
        <v>1</v>
      </c>
    </row>
    <row r="203" spans="1:12" x14ac:dyDescent="0.25">
      <c r="A203" s="8">
        <v>41561</v>
      </c>
      <c r="B203" s="4">
        <v>59166</v>
      </c>
      <c r="C203" s="57">
        <v>316.86</v>
      </c>
      <c r="D203" s="4" t="str">
        <f t="shared" si="12"/>
        <v>EOM plus 15 days</v>
      </c>
      <c r="E203" s="4">
        <v>15</v>
      </c>
      <c r="F203" s="104">
        <f t="shared" si="13"/>
        <v>41593</v>
      </c>
      <c r="J203" s="104">
        <f t="shared" si="14"/>
        <v>41593</v>
      </c>
      <c r="L203" t="b">
        <f t="shared" si="15"/>
        <v>1</v>
      </c>
    </row>
    <row r="204" spans="1:12" x14ac:dyDescent="0.25">
      <c r="A204" s="8">
        <v>41561</v>
      </c>
      <c r="B204" s="4">
        <v>59167</v>
      </c>
      <c r="C204" s="57">
        <v>113.45</v>
      </c>
      <c r="D204" s="4" t="str">
        <f t="shared" si="12"/>
        <v>EOM plus 5 days</v>
      </c>
      <c r="E204" s="4">
        <v>5</v>
      </c>
      <c r="F204" s="104">
        <f t="shared" si="13"/>
        <v>41583</v>
      </c>
      <c r="J204" s="104">
        <f t="shared" si="14"/>
        <v>41583</v>
      </c>
      <c r="L204" t="b">
        <f t="shared" si="15"/>
        <v>1</v>
      </c>
    </row>
    <row r="205" spans="1:12" x14ac:dyDescent="0.25">
      <c r="A205" s="8">
        <v>41561</v>
      </c>
      <c r="B205" s="4">
        <v>59168</v>
      </c>
      <c r="C205" s="57">
        <v>148</v>
      </c>
      <c r="D205" s="4" t="str">
        <f t="shared" si="12"/>
        <v>EOM plus 5 days</v>
      </c>
      <c r="E205" s="4">
        <v>5</v>
      </c>
      <c r="F205" s="104">
        <f t="shared" si="13"/>
        <v>41583</v>
      </c>
      <c r="J205" s="104">
        <f t="shared" si="14"/>
        <v>41583</v>
      </c>
      <c r="L205" t="b">
        <f t="shared" si="15"/>
        <v>1</v>
      </c>
    </row>
    <row r="206" spans="1:12" x14ac:dyDescent="0.25">
      <c r="A206" s="8">
        <v>41561</v>
      </c>
      <c r="B206" s="4">
        <v>59169</v>
      </c>
      <c r="C206" s="57">
        <v>76.87</v>
      </c>
      <c r="D206" s="4" t="str">
        <f t="shared" si="12"/>
        <v>EOM plus 5 days</v>
      </c>
      <c r="E206" s="4">
        <v>5</v>
      </c>
      <c r="F206" s="104">
        <f t="shared" si="13"/>
        <v>41583</v>
      </c>
      <c r="J206" s="104">
        <f t="shared" si="14"/>
        <v>41583</v>
      </c>
      <c r="L206" t="b">
        <f t="shared" si="15"/>
        <v>1</v>
      </c>
    </row>
    <row r="207" spans="1:12" x14ac:dyDescent="0.25">
      <c r="A207" s="8">
        <v>41561</v>
      </c>
      <c r="B207" s="4">
        <v>59170</v>
      </c>
      <c r="C207" s="57">
        <v>49.18</v>
      </c>
      <c r="D207" s="4" t="str">
        <f t="shared" si="12"/>
        <v>EOM plus 5 days</v>
      </c>
      <c r="E207" s="4">
        <v>5</v>
      </c>
      <c r="F207" s="104">
        <f t="shared" si="13"/>
        <v>41583</v>
      </c>
      <c r="J207" s="104">
        <f t="shared" si="14"/>
        <v>41583</v>
      </c>
      <c r="L207" t="b">
        <f t="shared" si="15"/>
        <v>1</v>
      </c>
    </row>
    <row r="208" spans="1:12" x14ac:dyDescent="0.25">
      <c r="A208" s="8">
        <v>41561</v>
      </c>
      <c r="B208" s="4">
        <v>59171</v>
      </c>
      <c r="C208" s="57">
        <v>263.62</v>
      </c>
      <c r="D208" s="4" t="str">
        <f t="shared" si="12"/>
        <v>EOM plus 5 days</v>
      </c>
      <c r="E208" s="4">
        <v>5</v>
      </c>
      <c r="F208" s="104">
        <f t="shared" si="13"/>
        <v>41583</v>
      </c>
      <c r="J208" s="104">
        <f t="shared" si="14"/>
        <v>41583</v>
      </c>
      <c r="L208" t="b">
        <f t="shared" si="15"/>
        <v>1</v>
      </c>
    </row>
    <row r="209" spans="1:12" x14ac:dyDescent="0.25">
      <c r="A209" s="8">
        <v>41561</v>
      </c>
      <c r="B209" s="4">
        <v>59172</v>
      </c>
      <c r="C209" s="57">
        <v>172.12</v>
      </c>
      <c r="D209" s="4" t="str">
        <f t="shared" si="12"/>
        <v>EOM plus 20 days</v>
      </c>
      <c r="E209" s="4">
        <v>20</v>
      </c>
      <c r="F209" s="104">
        <f t="shared" si="13"/>
        <v>41598</v>
      </c>
      <c r="J209" s="104">
        <f t="shared" si="14"/>
        <v>41598</v>
      </c>
      <c r="L209" t="b">
        <f t="shared" si="15"/>
        <v>1</v>
      </c>
    </row>
    <row r="210" spans="1:12" x14ac:dyDescent="0.25">
      <c r="A210" s="8">
        <v>41561</v>
      </c>
      <c r="B210" s="4">
        <v>59173</v>
      </c>
      <c r="C210" s="57">
        <v>371.9</v>
      </c>
      <c r="D210" s="4" t="str">
        <f t="shared" si="12"/>
        <v>EOM plus 10 days</v>
      </c>
      <c r="E210" s="4">
        <v>10</v>
      </c>
      <c r="F210" s="104">
        <f t="shared" si="13"/>
        <v>41588</v>
      </c>
      <c r="J210" s="104">
        <f t="shared" si="14"/>
        <v>41588</v>
      </c>
      <c r="L210" t="b">
        <f t="shared" si="15"/>
        <v>1</v>
      </c>
    </row>
    <row r="211" spans="1:12" x14ac:dyDescent="0.25">
      <c r="A211" s="8">
        <v>41561</v>
      </c>
      <c r="B211" s="4">
        <v>59174</v>
      </c>
      <c r="C211" s="57">
        <v>87.68</v>
      </c>
      <c r="D211" s="4" t="str">
        <f t="shared" si="12"/>
        <v>EOM plus 15 days</v>
      </c>
      <c r="E211" s="4">
        <v>15</v>
      </c>
      <c r="F211" s="104">
        <f t="shared" si="13"/>
        <v>41593</v>
      </c>
      <c r="J211" s="104">
        <f t="shared" si="14"/>
        <v>41593</v>
      </c>
      <c r="L211" t="b">
        <f t="shared" si="15"/>
        <v>1</v>
      </c>
    </row>
    <row r="212" spans="1:12" x14ac:dyDescent="0.25">
      <c r="A212" s="8">
        <v>41561</v>
      </c>
      <c r="B212" s="4">
        <v>59175</v>
      </c>
      <c r="C212" s="57">
        <v>186.71</v>
      </c>
      <c r="D212" s="4" t="str">
        <f t="shared" si="12"/>
        <v>EOM plus 5 days</v>
      </c>
      <c r="E212" s="4">
        <v>5</v>
      </c>
      <c r="F212" s="104">
        <f t="shared" si="13"/>
        <v>41583</v>
      </c>
      <c r="J212" s="104">
        <f t="shared" si="14"/>
        <v>41583</v>
      </c>
      <c r="L212" t="b">
        <f t="shared" si="15"/>
        <v>1</v>
      </c>
    </row>
    <row r="213" spans="1:12" x14ac:dyDescent="0.25">
      <c r="A213" s="8">
        <v>41561</v>
      </c>
      <c r="B213" s="4">
        <v>59176</v>
      </c>
      <c r="C213" s="57">
        <v>287.68</v>
      </c>
      <c r="D213" s="4" t="str">
        <f t="shared" si="12"/>
        <v>EOM plus 15 days</v>
      </c>
      <c r="E213" s="4">
        <v>15</v>
      </c>
      <c r="F213" s="104">
        <f t="shared" si="13"/>
        <v>41593</v>
      </c>
      <c r="J213" s="104">
        <f t="shared" si="14"/>
        <v>41593</v>
      </c>
      <c r="L213" t="b">
        <f t="shared" si="15"/>
        <v>1</v>
      </c>
    </row>
    <row r="214" spans="1:12" x14ac:dyDescent="0.25">
      <c r="A214" s="8">
        <v>41561</v>
      </c>
      <c r="B214" s="4">
        <v>59177</v>
      </c>
      <c r="C214" s="57">
        <v>164.03</v>
      </c>
      <c r="D214" s="4" t="str">
        <f t="shared" si="12"/>
        <v>EOM plus 5 days</v>
      </c>
      <c r="E214" s="4">
        <v>5</v>
      </c>
      <c r="F214" s="104">
        <f t="shared" si="13"/>
        <v>41583</v>
      </c>
      <c r="J214" s="104">
        <f t="shared" si="14"/>
        <v>41583</v>
      </c>
      <c r="L214" t="b">
        <f t="shared" si="15"/>
        <v>1</v>
      </c>
    </row>
    <row r="215" spans="1:12" x14ac:dyDescent="0.25">
      <c r="A215" s="8">
        <v>41561</v>
      </c>
      <c r="B215" s="4">
        <v>59178</v>
      </c>
      <c r="C215" s="57">
        <v>192.63</v>
      </c>
      <c r="D215" s="4" t="str">
        <f t="shared" si="12"/>
        <v>EOM plus 5 days</v>
      </c>
      <c r="E215" s="4">
        <v>5</v>
      </c>
      <c r="F215" s="104">
        <f t="shared" si="13"/>
        <v>41583</v>
      </c>
      <c r="J215" s="104">
        <f t="shared" si="14"/>
        <v>41583</v>
      </c>
      <c r="L215" t="b">
        <f t="shared" si="15"/>
        <v>1</v>
      </c>
    </row>
    <row r="216" spans="1:12" x14ac:dyDescent="0.25">
      <c r="A216" s="8">
        <v>41561</v>
      </c>
      <c r="B216" s="4">
        <v>59179</v>
      </c>
      <c r="C216" s="57">
        <v>373.88</v>
      </c>
      <c r="D216" s="4" t="str">
        <f t="shared" si="12"/>
        <v>EOM plus 5 days</v>
      </c>
      <c r="E216" s="4">
        <v>5</v>
      </c>
      <c r="F216" s="104">
        <f t="shared" si="13"/>
        <v>41583</v>
      </c>
      <c r="J216" s="104">
        <f t="shared" si="14"/>
        <v>41583</v>
      </c>
      <c r="L216" t="b">
        <f t="shared" si="15"/>
        <v>1</v>
      </c>
    </row>
    <row r="217" spans="1:12" x14ac:dyDescent="0.25">
      <c r="A217" s="8">
        <v>41561</v>
      </c>
      <c r="B217" s="4">
        <v>59180</v>
      </c>
      <c r="C217" s="57">
        <v>217.53</v>
      </c>
      <c r="D217" s="4" t="str">
        <f t="shared" si="12"/>
        <v>EOM plus 5 days</v>
      </c>
      <c r="E217" s="4">
        <v>5</v>
      </c>
      <c r="F217" s="104">
        <f t="shared" si="13"/>
        <v>41583</v>
      </c>
      <c r="J217" s="104">
        <f t="shared" si="14"/>
        <v>41583</v>
      </c>
      <c r="L217" t="b">
        <f t="shared" si="15"/>
        <v>1</v>
      </c>
    </row>
    <row r="218" spans="1:12" x14ac:dyDescent="0.25">
      <c r="A218" s="8">
        <v>41561</v>
      </c>
      <c r="B218" s="4">
        <v>59181</v>
      </c>
      <c r="C218" s="57">
        <v>210.51</v>
      </c>
      <c r="D218" s="4" t="str">
        <f t="shared" si="12"/>
        <v>EOM plus 10 days</v>
      </c>
      <c r="E218" s="4">
        <v>10</v>
      </c>
      <c r="F218" s="104">
        <f t="shared" si="13"/>
        <v>41588</v>
      </c>
      <c r="J218" s="104">
        <f t="shared" si="14"/>
        <v>41588</v>
      </c>
      <c r="L218" t="b">
        <f t="shared" si="15"/>
        <v>1</v>
      </c>
    </row>
    <row r="219" spans="1:12" x14ac:dyDescent="0.25">
      <c r="A219" s="8">
        <v>41561</v>
      </c>
      <c r="B219" s="4">
        <v>59182</v>
      </c>
      <c r="C219" s="57">
        <v>373.18</v>
      </c>
      <c r="D219" s="4" t="str">
        <f t="shared" si="12"/>
        <v>EOM plus 10 days</v>
      </c>
      <c r="E219" s="4">
        <v>10</v>
      </c>
      <c r="F219" s="104">
        <f t="shared" si="13"/>
        <v>41588</v>
      </c>
      <c r="J219" s="104">
        <f t="shared" si="14"/>
        <v>41588</v>
      </c>
      <c r="L219" t="b">
        <f t="shared" si="15"/>
        <v>1</v>
      </c>
    </row>
    <row r="220" spans="1:12" x14ac:dyDescent="0.25">
      <c r="A220" s="8">
        <v>41561</v>
      </c>
      <c r="B220" s="4">
        <v>59183</v>
      </c>
      <c r="C220" s="57">
        <v>193.14</v>
      </c>
      <c r="D220" s="4" t="str">
        <f t="shared" si="12"/>
        <v>EOM plus 5 days</v>
      </c>
      <c r="E220" s="4">
        <v>5</v>
      </c>
      <c r="F220" s="104">
        <f t="shared" si="13"/>
        <v>41583</v>
      </c>
      <c r="J220" s="104">
        <f t="shared" si="14"/>
        <v>41583</v>
      </c>
      <c r="L220" t="b">
        <f t="shared" si="15"/>
        <v>1</v>
      </c>
    </row>
    <row r="221" spans="1:12" x14ac:dyDescent="0.25">
      <c r="A221" s="8">
        <v>41561</v>
      </c>
      <c r="B221" s="4">
        <v>59184</v>
      </c>
      <c r="C221" s="57">
        <v>271.35000000000002</v>
      </c>
      <c r="D221" s="4" t="str">
        <f t="shared" si="12"/>
        <v>EOM plus 20 days</v>
      </c>
      <c r="E221" s="4">
        <v>20</v>
      </c>
      <c r="F221" s="104">
        <f t="shared" si="13"/>
        <v>41598</v>
      </c>
      <c r="J221" s="104">
        <f t="shared" si="14"/>
        <v>41598</v>
      </c>
      <c r="L221" t="b">
        <f t="shared" si="15"/>
        <v>1</v>
      </c>
    </row>
    <row r="222" spans="1:12" x14ac:dyDescent="0.25">
      <c r="A222" s="8">
        <v>41562</v>
      </c>
      <c r="B222" s="4">
        <v>59185</v>
      </c>
      <c r="C222" s="57">
        <v>328.5</v>
      </c>
      <c r="D222" s="4" t="str">
        <f t="shared" si="12"/>
        <v>EOM plus 5 days</v>
      </c>
      <c r="E222" s="4">
        <v>5</v>
      </c>
      <c r="F222" s="104">
        <f t="shared" si="13"/>
        <v>41583</v>
      </c>
      <c r="J222" s="104">
        <f t="shared" si="14"/>
        <v>41583</v>
      </c>
      <c r="L222" t="b">
        <f t="shared" si="15"/>
        <v>1</v>
      </c>
    </row>
    <row r="223" spans="1:12" x14ac:dyDescent="0.25">
      <c r="A223" s="8">
        <v>41562</v>
      </c>
      <c r="B223" s="4">
        <v>59186</v>
      </c>
      <c r="C223" s="57">
        <v>270.52999999999997</v>
      </c>
      <c r="D223" s="4" t="str">
        <f t="shared" si="12"/>
        <v>EOM plus 10 days</v>
      </c>
      <c r="E223" s="4">
        <v>10</v>
      </c>
      <c r="F223" s="104">
        <f t="shared" si="13"/>
        <v>41588</v>
      </c>
      <c r="J223" s="104">
        <f t="shared" si="14"/>
        <v>41588</v>
      </c>
      <c r="L223" t="b">
        <f t="shared" si="15"/>
        <v>1</v>
      </c>
    </row>
    <row r="224" spans="1:12" x14ac:dyDescent="0.25">
      <c r="A224" s="8">
        <v>41562</v>
      </c>
      <c r="B224" s="4">
        <v>59187</v>
      </c>
      <c r="C224" s="57">
        <v>228.41</v>
      </c>
      <c r="D224" s="4" t="str">
        <f t="shared" si="12"/>
        <v>EOM plus 20 days</v>
      </c>
      <c r="E224" s="4">
        <v>20</v>
      </c>
      <c r="F224" s="104">
        <f t="shared" si="13"/>
        <v>41598</v>
      </c>
      <c r="J224" s="104">
        <f t="shared" si="14"/>
        <v>41598</v>
      </c>
      <c r="L224" t="b">
        <f t="shared" si="15"/>
        <v>1</v>
      </c>
    </row>
    <row r="225" spans="1:12" x14ac:dyDescent="0.25">
      <c r="A225" s="8">
        <v>41562</v>
      </c>
      <c r="B225" s="4">
        <v>59188</v>
      </c>
      <c r="C225" s="57">
        <v>388.02</v>
      </c>
      <c r="D225" s="4" t="str">
        <f t="shared" si="12"/>
        <v>EOM plus 15 days</v>
      </c>
      <c r="E225" s="4">
        <v>15</v>
      </c>
      <c r="F225" s="104">
        <f t="shared" si="13"/>
        <v>41593</v>
      </c>
      <c r="J225" s="104">
        <f t="shared" si="14"/>
        <v>41593</v>
      </c>
      <c r="L225" t="b">
        <f t="shared" si="15"/>
        <v>1</v>
      </c>
    </row>
    <row r="226" spans="1:12" x14ac:dyDescent="0.25">
      <c r="A226" s="8">
        <v>41562</v>
      </c>
      <c r="B226" s="4">
        <v>59189</v>
      </c>
      <c r="C226" s="57">
        <v>350.5</v>
      </c>
      <c r="D226" s="4" t="str">
        <f t="shared" si="12"/>
        <v>EOM plus 10 days</v>
      </c>
      <c r="E226" s="4">
        <v>10</v>
      </c>
      <c r="F226" s="104">
        <f t="shared" si="13"/>
        <v>41588</v>
      </c>
      <c r="J226" s="104">
        <f t="shared" si="14"/>
        <v>41588</v>
      </c>
      <c r="L226" t="b">
        <f t="shared" si="15"/>
        <v>1</v>
      </c>
    </row>
    <row r="227" spans="1:12" x14ac:dyDescent="0.25">
      <c r="A227" s="8">
        <v>41562</v>
      </c>
      <c r="B227" s="4">
        <v>59190</v>
      </c>
      <c r="C227" s="57">
        <v>64.91</v>
      </c>
      <c r="D227" s="4" t="str">
        <f t="shared" si="12"/>
        <v>EOM plus 20 days</v>
      </c>
      <c r="E227" s="4">
        <v>20</v>
      </c>
      <c r="F227" s="104">
        <f t="shared" si="13"/>
        <v>41598</v>
      </c>
      <c r="J227" s="104">
        <f t="shared" si="14"/>
        <v>41598</v>
      </c>
      <c r="L227" t="b">
        <f t="shared" si="15"/>
        <v>1</v>
      </c>
    </row>
    <row r="228" spans="1:12" x14ac:dyDescent="0.25">
      <c r="A228" s="8">
        <v>41562</v>
      </c>
      <c r="B228" s="4">
        <v>59191</v>
      </c>
      <c r="C228" s="57">
        <v>332.68</v>
      </c>
      <c r="D228" s="4" t="str">
        <f t="shared" si="12"/>
        <v>EOM plus 5 days</v>
      </c>
      <c r="E228" s="4">
        <v>5</v>
      </c>
      <c r="F228" s="104">
        <f t="shared" si="13"/>
        <v>41583</v>
      </c>
      <c r="J228" s="104">
        <f t="shared" si="14"/>
        <v>41583</v>
      </c>
      <c r="L228" t="b">
        <f t="shared" si="15"/>
        <v>1</v>
      </c>
    </row>
    <row r="229" spans="1:12" x14ac:dyDescent="0.25">
      <c r="A229" s="8">
        <v>41562</v>
      </c>
      <c r="B229" s="4">
        <v>59192</v>
      </c>
      <c r="C229" s="57">
        <v>201.79</v>
      </c>
      <c r="D229" s="4" t="str">
        <f t="shared" si="12"/>
        <v>EOM plus 20 days</v>
      </c>
      <c r="E229" s="4">
        <v>20</v>
      </c>
      <c r="F229" s="104">
        <f t="shared" si="13"/>
        <v>41598</v>
      </c>
      <c r="J229" s="104">
        <f t="shared" si="14"/>
        <v>41598</v>
      </c>
      <c r="L229" t="b">
        <f t="shared" si="15"/>
        <v>1</v>
      </c>
    </row>
    <row r="230" spans="1:12" x14ac:dyDescent="0.25">
      <c r="A230" s="8">
        <v>41562</v>
      </c>
      <c r="B230" s="4">
        <v>59193</v>
      </c>
      <c r="C230" s="57">
        <v>175.06</v>
      </c>
      <c r="D230" s="4" t="str">
        <f t="shared" si="12"/>
        <v>EOM plus 10 days</v>
      </c>
      <c r="E230" s="4">
        <v>10</v>
      </c>
      <c r="F230" s="104">
        <f t="shared" si="13"/>
        <v>41588</v>
      </c>
      <c r="J230" s="104">
        <f t="shared" si="14"/>
        <v>41588</v>
      </c>
      <c r="L230" t="b">
        <f t="shared" si="15"/>
        <v>1</v>
      </c>
    </row>
    <row r="231" spans="1:12" x14ac:dyDescent="0.25">
      <c r="A231" s="8">
        <v>41562</v>
      </c>
      <c r="B231" s="4">
        <v>59194</v>
      </c>
      <c r="C231" s="57">
        <v>255.7</v>
      </c>
      <c r="D231" s="4" t="str">
        <f t="shared" si="12"/>
        <v>EOM plus 15 days</v>
      </c>
      <c r="E231" s="4">
        <v>15</v>
      </c>
      <c r="F231" s="104">
        <f t="shared" si="13"/>
        <v>41593</v>
      </c>
      <c r="J231" s="104">
        <f t="shared" si="14"/>
        <v>41593</v>
      </c>
      <c r="L231" t="b">
        <f t="shared" si="15"/>
        <v>1</v>
      </c>
    </row>
    <row r="232" spans="1:12" x14ac:dyDescent="0.25">
      <c r="A232" s="8">
        <v>41562</v>
      </c>
      <c r="B232" s="4">
        <v>59195</v>
      </c>
      <c r="C232" s="57">
        <v>320.83</v>
      </c>
      <c r="D232" s="4" t="str">
        <f t="shared" si="12"/>
        <v>EOM plus 10 days</v>
      </c>
      <c r="E232" s="4">
        <v>10</v>
      </c>
      <c r="F232" s="104">
        <f t="shared" si="13"/>
        <v>41588</v>
      </c>
      <c r="J232" s="104">
        <f t="shared" si="14"/>
        <v>41588</v>
      </c>
      <c r="L232" t="b">
        <f t="shared" si="15"/>
        <v>1</v>
      </c>
    </row>
    <row r="233" spans="1:12" x14ac:dyDescent="0.25">
      <c r="A233" s="8">
        <v>41562</v>
      </c>
      <c r="B233" s="4">
        <v>59196</v>
      </c>
      <c r="C233" s="57">
        <v>207.68</v>
      </c>
      <c r="D233" s="4" t="str">
        <f t="shared" si="12"/>
        <v>EOM plus 15 days</v>
      </c>
      <c r="E233" s="4">
        <v>15</v>
      </c>
      <c r="F233" s="104">
        <f t="shared" si="13"/>
        <v>41593</v>
      </c>
      <c r="J233" s="104">
        <f t="shared" si="14"/>
        <v>41593</v>
      </c>
      <c r="L233" t="b">
        <f t="shared" si="15"/>
        <v>1</v>
      </c>
    </row>
    <row r="234" spans="1:12" x14ac:dyDescent="0.25">
      <c r="A234" s="8">
        <v>41562</v>
      </c>
      <c r="B234" s="4">
        <v>59197</v>
      </c>
      <c r="C234" s="57">
        <v>187.72</v>
      </c>
      <c r="D234" s="4" t="str">
        <f t="shared" si="12"/>
        <v>EOM plus 5 days</v>
      </c>
      <c r="E234" s="4">
        <v>5</v>
      </c>
      <c r="F234" s="104">
        <f t="shared" si="13"/>
        <v>41583</v>
      </c>
      <c r="J234" s="104">
        <f t="shared" si="14"/>
        <v>41583</v>
      </c>
      <c r="L234" t="b">
        <f t="shared" si="15"/>
        <v>1</v>
      </c>
    </row>
    <row r="235" spans="1:12" x14ac:dyDescent="0.25">
      <c r="A235" s="8">
        <v>41562</v>
      </c>
      <c r="B235" s="4">
        <v>59198</v>
      </c>
      <c r="C235" s="57">
        <v>134.63</v>
      </c>
      <c r="D235" s="4" t="str">
        <f t="shared" si="12"/>
        <v>EOM plus 5 days</v>
      </c>
      <c r="E235" s="4">
        <v>5</v>
      </c>
      <c r="F235" s="104">
        <f t="shared" si="13"/>
        <v>41583</v>
      </c>
      <c r="J235" s="104">
        <f t="shared" si="14"/>
        <v>41583</v>
      </c>
      <c r="L235" t="b">
        <f t="shared" si="15"/>
        <v>1</v>
      </c>
    </row>
    <row r="236" spans="1:12" x14ac:dyDescent="0.25">
      <c r="A236" s="8">
        <v>41562</v>
      </c>
      <c r="B236" s="4">
        <v>59199</v>
      </c>
      <c r="C236" s="57">
        <v>200.39</v>
      </c>
      <c r="D236" s="4" t="str">
        <f t="shared" si="12"/>
        <v>EOM plus 10 days</v>
      </c>
      <c r="E236" s="4">
        <v>10</v>
      </c>
      <c r="F236" s="104">
        <f t="shared" si="13"/>
        <v>41588</v>
      </c>
      <c r="J236" s="104">
        <f t="shared" si="14"/>
        <v>41588</v>
      </c>
      <c r="L236" t="b">
        <f t="shared" si="15"/>
        <v>1</v>
      </c>
    </row>
    <row r="237" spans="1:12" x14ac:dyDescent="0.25">
      <c r="A237" s="8">
        <v>41562</v>
      </c>
      <c r="B237" s="4">
        <v>59200</v>
      </c>
      <c r="C237" s="57">
        <v>201.59</v>
      </c>
      <c r="D237" s="4" t="str">
        <f t="shared" si="12"/>
        <v>EOM plus 20 days</v>
      </c>
      <c r="E237" s="4">
        <v>20</v>
      </c>
      <c r="F237" s="104">
        <f t="shared" si="13"/>
        <v>41598</v>
      </c>
      <c r="J237" s="104">
        <f t="shared" si="14"/>
        <v>41598</v>
      </c>
      <c r="L237" t="b">
        <f t="shared" si="15"/>
        <v>1</v>
      </c>
    </row>
    <row r="238" spans="1:12" x14ac:dyDescent="0.25">
      <c r="A238" s="8">
        <v>41562</v>
      </c>
      <c r="B238" s="4">
        <v>59201</v>
      </c>
      <c r="C238" s="57">
        <v>124.65</v>
      </c>
      <c r="D238" s="4" t="str">
        <f t="shared" si="12"/>
        <v>EOM plus 5 days</v>
      </c>
      <c r="E238" s="4">
        <v>5</v>
      </c>
      <c r="F238" s="104">
        <f t="shared" si="13"/>
        <v>41583</v>
      </c>
      <c r="J238" s="104">
        <f t="shared" si="14"/>
        <v>41583</v>
      </c>
      <c r="L238" t="b">
        <f t="shared" si="15"/>
        <v>1</v>
      </c>
    </row>
    <row r="239" spans="1:12" x14ac:dyDescent="0.25">
      <c r="A239" s="8">
        <v>41562</v>
      </c>
      <c r="B239" s="4">
        <v>59202</v>
      </c>
      <c r="C239" s="57">
        <v>382.04</v>
      </c>
      <c r="D239" s="4" t="str">
        <f t="shared" si="12"/>
        <v>EOM plus 20 days</v>
      </c>
      <c r="E239" s="4">
        <v>20</v>
      </c>
      <c r="F239" s="104">
        <f t="shared" si="13"/>
        <v>41598</v>
      </c>
      <c r="J239" s="104">
        <f t="shared" si="14"/>
        <v>41598</v>
      </c>
      <c r="L239" t="b">
        <f t="shared" si="15"/>
        <v>1</v>
      </c>
    </row>
    <row r="240" spans="1:12" x14ac:dyDescent="0.25">
      <c r="A240" s="8">
        <v>41562</v>
      </c>
      <c r="B240" s="4">
        <v>59203</v>
      </c>
      <c r="C240" s="57">
        <v>41.3</v>
      </c>
      <c r="D240" s="4" t="str">
        <f t="shared" si="12"/>
        <v>EOM plus 10 days</v>
      </c>
      <c r="E240" s="4">
        <v>10</v>
      </c>
      <c r="F240" s="104">
        <f t="shared" si="13"/>
        <v>41588</v>
      </c>
      <c r="J240" s="104">
        <f t="shared" si="14"/>
        <v>41588</v>
      </c>
      <c r="L240" t="b">
        <f t="shared" si="15"/>
        <v>1</v>
      </c>
    </row>
    <row r="241" spans="1:12" x14ac:dyDescent="0.25">
      <c r="A241" s="8">
        <v>41562</v>
      </c>
      <c r="B241" s="4">
        <v>59204</v>
      </c>
      <c r="C241" s="57">
        <v>178.57</v>
      </c>
      <c r="D241" s="4" t="str">
        <f t="shared" si="12"/>
        <v>EOM plus 5 days</v>
      </c>
      <c r="E241" s="4">
        <v>5</v>
      </c>
      <c r="F241" s="104">
        <f t="shared" si="13"/>
        <v>41583</v>
      </c>
      <c r="J241" s="104">
        <f t="shared" si="14"/>
        <v>41583</v>
      </c>
      <c r="L241" t="b">
        <f t="shared" si="15"/>
        <v>1</v>
      </c>
    </row>
    <row r="242" spans="1:12" x14ac:dyDescent="0.25">
      <c r="A242" s="8">
        <v>41562</v>
      </c>
      <c r="B242" s="4">
        <v>59205</v>
      </c>
      <c r="C242" s="57">
        <v>124.98</v>
      </c>
      <c r="D242" s="4" t="str">
        <f t="shared" si="12"/>
        <v>EOM plus 15 days</v>
      </c>
      <c r="E242" s="4">
        <v>15</v>
      </c>
      <c r="F242" s="104">
        <f t="shared" si="13"/>
        <v>41593</v>
      </c>
      <c r="J242" s="104">
        <f t="shared" si="14"/>
        <v>41593</v>
      </c>
      <c r="L242" t="b">
        <f t="shared" si="15"/>
        <v>1</v>
      </c>
    </row>
    <row r="243" spans="1:12" x14ac:dyDescent="0.25">
      <c r="A243" s="8">
        <v>41562</v>
      </c>
      <c r="B243" s="4">
        <v>59206</v>
      </c>
      <c r="C243" s="57">
        <v>245.86</v>
      </c>
      <c r="D243" s="4" t="str">
        <f t="shared" si="12"/>
        <v>EOM plus 10 days</v>
      </c>
      <c r="E243" s="4">
        <v>10</v>
      </c>
      <c r="F243" s="104">
        <f t="shared" si="13"/>
        <v>41588</v>
      </c>
      <c r="J243" s="104">
        <f t="shared" si="14"/>
        <v>41588</v>
      </c>
      <c r="L243" t="b">
        <f t="shared" si="15"/>
        <v>1</v>
      </c>
    </row>
    <row r="244" spans="1:12" x14ac:dyDescent="0.25">
      <c r="A244" s="8">
        <v>41563</v>
      </c>
      <c r="B244" s="4">
        <v>59207</v>
      </c>
      <c r="C244" s="57">
        <v>133.22</v>
      </c>
      <c r="D244" s="4" t="str">
        <f t="shared" si="12"/>
        <v>EOM plus 5 days</v>
      </c>
      <c r="E244" s="4">
        <v>5</v>
      </c>
      <c r="F244" s="104">
        <f t="shared" si="13"/>
        <v>41583</v>
      </c>
      <c r="J244" s="104">
        <f t="shared" si="14"/>
        <v>41583</v>
      </c>
      <c r="L244" t="b">
        <f t="shared" si="15"/>
        <v>1</v>
      </c>
    </row>
    <row r="245" spans="1:12" x14ac:dyDescent="0.25">
      <c r="A245" s="8">
        <v>41563</v>
      </c>
      <c r="B245" s="4">
        <v>59208</v>
      </c>
      <c r="C245" s="57">
        <v>276.63</v>
      </c>
      <c r="D245" s="4" t="str">
        <f t="shared" si="12"/>
        <v>EOM plus 5 days</v>
      </c>
      <c r="E245" s="4">
        <v>5</v>
      </c>
      <c r="F245" s="104">
        <f t="shared" si="13"/>
        <v>41583</v>
      </c>
      <c r="J245" s="104">
        <f t="shared" si="14"/>
        <v>41583</v>
      </c>
      <c r="L245" t="b">
        <f t="shared" si="15"/>
        <v>1</v>
      </c>
    </row>
    <row r="246" spans="1:12" x14ac:dyDescent="0.25">
      <c r="A246" s="8">
        <v>41563</v>
      </c>
      <c r="B246" s="4">
        <v>59209</v>
      </c>
      <c r="C246" s="57">
        <v>383.59</v>
      </c>
      <c r="D246" s="4" t="str">
        <f t="shared" si="12"/>
        <v>EOM plus 10 days</v>
      </c>
      <c r="E246" s="4">
        <v>10</v>
      </c>
      <c r="F246" s="104">
        <f t="shared" si="13"/>
        <v>41588</v>
      </c>
      <c r="J246" s="104">
        <f t="shared" si="14"/>
        <v>41588</v>
      </c>
      <c r="L246" t="b">
        <f t="shared" si="15"/>
        <v>1</v>
      </c>
    </row>
    <row r="247" spans="1:12" x14ac:dyDescent="0.25">
      <c r="A247" s="8">
        <v>41563</v>
      </c>
      <c r="B247" s="4">
        <v>59210</v>
      </c>
      <c r="C247" s="57">
        <v>207.27</v>
      </c>
      <c r="D247" s="4" t="str">
        <f t="shared" si="12"/>
        <v>EOM plus 15 days</v>
      </c>
      <c r="E247" s="4">
        <v>15</v>
      </c>
      <c r="F247" s="104">
        <f t="shared" si="13"/>
        <v>41593</v>
      </c>
      <c r="J247" s="104">
        <f t="shared" si="14"/>
        <v>41593</v>
      </c>
      <c r="L247" t="b">
        <f t="shared" si="15"/>
        <v>1</v>
      </c>
    </row>
    <row r="248" spans="1:12" x14ac:dyDescent="0.25">
      <c r="A248" s="8">
        <v>41563</v>
      </c>
      <c r="B248" s="4">
        <v>59211</v>
      </c>
      <c r="C248" s="57">
        <v>347.27</v>
      </c>
      <c r="D248" s="4" t="str">
        <f t="shared" si="12"/>
        <v>EOM plus 10 days</v>
      </c>
      <c r="E248" s="4">
        <v>10</v>
      </c>
      <c r="F248" s="104">
        <f t="shared" si="13"/>
        <v>41588</v>
      </c>
      <c r="J248" s="104">
        <f t="shared" si="14"/>
        <v>41588</v>
      </c>
      <c r="L248" t="b">
        <f t="shared" si="15"/>
        <v>1</v>
      </c>
    </row>
    <row r="249" spans="1:12" x14ac:dyDescent="0.25">
      <c r="A249" s="8">
        <v>41563</v>
      </c>
      <c r="B249" s="4">
        <v>59212</v>
      </c>
      <c r="C249" s="57">
        <v>104.78</v>
      </c>
      <c r="D249" s="4" t="str">
        <f t="shared" si="12"/>
        <v>EOM plus 5 days</v>
      </c>
      <c r="E249" s="4">
        <v>5</v>
      </c>
      <c r="F249" s="104">
        <f t="shared" si="13"/>
        <v>41583</v>
      </c>
      <c r="J249" s="104">
        <f t="shared" si="14"/>
        <v>41583</v>
      </c>
      <c r="L249" t="b">
        <f t="shared" si="15"/>
        <v>1</v>
      </c>
    </row>
    <row r="250" spans="1:12" x14ac:dyDescent="0.25">
      <c r="A250" s="8">
        <v>41563</v>
      </c>
      <c r="B250" s="4">
        <v>59213</v>
      </c>
      <c r="C250" s="57">
        <v>340.75</v>
      </c>
      <c r="D250" s="4" t="str">
        <f t="shared" si="12"/>
        <v>EOM plus 10 days</v>
      </c>
      <c r="E250" s="4">
        <v>10</v>
      </c>
      <c r="F250" s="104">
        <f t="shared" si="13"/>
        <v>41588</v>
      </c>
      <c r="J250" s="104">
        <f t="shared" si="14"/>
        <v>41588</v>
      </c>
      <c r="L250" t="b">
        <f t="shared" si="15"/>
        <v>1</v>
      </c>
    </row>
    <row r="251" spans="1:12" x14ac:dyDescent="0.25">
      <c r="A251" s="8">
        <v>41563</v>
      </c>
      <c r="B251" s="4">
        <v>59214</v>
      </c>
      <c r="C251" s="57">
        <v>382.6</v>
      </c>
      <c r="D251" s="4" t="str">
        <f t="shared" si="12"/>
        <v>EOM plus 10 days</v>
      </c>
      <c r="E251" s="4">
        <v>10</v>
      </c>
      <c r="F251" s="104">
        <f t="shared" si="13"/>
        <v>41588</v>
      </c>
      <c r="J251" s="104">
        <f t="shared" si="14"/>
        <v>41588</v>
      </c>
      <c r="L251" t="b">
        <f t="shared" si="15"/>
        <v>1</v>
      </c>
    </row>
    <row r="252" spans="1:12" x14ac:dyDescent="0.25">
      <c r="A252" s="8">
        <v>41563</v>
      </c>
      <c r="B252" s="4">
        <v>59215</v>
      </c>
      <c r="C252" s="57">
        <v>301.58</v>
      </c>
      <c r="D252" s="4" t="str">
        <f t="shared" si="12"/>
        <v>EOM plus 10 days</v>
      </c>
      <c r="E252" s="4">
        <v>10</v>
      </c>
      <c r="F252" s="104">
        <f t="shared" si="13"/>
        <v>41588</v>
      </c>
      <c r="J252" s="104">
        <f t="shared" si="14"/>
        <v>41588</v>
      </c>
      <c r="L252" t="b">
        <f t="shared" si="15"/>
        <v>1</v>
      </c>
    </row>
    <row r="253" spans="1:12" x14ac:dyDescent="0.25">
      <c r="A253" s="8">
        <v>41563</v>
      </c>
      <c r="B253" s="4">
        <v>59216</v>
      </c>
      <c r="C253" s="57">
        <v>264.42</v>
      </c>
      <c r="D253" s="4" t="str">
        <f t="shared" si="12"/>
        <v>EOM plus 10 days</v>
      </c>
      <c r="E253" s="4">
        <v>10</v>
      </c>
      <c r="F253" s="104">
        <f t="shared" si="13"/>
        <v>41588</v>
      </c>
      <c r="J253" s="104">
        <f t="shared" si="14"/>
        <v>41588</v>
      </c>
      <c r="L253" t="b">
        <f t="shared" si="15"/>
        <v>1</v>
      </c>
    </row>
    <row r="254" spans="1:12" x14ac:dyDescent="0.25">
      <c r="A254" s="8">
        <v>41563</v>
      </c>
      <c r="B254" s="4">
        <v>59217</v>
      </c>
      <c r="C254" s="57">
        <v>50.81</v>
      </c>
      <c r="D254" s="4" t="str">
        <f t="shared" si="12"/>
        <v>EOM plus 20 days</v>
      </c>
      <c r="E254" s="4">
        <v>20</v>
      </c>
      <c r="F254" s="104">
        <f t="shared" si="13"/>
        <v>41598</v>
      </c>
      <c r="J254" s="104">
        <f t="shared" si="14"/>
        <v>41598</v>
      </c>
      <c r="L254" t="b">
        <f t="shared" si="15"/>
        <v>1</v>
      </c>
    </row>
    <row r="255" spans="1:12" x14ac:dyDescent="0.25">
      <c r="A255" s="8">
        <v>41563</v>
      </c>
      <c r="B255" s="4">
        <v>59218</v>
      </c>
      <c r="C255" s="57">
        <v>206.84</v>
      </c>
      <c r="D255" s="4" t="str">
        <f t="shared" si="12"/>
        <v>EOM plus 5 days</v>
      </c>
      <c r="E255" s="4">
        <v>5</v>
      </c>
      <c r="F255" s="104">
        <f t="shared" si="13"/>
        <v>41583</v>
      </c>
      <c r="J255" s="104">
        <f t="shared" si="14"/>
        <v>41583</v>
      </c>
      <c r="L255" t="b">
        <f t="shared" si="15"/>
        <v>1</v>
      </c>
    </row>
    <row r="256" spans="1:12" x14ac:dyDescent="0.25">
      <c r="A256" s="8">
        <v>41563</v>
      </c>
      <c r="B256" s="4">
        <v>59219</v>
      </c>
      <c r="C256" s="57">
        <v>269.23</v>
      </c>
      <c r="D256" s="4" t="str">
        <f t="shared" si="12"/>
        <v>EOM plus 15 days</v>
      </c>
      <c r="E256" s="4">
        <v>15</v>
      </c>
      <c r="F256" s="104">
        <f t="shared" si="13"/>
        <v>41593</v>
      </c>
      <c r="J256" s="104">
        <f t="shared" si="14"/>
        <v>41593</v>
      </c>
      <c r="L256" t="b">
        <f t="shared" si="15"/>
        <v>1</v>
      </c>
    </row>
    <row r="257" spans="1:12" x14ac:dyDescent="0.25">
      <c r="A257" s="8">
        <v>41563</v>
      </c>
      <c r="B257" s="4">
        <v>59220</v>
      </c>
      <c r="C257" s="57">
        <v>197.99</v>
      </c>
      <c r="D257" s="4" t="str">
        <f t="shared" si="12"/>
        <v>EOM plus 5 days</v>
      </c>
      <c r="E257" s="4">
        <v>5</v>
      </c>
      <c r="F257" s="104">
        <f t="shared" si="13"/>
        <v>41583</v>
      </c>
      <c r="J257" s="104">
        <f t="shared" si="14"/>
        <v>41583</v>
      </c>
      <c r="L257" t="b">
        <f t="shared" si="15"/>
        <v>1</v>
      </c>
    </row>
    <row r="258" spans="1:12" x14ac:dyDescent="0.25">
      <c r="A258" s="8">
        <v>41563</v>
      </c>
      <c r="B258" s="4">
        <v>59221</v>
      </c>
      <c r="C258" s="57">
        <v>145.43</v>
      </c>
      <c r="D258" s="4" t="str">
        <f t="shared" si="12"/>
        <v>EOM plus 20 days</v>
      </c>
      <c r="E258" s="4">
        <v>20</v>
      </c>
      <c r="F258" s="104">
        <f t="shared" si="13"/>
        <v>41598</v>
      </c>
      <c r="J258" s="104">
        <f t="shared" si="14"/>
        <v>41598</v>
      </c>
      <c r="L258" t="b">
        <f t="shared" si="15"/>
        <v>1</v>
      </c>
    </row>
    <row r="259" spans="1:12" x14ac:dyDescent="0.25">
      <c r="A259" s="8">
        <v>41563</v>
      </c>
      <c r="B259" s="4">
        <v>59222</v>
      </c>
      <c r="C259" s="57">
        <v>337.12</v>
      </c>
      <c r="D259" s="4" t="str">
        <f t="shared" si="12"/>
        <v>EOM plus 5 days</v>
      </c>
      <c r="E259" s="4">
        <v>5</v>
      </c>
      <c r="F259" s="104">
        <f t="shared" si="13"/>
        <v>41583</v>
      </c>
      <c r="J259" s="104">
        <f t="shared" si="14"/>
        <v>41583</v>
      </c>
      <c r="L259" t="b">
        <f t="shared" si="15"/>
        <v>1</v>
      </c>
    </row>
    <row r="260" spans="1:12" x14ac:dyDescent="0.25">
      <c r="A260" s="8">
        <v>41563</v>
      </c>
      <c r="B260" s="4">
        <v>59223</v>
      </c>
      <c r="C260" s="57">
        <v>246.37</v>
      </c>
      <c r="D260" s="4" t="str">
        <f t="shared" si="12"/>
        <v>EOM plus 20 days</v>
      </c>
      <c r="E260" s="4">
        <v>20</v>
      </c>
      <c r="F260" s="104">
        <f t="shared" si="13"/>
        <v>41598</v>
      </c>
      <c r="J260" s="104">
        <f t="shared" si="14"/>
        <v>41598</v>
      </c>
      <c r="L260" t="b">
        <f t="shared" si="15"/>
        <v>1</v>
      </c>
    </row>
    <row r="261" spans="1:12" x14ac:dyDescent="0.25">
      <c r="A261" s="8">
        <v>41563</v>
      </c>
      <c r="B261" s="4">
        <v>59224</v>
      </c>
      <c r="C261" s="57">
        <v>62.79</v>
      </c>
      <c r="D261" s="4" t="str">
        <f t="shared" ref="D261:D324" si="16">"EOM plus "&amp;E261&amp;" days"</f>
        <v>EOM plus 10 days</v>
      </c>
      <c r="E261" s="4">
        <v>10</v>
      </c>
      <c r="F261" s="104">
        <f t="shared" si="13"/>
        <v>41588</v>
      </c>
      <c r="J261" s="104">
        <f t="shared" si="14"/>
        <v>41588</v>
      </c>
      <c r="L261" t="b">
        <f t="shared" si="15"/>
        <v>1</v>
      </c>
    </row>
    <row r="262" spans="1:12" x14ac:dyDescent="0.25">
      <c r="A262" s="8">
        <v>41563</v>
      </c>
      <c r="B262" s="4">
        <v>59225</v>
      </c>
      <c r="C262" s="57">
        <v>299.95</v>
      </c>
      <c r="D262" s="4" t="str">
        <f t="shared" si="16"/>
        <v>EOM plus 10 days</v>
      </c>
      <c r="E262" s="4">
        <v>10</v>
      </c>
      <c r="F262" s="104">
        <f t="shared" ref="F262:F325" si="17">EOMONTH(A262,0)+E262</f>
        <v>41588</v>
      </c>
      <c r="J262" s="104">
        <f t="shared" ref="J262:J325" si="18">DATE(YEAR(A262),MONTH(A262)+1,E262)</f>
        <v>41588</v>
      </c>
      <c r="L262" t="b">
        <f t="shared" ref="L262:L325" si="19">J262=F262</f>
        <v>1</v>
      </c>
    </row>
    <row r="263" spans="1:12" x14ac:dyDescent="0.25">
      <c r="A263" s="8">
        <v>41563</v>
      </c>
      <c r="B263" s="4">
        <v>59226</v>
      </c>
      <c r="C263" s="57">
        <v>311.52</v>
      </c>
      <c r="D263" s="4" t="str">
        <f t="shared" si="16"/>
        <v>EOM plus 10 days</v>
      </c>
      <c r="E263" s="4">
        <v>10</v>
      </c>
      <c r="F263" s="104">
        <f t="shared" si="17"/>
        <v>41588</v>
      </c>
      <c r="J263" s="104">
        <f t="shared" si="18"/>
        <v>41588</v>
      </c>
      <c r="L263" t="b">
        <f t="shared" si="19"/>
        <v>1</v>
      </c>
    </row>
    <row r="264" spans="1:12" x14ac:dyDescent="0.25">
      <c r="A264" s="8">
        <v>41564</v>
      </c>
      <c r="B264" s="4">
        <v>59227</v>
      </c>
      <c r="C264" s="57">
        <v>389.38</v>
      </c>
      <c r="D264" s="4" t="str">
        <f t="shared" si="16"/>
        <v>EOM plus 15 days</v>
      </c>
      <c r="E264" s="4">
        <v>15</v>
      </c>
      <c r="F264" s="104">
        <f t="shared" si="17"/>
        <v>41593</v>
      </c>
      <c r="J264" s="104">
        <f t="shared" si="18"/>
        <v>41593</v>
      </c>
      <c r="L264" t="b">
        <f t="shared" si="19"/>
        <v>1</v>
      </c>
    </row>
    <row r="265" spans="1:12" x14ac:dyDescent="0.25">
      <c r="A265" s="8">
        <v>41564</v>
      </c>
      <c r="B265" s="4">
        <v>59228</v>
      </c>
      <c r="C265" s="57">
        <v>345.6</v>
      </c>
      <c r="D265" s="4" t="str">
        <f t="shared" si="16"/>
        <v>EOM plus 5 days</v>
      </c>
      <c r="E265" s="4">
        <v>5</v>
      </c>
      <c r="F265" s="104">
        <f t="shared" si="17"/>
        <v>41583</v>
      </c>
      <c r="J265" s="104">
        <f t="shared" si="18"/>
        <v>41583</v>
      </c>
      <c r="L265" t="b">
        <f t="shared" si="19"/>
        <v>1</v>
      </c>
    </row>
    <row r="266" spans="1:12" x14ac:dyDescent="0.25">
      <c r="A266" s="8">
        <v>41564</v>
      </c>
      <c r="B266" s="4">
        <v>59229</v>
      </c>
      <c r="C266" s="57">
        <v>317.47000000000003</v>
      </c>
      <c r="D266" s="4" t="str">
        <f t="shared" si="16"/>
        <v>EOM plus 10 days</v>
      </c>
      <c r="E266" s="4">
        <v>10</v>
      </c>
      <c r="F266" s="104">
        <f t="shared" si="17"/>
        <v>41588</v>
      </c>
      <c r="J266" s="104">
        <f t="shared" si="18"/>
        <v>41588</v>
      </c>
      <c r="L266" t="b">
        <f t="shared" si="19"/>
        <v>1</v>
      </c>
    </row>
    <row r="267" spans="1:12" x14ac:dyDescent="0.25">
      <c r="A267" s="8">
        <v>41564</v>
      </c>
      <c r="B267" s="4">
        <v>59230</v>
      </c>
      <c r="C267" s="57">
        <v>357.07</v>
      </c>
      <c r="D267" s="4" t="str">
        <f t="shared" si="16"/>
        <v>EOM plus 10 days</v>
      </c>
      <c r="E267" s="4">
        <v>10</v>
      </c>
      <c r="F267" s="104">
        <f t="shared" si="17"/>
        <v>41588</v>
      </c>
      <c r="J267" s="104">
        <f t="shared" si="18"/>
        <v>41588</v>
      </c>
      <c r="L267" t="b">
        <f t="shared" si="19"/>
        <v>1</v>
      </c>
    </row>
    <row r="268" spans="1:12" x14ac:dyDescent="0.25">
      <c r="A268" s="8">
        <v>41564</v>
      </c>
      <c r="B268" s="4">
        <v>59231</v>
      </c>
      <c r="C268" s="57">
        <v>161.04</v>
      </c>
      <c r="D268" s="4" t="str">
        <f t="shared" si="16"/>
        <v>EOM plus 10 days</v>
      </c>
      <c r="E268" s="4">
        <v>10</v>
      </c>
      <c r="F268" s="104">
        <f t="shared" si="17"/>
        <v>41588</v>
      </c>
      <c r="J268" s="104">
        <f t="shared" si="18"/>
        <v>41588</v>
      </c>
      <c r="L268" t="b">
        <f t="shared" si="19"/>
        <v>1</v>
      </c>
    </row>
    <row r="269" spans="1:12" x14ac:dyDescent="0.25">
      <c r="A269" s="8">
        <v>41564</v>
      </c>
      <c r="B269" s="4">
        <v>59232</v>
      </c>
      <c r="C269" s="57">
        <v>215.43</v>
      </c>
      <c r="D269" s="4" t="str">
        <f t="shared" si="16"/>
        <v>EOM plus 10 days</v>
      </c>
      <c r="E269" s="4">
        <v>10</v>
      </c>
      <c r="F269" s="104">
        <f t="shared" si="17"/>
        <v>41588</v>
      </c>
      <c r="J269" s="104">
        <f t="shared" si="18"/>
        <v>41588</v>
      </c>
      <c r="L269" t="b">
        <f t="shared" si="19"/>
        <v>1</v>
      </c>
    </row>
    <row r="270" spans="1:12" x14ac:dyDescent="0.25">
      <c r="A270" s="8">
        <v>41564</v>
      </c>
      <c r="B270" s="4">
        <v>59233</v>
      </c>
      <c r="C270" s="57">
        <v>124.14</v>
      </c>
      <c r="D270" s="4" t="str">
        <f t="shared" si="16"/>
        <v>EOM plus 5 days</v>
      </c>
      <c r="E270" s="4">
        <v>5</v>
      </c>
      <c r="F270" s="104">
        <f t="shared" si="17"/>
        <v>41583</v>
      </c>
      <c r="J270" s="104">
        <f t="shared" si="18"/>
        <v>41583</v>
      </c>
      <c r="L270" t="b">
        <f t="shared" si="19"/>
        <v>1</v>
      </c>
    </row>
    <row r="271" spans="1:12" x14ac:dyDescent="0.25">
      <c r="A271" s="8">
        <v>41564</v>
      </c>
      <c r="B271" s="4">
        <v>59234</v>
      </c>
      <c r="C271" s="57">
        <v>131.44999999999999</v>
      </c>
      <c r="D271" s="4" t="str">
        <f t="shared" si="16"/>
        <v>EOM plus 15 days</v>
      </c>
      <c r="E271" s="4">
        <v>15</v>
      </c>
      <c r="F271" s="104">
        <f t="shared" si="17"/>
        <v>41593</v>
      </c>
      <c r="J271" s="104">
        <f t="shared" si="18"/>
        <v>41593</v>
      </c>
      <c r="L271" t="b">
        <f t="shared" si="19"/>
        <v>1</v>
      </c>
    </row>
    <row r="272" spans="1:12" x14ac:dyDescent="0.25">
      <c r="A272" s="8">
        <v>41564</v>
      </c>
      <c r="B272" s="4">
        <v>59235</v>
      </c>
      <c r="C272" s="57">
        <v>45.08</v>
      </c>
      <c r="D272" s="4" t="str">
        <f t="shared" si="16"/>
        <v>EOM plus 10 days</v>
      </c>
      <c r="E272" s="4">
        <v>10</v>
      </c>
      <c r="F272" s="104">
        <f t="shared" si="17"/>
        <v>41588</v>
      </c>
      <c r="J272" s="104">
        <f t="shared" si="18"/>
        <v>41588</v>
      </c>
      <c r="L272" t="b">
        <f t="shared" si="19"/>
        <v>1</v>
      </c>
    </row>
    <row r="273" spans="1:12" x14ac:dyDescent="0.25">
      <c r="A273" s="8">
        <v>41564</v>
      </c>
      <c r="B273" s="4">
        <v>59236</v>
      </c>
      <c r="C273" s="57">
        <v>261.62</v>
      </c>
      <c r="D273" s="4" t="str">
        <f t="shared" si="16"/>
        <v>EOM plus 15 days</v>
      </c>
      <c r="E273" s="4">
        <v>15</v>
      </c>
      <c r="F273" s="104">
        <f t="shared" si="17"/>
        <v>41593</v>
      </c>
      <c r="J273" s="104">
        <f t="shared" si="18"/>
        <v>41593</v>
      </c>
      <c r="L273" t="b">
        <f t="shared" si="19"/>
        <v>1</v>
      </c>
    </row>
    <row r="274" spans="1:12" x14ac:dyDescent="0.25">
      <c r="A274" s="8">
        <v>41564</v>
      </c>
      <c r="B274" s="4">
        <v>59237</v>
      </c>
      <c r="C274" s="57">
        <v>355.97</v>
      </c>
      <c r="D274" s="4" t="str">
        <f t="shared" si="16"/>
        <v>EOM plus 20 days</v>
      </c>
      <c r="E274" s="4">
        <v>20</v>
      </c>
      <c r="F274" s="104">
        <f t="shared" si="17"/>
        <v>41598</v>
      </c>
      <c r="J274" s="104">
        <f t="shared" si="18"/>
        <v>41598</v>
      </c>
      <c r="L274" t="b">
        <f t="shared" si="19"/>
        <v>1</v>
      </c>
    </row>
    <row r="275" spans="1:12" x14ac:dyDescent="0.25">
      <c r="A275" s="8">
        <v>41564</v>
      </c>
      <c r="B275" s="4">
        <v>59238</v>
      </c>
      <c r="C275" s="57">
        <v>309.29000000000002</v>
      </c>
      <c r="D275" s="4" t="str">
        <f t="shared" si="16"/>
        <v>EOM plus 5 days</v>
      </c>
      <c r="E275" s="4">
        <v>5</v>
      </c>
      <c r="F275" s="104">
        <f t="shared" si="17"/>
        <v>41583</v>
      </c>
      <c r="J275" s="104">
        <f t="shared" si="18"/>
        <v>41583</v>
      </c>
      <c r="L275" t="b">
        <f t="shared" si="19"/>
        <v>1</v>
      </c>
    </row>
    <row r="276" spans="1:12" x14ac:dyDescent="0.25">
      <c r="A276" s="8">
        <v>41564</v>
      </c>
      <c r="B276" s="4">
        <v>59239</v>
      </c>
      <c r="C276" s="57">
        <v>327.49</v>
      </c>
      <c r="D276" s="4" t="str">
        <f t="shared" si="16"/>
        <v>EOM plus 5 days</v>
      </c>
      <c r="E276" s="4">
        <v>5</v>
      </c>
      <c r="F276" s="104">
        <f t="shared" si="17"/>
        <v>41583</v>
      </c>
      <c r="J276" s="104">
        <f t="shared" si="18"/>
        <v>41583</v>
      </c>
      <c r="L276" t="b">
        <f t="shared" si="19"/>
        <v>1</v>
      </c>
    </row>
    <row r="277" spans="1:12" x14ac:dyDescent="0.25">
      <c r="A277" s="8">
        <v>41564</v>
      </c>
      <c r="B277" s="4">
        <v>59240</v>
      </c>
      <c r="C277" s="57">
        <v>186.71</v>
      </c>
      <c r="D277" s="4" t="str">
        <f t="shared" si="16"/>
        <v>EOM plus 10 days</v>
      </c>
      <c r="E277" s="4">
        <v>10</v>
      </c>
      <c r="F277" s="104">
        <f t="shared" si="17"/>
        <v>41588</v>
      </c>
      <c r="J277" s="104">
        <f t="shared" si="18"/>
        <v>41588</v>
      </c>
      <c r="L277" t="b">
        <f t="shared" si="19"/>
        <v>1</v>
      </c>
    </row>
    <row r="278" spans="1:12" x14ac:dyDescent="0.25">
      <c r="A278" s="8">
        <v>41564</v>
      </c>
      <c r="B278" s="4">
        <v>59241</v>
      </c>
      <c r="C278" s="57">
        <v>92.15</v>
      </c>
      <c r="D278" s="4" t="str">
        <f t="shared" si="16"/>
        <v>EOM plus 10 days</v>
      </c>
      <c r="E278" s="4">
        <v>10</v>
      </c>
      <c r="F278" s="104">
        <f t="shared" si="17"/>
        <v>41588</v>
      </c>
      <c r="J278" s="104">
        <f t="shared" si="18"/>
        <v>41588</v>
      </c>
      <c r="L278" t="b">
        <f t="shared" si="19"/>
        <v>1</v>
      </c>
    </row>
    <row r="279" spans="1:12" x14ac:dyDescent="0.25">
      <c r="A279" s="8">
        <v>41564</v>
      </c>
      <c r="B279" s="4">
        <v>59242</v>
      </c>
      <c r="C279" s="57">
        <v>266.87</v>
      </c>
      <c r="D279" s="4" t="str">
        <f t="shared" si="16"/>
        <v>EOM plus 5 days</v>
      </c>
      <c r="E279" s="4">
        <v>5</v>
      </c>
      <c r="F279" s="104">
        <f t="shared" si="17"/>
        <v>41583</v>
      </c>
      <c r="J279" s="104">
        <f t="shared" si="18"/>
        <v>41583</v>
      </c>
      <c r="L279" t="b">
        <f t="shared" si="19"/>
        <v>1</v>
      </c>
    </row>
    <row r="280" spans="1:12" x14ac:dyDescent="0.25">
      <c r="A280" s="8">
        <v>41564</v>
      </c>
      <c r="B280" s="4">
        <v>59243</v>
      </c>
      <c r="C280" s="57">
        <v>112.5</v>
      </c>
      <c r="D280" s="4" t="str">
        <f t="shared" si="16"/>
        <v>EOM plus 10 days</v>
      </c>
      <c r="E280" s="4">
        <v>10</v>
      </c>
      <c r="F280" s="104">
        <f t="shared" si="17"/>
        <v>41588</v>
      </c>
      <c r="J280" s="104">
        <f t="shared" si="18"/>
        <v>41588</v>
      </c>
      <c r="L280" t="b">
        <f t="shared" si="19"/>
        <v>1</v>
      </c>
    </row>
    <row r="281" spans="1:12" x14ac:dyDescent="0.25">
      <c r="A281" s="8">
        <v>41564</v>
      </c>
      <c r="B281" s="4">
        <v>59244</v>
      </c>
      <c r="C281" s="57">
        <v>132.96</v>
      </c>
      <c r="D281" s="4" t="str">
        <f t="shared" si="16"/>
        <v>EOM plus 15 days</v>
      </c>
      <c r="E281" s="4">
        <v>15</v>
      </c>
      <c r="F281" s="104">
        <f t="shared" si="17"/>
        <v>41593</v>
      </c>
      <c r="J281" s="104">
        <f t="shared" si="18"/>
        <v>41593</v>
      </c>
      <c r="L281" t="b">
        <f t="shared" si="19"/>
        <v>1</v>
      </c>
    </row>
    <row r="282" spans="1:12" x14ac:dyDescent="0.25">
      <c r="A282" s="8">
        <v>41565</v>
      </c>
      <c r="B282" s="4">
        <v>59245</v>
      </c>
      <c r="C282" s="57">
        <v>246.3</v>
      </c>
      <c r="D282" s="4" t="str">
        <f t="shared" si="16"/>
        <v>EOM plus 5 days</v>
      </c>
      <c r="E282" s="4">
        <v>5</v>
      </c>
      <c r="F282" s="104">
        <f t="shared" si="17"/>
        <v>41583</v>
      </c>
      <c r="J282" s="104">
        <f t="shared" si="18"/>
        <v>41583</v>
      </c>
      <c r="L282" t="b">
        <f t="shared" si="19"/>
        <v>1</v>
      </c>
    </row>
    <row r="283" spans="1:12" x14ac:dyDescent="0.25">
      <c r="A283" s="8">
        <v>41565</v>
      </c>
      <c r="B283" s="4">
        <v>59246</v>
      </c>
      <c r="C283" s="57">
        <v>357.82</v>
      </c>
      <c r="D283" s="4" t="str">
        <f t="shared" si="16"/>
        <v>EOM plus 10 days</v>
      </c>
      <c r="E283" s="4">
        <v>10</v>
      </c>
      <c r="F283" s="104">
        <f t="shared" si="17"/>
        <v>41588</v>
      </c>
      <c r="J283" s="104">
        <f t="shared" si="18"/>
        <v>41588</v>
      </c>
      <c r="L283" t="b">
        <f t="shared" si="19"/>
        <v>1</v>
      </c>
    </row>
    <row r="284" spans="1:12" x14ac:dyDescent="0.25">
      <c r="A284" s="8">
        <v>41565</v>
      </c>
      <c r="B284" s="4">
        <v>59247</v>
      </c>
      <c r="C284" s="57">
        <v>36.590000000000003</v>
      </c>
      <c r="D284" s="4" t="str">
        <f t="shared" si="16"/>
        <v>EOM plus 5 days</v>
      </c>
      <c r="E284" s="4">
        <v>5</v>
      </c>
      <c r="F284" s="104">
        <f t="shared" si="17"/>
        <v>41583</v>
      </c>
      <c r="J284" s="104">
        <f t="shared" si="18"/>
        <v>41583</v>
      </c>
      <c r="L284" t="b">
        <f t="shared" si="19"/>
        <v>1</v>
      </c>
    </row>
    <row r="285" spans="1:12" x14ac:dyDescent="0.25">
      <c r="A285" s="8">
        <v>41565</v>
      </c>
      <c r="B285" s="4">
        <v>59248</v>
      </c>
      <c r="C285" s="57">
        <v>186.97</v>
      </c>
      <c r="D285" s="4" t="str">
        <f t="shared" si="16"/>
        <v>EOM plus 5 days</v>
      </c>
      <c r="E285" s="4">
        <v>5</v>
      </c>
      <c r="F285" s="104">
        <f t="shared" si="17"/>
        <v>41583</v>
      </c>
      <c r="J285" s="104">
        <f t="shared" si="18"/>
        <v>41583</v>
      </c>
      <c r="L285" t="b">
        <f t="shared" si="19"/>
        <v>1</v>
      </c>
    </row>
    <row r="286" spans="1:12" x14ac:dyDescent="0.25">
      <c r="A286" s="8">
        <v>41565</v>
      </c>
      <c r="B286" s="4">
        <v>59249</v>
      </c>
      <c r="C286" s="57">
        <v>67.75</v>
      </c>
      <c r="D286" s="4" t="str">
        <f t="shared" si="16"/>
        <v>EOM plus 15 days</v>
      </c>
      <c r="E286" s="4">
        <v>15</v>
      </c>
      <c r="F286" s="104">
        <f t="shared" si="17"/>
        <v>41593</v>
      </c>
      <c r="J286" s="104">
        <f t="shared" si="18"/>
        <v>41593</v>
      </c>
      <c r="L286" t="b">
        <f t="shared" si="19"/>
        <v>1</v>
      </c>
    </row>
    <row r="287" spans="1:12" x14ac:dyDescent="0.25">
      <c r="A287" s="8">
        <v>41565</v>
      </c>
      <c r="B287" s="4">
        <v>59250</v>
      </c>
      <c r="C287" s="57">
        <v>165.3</v>
      </c>
      <c r="D287" s="4" t="str">
        <f t="shared" si="16"/>
        <v>EOM plus 20 days</v>
      </c>
      <c r="E287" s="4">
        <v>20</v>
      </c>
      <c r="F287" s="104">
        <f t="shared" si="17"/>
        <v>41598</v>
      </c>
      <c r="J287" s="104">
        <f t="shared" si="18"/>
        <v>41598</v>
      </c>
      <c r="L287" t="b">
        <f t="shared" si="19"/>
        <v>1</v>
      </c>
    </row>
    <row r="288" spans="1:12" x14ac:dyDescent="0.25">
      <c r="A288" s="8">
        <v>41565</v>
      </c>
      <c r="B288" s="4">
        <v>59251</v>
      </c>
      <c r="C288" s="57">
        <v>131.80000000000001</v>
      </c>
      <c r="D288" s="4" t="str">
        <f t="shared" si="16"/>
        <v>EOM plus 20 days</v>
      </c>
      <c r="E288" s="4">
        <v>20</v>
      </c>
      <c r="F288" s="104">
        <f t="shared" si="17"/>
        <v>41598</v>
      </c>
      <c r="J288" s="104">
        <f t="shared" si="18"/>
        <v>41598</v>
      </c>
      <c r="L288" t="b">
        <f t="shared" si="19"/>
        <v>1</v>
      </c>
    </row>
    <row r="289" spans="1:12" x14ac:dyDescent="0.25">
      <c r="A289" s="8">
        <v>41565</v>
      </c>
      <c r="B289" s="4">
        <v>59252</v>
      </c>
      <c r="C289" s="57">
        <v>79.55</v>
      </c>
      <c r="D289" s="4" t="str">
        <f t="shared" si="16"/>
        <v>EOM plus 10 days</v>
      </c>
      <c r="E289" s="4">
        <v>10</v>
      </c>
      <c r="F289" s="104">
        <f t="shared" si="17"/>
        <v>41588</v>
      </c>
      <c r="J289" s="104">
        <f t="shared" si="18"/>
        <v>41588</v>
      </c>
      <c r="L289" t="b">
        <f t="shared" si="19"/>
        <v>1</v>
      </c>
    </row>
    <row r="290" spans="1:12" x14ac:dyDescent="0.25">
      <c r="A290" s="8">
        <v>41565</v>
      </c>
      <c r="B290" s="4">
        <v>59253</v>
      </c>
      <c r="C290" s="57">
        <v>165.41</v>
      </c>
      <c r="D290" s="4" t="str">
        <f t="shared" si="16"/>
        <v>EOM plus 5 days</v>
      </c>
      <c r="E290" s="4">
        <v>5</v>
      </c>
      <c r="F290" s="104">
        <f t="shared" si="17"/>
        <v>41583</v>
      </c>
      <c r="J290" s="104">
        <f t="shared" si="18"/>
        <v>41583</v>
      </c>
      <c r="L290" t="b">
        <f t="shared" si="19"/>
        <v>1</v>
      </c>
    </row>
    <row r="291" spans="1:12" x14ac:dyDescent="0.25">
      <c r="A291" s="8">
        <v>41565</v>
      </c>
      <c r="B291" s="4">
        <v>59254</v>
      </c>
      <c r="C291" s="57">
        <v>64.040000000000006</v>
      </c>
      <c r="D291" s="4" t="str">
        <f t="shared" si="16"/>
        <v>EOM plus 20 days</v>
      </c>
      <c r="E291" s="4">
        <v>20</v>
      </c>
      <c r="F291" s="104">
        <f t="shared" si="17"/>
        <v>41598</v>
      </c>
      <c r="J291" s="104">
        <f t="shared" si="18"/>
        <v>41598</v>
      </c>
      <c r="L291" t="b">
        <f t="shared" si="19"/>
        <v>1</v>
      </c>
    </row>
    <row r="292" spans="1:12" x14ac:dyDescent="0.25">
      <c r="A292" s="8">
        <v>41565</v>
      </c>
      <c r="B292" s="4">
        <v>59255</v>
      </c>
      <c r="C292" s="57">
        <v>85.57</v>
      </c>
      <c r="D292" s="4" t="str">
        <f t="shared" si="16"/>
        <v>EOM plus 20 days</v>
      </c>
      <c r="E292" s="4">
        <v>20</v>
      </c>
      <c r="F292" s="104">
        <f t="shared" si="17"/>
        <v>41598</v>
      </c>
      <c r="J292" s="104">
        <f t="shared" si="18"/>
        <v>41598</v>
      </c>
      <c r="L292" t="b">
        <f t="shared" si="19"/>
        <v>1</v>
      </c>
    </row>
    <row r="293" spans="1:12" x14ac:dyDescent="0.25">
      <c r="A293" s="8">
        <v>41565</v>
      </c>
      <c r="B293" s="4">
        <v>59256</v>
      </c>
      <c r="C293" s="57">
        <v>350.88</v>
      </c>
      <c r="D293" s="4" t="str">
        <f t="shared" si="16"/>
        <v>EOM plus 10 days</v>
      </c>
      <c r="E293" s="4">
        <v>10</v>
      </c>
      <c r="F293" s="104">
        <f t="shared" si="17"/>
        <v>41588</v>
      </c>
      <c r="J293" s="104">
        <f t="shared" si="18"/>
        <v>41588</v>
      </c>
      <c r="L293" t="b">
        <f t="shared" si="19"/>
        <v>1</v>
      </c>
    </row>
    <row r="294" spans="1:12" x14ac:dyDescent="0.25">
      <c r="A294" s="8">
        <v>41565</v>
      </c>
      <c r="B294" s="4">
        <v>59257</v>
      </c>
      <c r="C294" s="57">
        <v>269.77999999999997</v>
      </c>
      <c r="D294" s="4" t="str">
        <f t="shared" si="16"/>
        <v>EOM plus 15 days</v>
      </c>
      <c r="E294" s="4">
        <v>15</v>
      </c>
      <c r="F294" s="104">
        <f t="shared" si="17"/>
        <v>41593</v>
      </c>
      <c r="J294" s="104">
        <f t="shared" si="18"/>
        <v>41593</v>
      </c>
      <c r="L294" t="b">
        <f t="shared" si="19"/>
        <v>1</v>
      </c>
    </row>
    <row r="295" spans="1:12" x14ac:dyDescent="0.25">
      <c r="A295" s="8">
        <v>41565</v>
      </c>
      <c r="B295" s="4">
        <v>59258</v>
      </c>
      <c r="C295" s="57">
        <v>294.08999999999997</v>
      </c>
      <c r="D295" s="4" t="str">
        <f t="shared" si="16"/>
        <v>EOM plus 10 days</v>
      </c>
      <c r="E295" s="4">
        <v>10</v>
      </c>
      <c r="F295" s="104">
        <f t="shared" si="17"/>
        <v>41588</v>
      </c>
      <c r="J295" s="104">
        <f t="shared" si="18"/>
        <v>41588</v>
      </c>
      <c r="L295" t="b">
        <f t="shared" si="19"/>
        <v>1</v>
      </c>
    </row>
    <row r="296" spans="1:12" x14ac:dyDescent="0.25">
      <c r="A296" s="8">
        <v>41565</v>
      </c>
      <c r="B296" s="4">
        <v>59259</v>
      </c>
      <c r="C296" s="57">
        <v>150.68</v>
      </c>
      <c r="D296" s="4" t="str">
        <f t="shared" si="16"/>
        <v>EOM plus 10 days</v>
      </c>
      <c r="E296" s="4">
        <v>10</v>
      </c>
      <c r="F296" s="104">
        <f t="shared" si="17"/>
        <v>41588</v>
      </c>
      <c r="J296" s="104">
        <f t="shared" si="18"/>
        <v>41588</v>
      </c>
      <c r="L296" t="b">
        <f t="shared" si="19"/>
        <v>1</v>
      </c>
    </row>
    <row r="297" spans="1:12" x14ac:dyDescent="0.25">
      <c r="A297" s="8">
        <v>41565</v>
      </c>
      <c r="B297" s="4">
        <v>59260</v>
      </c>
      <c r="C297" s="57">
        <v>335.48</v>
      </c>
      <c r="D297" s="4" t="str">
        <f t="shared" si="16"/>
        <v>EOM plus 10 days</v>
      </c>
      <c r="E297" s="4">
        <v>10</v>
      </c>
      <c r="F297" s="104">
        <f t="shared" si="17"/>
        <v>41588</v>
      </c>
      <c r="J297" s="104">
        <f t="shared" si="18"/>
        <v>41588</v>
      </c>
      <c r="L297" t="b">
        <f t="shared" si="19"/>
        <v>1</v>
      </c>
    </row>
    <row r="298" spans="1:12" x14ac:dyDescent="0.25">
      <c r="A298" s="8">
        <v>41565</v>
      </c>
      <c r="B298" s="4">
        <v>59261</v>
      </c>
      <c r="C298" s="57">
        <v>80.23</v>
      </c>
      <c r="D298" s="4" t="str">
        <f t="shared" si="16"/>
        <v>EOM plus 5 days</v>
      </c>
      <c r="E298" s="4">
        <v>5</v>
      </c>
      <c r="F298" s="104">
        <f t="shared" si="17"/>
        <v>41583</v>
      </c>
      <c r="J298" s="104">
        <f t="shared" si="18"/>
        <v>41583</v>
      </c>
      <c r="L298" t="b">
        <f t="shared" si="19"/>
        <v>1</v>
      </c>
    </row>
    <row r="299" spans="1:12" x14ac:dyDescent="0.25">
      <c r="A299" s="8">
        <v>41565</v>
      </c>
      <c r="B299" s="4">
        <v>59262</v>
      </c>
      <c r="C299" s="57">
        <v>209.89</v>
      </c>
      <c r="D299" s="4" t="str">
        <f t="shared" si="16"/>
        <v>EOM plus 10 days</v>
      </c>
      <c r="E299" s="4">
        <v>10</v>
      </c>
      <c r="F299" s="104">
        <f t="shared" si="17"/>
        <v>41588</v>
      </c>
      <c r="J299" s="104">
        <f t="shared" si="18"/>
        <v>41588</v>
      </c>
      <c r="L299" t="b">
        <f t="shared" si="19"/>
        <v>1</v>
      </c>
    </row>
    <row r="300" spans="1:12" x14ac:dyDescent="0.25">
      <c r="A300" s="8">
        <v>41565</v>
      </c>
      <c r="B300" s="4">
        <v>59263</v>
      </c>
      <c r="C300" s="57">
        <v>58.4</v>
      </c>
      <c r="D300" s="4" t="str">
        <f t="shared" si="16"/>
        <v>EOM plus 10 days</v>
      </c>
      <c r="E300" s="4">
        <v>10</v>
      </c>
      <c r="F300" s="104">
        <f t="shared" si="17"/>
        <v>41588</v>
      </c>
      <c r="J300" s="104">
        <f t="shared" si="18"/>
        <v>41588</v>
      </c>
      <c r="L300" t="b">
        <f t="shared" si="19"/>
        <v>1</v>
      </c>
    </row>
    <row r="301" spans="1:12" x14ac:dyDescent="0.25">
      <c r="A301" s="8">
        <v>41565</v>
      </c>
      <c r="B301" s="4">
        <v>59264</v>
      </c>
      <c r="C301" s="57">
        <v>363.92</v>
      </c>
      <c r="D301" s="4" t="str">
        <f t="shared" si="16"/>
        <v>EOM plus 15 days</v>
      </c>
      <c r="E301" s="4">
        <v>15</v>
      </c>
      <c r="F301" s="104">
        <f t="shared" si="17"/>
        <v>41593</v>
      </c>
      <c r="J301" s="104">
        <f t="shared" si="18"/>
        <v>41593</v>
      </c>
      <c r="L301" t="b">
        <f t="shared" si="19"/>
        <v>1</v>
      </c>
    </row>
    <row r="302" spans="1:12" x14ac:dyDescent="0.25">
      <c r="A302" s="8">
        <v>41565</v>
      </c>
      <c r="B302" s="4">
        <v>59265</v>
      </c>
      <c r="C302" s="57">
        <v>109.95</v>
      </c>
      <c r="D302" s="4" t="str">
        <f t="shared" si="16"/>
        <v>EOM plus 5 days</v>
      </c>
      <c r="E302" s="4">
        <v>5</v>
      </c>
      <c r="F302" s="104">
        <f t="shared" si="17"/>
        <v>41583</v>
      </c>
      <c r="J302" s="104">
        <f t="shared" si="18"/>
        <v>41583</v>
      </c>
      <c r="L302" t="b">
        <f t="shared" si="19"/>
        <v>1</v>
      </c>
    </row>
    <row r="303" spans="1:12" x14ac:dyDescent="0.25">
      <c r="A303" s="8">
        <v>41566</v>
      </c>
      <c r="B303" s="4">
        <v>59266</v>
      </c>
      <c r="C303" s="57">
        <v>144.82</v>
      </c>
      <c r="D303" s="4" t="str">
        <f t="shared" si="16"/>
        <v>EOM plus 10 days</v>
      </c>
      <c r="E303" s="4">
        <v>10</v>
      </c>
      <c r="F303" s="104">
        <f t="shared" si="17"/>
        <v>41588</v>
      </c>
      <c r="J303" s="104">
        <f t="shared" si="18"/>
        <v>41588</v>
      </c>
      <c r="L303" t="b">
        <f t="shared" si="19"/>
        <v>1</v>
      </c>
    </row>
    <row r="304" spans="1:12" x14ac:dyDescent="0.25">
      <c r="A304" s="8">
        <v>41566</v>
      </c>
      <c r="B304" s="4">
        <v>59267</v>
      </c>
      <c r="C304" s="57">
        <v>194.87</v>
      </c>
      <c r="D304" s="4" t="str">
        <f t="shared" si="16"/>
        <v>EOM plus 10 days</v>
      </c>
      <c r="E304" s="4">
        <v>10</v>
      </c>
      <c r="F304" s="104">
        <f t="shared" si="17"/>
        <v>41588</v>
      </c>
      <c r="J304" s="104">
        <f t="shared" si="18"/>
        <v>41588</v>
      </c>
      <c r="L304" t="b">
        <f t="shared" si="19"/>
        <v>1</v>
      </c>
    </row>
    <row r="305" spans="1:12" x14ac:dyDescent="0.25">
      <c r="A305" s="8">
        <v>41566</v>
      </c>
      <c r="B305" s="4">
        <v>59268</v>
      </c>
      <c r="C305" s="57">
        <v>389.76</v>
      </c>
      <c r="D305" s="4" t="str">
        <f t="shared" si="16"/>
        <v>EOM plus 10 days</v>
      </c>
      <c r="E305" s="4">
        <v>10</v>
      </c>
      <c r="F305" s="104">
        <f t="shared" si="17"/>
        <v>41588</v>
      </c>
      <c r="J305" s="104">
        <f t="shared" si="18"/>
        <v>41588</v>
      </c>
      <c r="L305" t="b">
        <f t="shared" si="19"/>
        <v>1</v>
      </c>
    </row>
    <row r="306" spans="1:12" x14ac:dyDescent="0.25">
      <c r="A306" s="8">
        <v>41566</v>
      </c>
      <c r="B306" s="4">
        <v>59269</v>
      </c>
      <c r="C306" s="57">
        <v>79.66</v>
      </c>
      <c r="D306" s="4" t="str">
        <f t="shared" si="16"/>
        <v>EOM plus 5 days</v>
      </c>
      <c r="E306" s="4">
        <v>5</v>
      </c>
      <c r="F306" s="104">
        <f t="shared" si="17"/>
        <v>41583</v>
      </c>
      <c r="J306" s="104">
        <f t="shared" si="18"/>
        <v>41583</v>
      </c>
      <c r="L306" t="b">
        <f t="shared" si="19"/>
        <v>1</v>
      </c>
    </row>
    <row r="307" spans="1:12" x14ac:dyDescent="0.25">
      <c r="A307" s="8">
        <v>41566</v>
      </c>
      <c r="B307" s="4">
        <v>59270</v>
      </c>
      <c r="C307" s="57">
        <v>303.92</v>
      </c>
      <c r="D307" s="4" t="str">
        <f t="shared" si="16"/>
        <v>EOM plus 5 days</v>
      </c>
      <c r="E307" s="4">
        <v>5</v>
      </c>
      <c r="F307" s="104">
        <f t="shared" si="17"/>
        <v>41583</v>
      </c>
      <c r="J307" s="104">
        <f t="shared" si="18"/>
        <v>41583</v>
      </c>
      <c r="L307" t="b">
        <f t="shared" si="19"/>
        <v>1</v>
      </c>
    </row>
    <row r="308" spans="1:12" x14ac:dyDescent="0.25">
      <c r="A308" s="8">
        <v>41566</v>
      </c>
      <c r="B308" s="4">
        <v>59271</v>
      </c>
      <c r="C308" s="57">
        <v>97.62</v>
      </c>
      <c r="D308" s="4" t="str">
        <f t="shared" si="16"/>
        <v>EOM plus 10 days</v>
      </c>
      <c r="E308" s="4">
        <v>10</v>
      </c>
      <c r="F308" s="104">
        <f t="shared" si="17"/>
        <v>41588</v>
      </c>
      <c r="J308" s="104">
        <f t="shared" si="18"/>
        <v>41588</v>
      </c>
      <c r="L308" t="b">
        <f t="shared" si="19"/>
        <v>1</v>
      </c>
    </row>
    <row r="309" spans="1:12" x14ac:dyDescent="0.25">
      <c r="A309" s="8">
        <v>41566</v>
      </c>
      <c r="B309" s="4">
        <v>59272</v>
      </c>
      <c r="C309" s="57">
        <v>300.57</v>
      </c>
      <c r="D309" s="4" t="str">
        <f t="shared" si="16"/>
        <v>EOM plus 15 days</v>
      </c>
      <c r="E309" s="4">
        <v>15</v>
      </c>
      <c r="F309" s="104">
        <f t="shared" si="17"/>
        <v>41593</v>
      </c>
      <c r="J309" s="104">
        <f t="shared" si="18"/>
        <v>41593</v>
      </c>
      <c r="L309" t="b">
        <f t="shared" si="19"/>
        <v>1</v>
      </c>
    </row>
    <row r="310" spans="1:12" x14ac:dyDescent="0.25">
      <c r="A310" s="8">
        <v>41566</v>
      </c>
      <c r="B310" s="4">
        <v>59273</v>
      </c>
      <c r="C310" s="57">
        <v>86.22</v>
      </c>
      <c r="D310" s="4" t="str">
        <f t="shared" si="16"/>
        <v>EOM plus 5 days</v>
      </c>
      <c r="E310" s="4">
        <v>5</v>
      </c>
      <c r="F310" s="104">
        <f t="shared" si="17"/>
        <v>41583</v>
      </c>
      <c r="J310" s="104">
        <f t="shared" si="18"/>
        <v>41583</v>
      </c>
      <c r="L310" t="b">
        <f t="shared" si="19"/>
        <v>1</v>
      </c>
    </row>
    <row r="311" spans="1:12" x14ac:dyDescent="0.25">
      <c r="A311" s="8">
        <v>41566</v>
      </c>
      <c r="B311" s="4">
        <v>59274</v>
      </c>
      <c r="C311" s="57">
        <v>286.69</v>
      </c>
      <c r="D311" s="4" t="str">
        <f t="shared" si="16"/>
        <v>EOM plus 10 days</v>
      </c>
      <c r="E311" s="4">
        <v>10</v>
      </c>
      <c r="F311" s="104">
        <f t="shared" si="17"/>
        <v>41588</v>
      </c>
      <c r="J311" s="104">
        <f t="shared" si="18"/>
        <v>41588</v>
      </c>
      <c r="L311" t="b">
        <f t="shared" si="19"/>
        <v>1</v>
      </c>
    </row>
    <row r="312" spans="1:12" x14ac:dyDescent="0.25">
      <c r="A312" s="8">
        <v>41566</v>
      </c>
      <c r="B312" s="4">
        <v>59275</v>
      </c>
      <c r="C312" s="57">
        <v>351.91</v>
      </c>
      <c r="D312" s="4" t="str">
        <f t="shared" si="16"/>
        <v>EOM plus 10 days</v>
      </c>
      <c r="E312" s="4">
        <v>10</v>
      </c>
      <c r="F312" s="104">
        <f t="shared" si="17"/>
        <v>41588</v>
      </c>
      <c r="J312" s="104">
        <f t="shared" si="18"/>
        <v>41588</v>
      </c>
      <c r="L312" t="b">
        <f t="shared" si="19"/>
        <v>1</v>
      </c>
    </row>
    <row r="313" spans="1:12" x14ac:dyDescent="0.25">
      <c r="A313" s="8">
        <v>41566</v>
      </c>
      <c r="B313" s="4">
        <v>59276</v>
      </c>
      <c r="C313" s="57">
        <v>219.56</v>
      </c>
      <c r="D313" s="4" t="str">
        <f t="shared" si="16"/>
        <v>EOM plus 10 days</v>
      </c>
      <c r="E313" s="4">
        <v>10</v>
      </c>
      <c r="F313" s="104">
        <f t="shared" si="17"/>
        <v>41588</v>
      </c>
      <c r="J313" s="104">
        <f t="shared" si="18"/>
        <v>41588</v>
      </c>
      <c r="L313" t="b">
        <f t="shared" si="19"/>
        <v>1</v>
      </c>
    </row>
    <row r="314" spans="1:12" x14ac:dyDescent="0.25">
      <c r="A314" s="8">
        <v>41566</v>
      </c>
      <c r="B314" s="4">
        <v>59277</v>
      </c>
      <c r="C314" s="57">
        <v>309.63</v>
      </c>
      <c r="D314" s="4" t="str">
        <f t="shared" si="16"/>
        <v>EOM plus 10 days</v>
      </c>
      <c r="E314" s="4">
        <v>10</v>
      </c>
      <c r="F314" s="104">
        <f t="shared" si="17"/>
        <v>41588</v>
      </c>
      <c r="J314" s="104">
        <f t="shared" si="18"/>
        <v>41588</v>
      </c>
      <c r="L314" t="b">
        <f t="shared" si="19"/>
        <v>1</v>
      </c>
    </row>
    <row r="315" spans="1:12" x14ac:dyDescent="0.25">
      <c r="A315" s="8">
        <v>41566</v>
      </c>
      <c r="B315" s="4">
        <v>59278</v>
      </c>
      <c r="C315" s="57">
        <v>369.27</v>
      </c>
      <c r="D315" s="4" t="str">
        <f t="shared" si="16"/>
        <v>EOM plus 10 days</v>
      </c>
      <c r="E315" s="4">
        <v>10</v>
      </c>
      <c r="F315" s="104">
        <f t="shared" si="17"/>
        <v>41588</v>
      </c>
      <c r="J315" s="104">
        <f t="shared" si="18"/>
        <v>41588</v>
      </c>
      <c r="L315" t="b">
        <f t="shared" si="19"/>
        <v>1</v>
      </c>
    </row>
    <row r="316" spans="1:12" x14ac:dyDescent="0.25">
      <c r="A316" s="8">
        <v>41566</v>
      </c>
      <c r="B316" s="4">
        <v>59279</v>
      </c>
      <c r="C316" s="57">
        <v>319.87</v>
      </c>
      <c r="D316" s="4" t="str">
        <f t="shared" si="16"/>
        <v>EOM plus 5 days</v>
      </c>
      <c r="E316" s="4">
        <v>5</v>
      </c>
      <c r="F316" s="104">
        <f t="shared" si="17"/>
        <v>41583</v>
      </c>
      <c r="J316" s="104">
        <f t="shared" si="18"/>
        <v>41583</v>
      </c>
      <c r="L316" t="b">
        <f t="shared" si="19"/>
        <v>1</v>
      </c>
    </row>
    <row r="317" spans="1:12" x14ac:dyDescent="0.25">
      <c r="A317" s="8">
        <v>41566</v>
      </c>
      <c r="B317" s="4">
        <v>59280</v>
      </c>
      <c r="C317" s="57">
        <v>65.010000000000005</v>
      </c>
      <c r="D317" s="4" t="str">
        <f t="shared" si="16"/>
        <v>EOM plus 10 days</v>
      </c>
      <c r="E317" s="4">
        <v>10</v>
      </c>
      <c r="F317" s="104">
        <f t="shared" si="17"/>
        <v>41588</v>
      </c>
      <c r="J317" s="104">
        <f t="shared" si="18"/>
        <v>41588</v>
      </c>
      <c r="L317" t="b">
        <f t="shared" si="19"/>
        <v>1</v>
      </c>
    </row>
    <row r="318" spans="1:12" x14ac:dyDescent="0.25">
      <c r="A318" s="8">
        <v>41566</v>
      </c>
      <c r="B318" s="4">
        <v>59281</v>
      </c>
      <c r="C318" s="57">
        <v>188.54</v>
      </c>
      <c r="D318" s="4" t="str">
        <f t="shared" si="16"/>
        <v>EOM plus 15 days</v>
      </c>
      <c r="E318" s="4">
        <v>15</v>
      </c>
      <c r="F318" s="104">
        <f t="shared" si="17"/>
        <v>41593</v>
      </c>
      <c r="J318" s="104">
        <f t="shared" si="18"/>
        <v>41593</v>
      </c>
      <c r="L318" t="b">
        <f t="shared" si="19"/>
        <v>1</v>
      </c>
    </row>
    <row r="319" spans="1:12" x14ac:dyDescent="0.25">
      <c r="A319" s="8">
        <v>41566</v>
      </c>
      <c r="B319" s="4">
        <v>59282</v>
      </c>
      <c r="C319" s="57">
        <v>205.69</v>
      </c>
      <c r="D319" s="4" t="str">
        <f t="shared" si="16"/>
        <v>EOM plus 10 days</v>
      </c>
      <c r="E319" s="4">
        <v>10</v>
      </c>
      <c r="F319" s="104">
        <f t="shared" si="17"/>
        <v>41588</v>
      </c>
      <c r="J319" s="104">
        <f t="shared" si="18"/>
        <v>41588</v>
      </c>
      <c r="L319" t="b">
        <f t="shared" si="19"/>
        <v>1</v>
      </c>
    </row>
    <row r="320" spans="1:12" x14ac:dyDescent="0.25">
      <c r="A320" s="8">
        <v>41566</v>
      </c>
      <c r="B320" s="4">
        <v>59283</v>
      </c>
      <c r="C320" s="57">
        <v>301.66000000000003</v>
      </c>
      <c r="D320" s="4" t="str">
        <f t="shared" si="16"/>
        <v>EOM plus 10 days</v>
      </c>
      <c r="E320" s="4">
        <v>10</v>
      </c>
      <c r="F320" s="104">
        <f t="shared" si="17"/>
        <v>41588</v>
      </c>
      <c r="J320" s="104">
        <f t="shared" si="18"/>
        <v>41588</v>
      </c>
      <c r="L320" t="b">
        <f t="shared" si="19"/>
        <v>1</v>
      </c>
    </row>
    <row r="321" spans="1:12" x14ac:dyDescent="0.25">
      <c r="A321" s="8">
        <v>41566</v>
      </c>
      <c r="B321" s="4">
        <v>59284</v>
      </c>
      <c r="C321" s="57">
        <v>355.56</v>
      </c>
      <c r="D321" s="4" t="str">
        <f t="shared" si="16"/>
        <v>EOM plus 20 days</v>
      </c>
      <c r="E321" s="4">
        <v>20</v>
      </c>
      <c r="F321" s="104">
        <f t="shared" si="17"/>
        <v>41598</v>
      </c>
      <c r="J321" s="104">
        <f t="shared" si="18"/>
        <v>41598</v>
      </c>
      <c r="L321" t="b">
        <f t="shared" si="19"/>
        <v>1</v>
      </c>
    </row>
    <row r="322" spans="1:12" x14ac:dyDescent="0.25">
      <c r="A322" s="8">
        <v>41566</v>
      </c>
      <c r="B322" s="4">
        <v>59285</v>
      </c>
      <c r="C322" s="57">
        <v>289.93</v>
      </c>
      <c r="D322" s="4" t="str">
        <f t="shared" si="16"/>
        <v>EOM plus 10 days</v>
      </c>
      <c r="E322" s="4">
        <v>10</v>
      </c>
      <c r="F322" s="104">
        <f t="shared" si="17"/>
        <v>41588</v>
      </c>
      <c r="J322" s="104">
        <f t="shared" si="18"/>
        <v>41588</v>
      </c>
      <c r="L322" t="b">
        <f t="shared" si="19"/>
        <v>1</v>
      </c>
    </row>
    <row r="323" spans="1:12" x14ac:dyDescent="0.25">
      <c r="A323" s="8">
        <v>41567</v>
      </c>
      <c r="B323" s="4">
        <v>59286</v>
      </c>
      <c r="C323" s="57">
        <v>344.92</v>
      </c>
      <c r="D323" s="4" t="str">
        <f t="shared" si="16"/>
        <v>EOM plus 5 days</v>
      </c>
      <c r="E323" s="4">
        <v>5</v>
      </c>
      <c r="F323" s="104">
        <f t="shared" si="17"/>
        <v>41583</v>
      </c>
      <c r="J323" s="104">
        <f t="shared" si="18"/>
        <v>41583</v>
      </c>
      <c r="L323" t="b">
        <f t="shared" si="19"/>
        <v>1</v>
      </c>
    </row>
    <row r="324" spans="1:12" x14ac:dyDescent="0.25">
      <c r="A324" s="8">
        <v>41567</v>
      </c>
      <c r="B324" s="4">
        <v>59287</v>
      </c>
      <c r="C324" s="57">
        <v>180.67</v>
      </c>
      <c r="D324" s="4" t="str">
        <f t="shared" si="16"/>
        <v>EOM plus 20 days</v>
      </c>
      <c r="E324" s="4">
        <v>20</v>
      </c>
      <c r="F324" s="104">
        <f t="shared" si="17"/>
        <v>41598</v>
      </c>
      <c r="J324" s="104">
        <f t="shared" si="18"/>
        <v>41598</v>
      </c>
      <c r="L324" t="b">
        <f t="shared" si="19"/>
        <v>1</v>
      </c>
    </row>
    <row r="325" spans="1:12" x14ac:dyDescent="0.25">
      <c r="A325" s="8">
        <v>41567</v>
      </c>
      <c r="B325" s="4">
        <v>59288</v>
      </c>
      <c r="C325" s="57">
        <v>189.6</v>
      </c>
      <c r="D325" s="4" t="str">
        <f t="shared" ref="D325:D388" si="20">"EOM plus "&amp;E325&amp;" days"</f>
        <v>EOM plus 15 days</v>
      </c>
      <c r="E325" s="4">
        <v>15</v>
      </c>
      <c r="F325" s="104">
        <f t="shared" si="17"/>
        <v>41593</v>
      </c>
      <c r="J325" s="104">
        <f t="shared" si="18"/>
        <v>41593</v>
      </c>
      <c r="L325" t="b">
        <f t="shared" si="19"/>
        <v>1</v>
      </c>
    </row>
    <row r="326" spans="1:12" x14ac:dyDescent="0.25">
      <c r="A326" s="8">
        <v>41567</v>
      </c>
      <c r="B326" s="4">
        <v>59289</v>
      </c>
      <c r="C326" s="57">
        <v>172.01</v>
      </c>
      <c r="D326" s="4" t="str">
        <f t="shared" si="20"/>
        <v>EOM plus 15 days</v>
      </c>
      <c r="E326" s="4">
        <v>15</v>
      </c>
      <c r="F326" s="104">
        <f t="shared" ref="F326:F389" si="21">EOMONTH(A326,0)+E326</f>
        <v>41593</v>
      </c>
      <c r="J326" s="104">
        <f t="shared" ref="J326:J389" si="22">DATE(YEAR(A326),MONTH(A326)+1,E326)</f>
        <v>41593</v>
      </c>
      <c r="L326" t="b">
        <f t="shared" ref="L326:L389" si="23">J326=F326</f>
        <v>1</v>
      </c>
    </row>
    <row r="327" spans="1:12" x14ac:dyDescent="0.25">
      <c r="A327" s="8">
        <v>41567</v>
      </c>
      <c r="B327" s="4">
        <v>59290</v>
      </c>
      <c r="C327" s="57">
        <v>115.57</v>
      </c>
      <c r="D327" s="4" t="str">
        <f t="shared" si="20"/>
        <v>EOM plus 15 days</v>
      </c>
      <c r="E327" s="4">
        <v>15</v>
      </c>
      <c r="F327" s="104">
        <f t="shared" si="21"/>
        <v>41593</v>
      </c>
      <c r="J327" s="104">
        <f t="shared" si="22"/>
        <v>41593</v>
      </c>
      <c r="L327" t="b">
        <f t="shared" si="23"/>
        <v>1</v>
      </c>
    </row>
    <row r="328" spans="1:12" x14ac:dyDescent="0.25">
      <c r="A328" s="8">
        <v>41567</v>
      </c>
      <c r="B328" s="4">
        <v>59291</v>
      </c>
      <c r="C328" s="57">
        <v>369.38</v>
      </c>
      <c r="D328" s="4" t="str">
        <f t="shared" si="20"/>
        <v>EOM plus 10 days</v>
      </c>
      <c r="E328" s="4">
        <v>10</v>
      </c>
      <c r="F328" s="104">
        <f t="shared" si="21"/>
        <v>41588</v>
      </c>
      <c r="J328" s="104">
        <f t="shared" si="22"/>
        <v>41588</v>
      </c>
      <c r="L328" t="b">
        <f t="shared" si="23"/>
        <v>1</v>
      </c>
    </row>
    <row r="329" spans="1:12" x14ac:dyDescent="0.25">
      <c r="A329" s="8">
        <v>41567</v>
      </c>
      <c r="B329" s="4">
        <v>59292</v>
      </c>
      <c r="C329" s="57">
        <v>311.51</v>
      </c>
      <c r="D329" s="4" t="str">
        <f t="shared" si="20"/>
        <v>EOM plus 5 days</v>
      </c>
      <c r="E329" s="4">
        <v>5</v>
      </c>
      <c r="F329" s="104">
        <f t="shared" si="21"/>
        <v>41583</v>
      </c>
      <c r="J329" s="104">
        <f t="shared" si="22"/>
        <v>41583</v>
      </c>
      <c r="L329" t="b">
        <f t="shared" si="23"/>
        <v>1</v>
      </c>
    </row>
    <row r="330" spans="1:12" x14ac:dyDescent="0.25">
      <c r="A330" s="8">
        <v>41567</v>
      </c>
      <c r="B330" s="4">
        <v>59293</v>
      </c>
      <c r="C330" s="57">
        <v>130.91</v>
      </c>
      <c r="D330" s="4" t="str">
        <f t="shared" si="20"/>
        <v>EOM plus 10 days</v>
      </c>
      <c r="E330" s="4">
        <v>10</v>
      </c>
      <c r="F330" s="104">
        <f t="shared" si="21"/>
        <v>41588</v>
      </c>
      <c r="J330" s="104">
        <f t="shared" si="22"/>
        <v>41588</v>
      </c>
      <c r="L330" t="b">
        <f t="shared" si="23"/>
        <v>1</v>
      </c>
    </row>
    <row r="331" spans="1:12" x14ac:dyDescent="0.25">
      <c r="A331" s="8">
        <v>41567</v>
      </c>
      <c r="B331" s="4">
        <v>59294</v>
      </c>
      <c r="C331" s="57">
        <v>334.71</v>
      </c>
      <c r="D331" s="4" t="str">
        <f t="shared" si="20"/>
        <v>EOM plus 15 days</v>
      </c>
      <c r="E331" s="4">
        <v>15</v>
      </c>
      <c r="F331" s="104">
        <f t="shared" si="21"/>
        <v>41593</v>
      </c>
      <c r="J331" s="104">
        <f t="shared" si="22"/>
        <v>41593</v>
      </c>
      <c r="L331" t="b">
        <f t="shared" si="23"/>
        <v>1</v>
      </c>
    </row>
    <row r="332" spans="1:12" x14ac:dyDescent="0.25">
      <c r="A332" s="8">
        <v>41567</v>
      </c>
      <c r="B332" s="4">
        <v>59295</v>
      </c>
      <c r="C332" s="57">
        <v>110.29</v>
      </c>
      <c r="D332" s="4" t="str">
        <f t="shared" si="20"/>
        <v>EOM plus 10 days</v>
      </c>
      <c r="E332" s="4">
        <v>10</v>
      </c>
      <c r="F332" s="104">
        <f t="shared" si="21"/>
        <v>41588</v>
      </c>
      <c r="J332" s="104">
        <f t="shared" si="22"/>
        <v>41588</v>
      </c>
      <c r="L332" t="b">
        <f t="shared" si="23"/>
        <v>1</v>
      </c>
    </row>
    <row r="333" spans="1:12" x14ac:dyDescent="0.25">
      <c r="A333" s="8">
        <v>41567</v>
      </c>
      <c r="B333" s="4">
        <v>59296</v>
      </c>
      <c r="C333" s="57">
        <v>160.38999999999999</v>
      </c>
      <c r="D333" s="4" t="str">
        <f t="shared" si="20"/>
        <v>EOM plus 20 days</v>
      </c>
      <c r="E333" s="4">
        <v>20</v>
      </c>
      <c r="F333" s="104">
        <f t="shared" si="21"/>
        <v>41598</v>
      </c>
      <c r="J333" s="104">
        <f t="shared" si="22"/>
        <v>41598</v>
      </c>
      <c r="L333" t="b">
        <f t="shared" si="23"/>
        <v>1</v>
      </c>
    </row>
    <row r="334" spans="1:12" x14ac:dyDescent="0.25">
      <c r="A334" s="8">
        <v>41567</v>
      </c>
      <c r="B334" s="4">
        <v>59297</v>
      </c>
      <c r="C334" s="57">
        <v>77.59</v>
      </c>
      <c r="D334" s="4" t="str">
        <f t="shared" si="20"/>
        <v>EOM plus 10 days</v>
      </c>
      <c r="E334" s="4">
        <v>10</v>
      </c>
      <c r="F334" s="104">
        <f t="shared" si="21"/>
        <v>41588</v>
      </c>
      <c r="J334" s="104">
        <f t="shared" si="22"/>
        <v>41588</v>
      </c>
      <c r="L334" t="b">
        <f t="shared" si="23"/>
        <v>1</v>
      </c>
    </row>
    <row r="335" spans="1:12" x14ac:dyDescent="0.25">
      <c r="A335" s="8">
        <v>41567</v>
      </c>
      <c r="B335" s="4">
        <v>59298</v>
      </c>
      <c r="C335" s="57">
        <v>234.43</v>
      </c>
      <c r="D335" s="4" t="str">
        <f t="shared" si="20"/>
        <v>EOM plus 5 days</v>
      </c>
      <c r="E335" s="4">
        <v>5</v>
      </c>
      <c r="F335" s="104">
        <f t="shared" si="21"/>
        <v>41583</v>
      </c>
      <c r="J335" s="104">
        <f t="shared" si="22"/>
        <v>41583</v>
      </c>
      <c r="L335" t="b">
        <f t="shared" si="23"/>
        <v>1</v>
      </c>
    </row>
    <row r="336" spans="1:12" x14ac:dyDescent="0.25">
      <c r="A336" s="8">
        <v>41568</v>
      </c>
      <c r="B336" s="4">
        <v>59299</v>
      </c>
      <c r="C336" s="57">
        <v>296.64999999999998</v>
      </c>
      <c r="D336" s="4" t="str">
        <f t="shared" si="20"/>
        <v>EOM plus 10 days</v>
      </c>
      <c r="E336" s="4">
        <v>10</v>
      </c>
      <c r="F336" s="104">
        <f t="shared" si="21"/>
        <v>41588</v>
      </c>
      <c r="J336" s="104">
        <f t="shared" si="22"/>
        <v>41588</v>
      </c>
      <c r="L336" t="b">
        <f t="shared" si="23"/>
        <v>1</v>
      </c>
    </row>
    <row r="337" spans="1:12" x14ac:dyDescent="0.25">
      <c r="A337" s="8">
        <v>41568</v>
      </c>
      <c r="B337" s="4">
        <v>59300</v>
      </c>
      <c r="C337" s="57">
        <v>122.66</v>
      </c>
      <c r="D337" s="4" t="str">
        <f t="shared" si="20"/>
        <v>EOM plus 5 days</v>
      </c>
      <c r="E337" s="4">
        <v>5</v>
      </c>
      <c r="F337" s="104">
        <f t="shared" si="21"/>
        <v>41583</v>
      </c>
      <c r="J337" s="104">
        <f t="shared" si="22"/>
        <v>41583</v>
      </c>
      <c r="L337" t="b">
        <f t="shared" si="23"/>
        <v>1</v>
      </c>
    </row>
    <row r="338" spans="1:12" x14ac:dyDescent="0.25">
      <c r="A338" s="8">
        <v>41568</v>
      </c>
      <c r="B338" s="4">
        <v>59301</v>
      </c>
      <c r="C338" s="57">
        <v>139.07</v>
      </c>
      <c r="D338" s="4" t="str">
        <f t="shared" si="20"/>
        <v>EOM plus 10 days</v>
      </c>
      <c r="E338" s="4">
        <v>10</v>
      </c>
      <c r="F338" s="104">
        <f t="shared" si="21"/>
        <v>41588</v>
      </c>
      <c r="J338" s="104">
        <f t="shared" si="22"/>
        <v>41588</v>
      </c>
      <c r="L338" t="b">
        <f t="shared" si="23"/>
        <v>1</v>
      </c>
    </row>
    <row r="339" spans="1:12" x14ac:dyDescent="0.25">
      <c r="A339" s="8">
        <v>41568</v>
      </c>
      <c r="B339" s="4">
        <v>59302</v>
      </c>
      <c r="C339" s="57">
        <v>266.02999999999997</v>
      </c>
      <c r="D339" s="4" t="str">
        <f t="shared" si="20"/>
        <v>EOM plus 15 days</v>
      </c>
      <c r="E339" s="4">
        <v>15</v>
      </c>
      <c r="F339" s="104">
        <f t="shared" si="21"/>
        <v>41593</v>
      </c>
      <c r="J339" s="104">
        <f t="shared" si="22"/>
        <v>41593</v>
      </c>
      <c r="L339" t="b">
        <f t="shared" si="23"/>
        <v>1</v>
      </c>
    </row>
    <row r="340" spans="1:12" x14ac:dyDescent="0.25">
      <c r="A340" s="8">
        <v>41568</v>
      </c>
      <c r="B340" s="4">
        <v>59303</v>
      </c>
      <c r="C340" s="57">
        <v>217.73</v>
      </c>
      <c r="D340" s="4" t="str">
        <f t="shared" si="20"/>
        <v>EOM plus 10 days</v>
      </c>
      <c r="E340" s="4">
        <v>10</v>
      </c>
      <c r="F340" s="104">
        <f t="shared" si="21"/>
        <v>41588</v>
      </c>
      <c r="J340" s="104">
        <f t="shared" si="22"/>
        <v>41588</v>
      </c>
      <c r="L340" t="b">
        <f t="shared" si="23"/>
        <v>1</v>
      </c>
    </row>
    <row r="341" spans="1:12" x14ac:dyDescent="0.25">
      <c r="A341" s="8">
        <v>41568</v>
      </c>
      <c r="B341" s="4">
        <v>59304</v>
      </c>
      <c r="C341" s="57">
        <v>85.16</v>
      </c>
      <c r="D341" s="4" t="str">
        <f t="shared" si="20"/>
        <v>EOM plus 10 days</v>
      </c>
      <c r="E341" s="4">
        <v>10</v>
      </c>
      <c r="F341" s="104">
        <f t="shared" si="21"/>
        <v>41588</v>
      </c>
      <c r="J341" s="104">
        <f t="shared" si="22"/>
        <v>41588</v>
      </c>
      <c r="L341" t="b">
        <f t="shared" si="23"/>
        <v>1</v>
      </c>
    </row>
    <row r="342" spans="1:12" x14ac:dyDescent="0.25">
      <c r="A342" s="8">
        <v>41568</v>
      </c>
      <c r="B342" s="4">
        <v>59305</v>
      </c>
      <c r="C342" s="57">
        <v>173.62</v>
      </c>
      <c r="D342" s="4" t="str">
        <f t="shared" si="20"/>
        <v>EOM plus 20 days</v>
      </c>
      <c r="E342" s="4">
        <v>20</v>
      </c>
      <c r="F342" s="104">
        <f t="shared" si="21"/>
        <v>41598</v>
      </c>
      <c r="J342" s="104">
        <f t="shared" si="22"/>
        <v>41598</v>
      </c>
      <c r="L342" t="b">
        <f t="shared" si="23"/>
        <v>1</v>
      </c>
    </row>
    <row r="343" spans="1:12" x14ac:dyDescent="0.25">
      <c r="A343" s="8">
        <v>41568</v>
      </c>
      <c r="B343" s="4">
        <v>59306</v>
      </c>
      <c r="C343" s="57">
        <v>60.2</v>
      </c>
      <c r="D343" s="4" t="str">
        <f t="shared" si="20"/>
        <v>EOM plus 15 days</v>
      </c>
      <c r="E343" s="4">
        <v>15</v>
      </c>
      <c r="F343" s="104">
        <f t="shared" si="21"/>
        <v>41593</v>
      </c>
      <c r="J343" s="104">
        <f t="shared" si="22"/>
        <v>41593</v>
      </c>
      <c r="L343" t="b">
        <f t="shared" si="23"/>
        <v>1</v>
      </c>
    </row>
    <row r="344" spans="1:12" x14ac:dyDescent="0.25">
      <c r="A344" s="8">
        <v>41568</v>
      </c>
      <c r="B344" s="4">
        <v>59307</v>
      </c>
      <c r="C344" s="57">
        <v>358.84</v>
      </c>
      <c r="D344" s="4" t="str">
        <f t="shared" si="20"/>
        <v>EOM plus 20 days</v>
      </c>
      <c r="E344" s="4">
        <v>20</v>
      </c>
      <c r="F344" s="104">
        <f t="shared" si="21"/>
        <v>41598</v>
      </c>
      <c r="J344" s="104">
        <f t="shared" si="22"/>
        <v>41598</v>
      </c>
      <c r="L344" t="b">
        <f t="shared" si="23"/>
        <v>1</v>
      </c>
    </row>
    <row r="345" spans="1:12" x14ac:dyDescent="0.25">
      <c r="A345" s="8">
        <v>41568</v>
      </c>
      <c r="B345" s="4">
        <v>59308</v>
      </c>
      <c r="C345" s="57">
        <v>362.58</v>
      </c>
      <c r="D345" s="4" t="str">
        <f t="shared" si="20"/>
        <v>EOM plus 10 days</v>
      </c>
      <c r="E345" s="4">
        <v>10</v>
      </c>
      <c r="F345" s="104">
        <f t="shared" si="21"/>
        <v>41588</v>
      </c>
      <c r="J345" s="104">
        <f t="shared" si="22"/>
        <v>41588</v>
      </c>
      <c r="L345" t="b">
        <f t="shared" si="23"/>
        <v>1</v>
      </c>
    </row>
    <row r="346" spans="1:12" x14ac:dyDescent="0.25">
      <c r="A346" s="8">
        <v>41568</v>
      </c>
      <c r="B346" s="4">
        <v>59309</v>
      </c>
      <c r="C346" s="57">
        <v>104.01</v>
      </c>
      <c r="D346" s="4" t="str">
        <f t="shared" si="20"/>
        <v>EOM plus 15 days</v>
      </c>
      <c r="E346" s="4">
        <v>15</v>
      </c>
      <c r="F346" s="104">
        <f t="shared" si="21"/>
        <v>41593</v>
      </c>
      <c r="J346" s="104">
        <f t="shared" si="22"/>
        <v>41593</v>
      </c>
      <c r="L346" t="b">
        <f t="shared" si="23"/>
        <v>1</v>
      </c>
    </row>
    <row r="347" spans="1:12" x14ac:dyDescent="0.25">
      <c r="A347" s="8">
        <v>41568</v>
      </c>
      <c r="B347" s="4">
        <v>59310</v>
      </c>
      <c r="C347" s="57">
        <v>342.57</v>
      </c>
      <c r="D347" s="4" t="str">
        <f t="shared" si="20"/>
        <v>EOM plus 20 days</v>
      </c>
      <c r="E347" s="4">
        <v>20</v>
      </c>
      <c r="F347" s="104">
        <f t="shared" si="21"/>
        <v>41598</v>
      </c>
      <c r="J347" s="104">
        <f t="shared" si="22"/>
        <v>41598</v>
      </c>
      <c r="L347" t="b">
        <f t="shared" si="23"/>
        <v>1</v>
      </c>
    </row>
    <row r="348" spans="1:12" x14ac:dyDescent="0.25">
      <c r="A348" s="8">
        <v>41568</v>
      </c>
      <c r="B348" s="4">
        <v>59311</v>
      </c>
      <c r="C348" s="57">
        <v>155.13</v>
      </c>
      <c r="D348" s="4" t="str">
        <f t="shared" si="20"/>
        <v>EOM plus 10 days</v>
      </c>
      <c r="E348" s="4">
        <v>10</v>
      </c>
      <c r="F348" s="104">
        <f t="shared" si="21"/>
        <v>41588</v>
      </c>
      <c r="J348" s="104">
        <f t="shared" si="22"/>
        <v>41588</v>
      </c>
      <c r="L348" t="b">
        <f t="shared" si="23"/>
        <v>1</v>
      </c>
    </row>
    <row r="349" spans="1:12" x14ac:dyDescent="0.25">
      <c r="A349" s="8">
        <v>41569</v>
      </c>
      <c r="B349" s="4">
        <v>59312</v>
      </c>
      <c r="C349" s="57">
        <v>218.18</v>
      </c>
      <c r="D349" s="4" t="str">
        <f t="shared" si="20"/>
        <v>EOM plus 5 days</v>
      </c>
      <c r="E349" s="4">
        <v>5</v>
      </c>
      <c r="F349" s="104">
        <f t="shared" si="21"/>
        <v>41583</v>
      </c>
      <c r="J349" s="104">
        <f t="shared" si="22"/>
        <v>41583</v>
      </c>
      <c r="L349" t="b">
        <f t="shared" si="23"/>
        <v>1</v>
      </c>
    </row>
    <row r="350" spans="1:12" x14ac:dyDescent="0.25">
      <c r="A350" s="8">
        <v>41569</v>
      </c>
      <c r="B350" s="4">
        <v>59313</v>
      </c>
      <c r="C350" s="57">
        <v>248.48</v>
      </c>
      <c r="D350" s="4" t="str">
        <f t="shared" si="20"/>
        <v>EOM plus 5 days</v>
      </c>
      <c r="E350" s="4">
        <v>5</v>
      </c>
      <c r="F350" s="104">
        <f t="shared" si="21"/>
        <v>41583</v>
      </c>
      <c r="J350" s="104">
        <f t="shared" si="22"/>
        <v>41583</v>
      </c>
      <c r="L350" t="b">
        <f t="shared" si="23"/>
        <v>1</v>
      </c>
    </row>
    <row r="351" spans="1:12" x14ac:dyDescent="0.25">
      <c r="A351" s="8">
        <v>41569</v>
      </c>
      <c r="B351" s="4">
        <v>59314</v>
      </c>
      <c r="C351" s="57">
        <v>207.69</v>
      </c>
      <c r="D351" s="4" t="str">
        <f t="shared" si="20"/>
        <v>EOM plus 5 days</v>
      </c>
      <c r="E351" s="4">
        <v>5</v>
      </c>
      <c r="F351" s="104">
        <f t="shared" si="21"/>
        <v>41583</v>
      </c>
      <c r="J351" s="104">
        <f t="shared" si="22"/>
        <v>41583</v>
      </c>
      <c r="L351" t="b">
        <f t="shared" si="23"/>
        <v>1</v>
      </c>
    </row>
    <row r="352" spans="1:12" x14ac:dyDescent="0.25">
      <c r="A352" s="8">
        <v>41569</v>
      </c>
      <c r="B352" s="4">
        <v>59315</v>
      </c>
      <c r="C352" s="57">
        <v>147.53</v>
      </c>
      <c r="D352" s="4" t="str">
        <f t="shared" si="20"/>
        <v>EOM plus 20 days</v>
      </c>
      <c r="E352" s="4">
        <v>20</v>
      </c>
      <c r="F352" s="104">
        <f t="shared" si="21"/>
        <v>41598</v>
      </c>
      <c r="J352" s="104">
        <f t="shared" si="22"/>
        <v>41598</v>
      </c>
      <c r="L352" t="b">
        <f t="shared" si="23"/>
        <v>1</v>
      </c>
    </row>
    <row r="353" spans="1:12" x14ac:dyDescent="0.25">
      <c r="A353" s="8">
        <v>41569</v>
      </c>
      <c r="B353" s="4">
        <v>59316</v>
      </c>
      <c r="C353" s="57">
        <v>356.08</v>
      </c>
      <c r="D353" s="4" t="str">
        <f t="shared" si="20"/>
        <v>EOM plus 10 days</v>
      </c>
      <c r="E353" s="4">
        <v>10</v>
      </c>
      <c r="F353" s="104">
        <f t="shared" si="21"/>
        <v>41588</v>
      </c>
      <c r="J353" s="104">
        <f t="shared" si="22"/>
        <v>41588</v>
      </c>
      <c r="L353" t="b">
        <f t="shared" si="23"/>
        <v>1</v>
      </c>
    </row>
    <row r="354" spans="1:12" x14ac:dyDescent="0.25">
      <c r="A354" s="8">
        <v>41569</v>
      </c>
      <c r="B354" s="4">
        <v>59317</v>
      </c>
      <c r="C354" s="57">
        <v>276.2</v>
      </c>
      <c r="D354" s="4" t="str">
        <f t="shared" si="20"/>
        <v>EOM plus 10 days</v>
      </c>
      <c r="E354" s="4">
        <v>10</v>
      </c>
      <c r="F354" s="104">
        <f t="shared" si="21"/>
        <v>41588</v>
      </c>
      <c r="J354" s="104">
        <f t="shared" si="22"/>
        <v>41588</v>
      </c>
      <c r="L354" t="b">
        <f t="shared" si="23"/>
        <v>1</v>
      </c>
    </row>
    <row r="355" spans="1:12" x14ac:dyDescent="0.25">
      <c r="A355" s="8">
        <v>41569</v>
      </c>
      <c r="B355" s="4">
        <v>59318</v>
      </c>
      <c r="C355" s="57">
        <v>350</v>
      </c>
      <c r="D355" s="4" t="str">
        <f t="shared" si="20"/>
        <v>EOM plus 5 days</v>
      </c>
      <c r="E355" s="4">
        <v>5</v>
      </c>
      <c r="F355" s="104">
        <f t="shared" si="21"/>
        <v>41583</v>
      </c>
      <c r="J355" s="104">
        <f t="shared" si="22"/>
        <v>41583</v>
      </c>
      <c r="L355" t="b">
        <f t="shared" si="23"/>
        <v>1</v>
      </c>
    </row>
    <row r="356" spans="1:12" x14ac:dyDescent="0.25">
      <c r="A356" s="8">
        <v>41569</v>
      </c>
      <c r="B356" s="4">
        <v>59319</v>
      </c>
      <c r="C356" s="57">
        <v>232.3</v>
      </c>
      <c r="D356" s="4" t="str">
        <f t="shared" si="20"/>
        <v>EOM plus 15 days</v>
      </c>
      <c r="E356" s="4">
        <v>15</v>
      </c>
      <c r="F356" s="104">
        <f t="shared" si="21"/>
        <v>41593</v>
      </c>
      <c r="J356" s="104">
        <f t="shared" si="22"/>
        <v>41593</v>
      </c>
      <c r="L356" t="b">
        <f t="shared" si="23"/>
        <v>1</v>
      </c>
    </row>
    <row r="357" spans="1:12" x14ac:dyDescent="0.25">
      <c r="A357" s="8">
        <v>41569</v>
      </c>
      <c r="B357" s="4">
        <v>59320</v>
      </c>
      <c r="C357" s="57">
        <v>364.81</v>
      </c>
      <c r="D357" s="4" t="str">
        <f t="shared" si="20"/>
        <v>EOM plus 10 days</v>
      </c>
      <c r="E357" s="4">
        <v>10</v>
      </c>
      <c r="F357" s="104">
        <f t="shared" si="21"/>
        <v>41588</v>
      </c>
      <c r="J357" s="104">
        <f t="shared" si="22"/>
        <v>41588</v>
      </c>
      <c r="L357" t="b">
        <f t="shared" si="23"/>
        <v>1</v>
      </c>
    </row>
    <row r="358" spans="1:12" x14ac:dyDescent="0.25">
      <c r="A358" s="8">
        <v>41569</v>
      </c>
      <c r="B358" s="4">
        <v>59321</v>
      </c>
      <c r="C358" s="57">
        <v>307.27</v>
      </c>
      <c r="D358" s="4" t="str">
        <f t="shared" si="20"/>
        <v>EOM plus 20 days</v>
      </c>
      <c r="E358" s="4">
        <v>20</v>
      </c>
      <c r="F358" s="104">
        <f t="shared" si="21"/>
        <v>41598</v>
      </c>
      <c r="J358" s="104">
        <f t="shared" si="22"/>
        <v>41598</v>
      </c>
      <c r="L358" t="b">
        <f t="shared" si="23"/>
        <v>1</v>
      </c>
    </row>
    <row r="359" spans="1:12" x14ac:dyDescent="0.25">
      <c r="A359" s="8">
        <v>41569</v>
      </c>
      <c r="B359" s="4">
        <v>59322</v>
      </c>
      <c r="C359" s="57">
        <v>377.42</v>
      </c>
      <c r="D359" s="4" t="str">
        <f t="shared" si="20"/>
        <v>EOM plus 5 days</v>
      </c>
      <c r="E359" s="4">
        <v>5</v>
      </c>
      <c r="F359" s="104">
        <f t="shared" si="21"/>
        <v>41583</v>
      </c>
      <c r="J359" s="104">
        <f t="shared" si="22"/>
        <v>41583</v>
      </c>
      <c r="L359" t="b">
        <f t="shared" si="23"/>
        <v>1</v>
      </c>
    </row>
    <row r="360" spans="1:12" x14ac:dyDescent="0.25">
      <c r="A360" s="8">
        <v>41569</v>
      </c>
      <c r="B360" s="4">
        <v>59323</v>
      </c>
      <c r="C360" s="57">
        <v>218.34</v>
      </c>
      <c r="D360" s="4" t="str">
        <f t="shared" si="20"/>
        <v>EOM plus 10 days</v>
      </c>
      <c r="E360" s="4">
        <v>10</v>
      </c>
      <c r="F360" s="104">
        <f t="shared" si="21"/>
        <v>41588</v>
      </c>
      <c r="J360" s="104">
        <f t="shared" si="22"/>
        <v>41588</v>
      </c>
      <c r="L360" t="b">
        <f t="shared" si="23"/>
        <v>1</v>
      </c>
    </row>
    <row r="361" spans="1:12" x14ac:dyDescent="0.25">
      <c r="A361" s="8">
        <v>41569</v>
      </c>
      <c r="B361" s="4">
        <v>59324</v>
      </c>
      <c r="C361" s="57">
        <v>296.11</v>
      </c>
      <c r="D361" s="4" t="str">
        <f t="shared" si="20"/>
        <v>EOM plus 10 days</v>
      </c>
      <c r="E361" s="4">
        <v>10</v>
      </c>
      <c r="F361" s="104">
        <f t="shared" si="21"/>
        <v>41588</v>
      </c>
      <c r="J361" s="104">
        <f t="shared" si="22"/>
        <v>41588</v>
      </c>
      <c r="L361" t="b">
        <f t="shared" si="23"/>
        <v>1</v>
      </c>
    </row>
    <row r="362" spans="1:12" x14ac:dyDescent="0.25">
      <c r="A362" s="8">
        <v>41570</v>
      </c>
      <c r="B362" s="4">
        <v>59325</v>
      </c>
      <c r="C362" s="57">
        <v>289.73</v>
      </c>
      <c r="D362" s="4" t="str">
        <f t="shared" si="20"/>
        <v>EOM plus 10 days</v>
      </c>
      <c r="E362" s="4">
        <v>10</v>
      </c>
      <c r="F362" s="104">
        <f t="shared" si="21"/>
        <v>41588</v>
      </c>
      <c r="J362" s="104">
        <f t="shared" si="22"/>
        <v>41588</v>
      </c>
      <c r="L362" t="b">
        <f t="shared" si="23"/>
        <v>1</v>
      </c>
    </row>
    <row r="363" spans="1:12" x14ac:dyDescent="0.25">
      <c r="A363" s="8">
        <v>41570</v>
      </c>
      <c r="B363" s="4">
        <v>59326</v>
      </c>
      <c r="C363" s="57">
        <v>45.43</v>
      </c>
      <c r="D363" s="4" t="str">
        <f t="shared" si="20"/>
        <v>EOM plus 15 days</v>
      </c>
      <c r="E363" s="4">
        <v>15</v>
      </c>
      <c r="F363" s="104">
        <f t="shared" si="21"/>
        <v>41593</v>
      </c>
      <c r="J363" s="104">
        <f t="shared" si="22"/>
        <v>41593</v>
      </c>
      <c r="L363" t="b">
        <f t="shared" si="23"/>
        <v>1</v>
      </c>
    </row>
    <row r="364" spans="1:12" x14ac:dyDescent="0.25">
      <c r="A364" s="8">
        <v>41570</v>
      </c>
      <c r="B364" s="4">
        <v>59327</v>
      </c>
      <c r="C364" s="57">
        <v>288.60000000000002</v>
      </c>
      <c r="D364" s="4" t="str">
        <f t="shared" si="20"/>
        <v>EOM plus 10 days</v>
      </c>
      <c r="E364" s="4">
        <v>10</v>
      </c>
      <c r="F364" s="104">
        <f t="shared" si="21"/>
        <v>41588</v>
      </c>
      <c r="J364" s="104">
        <f t="shared" si="22"/>
        <v>41588</v>
      </c>
      <c r="L364" t="b">
        <f t="shared" si="23"/>
        <v>1</v>
      </c>
    </row>
    <row r="365" spans="1:12" x14ac:dyDescent="0.25">
      <c r="A365" s="8">
        <v>41570</v>
      </c>
      <c r="B365" s="4">
        <v>59328</v>
      </c>
      <c r="C365" s="57">
        <v>273.41000000000003</v>
      </c>
      <c r="D365" s="4" t="str">
        <f t="shared" si="20"/>
        <v>EOM plus 5 days</v>
      </c>
      <c r="E365" s="4">
        <v>5</v>
      </c>
      <c r="F365" s="104">
        <f t="shared" si="21"/>
        <v>41583</v>
      </c>
      <c r="J365" s="104">
        <f t="shared" si="22"/>
        <v>41583</v>
      </c>
      <c r="L365" t="b">
        <f t="shared" si="23"/>
        <v>1</v>
      </c>
    </row>
    <row r="366" spans="1:12" x14ac:dyDescent="0.25">
      <c r="A366" s="8">
        <v>41570</v>
      </c>
      <c r="B366" s="4">
        <v>59329</v>
      </c>
      <c r="C366" s="57">
        <v>282.18</v>
      </c>
      <c r="D366" s="4" t="str">
        <f t="shared" si="20"/>
        <v>EOM plus 10 days</v>
      </c>
      <c r="E366" s="4">
        <v>10</v>
      </c>
      <c r="F366" s="104">
        <f t="shared" si="21"/>
        <v>41588</v>
      </c>
      <c r="J366" s="104">
        <f t="shared" si="22"/>
        <v>41588</v>
      </c>
      <c r="L366" t="b">
        <f t="shared" si="23"/>
        <v>1</v>
      </c>
    </row>
    <row r="367" spans="1:12" x14ac:dyDescent="0.25">
      <c r="A367" s="8">
        <v>41570</v>
      </c>
      <c r="B367" s="4">
        <v>59330</v>
      </c>
      <c r="C367" s="57">
        <v>278.48</v>
      </c>
      <c r="D367" s="4" t="str">
        <f t="shared" si="20"/>
        <v>EOM plus 20 days</v>
      </c>
      <c r="E367" s="4">
        <v>20</v>
      </c>
      <c r="F367" s="104">
        <f t="shared" si="21"/>
        <v>41598</v>
      </c>
      <c r="J367" s="104">
        <f t="shared" si="22"/>
        <v>41598</v>
      </c>
      <c r="L367" t="b">
        <f t="shared" si="23"/>
        <v>1</v>
      </c>
    </row>
    <row r="368" spans="1:12" x14ac:dyDescent="0.25">
      <c r="A368" s="8">
        <v>41570</v>
      </c>
      <c r="B368" s="4">
        <v>59331</v>
      </c>
      <c r="C368" s="57">
        <v>381.07</v>
      </c>
      <c r="D368" s="4" t="str">
        <f t="shared" si="20"/>
        <v>EOM plus 15 days</v>
      </c>
      <c r="E368" s="4">
        <v>15</v>
      </c>
      <c r="F368" s="104">
        <f t="shared" si="21"/>
        <v>41593</v>
      </c>
      <c r="J368" s="104">
        <f t="shared" si="22"/>
        <v>41593</v>
      </c>
      <c r="L368" t="b">
        <f t="shared" si="23"/>
        <v>1</v>
      </c>
    </row>
    <row r="369" spans="1:12" x14ac:dyDescent="0.25">
      <c r="A369" s="8">
        <v>41570</v>
      </c>
      <c r="B369" s="4">
        <v>59332</v>
      </c>
      <c r="C369" s="57">
        <v>332.98</v>
      </c>
      <c r="D369" s="4" t="str">
        <f t="shared" si="20"/>
        <v>EOM plus 5 days</v>
      </c>
      <c r="E369" s="4">
        <v>5</v>
      </c>
      <c r="F369" s="104">
        <f t="shared" si="21"/>
        <v>41583</v>
      </c>
      <c r="J369" s="104">
        <f t="shared" si="22"/>
        <v>41583</v>
      </c>
      <c r="L369" t="b">
        <f t="shared" si="23"/>
        <v>1</v>
      </c>
    </row>
    <row r="370" spans="1:12" x14ac:dyDescent="0.25">
      <c r="A370" s="8">
        <v>41570</v>
      </c>
      <c r="B370" s="4">
        <v>59333</v>
      </c>
      <c r="C370" s="57">
        <v>142.49</v>
      </c>
      <c r="D370" s="4" t="str">
        <f t="shared" si="20"/>
        <v>EOM plus 5 days</v>
      </c>
      <c r="E370" s="4">
        <v>5</v>
      </c>
      <c r="F370" s="104">
        <f t="shared" si="21"/>
        <v>41583</v>
      </c>
      <c r="J370" s="104">
        <f t="shared" si="22"/>
        <v>41583</v>
      </c>
      <c r="L370" t="b">
        <f t="shared" si="23"/>
        <v>1</v>
      </c>
    </row>
    <row r="371" spans="1:12" x14ac:dyDescent="0.25">
      <c r="A371" s="8">
        <v>41570</v>
      </c>
      <c r="B371" s="4">
        <v>59334</v>
      </c>
      <c r="C371" s="57">
        <v>85.06</v>
      </c>
      <c r="D371" s="4" t="str">
        <f t="shared" si="20"/>
        <v>EOM plus 10 days</v>
      </c>
      <c r="E371" s="4">
        <v>10</v>
      </c>
      <c r="F371" s="104">
        <f t="shared" si="21"/>
        <v>41588</v>
      </c>
      <c r="J371" s="104">
        <f t="shared" si="22"/>
        <v>41588</v>
      </c>
      <c r="L371" t="b">
        <f t="shared" si="23"/>
        <v>1</v>
      </c>
    </row>
    <row r="372" spans="1:12" x14ac:dyDescent="0.25">
      <c r="A372" s="8">
        <v>41570</v>
      </c>
      <c r="B372" s="4">
        <v>59335</v>
      </c>
      <c r="C372" s="57">
        <v>203.88</v>
      </c>
      <c r="D372" s="4" t="str">
        <f t="shared" si="20"/>
        <v>EOM plus 5 days</v>
      </c>
      <c r="E372" s="4">
        <v>5</v>
      </c>
      <c r="F372" s="104">
        <f t="shared" si="21"/>
        <v>41583</v>
      </c>
      <c r="J372" s="104">
        <f t="shared" si="22"/>
        <v>41583</v>
      </c>
      <c r="L372" t="b">
        <f t="shared" si="23"/>
        <v>1</v>
      </c>
    </row>
    <row r="373" spans="1:12" x14ac:dyDescent="0.25">
      <c r="A373" s="8">
        <v>41570</v>
      </c>
      <c r="B373" s="4">
        <v>59336</v>
      </c>
      <c r="C373" s="57">
        <v>371.79</v>
      </c>
      <c r="D373" s="4" t="str">
        <f t="shared" si="20"/>
        <v>EOM plus 10 days</v>
      </c>
      <c r="E373" s="4">
        <v>10</v>
      </c>
      <c r="F373" s="104">
        <f t="shared" si="21"/>
        <v>41588</v>
      </c>
      <c r="J373" s="104">
        <f t="shared" si="22"/>
        <v>41588</v>
      </c>
      <c r="L373" t="b">
        <f t="shared" si="23"/>
        <v>1</v>
      </c>
    </row>
    <row r="374" spans="1:12" x14ac:dyDescent="0.25">
      <c r="A374" s="8">
        <v>41570</v>
      </c>
      <c r="B374" s="4">
        <v>59337</v>
      </c>
      <c r="C374" s="57">
        <v>266.83999999999997</v>
      </c>
      <c r="D374" s="4" t="str">
        <f t="shared" si="20"/>
        <v>EOM plus 20 days</v>
      </c>
      <c r="E374" s="4">
        <v>20</v>
      </c>
      <c r="F374" s="104">
        <f t="shared" si="21"/>
        <v>41598</v>
      </c>
      <c r="J374" s="104">
        <f t="shared" si="22"/>
        <v>41598</v>
      </c>
      <c r="L374" t="b">
        <f t="shared" si="23"/>
        <v>1</v>
      </c>
    </row>
    <row r="375" spans="1:12" x14ac:dyDescent="0.25">
      <c r="A375" s="8">
        <v>41570</v>
      </c>
      <c r="B375" s="4">
        <v>59338</v>
      </c>
      <c r="C375" s="57">
        <v>85.41</v>
      </c>
      <c r="D375" s="4" t="str">
        <f t="shared" si="20"/>
        <v>EOM plus 10 days</v>
      </c>
      <c r="E375" s="4">
        <v>10</v>
      </c>
      <c r="F375" s="104">
        <f t="shared" si="21"/>
        <v>41588</v>
      </c>
      <c r="J375" s="104">
        <f t="shared" si="22"/>
        <v>41588</v>
      </c>
      <c r="L375" t="b">
        <f t="shared" si="23"/>
        <v>1</v>
      </c>
    </row>
    <row r="376" spans="1:12" x14ac:dyDescent="0.25">
      <c r="A376" s="8">
        <v>41571</v>
      </c>
      <c r="B376" s="4">
        <v>59339</v>
      </c>
      <c r="C376" s="57">
        <v>37.520000000000003</v>
      </c>
      <c r="D376" s="4" t="str">
        <f t="shared" si="20"/>
        <v>EOM plus 10 days</v>
      </c>
      <c r="E376" s="4">
        <v>10</v>
      </c>
      <c r="F376" s="104">
        <f t="shared" si="21"/>
        <v>41588</v>
      </c>
      <c r="J376" s="104">
        <f t="shared" si="22"/>
        <v>41588</v>
      </c>
      <c r="L376" t="b">
        <f t="shared" si="23"/>
        <v>1</v>
      </c>
    </row>
    <row r="377" spans="1:12" x14ac:dyDescent="0.25">
      <c r="A377" s="8">
        <v>41571</v>
      </c>
      <c r="B377" s="4">
        <v>59340</v>
      </c>
      <c r="C377" s="57">
        <v>278.62</v>
      </c>
      <c r="D377" s="4" t="str">
        <f t="shared" si="20"/>
        <v>EOM plus 5 days</v>
      </c>
      <c r="E377" s="4">
        <v>5</v>
      </c>
      <c r="F377" s="104">
        <f t="shared" si="21"/>
        <v>41583</v>
      </c>
      <c r="J377" s="104">
        <f t="shared" si="22"/>
        <v>41583</v>
      </c>
      <c r="L377" t="b">
        <f t="shared" si="23"/>
        <v>1</v>
      </c>
    </row>
    <row r="378" spans="1:12" x14ac:dyDescent="0.25">
      <c r="A378" s="8">
        <v>41571</v>
      </c>
      <c r="B378" s="4">
        <v>59341</v>
      </c>
      <c r="C378" s="57">
        <v>314.97000000000003</v>
      </c>
      <c r="D378" s="4" t="str">
        <f t="shared" si="20"/>
        <v>EOM plus 10 days</v>
      </c>
      <c r="E378" s="4">
        <v>10</v>
      </c>
      <c r="F378" s="104">
        <f t="shared" si="21"/>
        <v>41588</v>
      </c>
      <c r="J378" s="104">
        <f t="shared" si="22"/>
        <v>41588</v>
      </c>
      <c r="L378" t="b">
        <f t="shared" si="23"/>
        <v>1</v>
      </c>
    </row>
    <row r="379" spans="1:12" x14ac:dyDescent="0.25">
      <c r="A379" s="8">
        <v>41571</v>
      </c>
      <c r="B379" s="4">
        <v>59342</v>
      </c>
      <c r="C379" s="57">
        <v>74.430000000000007</v>
      </c>
      <c r="D379" s="4" t="str">
        <f t="shared" si="20"/>
        <v>EOM plus 10 days</v>
      </c>
      <c r="E379" s="4">
        <v>10</v>
      </c>
      <c r="F379" s="104">
        <f t="shared" si="21"/>
        <v>41588</v>
      </c>
      <c r="J379" s="104">
        <f t="shared" si="22"/>
        <v>41588</v>
      </c>
      <c r="L379" t="b">
        <f t="shared" si="23"/>
        <v>1</v>
      </c>
    </row>
    <row r="380" spans="1:12" x14ac:dyDescent="0.25">
      <c r="A380" s="8">
        <v>41571</v>
      </c>
      <c r="B380" s="4">
        <v>59343</v>
      </c>
      <c r="C380" s="57">
        <v>190.74</v>
      </c>
      <c r="D380" s="4" t="str">
        <f t="shared" si="20"/>
        <v>EOM plus 15 days</v>
      </c>
      <c r="E380" s="4">
        <v>15</v>
      </c>
      <c r="F380" s="104">
        <f t="shared" si="21"/>
        <v>41593</v>
      </c>
      <c r="J380" s="104">
        <f t="shared" si="22"/>
        <v>41593</v>
      </c>
      <c r="L380" t="b">
        <f t="shared" si="23"/>
        <v>1</v>
      </c>
    </row>
    <row r="381" spans="1:12" x14ac:dyDescent="0.25">
      <c r="A381" s="8">
        <v>41571</v>
      </c>
      <c r="B381" s="4">
        <v>59344</v>
      </c>
      <c r="C381" s="57">
        <v>263.36</v>
      </c>
      <c r="D381" s="4" t="str">
        <f t="shared" si="20"/>
        <v>EOM plus 5 days</v>
      </c>
      <c r="E381" s="4">
        <v>5</v>
      </c>
      <c r="F381" s="104">
        <f t="shared" si="21"/>
        <v>41583</v>
      </c>
      <c r="J381" s="104">
        <f t="shared" si="22"/>
        <v>41583</v>
      </c>
      <c r="L381" t="b">
        <f t="shared" si="23"/>
        <v>1</v>
      </c>
    </row>
    <row r="382" spans="1:12" x14ac:dyDescent="0.25">
      <c r="A382" s="8">
        <v>41571</v>
      </c>
      <c r="B382" s="4">
        <v>59345</v>
      </c>
      <c r="C382" s="57">
        <v>66.19</v>
      </c>
      <c r="D382" s="4" t="str">
        <f t="shared" si="20"/>
        <v>EOM plus 10 days</v>
      </c>
      <c r="E382" s="4">
        <v>10</v>
      </c>
      <c r="F382" s="104">
        <f t="shared" si="21"/>
        <v>41588</v>
      </c>
      <c r="J382" s="104">
        <f t="shared" si="22"/>
        <v>41588</v>
      </c>
      <c r="L382" t="b">
        <f t="shared" si="23"/>
        <v>1</v>
      </c>
    </row>
    <row r="383" spans="1:12" x14ac:dyDescent="0.25">
      <c r="A383" s="8">
        <v>41571</v>
      </c>
      <c r="B383" s="4">
        <v>59346</v>
      </c>
      <c r="C383" s="57">
        <v>233.47</v>
      </c>
      <c r="D383" s="4" t="str">
        <f t="shared" si="20"/>
        <v>EOM plus 10 days</v>
      </c>
      <c r="E383" s="4">
        <v>10</v>
      </c>
      <c r="F383" s="104">
        <f t="shared" si="21"/>
        <v>41588</v>
      </c>
      <c r="J383" s="104">
        <f t="shared" si="22"/>
        <v>41588</v>
      </c>
      <c r="L383" t="b">
        <f t="shared" si="23"/>
        <v>1</v>
      </c>
    </row>
    <row r="384" spans="1:12" x14ac:dyDescent="0.25">
      <c r="A384" s="8">
        <v>41571</v>
      </c>
      <c r="B384" s="4">
        <v>59347</v>
      </c>
      <c r="C384" s="57">
        <v>298.95999999999998</v>
      </c>
      <c r="D384" s="4" t="str">
        <f t="shared" si="20"/>
        <v>EOM plus 5 days</v>
      </c>
      <c r="E384" s="4">
        <v>5</v>
      </c>
      <c r="F384" s="104">
        <f t="shared" si="21"/>
        <v>41583</v>
      </c>
      <c r="J384" s="104">
        <f t="shared" si="22"/>
        <v>41583</v>
      </c>
      <c r="L384" t="b">
        <f t="shared" si="23"/>
        <v>1</v>
      </c>
    </row>
    <row r="385" spans="1:12" x14ac:dyDescent="0.25">
      <c r="A385" s="8">
        <v>41571</v>
      </c>
      <c r="B385" s="4">
        <v>59348</v>
      </c>
      <c r="C385" s="57">
        <v>250.18</v>
      </c>
      <c r="D385" s="4" t="str">
        <f t="shared" si="20"/>
        <v>EOM plus 5 days</v>
      </c>
      <c r="E385" s="4">
        <v>5</v>
      </c>
      <c r="F385" s="104">
        <f t="shared" si="21"/>
        <v>41583</v>
      </c>
      <c r="J385" s="104">
        <f t="shared" si="22"/>
        <v>41583</v>
      </c>
      <c r="L385" t="b">
        <f t="shared" si="23"/>
        <v>1</v>
      </c>
    </row>
    <row r="386" spans="1:12" x14ac:dyDescent="0.25">
      <c r="A386" s="8">
        <v>41571</v>
      </c>
      <c r="B386" s="4">
        <v>59349</v>
      </c>
      <c r="C386" s="57">
        <v>241.52</v>
      </c>
      <c r="D386" s="4" t="str">
        <f t="shared" si="20"/>
        <v>EOM plus 15 days</v>
      </c>
      <c r="E386" s="4">
        <v>15</v>
      </c>
      <c r="F386" s="104">
        <f t="shared" si="21"/>
        <v>41593</v>
      </c>
      <c r="J386" s="104">
        <f t="shared" si="22"/>
        <v>41593</v>
      </c>
      <c r="L386" t="b">
        <f t="shared" si="23"/>
        <v>1</v>
      </c>
    </row>
    <row r="387" spans="1:12" x14ac:dyDescent="0.25">
      <c r="A387" s="8">
        <v>41571</v>
      </c>
      <c r="B387" s="4">
        <v>59350</v>
      </c>
      <c r="C387" s="57">
        <v>359.59</v>
      </c>
      <c r="D387" s="4" t="str">
        <f t="shared" si="20"/>
        <v>EOM plus 5 days</v>
      </c>
      <c r="E387" s="4">
        <v>5</v>
      </c>
      <c r="F387" s="104">
        <f t="shared" si="21"/>
        <v>41583</v>
      </c>
      <c r="J387" s="104">
        <f t="shared" si="22"/>
        <v>41583</v>
      </c>
      <c r="L387" t="b">
        <f t="shared" si="23"/>
        <v>1</v>
      </c>
    </row>
    <row r="388" spans="1:12" x14ac:dyDescent="0.25">
      <c r="A388" s="8">
        <v>41571</v>
      </c>
      <c r="B388" s="4">
        <v>59351</v>
      </c>
      <c r="C388" s="57">
        <v>211.22</v>
      </c>
      <c r="D388" s="4" t="str">
        <f t="shared" si="20"/>
        <v>EOM plus 15 days</v>
      </c>
      <c r="E388" s="4">
        <v>15</v>
      </c>
      <c r="F388" s="104">
        <f t="shared" si="21"/>
        <v>41593</v>
      </c>
      <c r="J388" s="104">
        <f t="shared" si="22"/>
        <v>41593</v>
      </c>
      <c r="L388" t="b">
        <f t="shared" si="23"/>
        <v>1</v>
      </c>
    </row>
    <row r="389" spans="1:12" x14ac:dyDescent="0.25">
      <c r="A389" s="8">
        <v>41571</v>
      </c>
      <c r="B389" s="4">
        <v>59352</v>
      </c>
      <c r="C389" s="57">
        <v>148.49</v>
      </c>
      <c r="D389" s="4" t="str">
        <f t="shared" ref="D389:D452" si="24">"EOM plus "&amp;E389&amp;" days"</f>
        <v>EOM plus 20 days</v>
      </c>
      <c r="E389" s="4">
        <v>20</v>
      </c>
      <c r="F389" s="104">
        <f t="shared" si="21"/>
        <v>41598</v>
      </c>
      <c r="J389" s="104">
        <f t="shared" si="22"/>
        <v>41598</v>
      </c>
      <c r="L389" t="b">
        <f t="shared" si="23"/>
        <v>1</v>
      </c>
    </row>
    <row r="390" spans="1:12" x14ac:dyDescent="0.25">
      <c r="A390" s="8">
        <v>41571</v>
      </c>
      <c r="B390" s="4">
        <v>59353</v>
      </c>
      <c r="C390" s="57">
        <v>260.04000000000002</v>
      </c>
      <c r="D390" s="4" t="str">
        <f t="shared" si="24"/>
        <v>EOM plus 20 days</v>
      </c>
      <c r="E390" s="4">
        <v>20</v>
      </c>
      <c r="F390" s="104">
        <f t="shared" ref="F390:F453" si="25">EOMONTH(A390,0)+E390</f>
        <v>41598</v>
      </c>
      <c r="J390" s="104">
        <f t="shared" ref="J390:J453" si="26">DATE(YEAR(A390),MONTH(A390)+1,E390)</f>
        <v>41598</v>
      </c>
      <c r="L390" t="b">
        <f t="shared" ref="L390:L453" si="27">J390=F390</f>
        <v>1</v>
      </c>
    </row>
    <row r="391" spans="1:12" x14ac:dyDescent="0.25">
      <c r="A391" s="8">
        <v>41571</v>
      </c>
      <c r="B391" s="4">
        <v>59354</v>
      </c>
      <c r="C391" s="57">
        <v>330.04</v>
      </c>
      <c r="D391" s="4" t="str">
        <f t="shared" si="24"/>
        <v>EOM plus 20 days</v>
      </c>
      <c r="E391" s="4">
        <v>20</v>
      </c>
      <c r="F391" s="104">
        <f t="shared" si="25"/>
        <v>41598</v>
      </c>
      <c r="J391" s="104">
        <f t="shared" si="26"/>
        <v>41598</v>
      </c>
      <c r="L391" t="b">
        <f t="shared" si="27"/>
        <v>1</v>
      </c>
    </row>
    <row r="392" spans="1:12" x14ac:dyDescent="0.25">
      <c r="A392" s="8">
        <v>41571</v>
      </c>
      <c r="B392" s="4">
        <v>59355</v>
      </c>
      <c r="C392" s="57">
        <v>68.209999999999994</v>
      </c>
      <c r="D392" s="4" t="str">
        <f t="shared" si="24"/>
        <v>EOM plus 15 days</v>
      </c>
      <c r="E392" s="4">
        <v>15</v>
      </c>
      <c r="F392" s="104">
        <f t="shared" si="25"/>
        <v>41593</v>
      </c>
      <c r="J392" s="104">
        <f t="shared" si="26"/>
        <v>41593</v>
      </c>
      <c r="L392" t="b">
        <f t="shared" si="27"/>
        <v>1</v>
      </c>
    </row>
    <row r="393" spans="1:12" x14ac:dyDescent="0.25">
      <c r="A393" s="8">
        <v>41571</v>
      </c>
      <c r="B393" s="4">
        <v>59356</v>
      </c>
      <c r="C393" s="57">
        <v>263.42</v>
      </c>
      <c r="D393" s="4" t="str">
        <f t="shared" si="24"/>
        <v>EOM plus 10 days</v>
      </c>
      <c r="E393" s="4">
        <v>10</v>
      </c>
      <c r="F393" s="104">
        <f t="shared" si="25"/>
        <v>41588</v>
      </c>
      <c r="J393" s="104">
        <f t="shared" si="26"/>
        <v>41588</v>
      </c>
      <c r="L393" t="b">
        <f t="shared" si="27"/>
        <v>1</v>
      </c>
    </row>
    <row r="394" spans="1:12" x14ac:dyDescent="0.25">
      <c r="A394" s="8">
        <v>41571</v>
      </c>
      <c r="B394" s="4">
        <v>59357</v>
      </c>
      <c r="C394" s="57">
        <v>377.89</v>
      </c>
      <c r="D394" s="4" t="str">
        <f t="shared" si="24"/>
        <v>EOM plus 10 days</v>
      </c>
      <c r="E394" s="4">
        <v>10</v>
      </c>
      <c r="F394" s="104">
        <f t="shared" si="25"/>
        <v>41588</v>
      </c>
      <c r="J394" s="104">
        <f t="shared" si="26"/>
        <v>41588</v>
      </c>
      <c r="L394" t="b">
        <f t="shared" si="27"/>
        <v>1</v>
      </c>
    </row>
    <row r="395" spans="1:12" x14ac:dyDescent="0.25">
      <c r="A395" s="8">
        <v>41571</v>
      </c>
      <c r="B395" s="4">
        <v>59358</v>
      </c>
      <c r="C395" s="57">
        <v>288.32</v>
      </c>
      <c r="D395" s="4" t="str">
        <f t="shared" si="24"/>
        <v>EOM plus 10 days</v>
      </c>
      <c r="E395" s="4">
        <v>10</v>
      </c>
      <c r="F395" s="104">
        <f t="shared" si="25"/>
        <v>41588</v>
      </c>
      <c r="J395" s="104">
        <f t="shared" si="26"/>
        <v>41588</v>
      </c>
      <c r="L395" t="b">
        <f t="shared" si="27"/>
        <v>1</v>
      </c>
    </row>
    <row r="396" spans="1:12" x14ac:dyDescent="0.25">
      <c r="A396" s="8">
        <v>41571</v>
      </c>
      <c r="B396" s="4">
        <v>59359</v>
      </c>
      <c r="C396" s="57">
        <v>291.08</v>
      </c>
      <c r="D396" s="4" t="str">
        <f t="shared" si="24"/>
        <v>EOM plus 5 days</v>
      </c>
      <c r="E396" s="4">
        <v>5</v>
      </c>
      <c r="F396" s="104">
        <f t="shared" si="25"/>
        <v>41583</v>
      </c>
      <c r="J396" s="104">
        <f t="shared" si="26"/>
        <v>41583</v>
      </c>
      <c r="L396" t="b">
        <f t="shared" si="27"/>
        <v>1</v>
      </c>
    </row>
    <row r="397" spans="1:12" x14ac:dyDescent="0.25">
      <c r="A397" s="8">
        <v>41572</v>
      </c>
      <c r="B397" s="4">
        <v>59360</v>
      </c>
      <c r="C397" s="57">
        <v>177.81</v>
      </c>
      <c r="D397" s="4" t="str">
        <f t="shared" si="24"/>
        <v>EOM plus 10 days</v>
      </c>
      <c r="E397" s="4">
        <v>10</v>
      </c>
      <c r="F397" s="104">
        <f t="shared" si="25"/>
        <v>41588</v>
      </c>
      <c r="J397" s="104">
        <f t="shared" si="26"/>
        <v>41588</v>
      </c>
      <c r="L397" t="b">
        <f t="shared" si="27"/>
        <v>1</v>
      </c>
    </row>
    <row r="398" spans="1:12" x14ac:dyDescent="0.25">
      <c r="A398" s="8">
        <v>41572</v>
      </c>
      <c r="B398" s="4">
        <v>59361</v>
      </c>
      <c r="C398" s="57">
        <v>77</v>
      </c>
      <c r="D398" s="4" t="str">
        <f t="shared" si="24"/>
        <v>EOM plus 5 days</v>
      </c>
      <c r="E398" s="4">
        <v>5</v>
      </c>
      <c r="F398" s="104">
        <f t="shared" si="25"/>
        <v>41583</v>
      </c>
      <c r="J398" s="104">
        <f t="shared" si="26"/>
        <v>41583</v>
      </c>
      <c r="L398" t="b">
        <f t="shared" si="27"/>
        <v>1</v>
      </c>
    </row>
    <row r="399" spans="1:12" x14ac:dyDescent="0.25">
      <c r="A399" s="8">
        <v>41572</v>
      </c>
      <c r="B399" s="4">
        <v>59362</v>
      </c>
      <c r="C399" s="57">
        <v>111.64</v>
      </c>
      <c r="D399" s="4" t="str">
        <f t="shared" si="24"/>
        <v>EOM plus 10 days</v>
      </c>
      <c r="E399" s="4">
        <v>10</v>
      </c>
      <c r="F399" s="104">
        <f t="shared" si="25"/>
        <v>41588</v>
      </c>
      <c r="J399" s="104">
        <f t="shared" si="26"/>
        <v>41588</v>
      </c>
      <c r="L399" t="b">
        <f t="shared" si="27"/>
        <v>1</v>
      </c>
    </row>
    <row r="400" spans="1:12" x14ac:dyDescent="0.25">
      <c r="A400" s="8">
        <v>41572</v>
      </c>
      <c r="B400" s="4">
        <v>59363</v>
      </c>
      <c r="C400" s="57">
        <v>278.05</v>
      </c>
      <c r="D400" s="4" t="str">
        <f t="shared" si="24"/>
        <v>EOM plus 10 days</v>
      </c>
      <c r="E400" s="4">
        <v>10</v>
      </c>
      <c r="F400" s="104">
        <f t="shared" si="25"/>
        <v>41588</v>
      </c>
      <c r="J400" s="104">
        <f t="shared" si="26"/>
        <v>41588</v>
      </c>
      <c r="L400" t="b">
        <f t="shared" si="27"/>
        <v>1</v>
      </c>
    </row>
    <row r="401" spans="1:12" x14ac:dyDescent="0.25">
      <c r="A401" s="8">
        <v>41572</v>
      </c>
      <c r="B401" s="4">
        <v>59364</v>
      </c>
      <c r="C401" s="57">
        <v>276.39999999999998</v>
      </c>
      <c r="D401" s="4" t="str">
        <f t="shared" si="24"/>
        <v>EOM plus 10 days</v>
      </c>
      <c r="E401" s="4">
        <v>10</v>
      </c>
      <c r="F401" s="104">
        <f t="shared" si="25"/>
        <v>41588</v>
      </c>
      <c r="J401" s="104">
        <f t="shared" si="26"/>
        <v>41588</v>
      </c>
      <c r="L401" t="b">
        <f t="shared" si="27"/>
        <v>1</v>
      </c>
    </row>
    <row r="402" spans="1:12" x14ac:dyDescent="0.25">
      <c r="A402" s="8">
        <v>41572</v>
      </c>
      <c r="B402" s="4">
        <v>59365</v>
      </c>
      <c r="C402" s="57">
        <v>307.06</v>
      </c>
      <c r="D402" s="4" t="str">
        <f t="shared" si="24"/>
        <v>EOM plus 10 days</v>
      </c>
      <c r="E402" s="4">
        <v>10</v>
      </c>
      <c r="F402" s="104">
        <f t="shared" si="25"/>
        <v>41588</v>
      </c>
      <c r="J402" s="104">
        <f t="shared" si="26"/>
        <v>41588</v>
      </c>
      <c r="L402" t="b">
        <f t="shared" si="27"/>
        <v>1</v>
      </c>
    </row>
    <row r="403" spans="1:12" x14ac:dyDescent="0.25">
      <c r="A403" s="8">
        <v>41572</v>
      </c>
      <c r="B403" s="4">
        <v>59366</v>
      </c>
      <c r="C403" s="57">
        <v>73.959999999999994</v>
      </c>
      <c r="D403" s="4" t="str">
        <f t="shared" si="24"/>
        <v>EOM plus 10 days</v>
      </c>
      <c r="E403" s="4">
        <v>10</v>
      </c>
      <c r="F403" s="104">
        <f t="shared" si="25"/>
        <v>41588</v>
      </c>
      <c r="J403" s="104">
        <f t="shared" si="26"/>
        <v>41588</v>
      </c>
      <c r="L403" t="b">
        <f t="shared" si="27"/>
        <v>1</v>
      </c>
    </row>
    <row r="404" spans="1:12" x14ac:dyDescent="0.25">
      <c r="A404" s="8">
        <v>41572</v>
      </c>
      <c r="B404" s="4">
        <v>59367</v>
      </c>
      <c r="C404" s="57">
        <v>316.89</v>
      </c>
      <c r="D404" s="4" t="str">
        <f t="shared" si="24"/>
        <v>EOM plus 10 days</v>
      </c>
      <c r="E404" s="4">
        <v>10</v>
      </c>
      <c r="F404" s="104">
        <f t="shared" si="25"/>
        <v>41588</v>
      </c>
      <c r="J404" s="104">
        <f t="shared" si="26"/>
        <v>41588</v>
      </c>
      <c r="L404" t="b">
        <f t="shared" si="27"/>
        <v>1</v>
      </c>
    </row>
    <row r="405" spans="1:12" x14ac:dyDescent="0.25">
      <c r="A405" s="8">
        <v>41572</v>
      </c>
      <c r="B405" s="4">
        <v>59368</v>
      </c>
      <c r="C405" s="57">
        <v>224.97</v>
      </c>
      <c r="D405" s="4" t="str">
        <f t="shared" si="24"/>
        <v>EOM plus 5 days</v>
      </c>
      <c r="E405" s="4">
        <v>5</v>
      </c>
      <c r="F405" s="104">
        <f t="shared" si="25"/>
        <v>41583</v>
      </c>
      <c r="J405" s="104">
        <f t="shared" si="26"/>
        <v>41583</v>
      </c>
      <c r="L405" t="b">
        <f t="shared" si="27"/>
        <v>1</v>
      </c>
    </row>
    <row r="406" spans="1:12" x14ac:dyDescent="0.25">
      <c r="A406" s="8">
        <v>41572</v>
      </c>
      <c r="B406" s="4">
        <v>59369</v>
      </c>
      <c r="C406" s="57">
        <v>189.31</v>
      </c>
      <c r="D406" s="4" t="str">
        <f t="shared" si="24"/>
        <v>EOM plus 5 days</v>
      </c>
      <c r="E406" s="4">
        <v>5</v>
      </c>
      <c r="F406" s="104">
        <f t="shared" si="25"/>
        <v>41583</v>
      </c>
      <c r="J406" s="104">
        <f t="shared" si="26"/>
        <v>41583</v>
      </c>
      <c r="L406" t="b">
        <f t="shared" si="27"/>
        <v>1</v>
      </c>
    </row>
    <row r="407" spans="1:12" x14ac:dyDescent="0.25">
      <c r="A407" s="8">
        <v>41572</v>
      </c>
      <c r="B407" s="4">
        <v>59370</v>
      </c>
      <c r="C407" s="57">
        <v>113.93</v>
      </c>
      <c r="D407" s="4" t="str">
        <f t="shared" si="24"/>
        <v>EOM plus 10 days</v>
      </c>
      <c r="E407" s="4">
        <v>10</v>
      </c>
      <c r="F407" s="104">
        <f t="shared" si="25"/>
        <v>41588</v>
      </c>
      <c r="J407" s="104">
        <f t="shared" si="26"/>
        <v>41588</v>
      </c>
      <c r="L407" t="b">
        <f t="shared" si="27"/>
        <v>1</v>
      </c>
    </row>
    <row r="408" spans="1:12" x14ac:dyDescent="0.25">
      <c r="A408" s="8">
        <v>41572</v>
      </c>
      <c r="B408" s="4">
        <v>59371</v>
      </c>
      <c r="C408" s="57">
        <v>213.9</v>
      </c>
      <c r="D408" s="4" t="str">
        <f t="shared" si="24"/>
        <v>EOM plus 20 days</v>
      </c>
      <c r="E408" s="4">
        <v>20</v>
      </c>
      <c r="F408" s="104">
        <f t="shared" si="25"/>
        <v>41598</v>
      </c>
      <c r="J408" s="104">
        <f t="shared" si="26"/>
        <v>41598</v>
      </c>
      <c r="L408" t="b">
        <f t="shared" si="27"/>
        <v>1</v>
      </c>
    </row>
    <row r="409" spans="1:12" x14ac:dyDescent="0.25">
      <c r="A409" s="8">
        <v>41572</v>
      </c>
      <c r="B409" s="4">
        <v>59372</v>
      </c>
      <c r="C409" s="57">
        <v>257.81</v>
      </c>
      <c r="D409" s="4" t="str">
        <f t="shared" si="24"/>
        <v>EOM plus 10 days</v>
      </c>
      <c r="E409" s="4">
        <v>10</v>
      </c>
      <c r="F409" s="104">
        <f t="shared" si="25"/>
        <v>41588</v>
      </c>
      <c r="J409" s="104">
        <f t="shared" si="26"/>
        <v>41588</v>
      </c>
      <c r="L409" t="b">
        <f t="shared" si="27"/>
        <v>1</v>
      </c>
    </row>
    <row r="410" spans="1:12" x14ac:dyDescent="0.25">
      <c r="A410" s="8">
        <v>41572</v>
      </c>
      <c r="B410" s="4">
        <v>59373</v>
      </c>
      <c r="C410" s="57">
        <v>370.91</v>
      </c>
      <c r="D410" s="4" t="str">
        <f t="shared" si="24"/>
        <v>EOM plus 10 days</v>
      </c>
      <c r="E410" s="4">
        <v>10</v>
      </c>
      <c r="F410" s="104">
        <f t="shared" si="25"/>
        <v>41588</v>
      </c>
      <c r="J410" s="104">
        <f t="shared" si="26"/>
        <v>41588</v>
      </c>
      <c r="L410" t="b">
        <f t="shared" si="27"/>
        <v>1</v>
      </c>
    </row>
    <row r="411" spans="1:12" x14ac:dyDescent="0.25">
      <c r="A411" s="8">
        <v>41572</v>
      </c>
      <c r="B411" s="4">
        <v>59374</v>
      </c>
      <c r="C411" s="57">
        <v>277.77</v>
      </c>
      <c r="D411" s="4" t="str">
        <f t="shared" si="24"/>
        <v>EOM plus 10 days</v>
      </c>
      <c r="E411" s="4">
        <v>10</v>
      </c>
      <c r="F411" s="104">
        <f t="shared" si="25"/>
        <v>41588</v>
      </c>
      <c r="J411" s="104">
        <f t="shared" si="26"/>
        <v>41588</v>
      </c>
      <c r="L411" t="b">
        <f t="shared" si="27"/>
        <v>1</v>
      </c>
    </row>
    <row r="412" spans="1:12" x14ac:dyDescent="0.25">
      <c r="A412" s="8">
        <v>41572</v>
      </c>
      <c r="B412" s="4">
        <v>59375</v>
      </c>
      <c r="C412" s="57">
        <v>219.95</v>
      </c>
      <c r="D412" s="4" t="str">
        <f t="shared" si="24"/>
        <v>EOM plus 5 days</v>
      </c>
      <c r="E412" s="4">
        <v>5</v>
      </c>
      <c r="F412" s="104">
        <f t="shared" si="25"/>
        <v>41583</v>
      </c>
      <c r="J412" s="104">
        <f t="shared" si="26"/>
        <v>41583</v>
      </c>
      <c r="L412" t="b">
        <f t="shared" si="27"/>
        <v>1</v>
      </c>
    </row>
    <row r="413" spans="1:12" x14ac:dyDescent="0.25">
      <c r="A413" s="8">
        <v>41573</v>
      </c>
      <c r="B413" s="4">
        <v>59376</v>
      </c>
      <c r="C413" s="57">
        <v>318.58999999999997</v>
      </c>
      <c r="D413" s="4" t="str">
        <f t="shared" si="24"/>
        <v>EOM plus 10 days</v>
      </c>
      <c r="E413" s="4">
        <v>10</v>
      </c>
      <c r="F413" s="104">
        <f t="shared" si="25"/>
        <v>41588</v>
      </c>
      <c r="J413" s="104">
        <f t="shared" si="26"/>
        <v>41588</v>
      </c>
      <c r="L413" t="b">
        <f t="shared" si="27"/>
        <v>1</v>
      </c>
    </row>
    <row r="414" spans="1:12" x14ac:dyDescent="0.25">
      <c r="A414" s="8">
        <v>41573</v>
      </c>
      <c r="B414" s="4">
        <v>59377</v>
      </c>
      <c r="C414" s="57">
        <v>211.71</v>
      </c>
      <c r="D414" s="4" t="str">
        <f t="shared" si="24"/>
        <v>EOM plus 5 days</v>
      </c>
      <c r="E414" s="4">
        <v>5</v>
      </c>
      <c r="F414" s="104">
        <f t="shared" si="25"/>
        <v>41583</v>
      </c>
      <c r="J414" s="104">
        <f t="shared" si="26"/>
        <v>41583</v>
      </c>
      <c r="L414" t="b">
        <f t="shared" si="27"/>
        <v>1</v>
      </c>
    </row>
    <row r="415" spans="1:12" x14ac:dyDescent="0.25">
      <c r="A415" s="8">
        <v>41573</v>
      </c>
      <c r="B415" s="4">
        <v>59378</v>
      </c>
      <c r="C415" s="57">
        <v>309.19</v>
      </c>
      <c r="D415" s="4" t="str">
        <f t="shared" si="24"/>
        <v>EOM plus 10 days</v>
      </c>
      <c r="E415" s="4">
        <v>10</v>
      </c>
      <c r="F415" s="104">
        <f t="shared" si="25"/>
        <v>41588</v>
      </c>
      <c r="J415" s="104">
        <f t="shared" si="26"/>
        <v>41588</v>
      </c>
      <c r="L415" t="b">
        <f t="shared" si="27"/>
        <v>1</v>
      </c>
    </row>
    <row r="416" spans="1:12" x14ac:dyDescent="0.25">
      <c r="A416" s="8">
        <v>41573</v>
      </c>
      <c r="B416" s="4">
        <v>59379</v>
      </c>
      <c r="C416" s="57">
        <v>140.55000000000001</v>
      </c>
      <c r="D416" s="4" t="str">
        <f t="shared" si="24"/>
        <v>EOM plus 15 days</v>
      </c>
      <c r="E416" s="4">
        <v>15</v>
      </c>
      <c r="F416" s="104">
        <f t="shared" si="25"/>
        <v>41593</v>
      </c>
      <c r="J416" s="104">
        <f t="shared" si="26"/>
        <v>41593</v>
      </c>
      <c r="L416" t="b">
        <f t="shared" si="27"/>
        <v>1</v>
      </c>
    </row>
    <row r="417" spans="1:12" x14ac:dyDescent="0.25">
      <c r="A417" s="8">
        <v>41573</v>
      </c>
      <c r="B417" s="4">
        <v>59380</v>
      </c>
      <c r="C417" s="57">
        <v>130.9</v>
      </c>
      <c r="D417" s="4" t="str">
        <f t="shared" si="24"/>
        <v>EOM plus 10 days</v>
      </c>
      <c r="E417" s="4">
        <v>10</v>
      </c>
      <c r="F417" s="104">
        <f t="shared" si="25"/>
        <v>41588</v>
      </c>
      <c r="J417" s="104">
        <f t="shared" si="26"/>
        <v>41588</v>
      </c>
      <c r="L417" t="b">
        <f t="shared" si="27"/>
        <v>1</v>
      </c>
    </row>
    <row r="418" spans="1:12" x14ac:dyDescent="0.25">
      <c r="A418" s="8">
        <v>41573</v>
      </c>
      <c r="B418" s="4">
        <v>59381</v>
      </c>
      <c r="C418" s="57">
        <v>110.71</v>
      </c>
      <c r="D418" s="4" t="str">
        <f t="shared" si="24"/>
        <v>EOM plus 20 days</v>
      </c>
      <c r="E418" s="4">
        <v>20</v>
      </c>
      <c r="F418" s="104">
        <f t="shared" si="25"/>
        <v>41598</v>
      </c>
      <c r="J418" s="104">
        <f t="shared" si="26"/>
        <v>41598</v>
      </c>
      <c r="L418" t="b">
        <f t="shared" si="27"/>
        <v>1</v>
      </c>
    </row>
    <row r="419" spans="1:12" x14ac:dyDescent="0.25">
      <c r="A419" s="8">
        <v>41573</v>
      </c>
      <c r="B419" s="4">
        <v>59382</v>
      </c>
      <c r="C419" s="57">
        <v>299.55</v>
      </c>
      <c r="D419" s="4" t="str">
        <f t="shared" si="24"/>
        <v>EOM plus 10 days</v>
      </c>
      <c r="E419" s="4">
        <v>10</v>
      </c>
      <c r="F419" s="104">
        <f t="shared" si="25"/>
        <v>41588</v>
      </c>
      <c r="J419" s="104">
        <f t="shared" si="26"/>
        <v>41588</v>
      </c>
      <c r="L419" t="b">
        <f t="shared" si="27"/>
        <v>1</v>
      </c>
    </row>
    <row r="420" spans="1:12" x14ac:dyDescent="0.25">
      <c r="A420" s="8">
        <v>41573</v>
      </c>
      <c r="B420" s="4">
        <v>59383</v>
      </c>
      <c r="C420" s="57">
        <v>187.88</v>
      </c>
      <c r="D420" s="4" t="str">
        <f t="shared" si="24"/>
        <v>EOM plus 20 days</v>
      </c>
      <c r="E420" s="4">
        <v>20</v>
      </c>
      <c r="F420" s="104">
        <f t="shared" si="25"/>
        <v>41598</v>
      </c>
      <c r="J420" s="104">
        <f t="shared" si="26"/>
        <v>41598</v>
      </c>
      <c r="L420" t="b">
        <f t="shared" si="27"/>
        <v>1</v>
      </c>
    </row>
    <row r="421" spans="1:12" x14ac:dyDescent="0.25">
      <c r="A421" s="8">
        <v>41573</v>
      </c>
      <c r="B421" s="4">
        <v>59384</v>
      </c>
      <c r="C421" s="57">
        <v>225.97</v>
      </c>
      <c r="D421" s="4" t="str">
        <f t="shared" si="24"/>
        <v>EOM plus 15 days</v>
      </c>
      <c r="E421" s="4">
        <v>15</v>
      </c>
      <c r="F421" s="104">
        <f t="shared" si="25"/>
        <v>41593</v>
      </c>
      <c r="J421" s="104">
        <f t="shared" si="26"/>
        <v>41593</v>
      </c>
      <c r="L421" t="b">
        <f t="shared" si="27"/>
        <v>1</v>
      </c>
    </row>
    <row r="422" spans="1:12" x14ac:dyDescent="0.25">
      <c r="A422" s="8">
        <v>41573</v>
      </c>
      <c r="B422" s="4">
        <v>59385</v>
      </c>
      <c r="C422" s="57">
        <v>196.22</v>
      </c>
      <c r="D422" s="4" t="str">
        <f t="shared" si="24"/>
        <v>EOM plus 5 days</v>
      </c>
      <c r="E422" s="4">
        <v>5</v>
      </c>
      <c r="F422" s="104">
        <f t="shared" si="25"/>
        <v>41583</v>
      </c>
      <c r="J422" s="104">
        <f t="shared" si="26"/>
        <v>41583</v>
      </c>
      <c r="L422" t="b">
        <f t="shared" si="27"/>
        <v>1</v>
      </c>
    </row>
    <row r="423" spans="1:12" x14ac:dyDescent="0.25">
      <c r="A423" s="8">
        <v>41573</v>
      </c>
      <c r="B423" s="4">
        <v>59386</v>
      </c>
      <c r="C423" s="57">
        <v>61.71</v>
      </c>
      <c r="D423" s="4" t="str">
        <f t="shared" si="24"/>
        <v>EOM plus 5 days</v>
      </c>
      <c r="E423" s="4">
        <v>5</v>
      </c>
      <c r="F423" s="104">
        <f t="shared" si="25"/>
        <v>41583</v>
      </c>
      <c r="J423" s="104">
        <f t="shared" si="26"/>
        <v>41583</v>
      </c>
      <c r="L423" t="b">
        <f t="shared" si="27"/>
        <v>1</v>
      </c>
    </row>
    <row r="424" spans="1:12" x14ac:dyDescent="0.25">
      <c r="A424" s="8">
        <v>41573</v>
      </c>
      <c r="B424" s="4">
        <v>59387</v>
      </c>
      <c r="C424" s="57">
        <v>85.95</v>
      </c>
      <c r="D424" s="4" t="str">
        <f t="shared" si="24"/>
        <v>EOM plus 10 days</v>
      </c>
      <c r="E424" s="4">
        <v>10</v>
      </c>
      <c r="F424" s="104">
        <f t="shared" si="25"/>
        <v>41588</v>
      </c>
      <c r="J424" s="104">
        <f t="shared" si="26"/>
        <v>41588</v>
      </c>
      <c r="L424" t="b">
        <f t="shared" si="27"/>
        <v>1</v>
      </c>
    </row>
    <row r="425" spans="1:12" x14ac:dyDescent="0.25">
      <c r="A425" s="8">
        <v>41573</v>
      </c>
      <c r="B425" s="4">
        <v>59388</v>
      </c>
      <c r="C425" s="57">
        <v>332.24</v>
      </c>
      <c r="D425" s="4" t="str">
        <f t="shared" si="24"/>
        <v>EOM plus 10 days</v>
      </c>
      <c r="E425" s="4">
        <v>10</v>
      </c>
      <c r="F425" s="104">
        <f t="shared" si="25"/>
        <v>41588</v>
      </c>
      <c r="J425" s="104">
        <f t="shared" si="26"/>
        <v>41588</v>
      </c>
      <c r="L425" t="b">
        <f t="shared" si="27"/>
        <v>1</v>
      </c>
    </row>
    <row r="426" spans="1:12" x14ac:dyDescent="0.25">
      <c r="A426" s="8">
        <v>41573</v>
      </c>
      <c r="B426" s="4">
        <v>59389</v>
      </c>
      <c r="C426" s="57">
        <v>192.54</v>
      </c>
      <c r="D426" s="4" t="str">
        <f t="shared" si="24"/>
        <v>EOM plus 10 days</v>
      </c>
      <c r="E426" s="4">
        <v>10</v>
      </c>
      <c r="F426" s="104">
        <f t="shared" si="25"/>
        <v>41588</v>
      </c>
      <c r="J426" s="104">
        <f t="shared" si="26"/>
        <v>41588</v>
      </c>
      <c r="L426" t="b">
        <f t="shared" si="27"/>
        <v>1</v>
      </c>
    </row>
    <row r="427" spans="1:12" x14ac:dyDescent="0.25">
      <c r="A427" s="8">
        <v>41573</v>
      </c>
      <c r="B427" s="4">
        <v>59390</v>
      </c>
      <c r="C427" s="57">
        <v>333.95</v>
      </c>
      <c r="D427" s="4" t="str">
        <f t="shared" si="24"/>
        <v>EOM plus 10 days</v>
      </c>
      <c r="E427" s="4">
        <v>10</v>
      </c>
      <c r="F427" s="104">
        <f t="shared" si="25"/>
        <v>41588</v>
      </c>
      <c r="J427" s="104">
        <f t="shared" si="26"/>
        <v>41588</v>
      </c>
      <c r="L427" t="b">
        <f t="shared" si="27"/>
        <v>1</v>
      </c>
    </row>
    <row r="428" spans="1:12" x14ac:dyDescent="0.25">
      <c r="A428" s="8">
        <v>41573</v>
      </c>
      <c r="B428" s="4">
        <v>59391</v>
      </c>
      <c r="C428" s="57">
        <v>259.44</v>
      </c>
      <c r="D428" s="4" t="str">
        <f t="shared" si="24"/>
        <v>EOM plus 10 days</v>
      </c>
      <c r="E428" s="4">
        <v>10</v>
      </c>
      <c r="F428" s="104">
        <f t="shared" si="25"/>
        <v>41588</v>
      </c>
      <c r="J428" s="104">
        <f t="shared" si="26"/>
        <v>41588</v>
      </c>
      <c r="L428" t="b">
        <f t="shared" si="27"/>
        <v>1</v>
      </c>
    </row>
    <row r="429" spans="1:12" x14ac:dyDescent="0.25">
      <c r="A429" s="8">
        <v>41573</v>
      </c>
      <c r="B429" s="4">
        <v>59392</v>
      </c>
      <c r="C429" s="57">
        <v>91.71</v>
      </c>
      <c r="D429" s="4" t="str">
        <f t="shared" si="24"/>
        <v>EOM plus 5 days</v>
      </c>
      <c r="E429" s="4">
        <v>5</v>
      </c>
      <c r="F429" s="104">
        <f t="shared" si="25"/>
        <v>41583</v>
      </c>
      <c r="J429" s="104">
        <f t="shared" si="26"/>
        <v>41583</v>
      </c>
      <c r="L429" t="b">
        <f t="shared" si="27"/>
        <v>1</v>
      </c>
    </row>
    <row r="430" spans="1:12" x14ac:dyDescent="0.25">
      <c r="A430" s="8">
        <v>41574</v>
      </c>
      <c r="B430" s="4">
        <v>59393</v>
      </c>
      <c r="C430" s="57">
        <v>110.18</v>
      </c>
      <c r="D430" s="4" t="str">
        <f t="shared" si="24"/>
        <v>EOM plus 5 days</v>
      </c>
      <c r="E430" s="4">
        <v>5</v>
      </c>
      <c r="F430" s="104">
        <f t="shared" si="25"/>
        <v>41583</v>
      </c>
      <c r="J430" s="104">
        <f t="shared" si="26"/>
        <v>41583</v>
      </c>
      <c r="L430" t="b">
        <f t="shared" si="27"/>
        <v>1</v>
      </c>
    </row>
    <row r="431" spans="1:12" x14ac:dyDescent="0.25">
      <c r="A431" s="8">
        <v>41574</v>
      </c>
      <c r="B431" s="4">
        <v>59394</v>
      </c>
      <c r="C431" s="57">
        <v>196.23</v>
      </c>
      <c r="D431" s="4" t="str">
        <f t="shared" si="24"/>
        <v>EOM plus 10 days</v>
      </c>
      <c r="E431" s="4">
        <v>10</v>
      </c>
      <c r="F431" s="104">
        <f t="shared" si="25"/>
        <v>41588</v>
      </c>
      <c r="J431" s="104">
        <f t="shared" si="26"/>
        <v>41588</v>
      </c>
      <c r="L431" t="b">
        <f t="shared" si="27"/>
        <v>1</v>
      </c>
    </row>
    <row r="432" spans="1:12" x14ac:dyDescent="0.25">
      <c r="A432" s="8">
        <v>41574</v>
      </c>
      <c r="B432" s="4">
        <v>59395</v>
      </c>
      <c r="C432" s="57">
        <v>43.36</v>
      </c>
      <c r="D432" s="4" t="str">
        <f t="shared" si="24"/>
        <v>EOM plus 5 days</v>
      </c>
      <c r="E432" s="4">
        <v>5</v>
      </c>
      <c r="F432" s="104">
        <f t="shared" si="25"/>
        <v>41583</v>
      </c>
      <c r="J432" s="104">
        <f t="shared" si="26"/>
        <v>41583</v>
      </c>
      <c r="L432" t="b">
        <f t="shared" si="27"/>
        <v>1</v>
      </c>
    </row>
    <row r="433" spans="1:12" x14ac:dyDescent="0.25">
      <c r="A433" s="8">
        <v>41574</v>
      </c>
      <c r="B433" s="4">
        <v>59396</v>
      </c>
      <c r="C433" s="57">
        <v>281.57</v>
      </c>
      <c r="D433" s="4" t="str">
        <f t="shared" si="24"/>
        <v>EOM plus 5 days</v>
      </c>
      <c r="E433" s="4">
        <v>5</v>
      </c>
      <c r="F433" s="104">
        <f t="shared" si="25"/>
        <v>41583</v>
      </c>
      <c r="J433" s="104">
        <f t="shared" si="26"/>
        <v>41583</v>
      </c>
      <c r="L433" t="b">
        <f t="shared" si="27"/>
        <v>1</v>
      </c>
    </row>
    <row r="434" spans="1:12" x14ac:dyDescent="0.25">
      <c r="A434" s="8">
        <v>41574</v>
      </c>
      <c r="B434" s="4">
        <v>59397</v>
      </c>
      <c r="C434" s="57">
        <v>353.41</v>
      </c>
      <c r="D434" s="4" t="str">
        <f t="shared" si="24"/>
        <v>EOM plus 20 days</v>
      </c>
      <c r="E434" s="4">
        <v>20</v>
      </c>
      <c r="F434" s="104">
        <f t="shared" si="25"/>
        <v>41598</v>
      </c>
      <c r="J434" s="104">
        <f t="shared" si="26"/>
        <v>41598</v>
      </c>
      <c r="L434" t="b">
        <f t="shared" si="27"/>
        <v>1</v>
      </c>
    </row>
    <row r="435" spans="1:12" x14ac:dyDescent="0.25">
      <c r="A435" s="8">
        <v>41574</v>
      </c>
      <c r="B435" s="4">
        <v>59398</v>
      </c>
      <c r="C435" s="57">
        <v>45.37</v>
      </c>
      <c r="D435" s="4" t="str">
        <f t="shared" si="24"/>
        <v>EOM plus 5 days</v>
      </c>
      <c r="E435" s="4">
        <v>5</v>
      </c>
      <c r="F435" s="104">
        <f t="shared" si="25"/>
        <v>41583</v>
      </c>
      <c r="J435" s="104">
        <f t="shared" si="26"/>
        <v>41583</v>
      </c>
      <c r="L435" t="b">
        <f t="shared" si="27"/>
        <v>1</v>
      </c>
    </row>
    <row r="436" spans="1:12" x14ac:dyDescent="0.25">
      <c r="A436" s="8">
        <v>41574</v>
      </c>
      <c r="B436" s="4">
        <v>59399</v>
      </c>
      <c r="C436" s="57">
        <v>186.27</v>
      </c>
      <c r="D436" s="4" t="str">
        <f t="shared" si="24"/>
        <v>EOM plus 20 days</v>
      </c>
      <c r="E436" s="4">
        <v>20</v>
      </c>
      <c r="F436" s="104">
        <f t="shared" si="25"/>
        <v>41598</v>
      </c>
      <c r="J436" s="104">
        <f t="shared" si="26"/>
        <v>41598</v>
      </c>
      <c r="L436" t="b">
        <f t="shared" si="27"/>
        <v>1</v>
      </c>
    </row>
    <row r="437" spans="1:12" x14ac:dyDescent="0.25">
      <c r="A437" s="8">
        <v>41574</v>
      </c>
      <c r="B437" s="4">
        <v>59400</v>
      </c>
      <c r="C437" s="57">
        <v>183.08</v>
      </c>
      <c r="D437" s="4" t="str">
        <f t="shared" si="24"/>
        <v>EOM plus 15 days</v>
      </c>
      <c r="E437" s="4">
        <v>15</v>
      </c>
      <c r="F437" s="104">
        <f t="shared" si="25"/>
        <v>41593</v>
      </c>
      <c r="J437" s="104">
        <f t="shared" si="26"/>
        <v>41593</v>
      </c>
      <c r="L437" t="b">
        <f t="shared" si="27"/>
        <v>1</v>
      </c>
    </row>
    <row r="438" spans="1:12" x14ac:dyDescent="0.25">
      <c r="A438" s="8">
        <v>41574</v>
      </c>
      <c r="B438" s="4">
        <v>59401</v>
      </c>
      <c r="C438" s="57">
        <v>236.97</v>
      </c>
      <c r="D438" s="4" t="str">
        <f t="shared" si="24"/>
        <v>EOM plus 20 days</v>
      </c>
      <c r="E438" s="4">
        <v>20</v>
      </c>
      <c r="F438" s="104">
        <f t="shared" si="25"/>
        <v>41598</v>
      </c>
      <c r="J438" s="104">
        <f t="shared" si="26"/>
        <v>41598</v>
      </c>
      <c r="L438" t="b">
        <f t="shared" si="27"/>
        <v>1</v>
      </c>
    </row>
    <row r="439" spans="1:12" x14ac:dyDescent="0.25">
      <c r="A439" s="8">
        <v>41574</v>
      </c>
      <c r="B439" s="4">
        <v>59402</v>
      </c>
      <c r="C439" s="57">
        <v>252.81</v>
      </c>
      <c r="D439" s="4" t="str">
        <f t="shared" si="24"/>
        <v>EOM plus 5 days</v>
      </c>
      <c r="E439" s="4">
        <v>5</v>
      </c>
      <c r="F439" s="104">
        <f t="shared" si="25"/>
        <v>41583</v>
      </c>
      <c r="J439" s="104">
        <f t="shared" si="26"/>
        <v>41583</v>
      </c>
      <c r="L439" t="b">
        <f t="shared" si="27"/>
        <v>1</v>
      </c>
    </row>
    <row r="440" spans="1:12" x14ac:dyDescent="0.25">
      <c r="A440" s="8">
        <v>41574</v>
      </c>
      <c r="B440" s="4">
        <v>59403</v>
      </c>
      <c r="C440" s="57">
        <v>78.09</v>
      </c>
      <c r="D440" s="4" t="str">
        <f t="shared" si="24"/>
        <v>EOM plus 5 days</v>
      </c>
      <c r="E440" s="4">
        <v>5</v>
      </c>
      <c r="F440" s="104">
        <f t="shared" si="25"/>
        <v>41583</v>
      </c>
      <c r="J440" s="104">
        <f t="shared" si="26"/>
        <v>41583</v>
      </c>
      <c r="L440" t="b">
        <f t="shared" si="27"/>
        <v>1</v>
      </c>
    </row>
    <row r="441" spans="1:12" x14ac:dyDescent="0.25">
      <c r="A441" s="8">
        <v>41574</v>
      </c>
      <c r="B441" s="4">
        <v>59404</v>
      </c>
      <c r="C441" s="57">
        <v>122.24</v>
      </c>
      <c r="D441" s="4" t="str">
        <f t="shared" si="24"/>
        <v>EOM plus 15 days</v>
      </c>
      <c r="E441" s="4">
        <v>15</v>
      </c>
      <c r="F441" s="104">
        <f t="shared" si="25"/>
        <v>41593</v>
      </c>
      <c r="J441" s="104">
        <f t="shared" si="26"/>
        <v>41593</v>
      </c>
      <c r="L441" t="b">
        <f t="shared" si="27"/>
        <v>1</v>
      </c>
    </row>
    <row r="442" spans="1:12" x14ac:dyDescent="0.25">
      <c r="A442" s="8">
        <v>41574</v>
      </c>
      <c r="B442" s="4">
        <v>59405</v>
      </c>
      <c r="C442" s="57">
        <v>346.97</v>
      </c>
      <c r="D442" s="4" t="str">
        <f t="shared" si="24"/>
        <v>EOM plus 10 days</v>
      </c>
      <c r="E442" s="4">
        <v>10</v>
      </c>
      <c r="F442" s="104">
        <f t="shared" si="25"/>
        <v>41588</v>
      </c>
      <c r="J442" s="104">
        <f t="shared" si="26"/>
        <v>41588</v>
      </c>
      <c r="L442" t="b">
        <f t="shared" si="27"/>
        <v>1</v>
      </c>
    </row>
    <row r="443" spans="1:12" x14ac:dyDescent="0.25">
      <c r="A443" s="8">
        <v>41574</v>
      </c>
      <c r="B443" s="4">
        <v>59406</v>
      </c>
      <c r="C443" s="57">
        <v>217.76</v>
      </c>
      <c r="D443" s="4" t="str">
        <f t="shared" si="24"/>
        <v>EOM plus 10 days</v>
      </c>
      <c r="E443" s="4">
        <v>10</v>
      </c>
      <c r="F443" s="104">
        <f t="shared" si="25"/>
        <v>41588</v>
      </c>
      <c r="J443" s="104">
        <f t="shared" si="26"/>
        <v>41588</v>
      </c>
      <c r="L443" t="b">
        <f t="shared" si="27"/>
        <v>1</v>
      </c>
    </row>
    <row r="444" spans="1:12" x14ac:dyDescent="0.25">
      <c r="A444" s="8">
        <v>41574</v>
      </c>
      <c r="B444" s="4">
        <v>59407</v>
      </c>
      <c r="C444" s="57">
        <v>150.05000000000001</v>
      </c>
      <c r="D444" s="4" t="str">
        <f t="shared" si="24"/>
        <v>EOM plus 10 days</v>
      </c>
      <c r="E444" s="4">
        <v>10</v>
      </c>
      <c r="F444" s="104">
        <f t="shared" si="25"/>
        <v>41588</v>
      </c>
      <c r="J444" s="104">
        <f t="shared" si="26"/>
        <v>41588</v>
      </c>
      <c r="L444" t="b">
        <f t="shared" si="27"/>
        <v>1</v>
      </c>
    </row>
    <row r="445" spans="1:12" x14ac:dyDescent="0.25">
      <c r="A445" s="8">
        <v>41574</v>
      </c>
      <c r="B445" s="4">
        <v>59408</v>
      </c>
      <c r="C445" s="57">
        <v>350.83</v>
      </c>
      <c r="D445" s="4" t="str">
        <f t="shared" si="24"/>
        <v>EOM plus 5 days</v>
      </c>
      <c r="E445" s="4">
        <v>5</v>
      </c>
      <c r="F445" s="104">
        <f t="shared" si="25"/>
        <v>41583</v>
      </c>
      <c r="J445" s="104">
        <f t="shared" si="26"/>
        <v>41583</v>
      </c>
      <c r="L445" t="b">
        <f t="shared" si="27"/>
        <v>1</v>
      </c>
    </row>
    <row r="446" spans="1:12" x14ac:dyDescent="0.25">
      <c r="A446" s="8">
        <v>41574</v>
      </c>
      <c r="B446" s="4">
        <v>59409</v>
      </c>
      <c r="C446" s="57">
        <v>81.650000000000006</v>
      </c>
      <c r="D446" s="4" t="str">
        <f t="shared" si="24"/>
        <v>EOM plus 10 days</v>
      </c>
      <c r="E446" s="4">
        <v>10</v>
      </c>
      <c r="F446" s="104">
        <f t="shared" si="25"/>
        <v>41588</v>
      </c>
      <c r="J446" s="104">
        <f t="shared" si="26"/>
        <v>41588</v>
      </c>
      <c r="L446" t="b">
        <f t="shared" si="27"/>
        <v>1</v>
      </c>
    </row>
    <row r="447" spans="1:12" x14ac:dyDescent="0.25">
      <c r="A447" s="8">
        <v>41574</v>
      </c>
      <c r="B447" s="4">
        <v>59410</v>
      </c>
      <c r="C447" s="57">
        <v>56.29</v>
      </c>
      <c r="D447" s="4" t="str">
        <f t="shared" si="24"/>
        <v>EOM plus 5 days</v>
      </c>
      <c r="E447" s="4">
        <v>5</v>
      </c>
      <c r="F447" s="104">
        <f t="shared" si="25"/>
        <v>41583</v>
      </c>
      <c r="J447" s="104">
        <f t="shared" si="26"/>
        <v>41583</v>
      </c>
      <c r="L447" t="b">
        <f t="shared" si="27"/>
        <v>1</v>
      </c>
    </row>
    <row r="448" spans="1:12" x14ac:dyDescent="0.25">
      <c r="A448" s="8">
        <v>41574</v>
      </c>
      <c r="B448" s="4">
        <v>59411</v>
      </c>
      <c r="C448" s="57">
        <v>105.36</v>
      </c>
      <c r="D448" s="4" t="str">
        <f t="shared" si="24"/>
        <v>EOM plus 10 days</v>
      </c>
      <c r="E448" s="4">
        <v>10</v>
      </c>
      <c r="F448" s="104">
        <f t="shared" si="25"/>
        <v>41588</v>
      </c>
      <c r="J448" s="104">
        <f t="shared" si="26"/>
        <v>41588</v>
      </c>
      <c r="L448" t="b">
        <f t="shared" si="27"/>
        <v>1</v>
      </c>
    </row>
    <row r="449" spans="1:12" x14ac:dyDescent="0.25">
      <c r="A449" s="8">
        <v>41574</v>
      </c>
      <c r="B449" s="4">
        <v>59412</v>
      </c>
      <c r="C449" s="57">
        <v>142.54</v>
      </c>
      <c r="D449" s="4" t="str">
        <f t="shared" si="24"/>
        <v>EOM plus 10 days</v>
      </c>
      <c r="E449" s="4">
        <v>10</v>
      </c>
      <c r="F449" s="104">
        <f t="shared" si="25"/>
        <v>41588</v>
      </c>
      <c r="J449" s="104">
        <f t="shared" si="26"/>
        <v>41588</v>
      </c>
      <c r="L449" t="b">
        <f t="shared" si="27"/>
        <v>1</v>
      </c>
    </row>
    <row r="450" spans="1:12" x14ac:dyDescent="0.25">
      <c r="A450" s="8">
        <v>41574</v>
      </c>
      <c r="B450" s="4">
        <v>59413</v>
      </c>
      <c r="C450" s="57">
        <v>207.18</v>
      </c>
      <c r="D450" s="4" t="str">
        <f t="shared" si="24"/>
        <v>EOM plus 20 days</v>
      </c>
      <c r="E450" s="4">
        <v>20</v>
      </c>
      <c r="F450" s="104">
        <f t="shared" si="25"/>
        <v>41598</v>
      </c>
      <c r="J450" s="104">
        <f t="shared" si="26"/>
        <v>41598</v>
      </c>
      <c r="L450" t="b">
        <f t="shared" si="27"/>
        <v>1</v>
      </c>
    </row>
    <row r="451" spans="1:12" x14ac:dyDescent="0.25">
      <c r="A451" s="8">
        <v>41574</v>
      </c>
      <c r="B451" s="4">
        <v>59414</v>
      </c>
      <c r="C451" s="57">
        <v>368.45</v>
      </c>
      <c r="D451" s="4" t="str">
        <f t="shared" si="24"/>
        <v>EOM plus 15 days</v>
      </c>
      <c r="E451" s="4">
        <v>15</v>
      </c>
      <c r="F451" s="104">
        <f t="shared" si="25"/>
        <v>41593</v>
      </c>
      <c r="J451" s="104">
        <f t="shared" si="26"/>
        <v>41593</v>
      </c>
      <c r="L451" t="b">
        <f t="shared" si="27"/>
        <v>1</v>
      </c>
    </row>
    <row r="452" spans="1:12" x14ac:dyDescent="0.25">
      <c r="A452" s="8">
        <v>41574</v>
      </c>
      <c r="B452" s="4">
        <v>59415</v>
      </c>
      <c r="C452" s="57">
        <v>329.03</v>
      </c>
      <c r="D452" s="4" t="str">
        <f t="shared" si="24"/>
        <v>EOM plus 5 days</v>
      </c>
      <c r="E452" s="4">
        <v>5</v>
      </c>
      <c r="F452" s="104">
        <f t="shared" si="25"/>
        <v>41583</v>
      </c>
      <c r="J452" s="104">
        <f t="shared" si="26"/>
        <v>41583</v>
      </c>
      <c r="L452" t="b">
        <f t="shared" si="27"/>
        <v>1</v>
      </c>
    </row>
    <row r="453" spans="1:12" x14ac:dyDescent="0.25">
      <c r="A453" s="8">
        <v>41574</v>
      </c>
      <c r="B453" s="4">
        <v>59416</v>
      </c>
      <c r="C453" s="57">
        <v>128.97999999999999</v>
      </c>
      <c r="D453" s="4" t="str">
        <f t="shared" ref="D453:D516" si="28">"EOM plus "&amp;E453&amp;" days"</f>
        <v>EOM plus 15 days</v>
      </c>
      <c r="E453" s="4">
        <v>15</v>
      </c>
      <c r="F453" s="104">
        <f t="shared" si="25"/>
        <v>41593</v>
      </c>
      <c r="J453" s="104">
        <f t="shared" si="26"/>
        <v>41593</v>
      </c>
      <c r="L453" t="b">
        <f t="shared" si="27"/>
        <v>1</v>
      </c>
    </row>
    <row r="454" spans="1:12" x14ac:dyDescent="0.25">
      <c r="A454" s="8">
        <v>41574</v>
      </c>
      <c r="B454" s="4">
        <v>59417</v>
      </c>
      <c r="C454" s="57">
        <v>42.15</v>
      </c>
      <c r="D454" s="4" t="str">
        <f t="shared" si="28"/>
        <v>EOM plus 5 days</v>
      </c>
      <c r="E454" s="4">
        <v>5</v>
      </c>
      <c r="F454" s="104">
        <f t="shared" ref="F454:F517" si="29">EOMONTH(A454,0)+E454</f>
        <v>41583</v>
      </c>
      <c r="J454" s="104">
        <f t="shared" ref="J454:J517" si="30">DATE(YEAR(A454),MONTH(A454)+1,E454)</f>
        <v>41583</v>
      </c>
      <c r="L454" t="b">
        <f t="shared" ref="L454:L517" si="31">J454=F454</f>
        <v>1</v>
      </c>
    </row>
    <row r="455" spans="1:12" x14ac:dyDescent="0.25">
      <c r="A455" s="8">
        <v>41574</v>
      </c>
      <c r="B455" s="4">
        <v>59418</v>
      </c>
      <c r="C455" s="57">
        <v>271.10000000000002</v>
      </c>
      <c r="D455" s="4" t="str">
        <f t="shared" si="28"/>
        <v>EOM plus 15 days</v>
      </c>
      <c r="E455" s="4">
        <v>15</v>
      </c>
      <c r="F455" s="104">
        <f t="shared" si="29"/>
        <v>41593</v>
      </c>
      <c r="J455" s="104">
        <f t="shared" si="30"/>
        <v>41593</v>
      </c>
      <c r="L455" t="b">
        <f t="shared" si="31"/>
        <v>1</v>
      </c>
    </row>
    <row r="456" spans="1:12" x14ac:dyDescent="0.25">
      <c r="A456" s="8">
        <v>41574</v>
      </c>
      <c r="B456" s="4">
        <v>59419</v>
      </c>
      <c r="C456" s="57">
        <v>176.72</v>
      </c>
      <c r="D456" s="4" t="str">
        <f t="shared" si="28"/>
        <v>EOM plus 10 days</v>
      </c>
      <c r="E456" s="4">
        <v>10</v>
      </c>
      <c r="F456" s="104">
        <f t="shared" si="29"/>
        <v>41588</v>
      </c>
      <c r="J456" s="104">
        <f t="shared" si="30"/>
        <v>41588</v>
      </c>
      <c r="L456" t="b">
        <f t="shared" si="31"/>
        <v>1</v>
      </c>
    </row>
    <row r="457" spans="1:12" x14ac:dyDescent="0.25">
      <c r="A457" s="8">
        <v>41575</v>
      </c>
      <c r="B457" s="4">
        <v>59420</v>
      </c>
      <c r="C457" s="57">
        <v>177.77</v>
      </c>
      <c r="D457" s="4" t="str">
        <f t="shared" si="28"/>
        <v>EOM plus 20 days</v>
      </c>
      <c r="E457" s="4">
        <v>20</v>
      </c>
      <c r="F457" s="104">
        <f t="shared" si="29"/>
        <v>41598</v>
      </c>
      <c r="J457" s="104">
        <f t="shared" si="30"/>
        <v>41598</v>
      </c>
      <c r="L457" t="b">
        <f t="shared" si="31"/>
        <v>1</v>
      </c>
    </row>
    <row r="458" spans="1:12" x14ac:dyDescent="0.25">
      <c r="A458" s="8">
        <v>41575</v>
      </c>
      <c r="B458" s="4">
        <v>59421</v>
      </c>
      <c r="C458" s="57">
        <v>381.81</v>
      </c>
      <c r="D458" s="4" t="str">
        <f t="shared" si="28"/>
        <v>EOM plus 5 days</v>
      </c>
      <c r="E458" s="4">
        <v>5</v>
      </c>
      <c r="F458" s="104">
        <f t="shared" si="29"/>
        <v>41583</v>
      </c>
      <c r="J458" s="104">
        <f t="shared" si="30"/>
        <v>41583</v>
      </c>
      <c r="L458" t="b">
        <f t="shared" si="31"/>
        <v>1</v>
      </c>
    </row>
    <row r="459" spans="1:12" x14ac:dyDescent="0.25">
      <c r="A459" s="8">
        <v>41575</v>
      </c>
      <c r="B459" s="4">
        <v>59422</v>
      </c>
      <c r="C459" s="57">
        <v>42.82</v>
      </c>
      <c r="D459" s="4" t="str">
        <f t="shared" si="28"/>
        <v>EOM plus 10 days</v>
      </c>
      <c r="E459" s="4">
        <v>10</v>
      </c>
      <c r="F459" s="104">
        <f t="shared" si="29"/>
        <v>41588</v>
      </c>
      <c r="J459" s="104">
        <f t="shared" si="30"/>
        <v>41588</v>
      </c>
      <c r="L459" t="b">
        <f t="shared" si="31"/>
        <v>1</v>
      </c>
    </row>
    <row r="460" spans="1:12" x14ac:dyDescent="0.25">
      <c r="A460" s="8">
        <v>41575</v>
      </c>
      <c r="B460" s="4">
        <v>59423</v>
      </c>
      <c r="C460" s="57">
        <v>130.19</v>
      </c>
      <c r="D460" s="4" t="str">
        <f t="shared" si="28"/>
        <v>EOM plus 10 days</v>
      </c>
      <c r="E460" s="4">
        <v>10</v>
      </c>
      <c r="F460" s="104">
        <f t="shared" si="29"/>
        <v>41588</v>
      </c>
      <c r="J460" s="104">
        <f t="shared" si="30"/>
        <v>41588</v>
      </c>
      <c r="L460" t="b">
        <f t="shared" si="31"/>
        <v>1</v>
      </c>
    </row>
    <row r="461" spans="1:12" x14ac:dyDescent="0.25">
      <c r="A461" s="8">
        <v>41575</v>
      </c>
      <c r="B461" s="4">
        <v>59424</v>
      </c>
      <c r="C461" s="57">
        <v>123.64</v>
      </c>
      <c r="D461" s="4" t="str">
        <f t="shared" si="28"/>
        <v>EOM plus 10 days</v>
      </c>
      <c r="E461" s="4">
        <v>10</v>
      </c>
      <c r="F461" s="104">
        <f t="shared" si="29"/>
        <v>41588</v>
      </c>
      <c r="J461" s="104">
        <f t="shared" si="30"/>
        <v>41588</v>
      </c>
      <c r="L461" t="b">
        <f t="shared" si="31"/>
        <v>1</v>
      </c>
    </row>
    <row r="462" spans="1:12" x14ac:dyDescent="0.25">
      <c r="A462" s="8">
        <v>41575</v>
      </c>
      <c r="B462" s="4">
        <v>59425</v>
      </c>
      <c r="C462" s="57">
        <v>327</v>
      </c>
      <c r="D462" s="4" t="str">
        <f t="shared" si="28"/>
        <v>EOM plus 20 days</v>
      </c>
      <c r="E462" s="4">
        <v>20</v>
      </c>
      <c r="F462" s="104">
        <f t="shared" si="29"/>
        <v>41598</v>
      </c>
      <c r="J462" s="104">
        <f t="shared" si="30"/>
        <v>41598</v>
      </c>
      <c r="L462" t="b">
        <f t="shared" si="31"/>
        <v>1</v>
      </c>
    </row>
    <row r="463" spans="1:12" x14ac:dyDescent="0.25">
      <c r="A463" s="8">
        <v>41575</v>
      </c>
      <c r="B463" s="4">
        <v>59426</v>
      </c>
      <c r="C463" s="57">
        <v>388.07</v>
      </c>
      <c r="D463" s="4" t="str">
        <f t="shared" si="28"/>
        <v>EOM plus 5 days</v>
      </c>
      <c r="E463" s="4">
        <v>5</v>
      </c>
      <c r="F463" s="104">
        <f t="shared" si="29"/>
        <v>41583</v>
      </c>
      <c r="J463" s="104">
        <f t="shared" si="30"/>
        <v>41583</v>
      </c>
      <c r="L463" t="b">
        <f t="shared" si="31"/>
        <v>1</v>
      </c>
    </row>
    <row r="464" spans="1:12" x14ac:dyDescent="0.25">
      <c r="A464" s="8">
        <v>41575</v>
      </c>
      <c r="B464" s="4">
        <v>59427</v>
      </c>
      <c r="C464" s="57">
        <v>64.92</v>
      </c>
      <c r="D464" s="4" t="str">
        <f t="shared" si="28"/>
        <v>EOM plus 15 days</v>
      </c>
      <c r="E464" s="4">
        <v>15</v>
      </c>
      <c r="F464" s="104">
        <f t="shared" si="29"/>
        <v>41593</v>
      </c>
      <c r="J464" s="104">
        <f t="shared" si="30"/>
        <v>41593</v>
      </c>
      <c r="L464" t="b">
        <f t="shared" si="31"/>
        <v>1</v>
      </c>
    </row>
    <row r="465" spans="1:12" x14ac:dyDescent="0.25">
      <c r="A465" s="8">
        <v>41575</v>
      </c>
      <c r="B465" s="4">
        <v>59428</v>
      </c>
      <c r="C465" s="57">
        <v>289.25</v>
      </c>
      <c r="D465" s="4" t="str">
        <f t="shared" si="28"/>
        <v>EOM plus 10 days</v>
      </c>
      <c r="E465" s="4">
        <v>10</v>
      </c>
      <c r="F465" s="104">
        <f t="shared" si="29"/>
        <v>41588</v>
      </c>
      <c r="J465" s="104">
        <f t="shared" si="30"/>
        <v>41588</v>
      </c>
      <c r="L465" t="b">
        <f t="shared" si="31"/>
        <v>1</v>
      </c>
    </row>
    <row r="466" spans="1:12" x14ac:dyDescent="0.25">
      <c r="A466" s="8">
        <v>41575</v>
      </c>
      <c r="B466" s="4">
        <v>59429</v>
      </c>
      <c r="C466" s="57">
        <v>384.69</v>
      </c>
      <c r="D466" s="4" t="str">
        <f t="shared" si="28"/>
        <v>EOM plus 10 days</v>
      </c>
      <c r="E466" s="4">
        <v>10</v>
      </c>
      <c r="F466" s="104">
        <f t="shared" si="29"/>
        <v>41588</v>
      </c>
      <c r="J466" s="104">
        <f t="shared" si="30"/>
        <v>41588</v>
      </c>
      <c r="L466" t="b">
        <f t="shared" si="31"/>
        <v>1</v>
      </c>
    </row>
    <row r="467" spans="1:12" x14ac:dyDescent="0.25">
      <c r="A467" s="8">
        <v>41575</v>
      </c>
      <c r="B467" s="4">
        <v>59430</v>
      </c>
      <c r="C467" s="57">
        <v>228.27</v>
      </c>
      <c r="D467" s="4" t="str">
        <f t="shared" si="28"/>
        <v>EOM plus 10 days</v>
      </c>
      <c r="E467" s="4">
        <v>10</v>
      </c>
      <c r="F467" s="104">
        <f t="shared" si="29"/>
        <v>41588</v>
      </c>
      <c r="J467" s="104">
        <f t="shared" si="30"/>
        <v>41588</v>
      </c>
      <c r="L467" t="b">
        <f t="shared" si="31"/>
        <v>1</v>
      </c>
    </row>
    <row r="468" spans="1:12" x14ac:dyDescent="0.25">
      <c r="A468" s="8">
        <v>41575</v>
      </c>
      <c r="B468" s="4">
        <v>59431</v>
      </c>
      <c r="C468" s="57">
        <v>101.11</v>
      </c>
      <c r="D468" s="4" t="str">
        <f t="shared" si="28"/>
        <v>EOM plus 5 days</v>
      </c>
      <c r="E468" s="4">
        <v>5</v>
      </c>
      <c r="F468" s="104">
        <f t="shared" si="29"/>
        <v>41583</v>
      </c>
      <c r="J468" s="104">
        <f t="shared" si="30"/>
        <v>41583</v>
      </c>
      <c r="L468" t="b">
        <f t="shared" si="31"/>
        <v>1</v>
      </c>
    </row>
    <row r="469" spans="1:12" x14ac:dyDescent="0.25">
      <c r="A469" s="8">
        <v>41575</v>
      </c>
      <c r="B469" s="4">
        <v>59432</v>
      </c>
      <c r="C469" s="57">
        <v>366.63</v>
      </c>
      <c r="D469" s="4" t="str">
        <f t="shared" si="28"/>
        <v>EOM plus 20 days</v>
      </c>
      <c r="E469" s="4">
        <v>20</v>
      </c>
      <c r="F469" s="104">
        <f t="shared" si="29"/>
        <v>41598</v>
      </c>
      <c r="J469" s="104">
        <f t="shared" si="30"/>
        <v>41598</v>
      </c>
      <c r="L469" t="b">
        <f t="shared" si="31"/>
        <v>1</v>
      </c>
    </row>
    <row r="470" spans="1:12" x14ac:dyDescent="0.25">
      <c r="A470" s="8">
        <v>41575</v>
      </c>
      <c r="B470" s="4">
        <v>59433</v>
      </c>
      <c r="C470" s="57">
        <v>48.07</v>
      </c>
      <c r="D470" s="4" t="str">
        <f t="shared" si="28"/>
        <v>EOM plus 5 days</v>
      </c>
      <c r="E470" s="4">
        <v>5</v>
      </c>
      <c r="F470" s="104">
        <f t="shared" si="29"/>
        <v>41583</v>
      </c>
      <c r="J470" s="104">
        <f t="shared" si="30"/>
        <v>41583</v>
      </c>
      <c r="L470" t="b">
        <f t="shared" si="31"/>
        <v>1</v>
      </c>
    </row>
    <row r="471" spans="1:12" x14ac:dyDescent="0.25">
      <c r="A471" s="8">
        <v>41575</v>
      </c>
      <c r="B471" s="4">
        <v>59434</v>
      </c>
      <c r="C471" s="57">
        <v>82.5</v>
      </c>
      <c r="D471" s="4" t="str">
        <f t="shared" si="28"/>
        <v>EOM plus 5 days</v>
      </c>
      <c r="E471" s="4">
        <v>5</v>
      </c>
      <c r="F471" s="104">
        <f t="shared" si="29"/>
        <v>41583</v>
      </c>
      <c r="J471" s="104">
        <f t="shared" si="30"/>
        <v>41583</v>
      </c>
      <c r="L471" t="b">
        <f t="shared" si="31"/>
        <v>1</v>
      </c>
    </row>
    <row r="472" spans="1:12" x14ac:dyDescent="0.25">
      <c r="A472" s="8">
        <v>41575</v>
      </c>
      <c r="B472" s="4">
        <v>59435</v>
      </c>
      <c r="C472" s="57">
        <v>108.81</v>
      </c>
      <c r="D472" s="4" t="str">
        <f t="shared" si="28"/>
        <v>EOM plus 10 days</v>
      </c>
      <c r="E472" s="4">
        <v>10</v>
      </c>
      <c r="F472" s="104">
        <f t="shared" si="29"/>
        <v>41588</v>
      </c>
      <c r="J472" s="104">
        <f t="shared" si="30"/>
        <v>41588</v>
      </c>
      <c r="L472" t="b">
        <f t="shared" si="31"/>
        <v>1</v>
      </c>
    </row>
    <row r="473" spans="1:12" x14ac:dyDescent="0.25">
      <c r="A473" s="8">
        <v>41576</v>
      </c>
      <c r="B473" s="4">
        <v>59436</v>
      </c>
      <c r="C473" s="57">
        <v>240.5</v>
      </c>
      <c r="D473" s="4" t="str">
        <f t="shared" si="28"/>
        <v>EOM plus 10 days</v>
      </c>
      <c r="E473" s="4">
        <v>10</v>
      </c>
      <c r="F473" s="104">
        <f t="shared" si="29"/>
        <v>41588</v>
      </c>
      <c r="J473" s="104">
        <f t="shared" si="30"/>
        <v>41588</v>
      </c>
      <c r="L473" t="b">
        <f t="shared" si="31"/>
        <v>1</v>
      </c>
    </row>
    <row r="474" spans="1:12" x14ac:dyDescent="0.25">
      <c r="A474" s="8">
        <v>41576</v>
      </c>
      <c r="B474" s="4">
        <v>59437</v>
      </c>
      <c r="C474" s="57">
        <v>376.38</v>
      </c>
      <c r="D474" s="4" t="str">
        <f t="shared" si="28"/>
        <v>EOM plus 10 days</v>
      </c>
      <c r="E474" s="4">
        <v>10</v>
      </c>
      <c r="F474" s="104">
        <f t="shared" si="29"/>
        <v>41588</v>
      </c>
      <c r="J474" s="104">
        <f t="shared" si="30"/>
        <v>41588</v>
      </c>
      <c r="L474" t="b">
        <f t="shared" si="31"/>
        <v>1</v>
      </c>
    </row>
    <row r="475" spans="1:12" x14ac:dyDescent="0.25">
      <c r="A475" s="8">
        <v>41576</v>
      </c>
      <c r="B475" s="4">
        <v>59438</v>
      </c>
      <c r="C475" s="57">
        <v>186.61</v>
      </c>
      <c r="D475" s="4" t="str">
        <f t="shared" si="28"/>
        <v>EOM plus 5 days</v>
      </c>
      <c r="E475" s="4">
        <v>5</v>
      </c>
      <c r="F475" s="104">
        <f t="shared" si="29"/>
        <v>41583</v>
      </c>
      <c r="J475" s="104">
        <f t="shared" si="30"/>
        <v>41583</v>
      </c>
      <c r="L475" t="b">
        <f t="shared" si="31"/>
        <v>1</v>
      </c>
    </row>
    <row r="476" spans="1:12" x14ac:dyDescent="0.25">
      <c r="A476" s="8">
        <v>41576</v>
      </c>
      <c r="B476" s="4">
        <v>59439</v>
      </c>
      <c r="C476" s="57">
        <v>317.88</v>
      </c>
      <c r="D476" s="4" t="str">
        <f t="shared" si="28"/>
        <v>EOM plus 10 days</v>
      </c>
      <c r="E476" s="4">
        <v>10</v>
      </c>
      <c r="F476" s="104">
        <f t="shared" si="29"/>
        <v>41588</v>
      </c>
      <c r="J476" s="104">
        <f t="shared" si="30"/>
        <v>41588</v>
      </c>
      <c r="L476" t="b">
        <f t="shared" si="31"/>
        <v>1</v>
      </c>
    </row>
    <row r="477" spans="1:12" x14ac:dyDescent="0.25">
      <c r="A477" s="8">
        <v>41576</v>
      </c>
      <c r="B477" s="4">
        <v>59440</v>
      </c>
      <c r="C477" s="57">
        <v>137.52000000000001</v>
      </c>
      <c r="D477" s="4" t="str">
        <f t="shared" si="28"/>
        <v>EOM plus 5 days</v>
      </c>
      <c r="E477" s="4">
        <v>5</v>
      </c>
      <c r="F477" s="104">
        <f t="shared" si="29"/>
        <v>41583</v>
      </c>
      <c r="J477" s="104">
        <f t="shared" si="30"/>
        <v>41583</v>
      </c>
      <c r="L477" t="b">
        <f t="shared" si="31"/>
        <v>1</v>
      </c>
    </row>
    <row r="478" spans="1:12" x14ac:dyDescent="0.25">
      <c r="A478" s="8">
        <v>41576</v>
      </c>
      <c r="B478" s="4">
        <v>59441</v>
      </c>
      <c r="C478" s="57">
        <v>198.13</v>
      </c>
      <c r="D478" s="4" t="str">
        <f t="shared" si="28"/>
        <v>EOM plus 5 days</v>
      </c>
      <c r="E478" s="4">
        <v>5</v>
      </c>
      <c r="F478" s="104">
        <f t="shared" si="29"/>
        <v>41583</v>
      </c>
      <c r="J478" s="104">
        <f t="shared" si="30"/>
        <v>41583</v>
      </c>
      <c r="L478" t="b">
        <f t="shared" si="31"/>
        <v>1</v>
      </c>
    </row>
    <row r="479" spans="1:12" x14ac:dyDescent="0.25">
      <c r="A479" s="8">
        <v>41576</v>
      </c>
      <c r="B479" s="4">
        <v>59442</v>
      </c>
      <c r="C479" s="57">
        <v>50.82</v>
      </c>
      <c r="D479" s="4" t="str">
        <f t="shared" si="28"/>
        <v>EOM plus 15 days</v>
      </c>
      <c r="E479" s="4">
        <v>15</v>
      </c>
      <c r="F479" s="104">
        <f t="shared" si="29"/>
        <v>41593</v>
      </c>
      <c r="J479" s="104">
        <f t="shared" si="30"/>
        <v>41593</v>
      </c>
      <c r="L479" t="b">
        <f t="shared" si="31"/>
        <v>1</v>
      </c>
    </row>
    <row r="480" spans="1:12" x14ac:dyDescent="0.25">
      <c r="A480" s="8">
        <v>41576</v>
      </c>
      <c r="B480" s="4">
        <v>59443</v>
      </c>
      <c r="C480" s="57">
        <v>312.32</v>
      </c>
      <c r="D480" s="4" t="str">
        <f t="shared" si="28"/>
        <v>EOM plus 15 days</v>
      </c>
      <c r="E480" s="4">
        <v>15</v>
      </c>
      <c r="F480" s="104">
        <f t="shared" si="29"/>
        <v>41593</v>
      </c>
      <c r="J480" s="104">
        <f t="shared" si="30"/>
        <v>41593</v>
      </c>
      <c r="L480" t="b">
        <f t="shared" si="31"/>
        <v>1</v>
      </c>
    </row>
    <row r="481" spans="1:12" x14ac:dyDescent="0.25">
      <c r="A481" s="8">
        <v>41576</v>
      </c>
      <c r="B481" s="4">
        <v>59444</v>
      </c>
      <c r="C481" s="57">
        <v>66.89</v>
      </c>
      <c r="D481" s="4" t="str">
        <f t="shared" si="28"/>
        <v>EOM plus 5 days</v>
      </c>
      <c r="E481" s="4">
        <v>5</v>
      </c>
      <c r="F481" s="104">
        <f t="shared" si="29"/>
        <v>41583</v>
      </c>
      <c r="J481" s="104">
        <f t="shared" si="30"/>
        <v>41583</v>
      </c>
      <c r="L481" t="b">
        <f t="shared" si="31"/>
        <v>1</v>
      </c>
    </row>
    <row r="482" spans="1:12" x14ac:dyDescent="0.25">
      <c r="A482" s="8">
        <v>41576</v>
      </c>
      <c r="B482" s="4">
        <v>59445</v>
      </c>
      <c r="C482" s="57">
        <v>38.200000000000003</v>
      </c>
      <c r="D482" s="4" t="str">
        <f t="shared" si="28"/>
        <v>EOM plus 10 days</v>
      </c>
      <c r="E482" s="4">
        <v>10</v>
      </c>
      <c r="F482" s="104">
        <f t="shared" si="29"/>
        <v>41588</v>
      </c>
      <c r="J482" s="104">
        <f t="shared" si="30"/>
        <v>41588</v>
      </c>
      <c r="L482" t="b">
        <f t="shared" si="31"/>
        <v>1</v>
      </c>
    </row>
    <row r="483" spans="1:12" x14ac:dyDescent="0.25">
      <c r="A483" s="8">
        <v>41576</v>
      </c>
      <c r="B483" s="4">
        <v>59446</v>
      </c>
      <c r="C483" s="57">
        <v>365.01</v>
      </c>
      <c r="D483" s="4" t="str">
        <f t="shared" si="28"/>
        <v>EOM plus 15 days</v>
      </c>
      <c r="E483" s="4">
        <v>15</v>
      </c>
      <c r="F483" s="104">
        <f t="shared" si="29"/>
        <v>41593</v>
      </c>
      <c r="J483" s="104">
        <f t="shared" si="30"/>
        <v>41593</v>
      </c>
      <c r="L483" t="b">
        <f t="shared" si="31"/>
        <v>1</v>
      </c>
    </row>
    <row r="484" spans="1:12" x14ac:dyDescent="0.25">
      <c r="A484" s="8">
        <v>41576</v>
      </c>
      <c r="B484" s="4">
        <v>59447</v>
      </c>
      <c r="C484" s="57">
        <v>351.64</v>
      </c>
      <c r="D484" s="4" t="str">
        <f t="shared" si="28"/>
        <v>EOM plus 10 days</v>
      </c>
      <c r="E484" s="4">
        <v>10</v>
      </c>
      <c r="F484" s="104">
        <f t="shared" si="29"/>
        <v>41588</v>
      </c>
      <c r="J484" s="104">
        <f t="shared" si="30"/>
        <v>41588</v>
      </c>
      <c r="L484" t="b">
        <f t="shared" si="31"/>
        <v>1</v>
      </c>
    </row>
    <row r="485" spans="1:12" x14ac:dyDescent="0.25">
      <c r="A485" s="8">
        <v>41576</v>
      </c>
      <c r="B485" s="4">
        <v>59448</v>
      </c>
      <c r="C485" s="57">
        <v>370.4</v>
      </c>
      <c r="D485" s="4" t="str">
        <f t="shared" si="28"/>
        <v>EOM plus 10 days</v>
      </c>
      <c r="E485" s="4">
        <v>10</v>
      </c>
      <c r="F485" s="104">
        <f t="shared" si="29"/>
        <v>41588</v>
      </c>
      <c r="J485" s="104">
        <f t="shared" si="30"/>
        <v>41588</v>
      </c>
      <c r="L485" t="b">
        <f t="shared" si="31"/>
        <v>1</v>
      </c>
    </row>
    <row r="486" spans="1:12" x14ac:dyDescent="0.25">
      <c r="A486" s="8">
        <v>41576</v>
      </c>
      <c r="B486" s="4">
        <v>59449</v>
      </c>
      <c r="C486" s="57">
        <v>270.39</v>
      </c>
      <c r="D486" s="4" t="str">
        <f t="shared" si="28"/>
        <v>EOM plus 5 days</v>
      </c>
      <c r="E486" s="4">
        <v>5</v>
      </c>
      <c r="F486" s="104">
        <f t="shared" si="29"/>
        <v>41583</v>
      </c>
      <c r="J486" s="104">
        <f t="shared" si="30"/>
        <v>41583</v>
      </c>
      <c r="L486" t="b">
        <f t="shared" si="31"/>
        <v>1</v>
      </c>
    </row>
    <row r="487" spans="1:12" x14ac:dyDescent="0.25">
      <c r="A487" s="8">
        <v>41576</v>
      </c>
      <c r="B487" s="4">
        <v>59450</v>
      </c>
      <c r="C487" s="57">
        <v>75.55</v>
      </c>
      <c r="D487" s="4" t="str">
        <f t="shared" si="28"/>
        <v>EOM plus 10 days</v>
      </c>
      <c r="E487" s="4">
        <v>10</v>
      </c>
      <c r="F487" s="104">
        <f t="shared" si="29"/>
        <v>41588</v>
      </c>
      <c r="J487" s="104">
        <f t="shared" si="30"/>
        <v>41588</v>
      </c>
      <c r="L487" t="b">
        <f t="shared" si="31"/>
        <v>1</v>
      </c>
    </row>
    <row r="488" spans="1:12" x14ac:dyDescent="0.25">
      <c r="A488" s="8">
        <v>41576</v>
      </c>
      <c r="B488" s="4">
        <v>59451</v>
      </c>
      <c r="C488" s="57">
        <v>211.01</v>
      </c>
      <c r="D488" s="4" t="str">
        <f t="shared" si="28"/>
        <v>EOM plus 5 days</v>
      </c>
      <c r="E488" s="4">
        <v>5</v>
      </c>
      <c r="F488" s="104">
        <f t="shared" si="29"/>
        <v>41583</v>
      </c>
      <c r="J488" s="104">
        <f t="shared" si="30"/>
        <v>41583</v>
      </c>
      <c r="L488" t="b">
        <f t="shared" si="31"/>
        <v>1</v>
      </c>
    </row>
    <row r="489" spans="1:12" x14ac:dyDescent="0.25">
      <c r="A489" s="8">
        <v>41576</v>
      </c>
      <c r="B489" s="4">
        <v>59452</v>
      </c>
      <c r="C489" s="57">
        <v>214.08</v>
      </c>
      <c r="D489" s="4" t="str">
        <f t="shared" si="28"/>
        <v>EOM plus 5 days</v>
      </c>
      <c r="E489" s="4">
        <v>5</v>
      </c>
      <c r="F489" s="104">
        <f t="shared" si="29"/>
        <v>41583</v>
      </c>
      <c r="J489" s="104">
        <f t="shared" si="30"/>
        <v>41583</v>
      </c>
      <c r="L489" t="b">
        <f t="shared" si="31"/>
        <v>1</v>
      </c>
    </row>
    <row r="490" spans="1:12" x14ac:dyDescent="0.25">
      <c r="A490" s="8">
        <v>41576</v>
      </c>
      <c r="B490" s="4">
        <v>59453</v>
      </c>
      <c r="C490" s="57">
        <v>168.15</v>
      </c>
      <c r="D490" s="4" t="str">
        <f t="shared" si="28"/>
        <v>EOM plus 10 days</v>
      </c>
      <c r="E490" s="4">
        <v>10</v>
      </c>
      <c r="F490" s="104">
        <f t="shared" si="29"/>
        <v>41588</v>
      </c>
      <c r="J490" s="104">
        <f t="shared" si="30"/>
        <v>41588</v>
      </c>
      <c r="L490" t="b">
        <f t="shared" si="31"/>
        <v>1</v>
      </c>
    </row>
    <row r="491" spans="1:12" x14ac:dyDescent="0.25">
      <c r="A491" s="8">
        <v>41576</v>
      </c>
      <c r="B491" s="4">
        <v>59454</v>
      </c>
      <c r="C491" s="57">
        <v>212.1</v>
      </c>
      <c r="D491" s="4" t="str">
        <f t="shared" si="28"/>
        <v>EOM plus 5 days</v>
      </c>
      <c r="E491" s="4">
        <v>5</v>
      </c>
      <c r="F491" s="104">
        <f t="shared" si="29"/>
        <v>41583</v>
      </c>
      <c r="J491" s="104">
        <f t="shared" si="30"/>
        <v>41583</v>
      </c>
      <c r="L491" t="b">
        <f t="shared" si="31"/>
        <v>1</v>
      </c>
    </row>
    <row r="492" spans="1:12" x14ac:dyDescent="0.25">
      <c r="A492" s="8">
        <v>41576</v>
      </c>
      <c r="B492" s="4">
        <v>59455</v>
      </c>
      <c r="C492" s="57">
        <v>243.27</v>
      </c>
      <c r="D492" s="4" t="str">
        <f t="shared" si="28"/>
        <v>EOM plus 5 days</v>
      </c>
      <c r="E492" s="4">
        <v>5</v>
      </c>
      <c r="F492" s="104">
        <f t="shared" si="29"/>
        <v>41583</v>
      </c>
      <c r="J492" s="104">
        <f t="shared" si="30"/>
        <v>41583</v>
      </c>
      <c r="L492" t="b">
        <f t="shared" si="31"/>
        <v>1</v>
      </c>
    </row>
    <row r="493" spans="1:12" x14ac:dyDescent="0.25">
      <c r="A493" s="8">
        <v>41577</v>
      </c>
      <c r="B493" s="4">
        <v>59456</v>
      </c>
      <c r="C493" s="57">
        <v>118.22</v>
      </c>
      <c r="D493" s="4" t="str">
        <f t="shared" si="28"/>
        <v>EOM plus 5 days</v>
      </c>
      <c r="E493" s="4">
        <v>5</v>
      </c>
      <c r="F493" s="104">
        <f t="shared" si="29"/>
        <v>41583</v>
      </c>
      <c r="J493" s="104">
        <f t="shared" si="30"/>
        <v>41583</v>
      </c>
      <c r="L493" t="b">
        <f t="shared" si="31"/>
        <v>1</v>
      </c>
    </row>
    <row r="494" spans="1:12" x14ac:dyDescent="0.25">
      <c r="A494" s="8">
        <v>41577</v>
      </c>
      <c r="B494" s="4">
        <v>59457</v>
      </c>
      <c r="C494" s="57">
        <v>301.37</v>
      </c>
      <c r="D494" s="4" t="str">
        <f t="shared" si="28"/>
        <v>EOM plus 5 days</v>
      </c>
      <c r="E494" s="4">
        <v>5</v>
      </c>
      <c r="F494" s="104">
        <f t="shared" si="29"/>
        <v>41583</v>
      </c>
      <c r="J494" s="104">
        <f t="shared" si="30"/>
        <v>41583</v>
      </c>
      <c r="L494" t="b">
        <f t="shared" si="31"/>
        <v>1</v>
      </c>
    </row>
    <row r="495" spans="1:12" x14ac:dyDescent="0.25">
      <c r="A495" s="8">
        <v>41577</v>
      </c>
      <c r="B495" s="4">
        <v>59458</v>
      </c>
      <c r="C495" s="57">
        <v>106.08</v>
      </c>
      <c r="D495" s="4" t="str">
        <f t="shared" si="28"/>
        <v>EOM plus 5 days</v>
      </c>
      <c r="E495" s="4">
        <v>5</v>
      </c>
      <c r="F495" s="104">
        <f t="shared" si="29"/>
        <v>41583</v>
      </c>
      <c r="J495" s="104">
        <f t="shared" si="30"/>
        <v>41583</v>
      </c>
      <c r="L495" t="b">
        <f t="shared" si="31"/>
        <v>1</v>
      </c>
    </row>
    <row r="496" spans="1:12" x14ac:dyDescent="0.25">
      <c r="A496" s="8">
        <v>41577</v>
      </c>
      <c r="B496" s="4">
        <v>59459</v>
      </c>
      <c r="C496" s="57">
        <v>224.36</v>
      </c>
      <c r="D496" s="4" t="str">
        <f t="shared" si="28"/>
        <v>EOM plus 10 days</v>
      </c>
      <c r="E496" s="4">
        <v>10</v>
      </c>
      <c r="F496" s="104">
        <f t="shared" si="29"/>
        <v>41588</v>
      </c>
      <c r="J496" s="104">
        <f t="shared" si="30"/>
        <v>41588</v>
      </c>
      <c r="L496" t="b">
        <f t="shared" si="31"/>
        <v>1</v>
      </c>
    </row>
    <row r="497" spans="1:12" x14ac:dyDescent="0.25">
      <c r="A497" s="8">
        <v>41577</v>
      </c>
      <c r="B497" s="4">
        <v>59460</v>
      </c>
      <c r="C497" s="57">
        <v>151.16</v>
      </c>
      <c r="D497" s="4" t="str">
        <f t="shared" si="28"/>
        <v>EOM plus 5 days</v>
      </c>
      <c r="E497" s="4">
        <v>5</v>
      </c>
      <c r="F497" s="104">
        <f t="shared" si="29"/>
        <v>41583</v>
      </c>
      <c r="J497" s="104">
        <f t="shared" si="30"/>
        <v>41583</v>
      </c>
      <c r="L497" t="b">
        <f t="shared" si="31"/>
        <v>1</v>
      </c>
    </row>
    <row r="498" spans="1:12" x14ac:dyDescent="0.25">
      <c r="A498" s="8">
        <v>41577</v>
      </c>
      <c r="B498" s="4">
        <v>59461</v>
      </c>
      <c r="C498" s="57">
        <v>258.17</v>
      </c>
      <c r="D498" s="4" t="str">
        <f t="shared" si="28"/>
        <v>EOM plus 5 days</v>
      </c>
      <c r="E498" s="4">
        <v>5</v>
      </c>
      <c r="F498" s="104">
        <f t="shared" si="29"/>
        <v>41583</v>
      </c>
      <c r="J498" s="104">
        <f t="shared" si="30"/>
        <v>41583</v>
      </c>
      <c r="L498" t="b">
        <f t="shared" si="31"/>
        <v>1</v>
      </c>
    </row>
    <row r="499" spans="1:12" x14ac:dyDescent="0.25">
      <c r="A499" s="8">
        <v>41577</v>
      </c>
      <c r="B499" s="4">
        <v>59462</v>
      </c>
      <c r="C499" s="57">
        <v>312.19</v>
      </c>
      <c r="D499" s="4" t="str">
        <f t="shared" si="28"/>
        <v>EOM plus 10 days</v>
      </c>
      <c r="E499" s="4">
        <v>10</v>
      </c>
      <c r="F499" s="104">
        <f t="shared" si="29"/>
        <v>41588</v>
      </c>
      <c r="J499" s="104">
        <f t="shared" si="30"/>
        <v>41588</v>
      </c>
      <c r="L499" t="b">
        <f t="shared" si="31"/>
        <v>1</v>
      </c>
    </row>
    <row r="500" spans="1:12" x14ac:dyDescent="0.25">
      <c r="A500" s="8">
        <v>41577</v>
      </c>
      <c r="B500" s="4">
        <v>59463</v>
      </c>
      <c r="C500" s="57">
        <v>236.59</v>
      </c>
      <c r="D500" s="4" t="str">
        <f t="shared" si="28"/>
        <v>EOM plus 10 days</v>
      </c>
      <c r="E500" s="4">
        <v>10</v>
      </c>
      <c r="F500" s="104">
        <f t="shared" si="29"/>
        <v>41588</v>
      </c>
      <c r="J500" s="104">
        <f t="shared" si="30"/>
        <v>41588</v>
      </c>
      <c r="L500" t="b">
        <f t="shared" si="31"/>
        <v>1</v>
      </c>
    </row>
    <row r="501" spans="1:12" x14ac:dyDescent="0.25">
      <c r="A501" s="8">
        <v>41577</v>
      </c>
      <c r="B501" s="4">
        <v>59464</v>
      </c>
      <c r="C501" s="57">
        <v>190.59</v>
      </c>
      <c r="D501" s="4" t="str">
        <f t="shared" si="28"/>
        <v>EOM plus 15 days</v>
      </c>
      <c r="E501" s="4">
        <v>15</v>
      </c>
      <c r="F501" s="104">
        <f t="shared" si="29"/>
        <v>41593</v>
      </c>
      <c r="J501" s="104">
        <f t="shared" si="30"/>
        <v>41593</v>
      </c>
      <c r="L501" t="b">
        <f t="shared" si="31"/>
        <v>1</v>
      </c>
    </row>
    <row r="502" spans="1:12" x14ac:dyDescent="0.25">
      <c r="A502" s="8">
        <v>41577</v>
      </c>
      <c r="B502" s="4">
        <v>59465</v>
      </c>
      <c r="C502" s="57">
        <v>377.43</v>
      </c>
      <c r="D502" s="4" t="str">
        <f t="shared" si="28"/>
        <v>EOM plus 10 days</v>
      </c>
      <c r="E502" s="4">
        <v>10</v>
      </c>
      <c r="F502" s="104">
        <f t="shared" si="29"/>
        <v>41588</v>
      </c>
      <c r="J502" s="104">
        <f t="shared" si="30"/>
        <v>41588</v>
      </c>
      <c r="L502" t="b">
        <f t="shared" si="31"/>
        <v>1</v>
      </c>
    </row>
    <row r="503" spans="1:12" x14ac:dyDescent="0.25">
      <c r="A503" s="8">
        <v>41577</v>
      </c>
      <c r="B503" s="4">
        <v>59466</v>
      </c>
      <c r="C503" s="57">
        <v>371.73</v>
      </c>
      <c r="D503" s="4" t="str">
        <f t="shared" si="28"/>
        <v>EOM plus 5 days</v>
      </c>
      <c r="E503" s="4">
        <v>5</v>
      </c>
      <c r="F503" s="104">
        <f t="shared" si="29"/>
        <v>41583</v>
      </c>
      <c r="J503" s="104">
        <f t="shared" si="30"/>
        <v>41583</v>
      </c>
      <c r="L503" t="b">
        <f t="shared" si="31"/>
        <v>1</v>
      </c>
    </row>
    <row r="504" spans="1:12" x14ac:dyDescent="0.25">
      <c r="A504" s="8">
        <v>41577</v>
      </c>
      <c r="B504" s="4">
        <v>59467</v>
      </c>
      <c r="C504" s="57">
        <v>73.87</v>
      </c>
      <c r="D504" s="4" t="str">
        <f t="shared" si="28"/>
        <v>EOM plus 10 days</v>
      </c>
      <c r="E504" s="4">
        <v>10</v>
      </c>
      <c r="F504" s="104">
        <f t="shared" si="29"/>
        <v>41588</v>
      </c>
      <c r="J504" s="104">
        <f t="shared" si="30"/>
        <v>41588</v>
      </c>
      <c r="L504" t="b">
        <f t="shared" si="31"/>
        <v>1</v>
      </c>
    </row>
    <row r="505" spans="1:12" x14ac:dyDescent="0.25">
      <c r="A505" s="8">
        <v>41577</v>
      </c>
      <c r="B505" s="4">
        <v>59468</v>
      </c>
      <c r="C505" s="57">
        <v>309.99</v>
      </c>
      <c r="D505" s="4" t="str">
        <f t="shared" si="28"/>
        <v>EOM plus 15 days</v>
      </c>
      <c r="E505" s="4">
        <v>15</v>
      </c>
      <c r="F505" s="104">
        <f t="shared" si="29"/>
        <v>41593</v>
      </c>
      <c r="J505" s="104">
        <f t="shared" si="30"/>
        <v>41593</v>
      </c>
      <c r="L505" t="b">
        <f t="shared" si="31"/>
        <v>1</v>
      </c>
    </row>
    <row r="506" spans="1:12" x14ac:dyDescent="0.25">
      <c r="A506" s="8">
        <v>41578</v>
      </c>
      <c r="B506" s="4">
        <v>59469</v>
      </c>
      <c r="C506" s="57">
        <v>76.099999999999994</v>
      </c>
      <c r="D506" s="4" t="str">
        <f t="shared" si="28"/>
        <v>EOM plus 15 days</v>
      </c>
      <c r="E506" s="4">
        <v>15</v>
      </c>
      <c r="F506" s="104">
        <f t="shared" si="29"/>
        <v>41593</v>
      </c>
      <c r="J506" s="104">
        <f t="shared" si="30"/>
        <v>41593</v>
      </c>
      <c r="L506" t="b">
        <f t="shared" si="31"/>
        <v>1</v>
      </c>
    </row>
    <row r="507" spans="1:12" x14ac:dyDescent="0.25">
      <c r="A507" s="8">
        <v>41578</v>
      </c>
      <c r="B507" s="4">
        <v>59470</v>
      </c>
      <c r="C507" s="57">
        <v>166.77</v>
      </c>
      <c r="D507" s="4" t="str">
        <f t="shared" si="28"/>
        <v>EOM plus 5 days</v>
      </c>
      <c r="E507" s="4">
        <v>5</v>
      </c>
      <c r="F507" s="104">
        <f t="shared" si="29"/>
        <v>41583</v>
      </c>
      <c r="J507" s="104">
        <f t="shared" si="30"/>
        <v>41583</v>
      </c>
      <c r="L507" t="b">
        <f t="shared" si="31"/>
        <v>1</v>
      </c>
    </row>
    <row r="508" spans="1:12" x14ac:dyDescent="0.25">
      <c r="A508" s="8">
        <v>41578</v>
      </c>
      <c r="B508" s="4">
        <v>59471</v>
      </c>
      <c r="C508" s="57">
        <v>281.33999999999997</v>
      </c>
      <c r="D508" s="4" t="str">
        <f t="shared" si="28"/>
        <v>EOM plus 15 days</v>
      </c>
      <c r="E508" s="4">
        <v>15</v>
      </c>
      <c r="F508" s="104">
        <f t="shared" si="29"/>
        <v>41593</v>
      </c>
      <c r="J508" s="104">
        <f t="shared" si="30"/>
        <v>41593</v>
      </c>
      <c r="L508" t="b">
        <f t="shared" si="31"/>
        <v>1</v>
      </c>
    </row>
    <row r="509" spans="1:12" x14ac:dyDescent="0.25">
      <c r="A509" s="8">
        <v>41578</v>
      </c>
      <c r="B509" s="4">
        <v>59472</v>
      </c>
      <c r="C509" s="57">
        <v>313.36</v>
      </c>
      <c r="D509" s="4" t="str">
        <f t="shared" si="28"/>
        <v>EOM plus 20 days</v>
      </c>
      <c r="E509" s="4">
        <v>20</v>
      </c>
      <c r="F509" s="104">
        <f t="shared" si="29"/>
        <v>41598</v>
      </c>
      <c r="J509" s="104">
        <f t="shared" si="30"/>
        <v>41598</v>
      </c>
      <c r="L509" t="b">
        <f t="shared" si="31"/>
        <v>1</v>
      </c>
    </row>
    <row r="510" spans="1:12" x14ac:dyDescent="0.25">
      <c r="A510" s="8">
        <v>41578</v>
      </c>
      <c r="B510" s="4">
        <v>59473</v>
      </c>
      <c r="C510" s="57">
        <v>75.06</v>
      </c>
      <c r="D510" s="4" t="str">
        <f t="shared" si="28"/>
        <v>EOM plus 5 days</v>
      </c>
      <c r="E510" s="4">
        <v>5</v>
      </c>
      <c r="F510" s="104">
        <f t="shared" si="29"/>
        <v>41583</v>
      </c>
      <c r="J510" s="104">
        <f t="shared" si="30"/>
        <v>41583</v>
      </c>
      <c r="L510" t="b">
        <f t="shared" si="31"/>
        <v>1</v>
      </c>
    </row>
    <row r="511" spans="1:12" x14ac:dyDescent="0.25">
      <c r="A511" s="8">
        <v>41578</v>
      </c>
      <c r="B511" s="4">
        <v>59474</v>
      </c>
      <c r="C511" s="57">
        <v>173.69</v>
      </c>
      <c r="D511" s="4" t="str">
        <f t="shared" si="28"/>
        <v>EOM plus 10 days</v>
      </c>
      <c r="E511" s="4">
        <v>10</v>
      </c>
      <c r="F511" s="104">
        <f t="shared" si="29"/>
        <v>41588</v>
      </c>
      <c r="J511" s="104">
        <f t="shared" si="30"/>
        <v>41588</v>
      </c>
      <c r="L511" t="b">
        <f t="shared" si="31"/>
        <v>1</v>
      </c>
    </row>
    <row r="512" spans="1:12" x14ac:dyDescent="0.25">
      <c r="A512" s="8">
        <v>41578</v>
      </c>
      <c r="B512" s="4">
        <v>59475</v>
      </c>
      <c r="C512" s="57">
        <v>185.36</v>
      </c>
      <c r="D512" s="4" t="str">
        <f t="shared" si="28"/>
        <v>EOM plus 5 days</v>
      </c>
      <c r="E512" s="4">
        <v>5</v>
      </c>
      <c r="F512" s="104">
        <f t="shared" si="29"/>
        <v>41583</v>
      </c>
      <c r="J512" s="104">
        <f t="shared" si="30"/>
        <v>41583</v>
      </c>
      <c r="L512" t="b">
        <f t="shared" si="31"/>
        <v>1</v>
      </c>
    </row>
    <row r="513" spans="1:12" x14ac:dyDescent="0.25">
      <c r="A513" s="8">
        <v>41578</v>
      </c>
      <c r="B513" s="4">
        <v>59476</v>
      </c>
      <c r="C513" s="57">
        <v>339.26</v>
      </c>
      <c r="D513" s="4" t="str">
        <f t="shared" si="28"/>
        <v>EOM plus 10 days</v>
      </c>
      <c r="E513" s="4">
        <v>10</v>
      </c>
      <c r="F513" s="104">
        <f t="shared" si="29"/>
        <v>41588</v>
      </c>
      <c r="J513" s="104">
        <f t="shared" si="30"/>
        <v>41588</v>
      </c>
      <c r="L513" t="b">
        <f t="shared" si="31"/>
        <v>1</v>
      </c>
    </row>
    <row r="514" spans="1:12" x14ac:dyDescent="0.25">
      <c r="A514" s="8">
        <v>41578</v>
      </c>
      <c r="B514" s="4">
        <v>59477</v>
      </c>
      <c r="C514" s="57">
        <v>261.49</v>
      </c>
      <c r="D514" s="4" t="str">
        <f t="shared" si="28"/>
        <v>EOM plus 20 days</v>
      </c>
      <c r="E514" s="4">
        <v>20</v>
      </c>
      <c r="F514" s="104">
        <f t="shared" si="29"/>
        <v>41598</v>
      </c>
      <c r="J514" s="104">
        <f t="shared" si="30"/>
        <v>41598</v>
      </c>
      <c r="L514" t="b">
        <f t="shared" si="31"/>
        <v>1</v>
      </c>
    </row>
    <row r="515" spans="1:12" x14ac:dyDescent="0.25">
      <c r="A515" s="8">
        <v>41578</v>
      </c>
      <c r="B515" s="4">
        <v>59478</v>
      </c>
      <c r="C515" s="57">
        <v>114.09</v>
      </c>
      <c r="D515" s="4" t="str">
        <f t="shared" si="28"/>
        <v>EOM plus 10 days</v>
      </c>
      <c r="E515" s="4">
        <v>10</v>
      </c>
      <c r="F515" s="104">
        <f t="shared" si="29"/>
        <v>41588</v>
      </c>
      <c r="J515" s="104">
        <f t="shared" si="30"/>
        <v>41588</v>
      </c>
      <c r="L515" t="b">
        <f t="shared" si="31"/>
        <v>1</v>
      </c>
    </row>
    <row r="516" spans="1:12" x14ac:dyDescent="0.25">
      <c r="A516" s="8">
        <v>41578</v>
      </c>
      <c r="B516" s="4">
        <v>59479</v>
      </c>
      <c r="C516" s="57">
        <v>166.49</v>
      </c>
      <c r="D516" s="4" t="str">
        <f t="shared" si="28"/>
        <v>EOM plus 10 days</v>
      </c>
      <c r="E516" s="4">
        <v>10</v>
      </c>
      <c r="F516" s="104">
        <f t="shared" si="29"/>
        <v>41588</v>
      </c>
      <c r="J516" s="104">
        <f t="shared" si="30"/>
        <v>41588</v>
      </c>
      <c r="L516" t="b">
        <f t="shared" si="31"/>
        <v>1</v>
      </c>
    </row>
    <row r="517" spans="1:12" x14ac:dyDescent="0.25">
      <c r="A517" s="8">
        <v>41578</v>
      </c>
      <c r="B517" s="4">
        <v>59480</v>
      </c>
      <c r="C517" s="57">
        <v>95.1</v>
      </c>
      <c r="D517" s="4" t="str">
        <f t="shared" ref="D517:D580" si="32">"EOM plus "&amp;E517&amp;" days"</f>
        <v>EOM plus 10 days</v>
      </c>
      <c r="E517" s="4">
        <v>10</v>
      </c>
      <c r="F517" s="104">
        <f t="shared" si="29"/>
        <v>41588</v>
      </c>
      <c r="J517" s="104">
        <f t="shared" si="30"/>
        <v>41588</v>
      </c>
      <c r="L517" t="b">
        <f t="shared" si="31"/>
        <v>1</v>
      </c>
    </row>
    <row r="518" spans="1:12" x14ac:dyDescent="0.25">
      <c r="A518" s="8">
        <v>41578</v>
      </c>
      <c r="B518" s="4">
        <v>59481</v>
      </c>
      <c r="C518" s="57">
        <v>109.95</v>
      </c>
      <c r="D518" s="4" t="str">
        <f t="shared" si="32"/>
        <v>EOM plus 10 days</v>
      </c>
      <c r="E518" s="4">
        <v>10</v>
      </c>
      <c r="F518" s="104">
        <f t="shared" ref="F518:F581" si="33">EOMONTH(A518,0)+E518</f>
        <v>41588</v>
      </c>
      <c r="J518" s="104">
        <f t="shared" ref="J518:J581" si="34">DATE(YEAR(A518),MONTH(A518)+1,E518)</f>
        <v>41588</v>
      </c>
      <c r="L518" t="b">
        <f t="shared" ref="L518:L581" si="35">J518=F518</f>
        <v>1</v>
      </c>
    </row>
    <row r="519" spans="1:12" x14ac:dyDescent="0.25">
      <c r="A519" s="8">
        <v>41578</v>
      </c>
      <c r="B519" s="4">
        <v>59482</v>
      </c>
      <c r="C519" s="57">
        <v>290.08999999999997</v>
      </c>
      <c r="D519" s="4" t="str">
        <f t="shared" si="32"/>
        <v>EOM plus 15 days</v>
      </c>
      <c r="E519" s="4">
        <v>15</v>
      </c>
      <c r="F519" s="104">
        <f t="shared" si="33"/>
        <v>41593</v>
      </c>
      <c r="J519" s="104">
        <f t="shared" si="34"/>
        <v>41593</v>
      </c>
      <c r="L519" t="b">
        <f t="shared" si="35"/>
        <v>1</v>
      </c>
    </row>
    <row r="520" spans="1:12" x14ac:dyDescent="0.25">
      <c r="A520" s="8">
        <v>41578</v>
      </c>
      <c r="B520" s="4">
        <v>59483</v>
      </c>
      <c r="C520" s="57">
        <v>297.85000000000002</v>
      </c>
      <c r="D520" s="4" t="str">
        <f t="shared" si="32"/>
        <v>EOM plus 15 days</v>
      </c>
      <c r="E520" s="4">
        <v>15</v>
      </c>
      <c r="F520" s="104">
        <f t="shared" si="33"/>
        <v>41593</v>
      </c>
      <c r="J520" s="104">
        <f t="shared" si="34"/>
        <v>41593</v>
      </c>
      <c r="L520" t="b">
        <f t="shared" si="35"/>
        <v>1</v>
      </c>
    </row>
    <row r="521" spans="1:12" x14ac:dyDescent="0.25">
      <c r="A521" s="8">
        <v>41578</v>
      </c>
      <c r="B521" s="4">
        <v>59484</v>
      </c>
      <c r="C521" s="57">
        <v>331.36</v>
      </c>
      <c r="D521" s="4" t="str">
        <f t="shared" si="32"/>
        <v>EOM plus 10 days</v>
      </c>
      <c r="E521" s="4">
        <v>10</v>
      </c>
      <c r="F521" s="104">
        <f t="shared" si="33"/>
        <v>41588</v>
      </c>
      <c r="J521" s="104">
        <f t="shared" si="34"/>
        <v>41588</v>
      </c>
      <c r="L521" t="b">
        <f t="shared" si="35"/>
        <v>1</v>
      </c>
    </row>
    <row r="522" spans="1:12" x14ac:dyDescent="0.25">
      <c r="A522" s="8">
        <v>41578</v>
      </c>
      <c r="B522" s="4">
        <v>59485</v>
      </c>
      <c r="C522" s="57">
        <v>104.21</v>
      </c>
      <c r="D522" s="4" t="str">
        <f t="shared" si="32"/>
        <v>EOM plus 5 days</v>
      </c>
      <c r="E522" s="4">
        <v>5</v>
      </c>
      <c r="F522" s="104">
        <f t="shared" si="33"/>
        <v>41583</v>
      </c>
      <c r="J522" s="104">
        <f t="shared" si="34"/>
        <v>41583</v>
      </c>
      <c r="L522" t="b">
        <f t="shared" si="35"/>
        <v>1</v>
      </c>
    </row>
    <row r="523" spans="1:12" x14ac:dyDescent="0.25">
      <c r="A523" s="8">
        <v>41578</v>
      </c>
      <c r="B523" s="4">
        <v>59486</v>
      </c>
      <c r="C523" s="57">
        <v>136.32</v>
      </c>
      <c r="D523" s="4" t="str">
        <f t="shared" si="32"/>
        <v>EOM plus 15 days</v>
      </c>
      <c r="E523" s="4">
        <v>15</v>
      </c>
      <c r="F523" s="104">
        <f t="shared" si="33"/>
        <v>41593</v>
      </c>
      <c r="J523" s="104">
        <f t="shared" si="34"/>
        <v>41593</v>
      </c>
      <c r="L523" t="b">
        <f t="shared" si="35"/>
        <v>1</v>
      </c>
    </row>
    <row r="524" spans="1:12" x14ac:dyDescent="0.25">
      <c r="A524" s="8">
        <v>41578</v>
      </c>
      <c r="B524" s="4">
        <v>59487</v>
      </c>
      <c r="C524" s="57">
        <v>228.75</v>
      </c>
      <c r="D524" s="4" t="str">
        <f t="shared" si="32"/>
        <v>EOM plus 10 days</v>
      </c>
      <c r="E524" s="4">
        <v>10</v>
      </c>
      <c r="F524" s="104">
        <f t="shared" si="33"/>
        <v>41588</v>
      </c>
      <c r="J524" s="104">
        <f t="shared" si="34"/>
        <v>41588</v>
      </c>
      <c r="L524" t="b">
        <f t="shared" si="35"/>
        <v>1</v>
      </c>
    </row>
    <row r="525" spans="1:12" x14ac:dyDescent="0.25">
      <c r="A525" s="8">
        <v>41578</v>
      </c>
      <c r="B525" s="4">
        <v>59488</v>
      </c>
      <c r="C525" s="57">
        <v>370.83</v>
      </c>
      <c r="D525" s="4" t="str">
        <f t="shared" si="32"/>
        <v>EOM plus 20 days</v>
      </c>
      <c r="E525" s="4">
        <v>20</v>
      </c>
      <c r="F525" s="104">
        <f t="shared" si="33"/>
        <v>41598</v>
      </c>
      <c r="J525" s="104">
        <f t="shared" si="34"/>
        <v>41598</v>
      </c>
      <c r="L525" t="b">
        <f t="shared" si="35"/>
        <v>1</v>
      </c>
    </row>
    <row r="526" spans="1:12" x14ac:dyDescent="0.25">
      <c r="A526" s="8">
        <v>41579</v>
      </c>
      <c r="B526" s="4">
        <v>59489</v>
      </c>
      <c r="C526" s="57">
        <v>42.44</v>
      </c>
      <c r="D526" s="4" t="str">
        <f t="shared" si="32"/>
        <v>EOM plus 10 days</v>
      </c>
      <c r="E526" s="4">
        <v>10</v>
      </c>
      <c r="F526" s="104">
        <f t="shared" si="33"/>
        <v>41618</v>
      </c>
      <c r="J526" s="104">
        <f t="shared" si="34"/>
        <v>41618</v>
      </c>
      <c r="L526" t="b">
        <f t="shared" si="35"/>
        <v>1</v>
      </c>
    </row>
    <row r="527" spans="1:12" x14ac:dyDescent="0.25">
      <c r="A527" s="8">
        <v>41579</v>
      </c>
      <c r="B527" s="4">
        <v>59490</v>
      </c>
      <c r="C527" s="57">
        <v>208.22</v>
      </c>
      <c r="D527" s="4" t="str">
        <f t="shared" si="32"/>
        <v>EOM plus 5 days</v>
      </c>
      <c r="E527" s="4">
        <v>5</v>
      </c>
      <c r="F527" s="104">
        <f t="shared" si="33"/>
        <v>41613</v>
      </c>
      <c r="J527" s="104">
        <f t="shared" si="34"/>
        <v>41613</v>
      </c>
      <c r="L527" t="b">
        <f t="shared" si="35"/>
        <v>1</v>
      </c>
    </row>
    <row r="528" spans="1:12" x14ac:dyDescent="0.25">
      <c r="A528" s="8">
        <v>41579</v>
      </c>
      <c r="B528" s="4">
        <v>59491</v>
      </c>
      <c r="C528" s="57">
        <v>152.13</v>
      </c>
      <c r="D528" s="4" t="str">
        <f t="shared" si="32"/>
        <v>EOM plus 5 days</v>
      </c>
      <c r="E528" s="4">
        <v>5</v>
      </c>
      <c r="F528" s="104">
        <f t="shared" si="33"/>
        <v>41613</v>
      </c>
      <c r="J528" s="104">
        <f t="shared" si="34"/>
        <v>41613</v>
      </c>
      <c r="L528" t="b">
        <f t="shared" si="35"/>
        <v>1</v>
      </c>
    </row>
    <row r="529" spans="1:12" x14ac:dyDescent="0.25">
      <c r="A529" s="8">
        <v>41579</v>
      </c>
      <c r="B529" s="4">
        <v>59492</v>
      </c>
      <c r="C529" s="57">
        <v>35.090000000000003</v>
      </c>
      <c r="D529" s="4" t="str">
        <f t="shared" si="32"/>
        <v>EOM plus 10 days</v>
      </c>
      <c r="E529" s="4">
        <v>10</v>
      </c>
      <c r="F529" s="104">
        <f t="shared" si="33"/>
        <v>41618</v>
      </c>
      <c r="J529" s="104">
        <f t="shared" si="34"/>
        <v>41618</v>
      </c>
      <c r="L529" t="b">
        <f t="shared" si="35"/>
        <v>1</v>
      </c>
    </row>
    <row r="530" spans="1:12" x14ac:dyDescent="0.25">
      <c r="A530" s="8">
        <v>41579</v>
      </c>
      <c r="B530" s="4">
        <v>59493</v>
      </c>
      <c r="C530" s="57">
        <v>226.73</v>
      </c>
      <c r="D530" s="4" t="str">
        <f t="shared" si="32"/>
        <v>EOM plus 5 days</v>
      </c>
      <c r="E530" s="4">
        <v>5</v>
      </c>
      <c r="F530" s="104">
        <f t="shared" si="33"/>
        <v>41613</v>
      </c>
      <c r="J530" s="104">
        <f t="shared" si="34"/>
        <v>41613</v>
      </c>
      <c r="L530" t="b">
        <f t="shared" si="35"/>
        <v>1</v>
      </c>
    </row>
    <row r="531" spans="1:12" x14ac:dyDescent="0.25">
      <c r="A531" s="8">
        <v>41579</v>
      </c>
      <c r="B531" s="4">
        <v>59494</v>
      </c>
      <c r="C531" s="57">
        <v>230.33</v>
      </c>
      <c r="D531" s="4" t="str">
        <f t="shared" si="32"/>
        <v>EOM plus 5 days</v>
      </c>
      <c r="E531" s="4">
        <v>5</v>
      </c>
      <c r="F531" s="104">
        <f t="shared" si="33"/>
        <v>41613</v>
      </c>
      <c r="J531" s="104">
        <f t="shared" si="34"/>
        <v>41613</v>
      </c>
      <c r="L531" t="b">
        <f t="shared" si="35"/>
        <v>1</v>
      </c>
    </row>
    <row r="532" spans="1:12" x14ac:dyDescent="0.25">
      <c r="A532" s="8">
        <v>41579</v>
      </c>
      <c r="B532" s="4">
        <v>59495</v>
      </c>
      <c r="C532" s="57">
        <v>122.14</v>
      </c>
      <c r="D532" s="4" t="str">
        <f t="shared" si="32"/>
        <v>EOM plus 10 days</v>
      </c>
      <c r="E532" s="4">
        <v>10</v>
      </c>
      <c r="F532" s="104">
        <f t="shared" si="33"/>
        <v>41618</v>
      </c>
      <c r="J532" s="104">
        <f t="shared" si="34"/>
        <v>41618</v>
      </c>
      <c r="L532" t="b">
        <f t="shared" si="35"/>
        <v>1</v>
      </c>
    </row>
    <row r="533" spans="1:12" x14ac:dyDescent="0.25">
      <c r="A533" s="8">
        <v>41579</v>
      </c>
      <c r="B533" s="4">
        <v>59496</v>
      </c>
      <c r="C533" s="57">
        <v>375.41</v>
      </c>
      <c r="D533" s="4" t="str">
        <f t="shared" si="32"/>
        <v>EOM plus 5 days</v>
      </c>
      <c r="E533" s="4">
        <v>5</v>
      </c>
      <c r="F533" s="104">
        <f t="shared" si="33"/>
        <v>41613</v>
      </c>
      <c r="J533" s="104">
        <f t="shared" si="34"/>
        <v>41613</v>
      </c>
      <c r="L533" t="b">
        <f t="shared" si="35"/>
        <v>1</v>
      </c>
    </row>
    <row r="534" spans="1:12" x14ac:dyDescent="0.25">
      <c r="A534" s="8">
        <v>41579</v>
      </c>
      <c r="B534" s="4">
        <v>59497</v>
      </c>
      <c r="C534" s="57">
        <v>38.65</v>
      </c>
      <c r="D534" s="4" t="str">
        <f t="shared" si="32"/>
        <v>EOM plus 10 days</v>
      </c>
      <c r="E534" s="4">
        <v>10</v>
      </c>
      <c r="F534" s="104">
        <f t="shared" si="33"/>
        <v>41618</v>
      </c>
      <c r="J534" s="104">
        <f t="shared" si="34"/>
        <v>41618</v>
      </c>
      <c r="L534" t="b">
        <f t="shared" si="35"/>
        <v>1</v>
      </c>
    </row>
    <row r="535" spans="1:12" x14ac:dyDescent="0.25">
      <c r="A535" s="8">
        <v>41579</v>
      </c>
      <c r="B535" s="4">
        <v>59498</v>
      </c>
      <c r="C535" s="57">
        <v>129.86000000000001</v>
      </c>
      <c r="D535" s="4" t="str">
        <f t="shared" si="32"/>
        <v>EOM plus 5 days</v>
      </c>
      <c r="E535" s="4">
        <v>5</v>
      </c>
      <c r="F535" s="104">
        <f t="shared" si="33"/>
        <v>41613</v>
      </c>
      <c r="J535" s="104">
        <f t="shared" si="34"/>
        <v>41613</v>
      </c>
      <c r="L535" t="b">
        <f t="shared" si="35"/>
        <v>1</v>
      </c>
    </row>
    <row r="536" spans="1:12" x14ac:dyDescent="0.25">
      <c r="A536" s="8">
        <v>41579</v>
      </c>
      <c r="B536" s="4">
        <v>59499</v>
      </c>
      <c r="C536" s="57">
        <v>306.52</v>
      </c>
      <c r="D536" s="4" t="str">
        <f t="shared" si="32"/>
        <v>EOM plus 10 days</v>
      </c>
      <c r="E536" s="4">
        <v>10</v>
      </c>
      <c r="F536" s="104">
        <f t="shared" si="33"/>
        <v>41618</v>
      </c>
      <c r="J536" s="104">
        <f t="shared" si="34"/>
        <v>41618</v>
      </c>
      <c r="L536" t="b">
        <f t="shared" si="35"/>
        <v>1</v>
      </c>
    </row>
    <row r="537" spans="1:12" x14ac:dyDescent="0.25">
      <c r="A537" s="8">
        <v>41579</v>
      </c>
      <c r="B537" s="4">
        <v>59500</v>
      </c>
      <c r="C537" s="57">
        <v>264.52</v>
      </c>
      <c r="D537" s="4" t="str">
        <f t="shared" si="32"/>
        <v>EOM plus 15 days</v>
      </c>
      <c r="E537" s="4">
        <v>15</v>
      </c>
      <c r="F537" s="104">
        <f t="shared" si="33"/>
        <v>41623</v>
      </c>
      <c r="J537" s="104">
        <f t="shared" si="34"/>
        <v>41623</v>
      </c>
      <c r="L537" t="b">
        <f t="shared" si="35"/>
        <v>1</v>
      </c>
    </row>
    <row r="538" spans="1:12" x14ac:dyDescent="0.25">
      <c r="A538" s="8">
        <v>41579</v>
      </c>
      <c r="B538" s="4">
        <v>59501</v>
      </c>
      <c r="C538" s="57">
        <v>144.53</v>
      </c>
      <c r="D538" s="4" t="str">
        <f t="shared" si="32"/>
        <v>EOM plus 5 days</v>
      </c>
      <c r="E538" s="4">
        <v>5</v>
      </c>
      <c r="F538" s="104">
        <f t="shared" si="33"/>
        <v>41613</v>
      </c>
      <c r="J538" s="104">
        <f t="shared" si="34"/>
        <v>41613</v>
      </c>
      <c r="L538" t="b">
        <f t="shared" si="35"/>
        <v>1</v>
      </c>
    </row>
    <row r="539" spans="1:12" x14ac:dyDescent="0.25">
      <c r="A539" s="8">
        <v>41579</v>
      </c>
      <c r="B539" s="4">
        <v>59502</v>
      </c>
      <c r="C539" s="57">
        <v>198.64</v>
      </c>
      <c r="D539" s="4" t="str">
        <f t="shared" si="32"/>
        <v>EOM plus 5 days</v>
      </c>
      <c r="E539" s="4">
        <v>5</v>
      </c>
      <c r="F539" s="104">
        <f t="shared" si="33"/>
        <v>41613</v>
      </c>
      <c r="J539" s="104">
        <f t="shared" si="34"/>
        <v>41613</v>
      </c>
      <c r="L539" t="b">
        <f t="shared" si="35"/>
        <v>1</v>
      </c>
    </row>
    <row r="540" spans="1:12" x14ac:dyDescent="0.25">
      <c r="A540" s="8">
        <v>41579</v>
      </c>
      <c r="B540" s="4">
        <v>59503</v>
      </c>
      <c r="C540" s="57">
        <v>298.51</v>
      </c>
      <c r="D540" s="4" t="str">
        <f t="shared" si="32"/>
        <v>EOM plus 5 days</v>
      </c>
      <c r="E540" s="4">
        <v>5</v>
      </c>
      <c r="F540" s="104">
        <f t="shared" si="33"/>
        <v>41613</v>
      </c>
      <c r="J540" s="104">
        <f t="shared" si="34"/>
        <v>41613</v>
      </c>
      <c r="L540" t="b">
        <f t="shared" si="35"/>
        <v>1</v>
      </c>
    </row>
    <row r="541" spans="1:12" x14ac:dyDescent="0.25">
      <c r="A541" s="8">
        <v>41579</v>
      </c>
      <c r="B541" s="4">
        <v>59504</v>
      </c>
      <c r="C541" s="57">
        <v>314.27999999999997</v>
      </c>
      <c r="D541" s="4" t="str">
        <f t="shared" si="32"/>
        <v>EOM plus 10 days</v>
      </c>
      <c r="E541" s="4">
        <v>10</v>
      </c>
      <c r="F541" s="104">
        <f t="shared" si="33"/>
        <v>41618</v>
      </c>
      <c r="J541" s="104">
        <f t="shared" si="34"/>
        <v>41618</v>
      </c>
      <c r="L541" t="b">
        <f t="shared" si="35"/>
        <v>1</v>
      </c>
    </row>
    <row r="542" spans="1:12" x14ac:dyDescent="0.25">
      <c r="A542" s="8">
        <v>41579</v>
      </c>
      <c r="B542" s="4">
        <v>59505</v>
      </c>
      <c r="C542" s="57">
        <v>234.39</v>
      </c>
      <c r="D542" s="4" t="str">
        <f t="shared" si="32"/>
        <v>EOM plus 10 days</v>
      </c>
      <c r="E542" s="4">
        <v>10</v>
      </c>
      <c r="F542" s="104">
        <f t="shared" si="33"/>
        <v>41618</v>
      </c>
      <c r="J542" s="104">
        <f t="shared" si="34"/>
        <v>41618</v>
      </c>
      <c r="L542" t="b">
        <f t="shared" si="35"/>
        <v>1</v>
      </c>
    </row>
    <row r="543" spans="1:12" x14ac:dyDescent="0.25">
      <c r="A543" s="8">
        <v>41579</v>
      </c>
      <c r="B543" s="4">
        <v>59506</v>
      </c>
      <c r="C543" s="57">
        <v>250.87</v>
      </c>
      <c r="D543" s="4" t="str">
        <f t="shared" si="32"/>
        <v>EOM plus 10 days</v>
      </c>
      <c r="E543" s="4">
        <v>10</v>
      </c>
      <c r="F543" s="104">
        <f t="shared" si="33"/>
        <v>41618</v>
      </c>
      <c r="J543" s="104">
        <f t="shared" si="34"/>
        <v>41618</v>
      </c>
      <c r="L543" t="b">
        <f t="shared" si="35"/>
        <v>1</v>
      </c>
    </row>
    <row r="544" spans="1:12" x14ac:dyDescent="0.25">
      <c r="A544" s="8">
        <v>41580</v>
      </c>
      <c r="B544" s="4">
        <v>59507</v>
      </c>
      <c r="C544" s="57">
        <v>198.9</v>
      </c>
      <c r="D544" s="4" t="str">
        <f t="shared" si="32"/>
        <v>EOM plus 15 days</v>
      </c>
      <c r="E544" s="4">
        <v>15</v>
      </c>
      <c r="F544" s="104">
        <f t="shared" si="33"/>
        <v>41623</v>
      </c>
      <c r="J544" s="104">
        <f t="shared" si="34"/>
        <v>41623</v>
      </c>
      <c r="L544" t="b">
        <f t="shared" si="35"/>
        <v>1</v>
      </c>
    </row>
    <row r="545" spans="1:12" x14ac:dyDescent="0.25">
      <c r="A545" s="8">
        <v>41580</v>
      </c>
      <c r="B545" s="4">
        <v>59508</v>
      </c>
      <c r="C545" s="57">
        <v>197.89</v>
      </c>
      <c r="D545" s="4" t="str">
        <f t="shared" si="32"/>
        <v>EOM plus 10 days</v>
      </c>
      <c r="E545" s="4">
        <v>10</v>
      </c>
      <c r="F545" s="104">
        <f t="shared" si="33"/>
        <v>41618</v>
      </c>
      <c r="J545" s="104">
        <f t="shared" si="34"/>
        <v>41618</v>
      </c>
      <c r="L545" t="b">
        <f t="shared" si="35"/>
        <v>1</v>
      </c>
    </row>
    <row r="546" spans="1:12" x14ac:dyDescent="0.25">
      <c r="A546" s="8">
        <v>41580</v>
      </c>
      <c r="B546" s="4">
        <v>59509</v>
      </c>
      <c r="C546" s="57">
        <v>269.07</v>
      </c>
      <c r="D546" s="4" t="str">
        <f t="shared" si="32"/>
        <v>EOM plus 10 days</v>
      </c>
      <c r="E546" s="4">
        <v>10</v>
      </c>
      <c r="F546" s="104">
        <f t="shared" si="33"/>
        <v>41618</v>
      </c>
      <c r="J546" s="104">
        <f t="shared" si="34"/>
        <v>41618</v>
      </c>
      <c r="L546" t="b">
        <f t="shared" si="35"/>
        <v>1</v>
      </c>
    </row>
    <row r="547" spans="1:12" x14ac:dyDescent="0.25">
      <c r="A547" s="8">
        <v>41580</v>
      </c>
      <c r="B547" s="4">
        <v>59510</v>
      </c>
      <c r="C547" s="57">
        <v>323.58999999999997</v>
      </c>
      <c r="D547" s="4" t="str">
        <f t="shared" si="32"/>
        <v>EOM plus 5 days</v>
      </c>
      <c r="E547" s="4">
        <v>5</v>
      </c>
      <c r="F547" s="104">
        <f t="shared" si="33"/>
        <v>41613</v>
      </c>
      <c r="J547" s="104">
        <f t="shared" si="34"/>
        <v>41613</v>
      </c>
      <c r="L547" t="b">
        <f t="shared" si="35"/>
        <v>1</v>
      </c>
    </row>
    <row r="548" spans="1:12" x14ac:dyDescent="0.25">
      <c r="A548" s="8">
        <v>41580</v>
      </c>
      <c r="B548" s="4">
        <v>59511</v>
      </c>
      <c r="C548" s="57">
        <v>330.16</v>
      </c>
      <c r="D548" s="4" t="str">
        <f t="shared" si="32"/>
        <v>EOM plus 10 days</v>
      </c>
      <c r="E548" s="4">
        <v>10</v>
      </c>
      <c r="F548" s="104">
        <f t="shared" si="33"/>
        <v>41618</v>
      </c>
      <c r="J548" s="104">
        <f t="shared" si="34"/>
        <v>41618</v>
      </c>
      <c r="L548" t="b">
        <f t="shared" si="35"/>
        <v>1</v>
      </c>
    </row>
    <row r="549" spans="1:12" x14ac:dyDescent="0.25">
      <c r="A549" s="8">
        <v>41580</v>
      </c>
      <c r="B549" s="4">
        <v>59512</v>
      </c>
      <c r="C549" s="57">
        <v>306.01</v>
      </c>
      <c r="D549" s="4" t="str">
        <f t="shared" si="32"/>
        <v>EOM plus 10 days</v>
      </c>
      <c r="E549" s="4">
        <v>10</v>
      </c>
      <c r="F549" s="104">
        <f t="shared" si="33"/>
        <v>41618</v>
      </c>
      <c r="J549" s="104">
        <f t="shared" si="34"/>
        <v>41618</v>
      </c>
      <c r="L549" t="b">
        <f t="shared" si="35"/>
        <v>1</v>
      </c>
    </row>
    <row r="550" spans="1:12" x14ac:dyDescent="0.25">
      <c r="A550" s="8">
        <v>41580</v>
      </c>
      <c r="B550" s="4">
        <v>59513</v>
      </c>
      <c r="C550" s="57">
        <v>159.76</v>
      </c>
      <c r="D550" s="4" t="str">
        <f t="shared" si="32"/>
        <v>EOM plus 5 days</v>
      </c>
      <c r="E550" s="4">
        <v>5</v>
      </c>
      <c r="F550" s="104">
        <f t="shared" si="33"/>
        <v>41613</v>
      </c>
      <c r="J550" s="104">
        <f t="shared" si="34"/>
        <v>41613</v>
      </c>
      <c r="L550" t="b">
        <f t="shared" si="35"/>
        <v>1</v>
      </c>
    </row>
    <row r="551" spans="1:12" x14ac:dyDescent="0.25">
      <c r="A551" s="8">
        <v>41580</v>
      </c>
      <c r="B551" s="4">
        <v>59514</v>
      </c>
      <c r="C551" s="57">
        <v>56.38</v>
      </c>
      <c r="D551" s="4" t="str">
        <f t="shared" si="32"/>
        <v>EOM plus 10 days</v>
      </c>
      <c r="E551" s="4">
        <v>10</v>
      </c>
      <c r="F551" s="104">
        <f t="shared" si="33"/>
        <v>41618</v>
      </c>
      <c r="J551" s="104">
        <f t="shared" si="34"/>
        <v>41618</v>
      </c>
      <c r="L551" t="b">
        <f t="shared" si="35"/>
        <v>1</v>
      </c>
    </row>
    <row r="552" spans="1:12" x14ac:dyDescent="0.25">
      <c r="A552" s="8">
        <v>41580</v>
      </c>
      <c r="B552" s="4">
        <v>59515</v>
      </c>
      <c r="C552" s="57">
        <v>257.33</v>
      </c>
      <c r="D552" s="4" t="str">
        <f t="shared" si="32"/>
        <v>EOM plus 20 days</v>
      </c>
      <c r="E552" s="4">
        <v>20</v>
      </c>
      <c r="F552" s="104">
        <f t="shared" si="33"/>
        <v>41628</v>
      </c>
      <c r="J552" s="104">
        <f t="shared" si="34"/>
        <v>41628</v>
      </c>
      <c r="L552" t="b">
        <f t="shared" si="35"/>
        <v>1</v>
      </c>
    </row>
    <row r="553" spans="1:12" x14ac:dyDescent="0.25">
      <c r="A553" s="8">
        <v>41580</v>
      </c>
      <c r="B553" s="4">
        <v>59516</v>
      </c>
      <c r="C553" s="57">
        <v>225.88</v>
      </c>
      <c r="D553" s="4" t="str">
        <f t="shared" si="32"/>
        <v>EOM plus 5 days</v>
      </c>
      <c r="E553" s="4">
        <v>5</v>
      </c>
      <c r="F553" s="104">
        <f t="shared" si="33"/>
        <v>41613</v>
      </c>
      <c r="J553" s="104">
        <f t="shared" si="34"/>
        <v>41613</v>
      </c>
      <c r="L553" t="b">
        <f t="shared" si="35"/>
        <v>1</v>
      </c>
    </row>
    <row r="554" spans="1:12" x14ac:dyDescent="0.25">
      <c r="A554" s="8">
        <v>41580</v>
      </c>
      <c r="B554" s="4">
        <v>59517</v>
      </c>
      <c r="C554" s="57">
        <v>252.19</v>
      </c>
      <c r="D554" s="4" t="str">
        <f t="shared" si="32"/>
        <v>EOM plus 15 days</v>
      </c>
      <c r="E554" s="4">
        <v>15</v>
      </c>
      <c r="F554" s="104">
        <f t="shared" si="33"/>
        <v>41623</v>
      </c>
      <c r="J554" s="104">
        <f t="shared" si="34"/>
        <v>41623</v>
      </c>
      <c r="L554" t="b">
        <f t="shared" si="35"/>
        <v>1</v>
      </c>
    </row>
    <row r="555" spans="1:12" x14ac:dyDescent="0.25">
      <c r="A555" s="8">
        <v>41580</v>
      </c>
      <c r="B555" s="4">
        <v>59518</v>
      </c>
      <c r="C555" s="57">
        <v>207.84</v>
      </c>
      <c r="D555" s="4" t="str">
        <f t="shared" si="32"/>
        <v>EOM plus 15 days</v>
      </c>
      <c r="E555" s="4">
        <v>15</v>
      </c>
      <c r="F555" s="104">
        <f t="shared" si="33"/>
        <v>41623</v>
      </c>
      <c r="J555" s="104">
        <f t="shared" si="34"/>
        <v>41623</v>
      </c>
      <c r="L555" t="b">
        <f t="shared" si="35"/>
        <v>1</v>
      </c>
    </row>
    <row r="556" spans="1:12" x14ac:dyDescent="0.25">
      <c r="A556" s="8">
        <v>41580</v>
      </c>
      <c r="B556" s="4">
        <v>59519</v>
      </c>
      <c r="C556" s="57">
        <v>361.07</v>
      </c>
      <c r="D556" s="4" t="str">
        <f t="shared" si="32"/>
        <v>EOM plus 10 days</v>
      </c>
      <c r="E556" s="4">
        <v>10</v>
      </c>
      <c r="F556" s="104">
        <f t="shared" si="33"/>
        <v>41618</v>
      </c>
      <c r="J556" s="104">
        <f t="shared" si="34"/>
        <v>41618</v>
      </c>
      <c r="L556" t="b">
        <f t="shared" si="35"/>
        <v>1</v>
      </c>
    </row>
    <row r="557" spans="1:12" x14ac:dyDescent="0.25">
      <c r="A557" s="8">
        <v>41580</v>
      </c>
      <c r="B557" s="4">
        <v>59520</v>
      </c>
      <c r="C557" s="57">
        <v>125.04</v>
      </c>
      <c r="D557" s="4" t="str">
        <f t="shared" si="32"/>
        <v>EOM plus 15 days</v>
      </c>
      <c r="E557" s="4">
        <v>15</v>
      </c>
      <c r="F557" s="104">
        <f t="shared" si="33"/>
        <v>41623</v>
      </c>
      <c r="J557" s="104">
        <f t="shared" si="34"/>
        <v>41623</v>
      </c>
      <c r="L557" t="b">
        <f t="shared" si="35"/>
        <v>1</v>
      </c>
    </row>
    <row r="558" spans="1:12" x14ac:dyDescent="0.25">
      <c r="A558" s="8">
        <v>41580</v>
      </c>
      <c r="B558" s="4">
        <v>59521</v>
      </c>
      <c r="C558" s="57">
        <v>302.86</v>
      </c>
      <c r="D558" s="4" t="str">
        <f t="shared" si="32"/>
        <v>EOM plus 10 days</v>
      </c>
      <c r="E558" s="4">
        <v>10</v>
      </c>
      <c r="F558" s="104">
        <f t="shared" si="33"/>
        <v>41618</v>
      </c>
      <c r="J558" s="104">
        <f t="shared" si="34"/>
        <v>41618</v>
      </c>
      <c r="L558" t="b">
        <f t="shared" si="35"/>
        <v>1</v>
      </c>
    </row>
    <row r="559" spans="1:12" x14ac:dyDescent="0.25">
      <c r="A559" s="8">
        <v>41580</v>
      </c>
      <c r="B559" s="4">
        <v>59522</v>
      </c>
      <c r="C559" s="57">
        <v>113.55</v>
      </c>
      <c r="D559" s="4" t="str">
        <f t="shared" si="32"/>
        <v>EOM plus 5 days</v>
      </c>
      <c r="E559" s="4">
        <v>5</v>
      </c>
      <c r="F559" s="104">
        <f t="shared" si="33"/>
        <v>41613</v>
      </c>
      <c r="J559" s="104">
        <f t="shared" si="34"/>
        <v>41613</v>
      </c>
      <c r="L559" t="b">
        <f t="shared" si="35"/>
        <v>1</v>
      </c>
    </row>
    <row r="560" spans="1:12" x14ac:dyDescent="0.25">
      <c r="A560" s="8">
        <v>41580</v>
      </c>
      <c r="B560" s="4">
        <v>59523</v>
      </c>
      <c r="C560" s="57">
        <v>205.97</v>
      </c>
      <c r="D560" s="4" t="str">
        <f t="shared" si="32"/>
        <v>EOM plus 5 days</v>
      </c>
      <c r="E560" s="4">
        <v>5</v>
      </c>
      <c r="F560" s="104">
        <f t="shared" si="33"/>
        <v>41613</v>
      </c>
      <c r="J560" s="104">
        <f t="shared" si="34"/>
        <v>41613</v>
      </c>
      <c r="L560" t="b">
        <f t="shared" si="35"/>
        <v>1</v>
      </c>
    </row>
    <row r="561" spans="1:12" x14ac:dyDescent="0.25">
      <c r="A561" s="8">
        <v>41580</v>
      </c>
      <c r="B561" s="4">
        <v>59524</v>
      </c>
      <c r="C561" s="57">
        <v>313.77</v>
      </c>
      <c r="D561" s="4" t="str">
        <f t="shared" si="32"/>
        <v>EOM plus 10 days</v>
      </c>
      <c r="E561" s="4">
        <v>10</v>
      </c>
      <c r="F561" s="104">
        <f t="shared" si="33"/>
        <v>41618</v>
      </c>
      <c r="J561" s="104">
        <f t="shared" si="34"/>
        <v>41618</v>
      </c>
      <c r="L561" t="b">
        <f t="shared" si="35"/>
        <v>1</v>
      </c>
    </row>
    <row r="562" spans="1:12" x14ac:dyDescent="0.25">
      <c r="A562" s="8">
        <v>41580</v>
      </c>
      <c r="B562" s="4">
        <v>59525</v>
      </c>
      <c r="C562" s="57">
        <v>131.78</v>
      </c>
      <c r="D562" s="4" t="str">
        <f t="shared" si="32"/>
        <v>EOM plus 10 days</v>
      </c>
      <c r="E562" s="4">
        <v>10</v>
      </c>
      <c r="F562" s="104">
        <f t="shared" si="33"/>
        <v>41618</v>
      </c>
      <c r="J562" s="104">
        <f t="shared" si="34"/>
        <v>41618</v>
      </c>
      <c r="L562" t="b">
        <f t="shared" si="35"/>
        <v>1</v>
      </c>
    </row>
    <row r="563" spans="1:12" x14ac:dyDescent="0.25">
      <c r="A563" s="8">
        <v>41580</v>
      </c>
      <c r="B563" s="4">
        <v>59526</v>
      </c>
      <c r="C563" s="57">
        <v>128.65</v>
      </c>
      <c r="D563" s="4" t="str">
        <f t="shared" si="32"/>
        <v>EOM plus 20 days</v>
      </c>
      <c r="E563" s="4">
        <v>20</v>
      </c>
      <c r="F563" s="104">
        <f t="shared" si="33"/>
        <v>41628</v>
      </c>
      <c r="J563" s="104">
        <f t="shared" si="34"/>
        <v>41628</v>
      </c>
      <c r="L563" t="b">
        <f t="shared" si="35"/>
        <v>1</v>
      </c>
    </row>
    <row r="564" spans="1:12" x14ac:dyDescent="0.25">
      <c r="A564" s="8">
        <v>41580</v>
      </c>
      <c r="B564" s="4">
        <v>59527</v>
      </c>
      <c r="C564" s="57">
        <v>286.83</v>
      </c>
      <c r="D564" s="4" t="str">
        <f t="shared" si="32"/>
        <v>EOM plus 10 days</v>
      </c>
      <c r="E564" s="4">
        <v>10</v>
      </c>
      <c r="F564" s="104">
        <f t="shared" si="33"/>
        <v>41618</v>
      </c>
      <c r="J564" s="104">
        <f t="shared" si="34"/>
        <v>41618</v>
      </c>
      <c r="L564" t="b">
        <f t="shared" si="35"/>
        <v>1</v>
      </c>
    </row>
    <row r="565" spans="1:12" x14ac:dyDescent="0.25">
      <c r="A565" s="8">
        <v>41581</v>
      </c>
      <c r="B565" s="4">
        <v>59528</v>
      </c>
      <c r="C565" s="57">
        <v>184.58</v>
      </c>
      <c r="D565" s="4" t="str">
        <f t="shared" si="32"/>
        <v>EOM plus 20 days</v>
      </c>
      <c r="E565" s="4">
        <v>20</v>
      </c>
      <c r="F565" s="104">
        <f t="shared" si="33"/>
        <v>41628</v>
      </c>
      <c r="J565" s="104">
        <f t="shared" si="34"/>
        <v>41628</v>
      </c>
      <c r="L565" t="b">
        <f t="shared" si="35"/>
        <v>1</v>
      </c>
    </row>
    <row r="566" spans="1:12" x14ac:dyDescent="0.25">
      <c r="A566" s="8">
        <v>41581</v>
      </c>
      <c r="B566" s="4">
        <v>59529</v>
      </c>
      <c r="C566" s="57">
        <v>191.32</v>
      </c>
      <c r="D566" s="4" t="str">
        <f t="shared" si="32"/>
        <v>EOM plus 5 days</v>
      </c>
      <c r="E566" s="4">
        <v>5</v>
      </c>
      <c r="F566" s="104">
        <f t="shared" si="33"/>
        <v>41613</v>
      </c>
      <c r="J566" s="104">
        <f t="shared" si="34"/>
        <v>41613</v>
      </c>
      <c r="L566" t="b">
        <f t="shared" si="35"/>
        <v>1</v>
      </c>
    </row>
    <row r="567" spans="1:12" x14ac:dyDescent="0.25">
      <c r="A567" s="8">
        <v>41581</v>
      </c>
      <c r="B567" s="4">
        <v>59530</v>
      </c>
      <c r="C567" s="57">
        <v>239.69</v>
      </c>
      <c r="D567" s="4" t="str">
        <f t="shared" si="32"/>
        <v>EOM plus 10 days</v>
      </c>
      <c r="E567" s="4">
        <v>10</v>
      </c>
      <c r="F567" s="104">
        <f t="shared" si="33"/>
        <v>41618</v>
      </c>
      <c r="J567" s="104">
        <f t="shared" si="34"/>
        <v>41618</v>
      </c>
      <c r="L567" t="b">
        <f t="shared" si="35"/>
        <v>1</v>
      </c>
    </row>
    <row r="568" spans="1:12" x14ac:dyDescent="0.25">
      <c r="A568" s="8">
        <v>41581</v>
      </c>
      <c r="B568" s="4">
        <v>59531</v>
      </c>
      <c r="C568" s="57">
        <v>174.84</v>
      </c>
      <c r="D568" s="4" t="str">
        <f t="shared" si="32"/>
        <v>EOM plus 5 days</v>
      </c>
      <c r="E568" s="4">
        <v>5</v>
      </c>
      <c r="F568" s="104">
        <f t="shared" si="33"/>
        <v>41613</v>
      </c>
      <c r="J568" s="104">
        <f t="shared" si="34"/>
        <v>41613</v>
      </c>
      <c r="L568" t="b">
        <f t="shared" si="35"/>
        <v>1</v>
      </c>
    </row>
    <row r="569" spans="1:12" x14ac:dyDescent="0.25">
      <c r="A569" s="8">
        <v>41581</v>
      </c>
      <c r="B569" s="4">
        <v>59532</v>
      </c>
      <c r="C569" s="57">
        <v>229.17</v>
      </c>
      <c r="D569" s="4" t="str">
        <f t="shared" si="32"/>
        <v>EOM plus 10 days</v>
      </c>
      <c r="E569" s="4">
        <v>10</v>
      </c>
      <c r="F569" s="104">
        <f t="shared" si="33"/>
        <v>41618</v>
      </c>
      <c r="J569" s="104">
        <f t="shared" si="34"/>
        <v>41618</v>
      </c>
      <c r="L569" t="b">
        <f t="shared" si="35"/>
        <v>1</v>
      </c>
    </row>
    <row r="570" spans="1:12" x14ac:dyDescent="0.25">
      <c r="A570" s="8">
        <v>41581</v>
      </c>
      <c r="B570" s="4">
        <v>59533</v>
      </c>
      <c r="C570" s="57">
        <v>271.29000000000002</v>
      </c>
      <c r="D570" s="4" t="str">
        <f t="shared" si="32"/>
        <v>EOM plus 5 days</v>
      </c>
      <c r="E570" s="4">
        <v>5</v>
      </c>
      <c r="F570" s="104">
        <f t="shared" si="33"/>
        <v>41613</v>
      </c>
      <c r="J570" s="104">
        <f t="shared" si="34"/>
        <v>41613</v>
      </c>
      <c r="L570" t="b">
        <f t="shared" si="35"/>
        <v>1</v>
      </c>
    </row>
    <row r="571" spans="1:12" x14ac:dyDescent="0.25">
      <c r="A571" s="8">
        <v>41581</v>
      </c>
      <c r="B571" s="4">
        <v>59534</v>
      </c>
      <c r="C571" s="57">
        <v>88.86</v>
      </c>
      <c r="D571" s="4" t="str">
        <f t="shared" si="32"/>
        <v>EOM plus 10 days</v>
      </c>
      <c r="E571" s="4">
        <v>10</v>
      </c>
      <c r="F571" s="104">
        <f t="shared" si="33"/>
        <v>41618</v>
      </c>
      <c r="J571" s="104">
        <f t="shared" si="34"/>
        <v>41618</v>
      </c>
      <c r="L571" t="b">
        <f t="shared" si="35"/>
        <v>1</v>
      </c>
    </row>
    <row r="572" spans="1:12" x14ac:dyDescent="0.25">
      <c r="A572" s="8">
        <v>41581</v>
      </c>
      <c r="B572" s="4">
        <v>59535</v>
      </c>
      <c r="C572" s="57">
        <v>99.75</v>
      </c>
      <c r="D572" s="4" t="str">
        <f t="shared" si="32"/>
        <v>EOM plus 10 days</v>
      </c>
      <c r="E572" s="4">
        <v>10</v>
      </c>
      <c r="F572" s="104">
        <f t="shared" si="33"/>
        <v>41618</v>
      </c>
      <c r="J572" s="104">
        <f t="shared" si="34"/>
        <v>41618</v>
      </c>
      <c r="L572" t="b">
        <f t="shared" si="35"/>
        <v>1</v>
      </c>
    </row>
    <row r="573" spans="1:12" x14ac:dyDescent="0.25">
      <c r="A573" s="8">
        <v>41581</v>
      </c>
      <c r="B573" s="4">
        <v>59536</v>
      </c>
      <c r="C573" s="57">
        <v>57.05</v>
      </c>
      <c r="D573" s="4" t="str">
        <f t="shared" si="32"/>
        <v>EOM plus 5 days</v>
      </c>
      <c r="E573" s="4">
        <v>5</v>
      </c>
      <c r="F573" s="104">
        <f t="shared" si="33"/>
        <v>41613</v>
      </c>
      <c r="J573" s="104">
        <f t="shared" si="34"/>
        <v>41613</v>
      </c>
      <c r="L573" t="b">
        <f t="shared" si="35"/>
        <v>1</v>
      </c>
    </row>
    <row r="574" spans="1:12" x14ac:dyDescent="0.25">
      <c r="A574" s="8">
        <v>41581</v>
      </c>
      <c r="B574" s="4">
        <v>59537</v>
      </c>
      <c r="C574" s="57">
        <v>370.57</v>
      </c>
      <c r="D574" s="4" t="str">
        <f t="shared" si="32"/>
        <v>EOM plus 5 days</v>
      </c>
      <c r="E574" s="4">
        <v>5</v>
      </c>
      <c r="F574" s="104">
        <f t="shared" si="33"/>
        <v>41613</v>
      </c>
      <c r="J574" s="104">
        <f t="shared" si="34"/>
        <v>41613</v>
      </c>
      <c r="L574" t="b">
        <f t="shared" si="35"/>
        <v>1</v>
      </c>
    </row>
    <row r="575" spans="1:12" x14ac:dyDescent="0.25">
      <c r="A575" s="8">
        <v>41581</v>
      </c>
      <c r="B575" s="4">
        <v>59538</v>
      </c>
      <c r="C575" s="57">
        <v>65.66</v>
      </c>
      <c r="D575" s="4" t="str">
        <f t="shared" si="32"/>
        <v>EOM plus 20 days</v>
      </c>
      <c r="E575" s="4">
        <v>20</v>
      </c>
      <c r="F575" s="104">
        <f t="shared" si="33"/>
        <v>41628</v>
      </c>
      <c r="J575" s="104">
        <f t="shared" si="34"/>
        <v>41628</v>
      </c>
      <c r="L575" t="b">
        <f t="shared" si="35"/>
        <v>1</v>
      </c>
    </row>
    <row r="576" spans="1:12" x14ac:dyDescent="0.25">
      <c r="A576" s="8">
        <v>41581</v>
      </c>
      <c r="B576" s="4">
        <v>59539</v>
      </c>
      <c r="C576" s="57">
        <v>86.83</v>
      </c>
      <c r="D576" s="4" t="str">
        <f t="shared" si="32"/>
        <v>EOM plus 10 days</v>
      </c>
      <c r="E576" s="4">
        <v>10</v>
      </c>
      <c r="F576" s="104">
        <f t="shared" si="33"/>
        <v>41618</v>
      </c>
      <c r="J576" s="104">
        <f t="shared" si="34"/>
        <v>41618</v>
      </c>
      <c r="L576" t="b">
        <f t="shared" si="35"/>
        <v>1</v>
      </c>
    </row>
    <row r="577" spans="1:12" x14ac:dyDescent="0.25">
      <c r="A577" s="8">
        <v>41581</v>
      </c>
      <c r="B577" s="4">
        <v>59540</v>
      </c>
      <c r="C577" s="57">
        <v>268.2</v>
      </c>
      <c r="D577" s="4" t="str">
        <f t="shared" si="32"/>
        <v>EOM plus 5 days</v>
      </c>
      <c r="E577" s="4">
        <v>5</v>
      </c>
      <c r="F577" s="104">
        <f t="shared" si="33"/>
        <v>41613</v>
      </c>
      <c r="J577" s="104">
        <f t="shared" si="34"/>
        <v>41613</v>
      </c>
      <c r="L577" t="b">
        <f t="shared" si="35"/>
        <v>1</v>
      </c>
    </row>
    <row r="578" spans="1:12" x14ac:dyDescent="0.25">
      <c r="A578" s="8">
        <v>41581</v>
      </c>
      <c r="B578" s="4">
        <v>59541</v>
      </c>
      <c r="C578" s="57">
        <v>256.89999999999998</v>
      </c>
      <c r="D578" s="4" t="str">
        <f t="shared" si="32"/>
        <v>EOM plus 20 days</v>
      </c>
      <c r="E578" s="4">
        <v>20</v>
      </c>
      <c r="F578" s="104">
        <f t="shared" si="33"/>
        <v>41628</v>
      </c>
      <c r="J578" s="104">
        <f t="shared" si="34"/>
        <v>41628</v>
      </c>
      <c r="L578" t="b">
        <f t="shared" si="35"/>
        <v>1</v>
      </c>
    </row>
    <row r="579" spans="1:12" x14ac:dyDescent="0.25">
      <c r="A579" s="8">
        <v>41581</v>
      </c>
      <c r="B579" s="4">
        <v>59542</v>
      </c>
      <c r="C579" s="57">
        <v>104.25</v>
      </c>
      <c r="D579" s="4" t="str">
        <f t="shared" si="32"/>
        <v>EOM plus 10 days</v>
      </c>
      <c r="E579" s="4">
        <v>10</v>
      </c>
      <c r="F579" s="104">
        <f t="shared" si="33"/>
        <v>41618</v>
      </c>
      <c r="J579" s="104">
        <f t="shared" si="34"/>
        <v>41618</v>
      </c>
      <c r="L579" t="b">
        <f t="shared" si="35"/>
        <v>1</v>
      </c>
    </row>
    <row r="580" spans="1:12" x14ac:dyDescent="0.25">
      <c r="A580" s="8">
        <v>41581</v>
      </c>
      <c r="B580" s="4">
        <v>59543</v>
      </c>
      <c r="C580" s="57">
        <v>154.52000000000001</v>
      </c>
      <c r="D580" s="4" t="str">
        <f t="shared" si="32"/>
        <v>EOM plus 10 days</v>
      </c>
      <c r="E580" s="4">
        <v>10</v>
      </c>
      <c r="F580" s="104">
        <f t="shared" si="33"/>
        <v>41618</v>
      </c>
      <c r="J580" s="104">
        <f t="shared" si="34"/>
        <v>41618</v>
      </c>
      <c r="L580" t="b">
        <f t="shared" si="35"/>
        <v>1</v>
      </c>
    </row>
    <row r="581" spans="1:12" x14ac:dyDescent="0.25">
      <c r="A581" s="8">
        <v>41581</v>
      </c>
      <c r="B581" s="4">
        <v>59544</v>
      </c>
      <c r="C581" s="57">
        <v>308.67</v>
      </c>
      <c r="D581" s="4" t="str">
        <f t="shared" ref="D581:D644" si="36">"EOM plus "&amp;E581&amp;" days"</f>
        <v>EOM plus 20 days</v>
      </c>
      <c r="E581" s="4">
        <v>20</v>
      </c>
      <c r="F581" s="104">
        <f t="shared" si="33"/>
        <v>41628</v>
      </c>
      <c r="J581" s="104">
        <f t="shared" si="34"/>
        <v>41628</v>
      </c>
      <c r="L581" t="b">
        <f t="shared" si="35"/>
        <v>1</v>
      </c>
    </row>
    <row r="582" spans="1:12" x14ac:dyDescent="0.25">
      <c r="A582" s="8">
        <v>41581</v>
      </c>
      <c r="B582" s="4">
        <v>59545</v>
      </c>
      <c r="C582" s="57">
        <v>132.1</v>
      </c>
      <c r="D582" s="4" t="str">
        <f t="shared" si="36"/>
        <v>EOM plus 10 days</v>
      </c>
      <c r="E582" s="4">
        <v>10</v>
      </c>
      <c r="F582" s="104">
        <f t="shared" ref="F582:F645" si="37">EOMONTH(A582,0)+E582</f>
        <v>41618</v>
      </c>
      <c r="J582" s="104">
        <f t="shared" ref="J582:J645" si="38">DATE(YEAR(A582),MONTH(A582)+1,E582)</f>
        <v>41618</v>
      </c>
      <c r="L582" t="b">
        <f t="shared" ref="L582:L645" si="39">J582=F582</f>
        <v>1</v>
      </c>
    </row>
    <row r="583" spans="1:12" x14ac:dyDescent="0.25">
      <c r="A583" s="8">
        <v>41582</v>
      </c>
      <c r="B583" s="4">
        <v>59546</v>
      </c>
      <c r="C583" s="57">
        <v>112.68</v>
      </c>
      <c r="D583" s="4" t="str">
        <f t="shared" si="36"/>
        <v>EOM plus 20 days</v>
      </c>
      <c r="E583" s="4">
        <v>20</v>
      </c>
      <c r="F583" s="104">
        <f t="shared" si="37"/>
        <v>41628</v>
      </c>
      <c r="J583" s="104">
        <f t="shared" si="38"/>
        <v>41628</v>
      </c>
      <c r="L583" t="b">
        <f t="shared" si="39"/>
        <v>1</v>
      </c>
    </row>
    <row r="584" spans="1:12" x14ac:dyDescent="0.25">
      <c r="A584" s="8">
        <v>41582</v>
      </c>
      <c r="B584" s="4">
        <v>59547</v>
      </c>
      <c r="C584" s="57">
        <v>77.59</v>
      </c>
      <c r="D584" s="4" t="str">
        <f t="shared" si="36"/>
        <v>EOM plus 20 days</v>
      </c>
      <c r="E584" s="4">
        <v>20</v>
      </c>
      <c r="F584" s="104">
        <f t="shared" si="37"/>
        <v>41628</v>
      </c>
      <c r="J584" s="104">
        <f t="shared" si="38"/>
        <v>41628</v>
      </c>
      <c r="L584" t="b">
        <f t="shared" si="39"/>
        <v>1</v>
      </c>
    </row>
    <row r="585" spans="1:12" x14ac:dyDescent="0.25">
      <c r="A585" s="8">
        <v>41582</v>
      </c>
      <c r="B585" s="4">
        <v>59548</v>
      </c>
      <c r="C585" s="57">
        <v>299.49</v>
      </c>
      <c r="D585" s="4" t="str">
        <f t="shared" si="36"/>
        <v>EOM plus 5 days</v>
      </c>
      <c r="E585" s="4">
        <v>5</v>
      </c>
      <c r="F585" s="104">
        <f t="shared" si="37"/>
        <v>41613</v>
      </c>
      <c r="J585" s="104">
        <f t="shared" si="38"/>
        <v>41613</v>
      </c>
      <c r="L585" t="b">
        <f t="shared" si="39"/>
        <v>1</v>
      </c>
    </row>
    <row r="586" spans="1:12" x14ac:dyDescent="0.25">
      <c r="A586" s="8">
        <v>41582</v>
      </c>
      <c r="B586" s="4">
        <v>59549</v>
      </c>
      <c r="C586" s="57">
        <v>370.28</v>
      </c>
      <c r="D586" s="4" t="str">
        <f t="shared" si="36"/>
        <v>EOM plus 15 days</v>
      </c>
      <c r="E586" s="4">
        <v>15</v>
      </c>
      <c r="F586" s="104">
        <f t="shared" si="37"/>
        <v>41623</v>
      </c>
      <c r="J586" s="104">
        <f t="shared" si="38"/>
        <v>41623</v>
      </c>
      <c r="L586" t="b">
        <f t="shared" si="39"/>
        <v>1</v>
      </c>
    </row>
    <row r="587" spans="1:12" x14ac:dyDescent="0.25">
      <c r="A587" s="8">
        <v>41582</v>
      </c>
      <c r="B587" s="4">
        <v>59550</v>
      </c>
      <c r="C587" s="57">
        <v>39.869999999999997</v>
      </c>
      <c r="D587" s="4" t="str">
        <f t="shared" si="36"/>
        <v>EOM plus 5 days</v>
      </c>
      <c r="E587" s="4">
        <v>5</v>
      </c>
      <c r="F587" s="104">
        <f t="shared" si="37"/>
        <v>41613</v>
      </c>
      <c r="J587" s="104">
        <f t="shared" si="38"/>
        <v>41613</v>
      </c>
      <c r="L587" t="b">
        <f t="shared" si="39"/>
        <v>1</v>
      </c>
    </row>
    <row r="588" spans="1:12" x14ac:dyDescent="0.25">
      <c r="A588" s="8">
        <v>41582</v>
      </c>
      <c r="B588" s="4">
        <v>59551</v>
      </c>
      <c r="C588" s="57">
        <v>292.36</v>
      </c>
      <c r="D588" s="4" t="str">
        <f t="shared" si="36"/>
        <v>EOM plus 10 days</v>
      </c>
      <c r="E588" s="4">
        <v>10</v>
      </c>
      <c r="F588" s="104">
        <f t="shared" si="37"/>
        <v>41618</v>
      </c>
      <c r="J588" s="104">
        <f t="shared" si="38"/>
        <v>41618</v>
      </c>
      <c r="L588" t="b">
        <f t="shared" si="39"/>
        <v>1</v>
      </c>
    </row>
    <row r="589" spans="1:12" x14ac:dyDescent="0.25">
      <c r="A589" s="8">
        <v>41582</v>
      </c>
      <c r="B589" s="4">
        <v>59552</v>
      </c>
      <c r="C589" s="57">
        <v>273.2</v>
      </c>
      <c r="D589" s="4" t="str">
        <f t="shared" si="36"/>
        <v>EOM plus 10 days</v>
      </c>
      <c r="E589" s="4">
        <v>10</v>
      </c>
      <c r="F589" s="104">
        <f t="shared" si="37"/>
        <v>41618</v>
      </c>
      <c r="J589" s="104">
        <f t="shared" si="38"/>
        <v>41618</v>
      </c>
      <c r="L589" t="b">
        <f t="shared" si="39"/>
        <v>1</v>
      </c>
    </row>
    <row r="590" spans="1:12" x14ac:dyDescent="0.25">
      <c r="A590" s="8">
        <v>41582</v>
      </c>
      <c r="B590" s="4">
        <v>59553</v>
      </c>
      <c r="C590" s="57">
        <v>128.47999999999999</v>
      </c>
      <c r="D590" s="4" t="str">
        <f t="shared" si="36"/>
        <v>EOM plus 15 days</v>
      </c>
      <c r="E590" s="4">
        <v>15</v>
      </c>
      <c r="F590" s="104">
        <f t="shared" si="37"/>
        <v>41623</v>
      </c>
      <c r="J590" s="104">
        <f t="shared" si="38"/>
        <v>41623</v>
      </c>
      <c r="L590" t="b">
        <f t="shared" si="39"/>
        <v>1</v>
      </c>
    </row>
    <row r="591" spans="1:12" x14ac:dyDescent="0.25">
      <c r="A591" s="8">
        <v>41582</v>
      </c>
      <c r="B591" s="4">
        <v>59554</v>
      </c>
      <c r="C591" s="57">
        <v>187.38</v>
      </c>
      <c r="D591" s="4" t="str">
        <f t="shared" si="36"/>
        <v>EOM plus 5 days</v>
      </c>
      <c r="E591" s="4">
        <v>5</v>
      </c>
      <c r="F591" s="104">
        <f t="shared" si="37"/>
        <v>41613</v>
      </c>
      <c r="J591" s="104">
        <f t="shared" si="38"/>
        <v>41613</v>
      </c>
      <c r="L591" t="b">
        <f t="shared" si="39"/>
        <v>1</v>
      </c>
    </row>
    <row r="592" spans="1:12" x14ac:dyDescent="0.25">
      <c r="A592" s="8">
        <v>41582</v>
      </c>
      <c r="B592" s="4">
        <v>59555</v>
      </c>
      <c r="C592" s="57">
        <v>237.8</v>
      </c>
      <c r="D592" s="4" t="str">
        <f t="shared" si="36"/>
        <v>EOM plus 5 days</v>
      </c>
      <c r="E592" s="4">
        <v>5</v>
      </c>
      <c r="F592" s="104">
        <f t="shared" si="37"/>
        <v>41613</v>
      </c>
      <c r="J592" s="104">
        <f t="shared" si="38"/>
        <v>41613</v>
      </c>
      <c r="L592" t="b">
        <f t="shared" si="39"/>
        <v>1</v>
      </c>
    </row>
    <row r="593" spans="1:12" x14ac:dyDescent="0.25">
      <c r="A593" s="8">
        <v>41582</v>
      </c>
      <c r="B593" s="4">
        <v>59556</v>
      </c>
      <c r="C593" s="57">
        <v>262.93</v>
      </c>
      <c r="D593" s="4" t="str">
        <f t="shared" si="36"/>
        <v>EOM plus 20 days</v>
      </c>
      <c r="E593" s="4">
        <v>20</v>
      </c>
      <c r="F593" s="104">
        <f t="shared" si="37"/>
        <v>41628</v>
      </c>
      <c r="J593" s="104">
        <f t="shared" si="38"/>
        <v>41628</v>
      </c>
      <c r="L593" t="b">
        <f t="shared" si="39"/>
        <v>1</v>
      </c>
    </row>
    <row r="594" spans="1:12" x14ac:dyDescent="0.25">
      <c r="A594" s="8">
        <v>41582</v>
      </c>
      <c r="B594" s="4">
        <v>59557</v>
      </c>
      <c r="C594" s="57">
        <v>247.58</v>
      </c>
      <c r="D594" s="4" t="str">
        <f t="shared" si="36"/>
        <v>EOM plus 5 days</v>
      </c>
      <c r="E594" s="4">
        <v>5</v>
      </c>
      <c r="F594" s="104">
        <f t="shared" si="37"/>
        <v>41613</v>
      </c>
      <c r="J594" s="104">
        <f t="shared" si="38"/>
        <v>41613</v>
      </c>
      <c r="L594" t="b">
        <f t="shared" si="39"/>
        <v>1</v>
      </c>
    </row>
    <row r="595" spans="1:12" x14ac:dyDescent="0.25">
      <c r="A595" s="8">
        <v>41582</v>
      </c>
      <c r="B595" s="4">
        <v>59558</v>
      </c>
      <c r="C595" s="57">
        <v>213.83</v>
      </c>
      <c r="D595" s="4" t="str">
        <f t="shared" si="36"/>
        <v>EOM plus 10 days</v>
      </c>
      <c r="E595" s="4">
        <v>10</v>
      </c>
      <c r="F595" s="104">
        <f t="shared" si="37"/>
        <v>41618</v>
      </c>
      <c r="J595" s="104">
        <f t="shared" si="38"/>
        <v>41618</v>
      </c>
      <c r="L595" t="b">
        <f t="shared" si="39"/>
        <v>1</v>
      </c>
    </row>
    <row r="596" spans="1:12" x14ac:dyDescent="0.25">
      <c r="A596" s="8">
        <v>41582</v>
      </c>
      <c r="B596" s="4">
        <v>59559</v>
      </c>
      <c r="C596" s="57">
        <v>371.78</v>
      </c>
      <c r="D596" s="4" t="str">
        <f t="shared" si="36"/>
        <v>EOM plus 10 days</v>
      </c>
      <c r="E596" s="4">
        <v>10</v>
      </c>
      <c r="F596" s="104">
        <f t="shared" si="37"/>
        <v>41618</v>
      </c>
      <c r="J596" s="104">
        <f t="shared" si="38"/>
        <v>41618</v>
      </c>
      <c r="L596" t="b">
        <f t="shared" si="39"/>
        <v>1</v>
      </c>
    </row>
    <row r="597" spans="1:12" x14ac:dyDescent="0.25">
      <c r="A597" s="8">
        <v>41582</v>
      </c>
      <c r="B597" s="4">
        <v>59560</v>
      </c>
      <c r="C597" s="57">
        <v>305.64999999999998</v>
      </c>
      <c r="D597" s="4" t="str">
        <f t="shared" si="36"/>
        <v>EOM plus 5 days</v>
      </c>
      <c r="E597" s="4">
        <v>5</v>
      </c>
      <c r="F597" s="104">
        <f t="shared" si="37"/>
        <v>41613</v>
      </c>
      <c r="J597" s="104">
        <f t="shared" si="38"/>
        <v>41613</v>
      </c>
      <c r="L597" t="b">
        <f t="shared" si="39"/>
        <v>1</v>
      </c>
    </row>
    <row r="598" spans="1:12" x14ac:dyDescent="0.25">
      <c r="A598" s="8">
        <v>41582</v>
      </c>
      <c r="B598" s="4">
        <v>59561</v>
      </c>
      <c r="C598" s="57">
        <v>266.76</v>
      </c>
      <c r="D598" s="4" t="str">
        <f t="shared" si="36"/>
        <v>EOM plus 10 days</v>
      </c>
      <c r="E598" s="4">
        <v>10</v>
      </c>
      <c r="F598" s="104">
        <f t="shared" si="37"/>
        <v>41618</v>
      </c>
      <c r="J598" s="104">
        <f t="shared" si="38"/>
        <v>41618</v>
      </c>
      <c r="L598" t="b">
        <f t="shared" si="39"/>
        <v>1</v>
      </c>
    </row>
    <row r="599" spans="1:12" x14ac:dyDescent="0.25">
      <c r="A599" s="8">
        <v>41582</v>
      </c>
      <c r="B599" s="4">
        <v>59562</v>
      </c>
      <c r="C599" s="57">
        <v>55.89</v>
      </c>
      <c r="D599" s="4" t="str">
        <f t="shared" si="36"/>
        <v>EOM plus 10 days</v>
      </c>
      <c r="E599" s="4">
        <v>10</v>
      </c>
      <c r="F599" s="104">
        <f t="shared" si="37"/>
        <v>41618</v>
      </c>
      <c r="J599" s="104">
        <f t="shared" si="38"/>
        <v>41618</v>
      </c>
      <c r="L599" t="b">
        <f t="shared" si="39"/>
        <v>1</v>
      </c>
    </row>
    <row r="600" spans="1:12" x14ac:dyDescent="0.25">
      <c r="A600" s="8">
        <v>41582</v>
      </c>
      <c r="B600" s="4">
        <v>59563</v>
      </c>
      <c r="C600" s="57">
        <v>349.79</v>
      </c>
      <c r="D600" s="4" t="str">
        <f t="shared" si="36"/>
        <v>EOM plus 15 days</v>
      </c>
      <c r="E600" s="4">
        <v>15</v>
      </c>
      <c r="F600" s="104">
        <f t="shared" si="37"/>
        <v>41623</v>
      </c>
      <c r="J600" s="104">
        <f t="shared" si="38"/>
        <v>41623</v>
      </c>
      <c r="L600" t="b">
        <f t="shared" si="39"/>
        <v>1</v>
      </c>
    </row>
    <row r="601" spans="1:12" x14ac:dyDescent="0.25">
      <c r="A601" s="8">
        <v>41582</v>
      </c>
      <c r="B601" s="4">
        <v>59564</v>
      </c>
      <c r="C601" s="57">
        <v>331.79</v>
      </c>
      <c r="D601" s="4" t="str">
        <f t="shared" si="36"/>
        <v>EOM plus 20 days</v>
      </c>
      <c r="E601" s="4">
        <v>20</v>
      </c>
      <c r="F601" s="104">
        <f t="shared" si="37"/>
        <v>41628</v>
      </c>
      <c r="J601" s="104">
        <f t="shared" si="38"/>
        <v>41628</v>
      </c>
      <c r="L601" t="b">
        <f t="shared" si="39"/>
        <v>1</v>
      </c>
    </row>
    <row r="602" spans="1:12" x14ac:dyDescent="0.25">
      <c r="A602" s="8">
        <v>41583</v>
      </c>
      <c r="B602" s="4">
        <v>59565</v>
      </c>
      <c r="C602" s="57">
        <v>121.38</v>
      </c>
      <c r="D602" s="4" t="str">
        <f t="shared" si="36"/>
        <v>EOM plus 10 days</v>
      </c>
      <c r="E602" s="4">
        <v>10</v>
      </c>
      <c r="F602" s="104">
        <f t="shared" si="37"/>
        <v>41618</v>
      </c>
      <c r="J602" s="104">
        <f t="shared" si="38"/>
        <v>41618</v>
      </c>
      <c r="L602" t="b">
        <f t="shared" si="39"/>
        <v>1</v>
      </c>
    </row>
    <row r="603" spans="1:12" x14ac:dyDescent="0.25">
      <c r="A603" s="8">
        <v>41583</v>
      </c>
      <c r="B603" s="4">
        <v>59566</v>
      </c>
      <c r="C603" s="57">
        <v>289.72000000000003</v>
      </c>
      <c r="D603" s="4" t="str">
        <f t="shared" si="36"/>
        <v>EOM plus 5 days</v>
      </c>
      <c r="E603" s="4">
        <v>5</v>
      </c>
      <c r="F603" s="104">
        <f t="shared" si="37"/>
        <v>41613</v>
      </c>
      <c r="J603" s="104">
        <f t="shared" si="38"/>
        <v>41613</v>
      </c>
      <c r="L603" t="b">
        <f t="shared" si="39"/>
        <v>1</v>
      </c>
    </row>
    <row r="604" spans="1:12" x14ac:dyDescent="0.25">
      <c r="A604" s="8">
        <v>41583</v>
      </c>
      <c r="B604" s="4">
        <v>59567</v>
      </c>
      <c r="C604" s="57">
        <v>103.8</v>
      </c>
      <c r="D604" s="4" t="str">
        <f t="shared" si="36"/>
        <v>EOM plus 5 days</v>
      </c>
      <c r="E604" s="4">
        <v>5</v>
      </c>
      <c r="F604" s="104">
        <f t="shared" si="37"/>
        <v>41613</v>
      </c>
      <c r="J604" s="104">
        <f t="shared" si="38"/>
        <v>41613</v>
      </c>
      <c r="L604" t="b">
        <f t="shared" si="39"/>
        <v>1</v>
      </c>
    </row>
    <row r="605" spans="1:12" x14ac:dyDescent="0.25">
      <c r="A605" s="8">
        <v>41583</v>
      </c>
      <c r="B605" s="4">
        <v>59568</v>
      </c>
      <c r="C605" s="57">
        <v>332.61</v>
      </c>
      <c r="D605" s="4" t="str">
        <f t="shared" si="36"/>
        <v>EOM plus 10 days</v>
      </c>
      <c r="E605" s="4">
        <v>10</v>
      </c>
      <c r="F605" s="104">
        <f t="shared" si="37"/>
        <v>41618</v>
      </c>
      <c r="J605" s="104">
        <f t="shared" si="38"/>
        <v>41618</v>
      </c>
      <c r="L605" t="b">
        <f t="shared" si="39"/>
        <v>1</v>
      </c>
    </row>
    <row r="606" spans="1:12" x14ac:dyDescent="0.25">
      <c r="A606" s="8">
        <v>41583</v>
      </c>
      <c r="B606" s="4">
        <v>59569</v>
      </c>
      <c r="C606" s="57">
        <v>39.96</v>
      </c>
      <c r="D606" s="4" t="str">
        <f t="shared" si="36"/>
        <v>EOM plus 10 days</v>
      </c>
      <c r="E606" s="4">
        <v>10</v>
      </c>
      <c r="F606" s="104">
        <f t="shared" si="37"/>
        <v>41618</v>
      </c>
      <c r="J606" s="104">
        <f t="shared" si="38"/>
        <v>41618</v>
      </c>
      <c r="L606" t="b">
        <f t="shared" si="39"/>
        <v>1</v>
      </c>
    </row>
    <row r="607" spans="1:12" x14ac:dyDescent="0.25">
      <c r="A607" s="8">
        <v>41583</v>
      </c>
      <c r="B607" s="4">
        <v>59570</v>
      </c>
      <c r="C607" s="57">
        <v>119.58</v>
      </c>
      <c r="D607" s="4" t="str">
        <f t="shared" si="36"/>
        <v>EOM plus 5 days</v>
      </c>
      <c r="E607" s="4">
        <v>5</v>
      </c>
      <c r="F607" s="104">
        <f t="shared" si="37"/>
        <v>41613</v>
      </c>
      <c r="J607" s="104">
        <f t="shared" si="38"/>
        <v>41613</v>
      </c>
      <c r="L607" t="b">
        <f t="shared" si="39"/>
        <v>1</v>
      </c>
    </row>
    <row r="608" spans="1:12" x14ac:dyDescent="0.25">
      <c r="A608" s="8">
        <v>41583</v>
      </c>
      <c r="B608" s="4">
        <v>59571</v>
      </c>
      <c r="C608" s="57">
        <v>252.3</v>
      </c>
      <c r="D608" s="4" t="str">
        <f t="shared" si="36"/>
        <v>EOM plus 20 days</v>
      </c>
      <c r="E608" s="4">
        <v>20</v>
      </c>
      <c r="F608" s="104">
        <f t="shared" si="37"/>
        <v>41628</v>
      </c>
      <c r="J608" s="104">
        <f t="shared" si="38"/>
        <v>41628</v>
      </c>
      <c r="L608" t="b">
        <f t="shared" si="39"/>
        <v>1</v>
      </c>
    </row>
    <row r="609" spans="1:12" x14ac:dyDescent="0.25">
      <c r="A609" s="8">
        <v>41583</v>
      </c>
      <c r="B609" s="4">
        <v>59572</v>
      </c>
      <c r="C609" s="57">
        <v>160.78</v>
      </c>
      <c r="D609" s="4" t="str">
        <f t="shared" si="36"/>
        <v>EOM plus 20 days</v>
      </c>
      <c r="E609" s="4">
        <v>20</v>
      </c>
      <c r="F609" s="104">
        <f t="shared" si="37"/>
        <v>41628</v>
      </c>
      <c r="J609" s="104">
        <f t="shared" si="38"/>
        <v>41628</v>
      </c>
      <c r="L609" t="b">
        <f t="shared" si="39"/>
        <v>1</v>
      </c>
    </row>
    <row r="610" spans="1:12" x14ac:dyDescent="0.25">
      <c r="A610" s="8">
        <v>41583</v>
      </c>
      <c r="B610" s="4">
        <v>59573</v>
      </c>
      <c r="C610" s="57">
        <v>354.26</v>
      </c>
      <c r="D610" s="4" t="str">
        <f t="shared" si="36"/>
        <v>EOM plus 10 days</v>
      </c>
      <c r="E610" s="4">
        <v>10</v>
      </c>
      <c r="F610" s="104">
        <f t="shared" si="37"/>
        <v>41618</v>
      </c>
      <c r="J610" s="104">
        <f t="shared" si="38"/>
        <v>41618</v>
      </c>
      <c r="L610" t="b">
        <f t="shared" si="39"/>
        <v>1</v>
      </c>
    </row>
    <row r="611" spans="1:12" x14ac:dyDescent="0.25">
      <c r="A611" s="8">
        <v>41583</v>
      </c>
      <c r="B611" s="4">
        <v>59574</v>
      </c>
      <c r="C611" s="57">
        <v>231.99</v>
      </c>
      <c r="D611" s="4" t="str">
        <f t="shared" si="36"/>
        <v>EOM plus 10 days</v>
      </c>
      <c r="E611" s="4">
        <v>10</v>
      </c>
      <c r="F611" s="104">
        <f t="shared" si="37"/>
        <v>41618</v>
      </c>
      <c r="J611" s="104">
        <f t="shared" si="38"/>
        <v>41618</v>
      </c>
      <c r="L611" t="b">
        <f t="shared" si="39"/>
        <v>1</v>
      </c>
    </row>
    <row r="612" spans="1:12" x14ac:dyDescent="0.25">
      <c r="A612" s="8">
        <v>41583</v>
      </c>
      <c r="B612" s="4">
        <v>59575</v>
      </c>
      <c r="C612" s="57">
        <v>160.72</v>
      </c>
      <c r="D612" s="4" t="str">
        <f t="shared" si="36"/>
        <v>EOM plus 20 days</v>
      </c>
      <c r="E612" s="4">
        <v>20</v>
      </c>
      <c r="F612" s="104">
        <f t="shared" si="37"/>
        <v>41628</v>
      </c>
      <c r="J612" s="104">
        <f t="shared" si="38"/>
        <v>41628</v>
      </c>
      <c r="L612" t="b">
        <f t="shared" si="39"/>
        <v>1</v>
      </c>
    </row>
    <row r="613" spans="1:12" x14ac:dyDescent="0.25">
      <c r="A613" s="8">
        <v>41583</v>
      </c>
      <c r="B613" s="4">
        <v>59576</v>
      </c>
      <c r="C613" s="57">
        <v>226.1</v>
      </c>
      <c r="D613" s="4" t="str">
        <f t="shared" si="36"/>
        <v>EOM plus 10 days</v>
      </c>
      <c r="E613" s="4">
        <v>10</v>
      </c>
      <c r="F613" s="104">
        <f t="shared" si="37"/>
        <v>41618</v>
      </c>
      <c r="J613" s="104">
        <f t="shared" si="38"/>
        <v>41618</v>
      </c>
      <c r="L613" t="b">
        <f t="shared" si="39"/>
        <v>1</v>
      </c>
    </row>
    <row r="614" spans="1:12" x14ac:dyDescent="0.25">
      <c r="A614" s="8">
        <v>41583</v>
      </c>
      <c r="B614" s="4">
        <v>59577</v>
      </c>
      <c r="C614" s="57">
        <v>311.95</v>
      </c>
      <c r="D614" s="4" t="str">
        <f t="shared" si="36"/>
        <v>EOM plus 5 days</v>
      </c>
      <c r="E614" s="4">
        <v>5</v>
      </c>
      <c r="F614" s="104">
        <f t="shared" si="37"/>
        <v>41613</v>
      </c>
      <c r="J614" s="104">
        <f t="shared" si="38"/>
        <v>41613</v>
      </c>
      <c r="L614" t="b">
        <f t="shared" si="39"/>
        <v>1</v>
      </c>
    </row>
    <row r="615" spans="1:12" x14ac:dyDescent="0.25">
      <c r="A615" s="8">
        <v>41583</v>
      </c>
      <c r="B615" s="4">
        <v>59578</v>
      </c>
      <c r="C615" s="57">
        <v>126.87</v>
      </c>
      <c r="D615" s="4" t="str">
        <f t="shared" si="36"/>
        <v>EOM plus 5 days</v>
      </c>
      <c r="E615" s="4">
        <v>5</v>
      </c>
      <c r="F615" s="104">
        <f t="shared" si="37"/>
        <v>41613</v>
      </c>
      <c r="J615" s="104">
        <f t="shared" si="38"/>
        <v>41613</v>
      </c>
      <c r="L615" t="b">
        <f t="shared" si="39"/>
        <v>1</v>
      </c>
    </row>
    <row r="616" spans="1:12" x14ac:dyDescent="0.25">
      <c r="A616" s="8">
        <v>41583</v>
      </c>
      <c r="B616" s="4">
        <v>59579</v>
      </c>
      <c r="C616" s="57">
        <v>180.1</v>
      </c>
      <c r="D616" s="4" t="str">
        <f t="shared" si="36"/>
        <v>EOM plus 5 days</v>
      </c>
      <c r="E616" s="4">
        <v>5</v>
      </c>
      <c r="F616" s="104">
        <f t="shared" si="37"/>
        <v>41613</v>
      </c>
      <c r="J616" s="104">
        <f t="shared" si="38"/>
        <v>41613</v>
      </c>
      <c r="L616" t="b">
        <f t="shared" si="39"/>
        <v>1</v>
      </c>
    </row>
    <row r="617" spans="1:12" x14ac:dyDescent="0.25">
      <c r="A617" s="8">
        <v>41583</v>
      </c>
      <c r="B617" s="4">
        <v>59580</v>
      </c>
      <c r="C617" s="57">
        <v>142.63</v>
      </c>
      <c r="D617" s="4" t="str">
        <f t="shared" si="36"/>
        <v>EOM plus 15 days</v>
      </c>
      <c r="E617" s="4">
        <v>15</v>
      </c>
      <c r="F617" s="104">
        <f t="shared" si="37"/>
        <v>41623</v>
      </c>
      <c r="J617" s="104">
        <f t="shared" si="38"/>
        <v>41623</v>
      </c>
      <c r="L617" t="b">
        <f t="shared" si="39"/>
        <v>1</v>
      </c>
    </row>
    <row r="618" spans="1:12" x14ac:dyDescent="0.25">
      <c r="A618" s="8">
        <v>41583</v>
      </c>
      <c r="B618" s="4">
        <v>59581</v>
      </c>
      <c r="C618" s="57">
        <v>199.15</v>
      </c>
      <c r="D618" s="4" t="str">
        <f t="shared" si="36"/>
        <v>EOM plus 5 days</v>
      </c>
      <c r="E618" s="4">
        <v>5</v>
      </c>
      <c r="F618" s="104">
        <f t="shared" si="37"/>
        <v>41613</v>
      </c>
      <c r="J618" s="104">
        <f t="shared" si="38"/>
        <v>41613</v>
      </c>
      <c r="L618" t="b">
        <f t="shared" si="39"/>
        <v>1</v>
      </c>
    </row>
    <row r="619" spans="1:12" x14ac:dyDescent="0.25">
      <c r="A619" s="8">
        <v>41584</v>
      </c>
      <c r="B619" s="4">
        <v>59582</v>
      </c>
      <c r="C619" s="57">
        <v>51.96</v>
      </c>
      <c r="D619" s="4" t="str">
        <f t="shared" si="36"/>
        <v>EOM plus 20 days</v>
      </c>
      <c r="E619" s="4">
        <v>20</v>
      </c>
      <c r="F619" s="104">
        <f t="shared" si="37"/>
        <v>41628</v>
      </c>
      <c r="J619" s="104">
        <f t="shared" si="38"/>
        <v>41628</v>
      </c>
      <c r="L619" t="b">
        <f t="shared" si="39"/>
        <v>1</v>
      </c>
    </row>
    <row r="620" spans="1:12" x14ac:dyDescent="0.25">
      <c r="A620" s="8">
        <v>41584</v>
      </c>
      <c r="B620" s="4">
        <v>59583</v>
      </c>
      <c r="C620" s="57">
        <v>117.75</v>
      </c>
      <c r="D620" s="4" t="str">
        <f t="shared" si="36"/>
        <v>EOM plus 10 days</v>
      </c>
      <c r="E620" s="4">
        <v>10</v>
      </c>
      <c r="F620" s="104">
        <f t="shared" si="37"/>
        <v>41618</v>
      </c>
      <c r="J620" s="104">
        <f t="shared" si="38"/>
        <v>41618</v>
      </c>
      <c r="L620" t="b">
        <f t="shared" si="39"/>
        <v>1</v>
      </c>
    </row>
    <row r="621" spans="1:12" x14ac:dyDescent="0.25">
      <c r="A621" s="8">
        <v>41584</v>
      </c>
      <c r="B621" s="4">
        <v>59584</v>
      </c>
      <c r="C621" s="57">
        <v>314.08999999999997</v>
      </c>
      <c r="D621" s="4" t="str">
        <f t="shared" si="36"/>
        <v>EOM plus 5 days</v>
      </c>
      <c r="E621" s="4">
        <v>5</v>
      </c>
      <c r="F621" s="104">
        <f t="shared" si="37"/>
        <v>41613</v>
      </c>
      <c r="J621" s="104">
        <f t="shared" si="38"/>
        <v>41613</v>
      </c>
      <c r="L621" t="b">
        <f t="shared" si="39"/>
        <v>1</v>
      </c>
    </row>
    <row r="622" spans="1:12" x14ac:dyDescent="0.25">
      <c r="A622" s="8">
        <v>41584</v>
      </c>
      <c r="B622" s="4">
        <v>59585</v>
      </c>
      <c r="C622" s="57">
        <v>114.02</v>
      </c>
      <c r="D622" s="4" t="str">
        <f t="shared" si="36"/>
        <v>EOM plus 10 days</v>
      </c>
      <c r="E622" s="4">
        <v>10</v>
      </c>
      <c r="F622" s="104">
        <f t="shared" si="37"/>
        <v>41618</v>
      </c>
      <c r="J622" s="104">
        <f t="shared" si="38"/>
        <v>41618</v>
      </c>
      <c r="L622" t="b">
        <f t="shared" si="39"/>
        <v>1</v>
      </c>
    </row>
    <row r="623" spans="1:12" x14ac:dyDescent="0.25">
      <c r="A623" s="8">
        <v>41584</v>
      </c>
      <c r="B623" s="4">
        <v>59586</v>
      </c>
      <c r="C623" s="57">
        <v>137.59</v>
      </c>
      <c r="D623" s="4" t="str">
        <f t="shared" si="36"/>
        <v>EOM plus 5 days</v>
      </c>
      <c r="E623" s="4">
        <v>5</v>
      </c>
      <c r="F623" s="104">
        <f t="shared" si="37"/>
        <v>41613</v>
      </c>
      <c r="J623" s="104">
        <f t="shared" si="38"/>
        <v>41613</v>
      </c>
      <c r="L623" t="b">
        <f t="shared" si="39"/>
        <v>1</v>
      </c>
    </row>
    <row r="624" spans="1:12" x14ac:dyDescent="0.25">
      <c r="A624" s="8">
        <v>41584</v>
      </c>
      <c r="B624" s="4">
        <v>59587</v>
      </c>
      <c r="C624" s="57">
        <v>196.36</v>
      </c>
      <c r="D624" s="4" t="str">
        <f t="shared" si="36"/>
        <v>EOM plus 15 days</v>
      </c>
      <c r="E624" s="4">
        <v>15</v>
      </c>
      <c r="F624" s="104">
        <f t="shared" si="37"/>
        <v>41623</v>
      </c>
      <c r="J624" s="104">
        <f t="shared" si="38"/>
        <v>41623</v>
      </c>
      <c r="L624" t="b">
        <f t="shared" si="39"/>
        <v>1</v>
      </c>
    </row>
    <row r="625" spans="1:12" x14ac:dyDescent="0.25">
      <c r="A625" s="8">
        <v>41584</v>
      </c>
      <c r="B625" s="4">
        <v>59588</v>
      </c>
      <c r="C625" s="57">
        <v>295.97000000000003</v>
      </c>
      <c r="D625" s="4" t="str">
        <f t="shared" si="36"/>
        <v>EOM plus 10 days</v>
      </c>
      <c r="E625" s="4">
        <v>10</v>
      </c>
      <c r="F625" s="104">
        <f t="shared" si="37"/>
        <v>41618</v>
      </c>
      <c r="J625" s="104">
        <f t="shared" si="38"/>
        <v>41618</v>
      </c>
      <c r="L625" t="b">
        <f t="shared" si="39"/>
        <v>1</v>
      </c>
    </row>
    <row r="626" spans="1:12" x14ac:dyDescent="0.25">
      <c r="A626" s="8">
        <v>41584</v>
      </c>
      <c r="B626" s="4">
        <v>59589</v>
      </c>
      <c r="C626" s="57">
        <v>69.09</v>
      </c>
      <c r="D626" s="4" t="str">
        <f t="shared" si="36"/>
        <v>EOM plus 10 days</v>
      </c>
      <c r="E626" s="4">
        <v>10</v>
      </c>
      <c r="F626" s="104">
        <f t="shared" si="37"/>
        <v>41618</v>
      </c>
      <c r="J626" s="104">
        <f t="shared" si="38"/>
        <v>41618</v>
      </c>
      <c r="L626" t="b">
        <f t="shared" si="39"/>
        <v>1</v>
      </c>
    </row>
    <row r="627" spans="1:12" x14ac:dyDescent="0.25">
      <c r="A627" s="8">
        <v>41584</v>
      </c>
      <c r="B627" s="4">
        <v>59590</v>
      </c>
      <c r="C627" s="57">
        <v>163.38</v>
      </c>
      <c r="D627" s="4" t="str">
        <f t="shared" si="36"/>
        <v>EOM plus 20 days</v>
      </c>
      <c r="E627" s="4">
        <v>20</v>
      </c>
      <c r="F627" s="104">
        <f t="shared" si="37"/>
        <v>41628</v>
      </c>
      <c r="J627" s="104">
        <f t="shared" si="38"/>
        <v>41628</v>
      </c>
      <c r="L627" t="b">
        <f t="shared" si="39"/>
        <v>1</v>
      </c>
    </row>
    <row r="628" spans="1:12" x14ac:dyDescent="0.25">
      <c r="A628" s="8">
        <v>41584</v>
      </c>
      <c r="B628" s="4">
        <v>59591</v>
      </c>
      <c r="C628" s="57">
        <v>338.13</v>
      </c>
      <c r="D628" s="4" t="str">
        <f t="shared" si="36"/>
        <v>EOM plus 10 days</v>
      </c>
      <c r="E628" s="4">
        <v>10</v>
      </c>
      <c r="F628" s="104">
        <f t="shared" si="37"/>
        <v>41618</v>
      </c>
      <c r="J628" s="104">
        <f t="shared" si="38"/>
        <v>41618</v>
      </c>
      <c r="L628" t="b">
        <f t="shared" si="39"/>
        <v>1</v>
      </c>
    </row>
    <row r="629" spans="1:12" x14ac:dyDescent="0.25">
      <c r="A629" s="8">
        <v>41584</v>
      </c>
      <c r="B629" s="4">
        <v>59592</v>
      </c>
      <c r="C629" s="57">
        <v>189.16</v>
      </c>
      <c r="D629" s="4" t="str">
        <f t="shared" si="36"/>
        <v>EOM plus 5 days</v>
      </c>
      <c r="E629" s="4">
        <v>5</v>
      </c>
      <c r="F629" s="104">
        <f t="shared" si="37"/>
        <v>41613</v>
      </c>
      <c r="J629" s="104">
        <f t="shared" si="38"/>
        <v>41613</v>
      </c>
      <c r="L629" t="b">
        <f t="shared" si="39"/>
        <v>1</v>
      </c>
    </row>
    <row r="630" spans="1:12" x14ac:dyDescent="0.25">
      <c r="A630" s="8">
        <v>41584</v>
      </c>
      <c r="B630" s="4">
        <v>59593</v>
      </c>
      <c r="C630" s="57">
        <v>89.41</v>
      </c>
      <c r="D630" s="4" t="str">
        <f t="shared" si="36"/>
        <v>EOM plus 10 days</v>
      </c>
      <c r="E630" s="4">
        <v>10</v>
      </c>
      <c r="F630" s="104">
        <f t="shared" si="37"/>
        <v>41618</v>
      </c>
      <c r="J630" s="104">
        <f t="shared" si="38"/>
        <v>41618</v>
      </c>
      <c r="L630" t="b">
        <f t="shared" si="39"/>
        <v>1</v>
      </c>
    </row>
    <row r="631" spans="1:12" x14ac:dyDescent="0.25">
      <c r="A631" s="8">
        <v>41584</v>
      </c>
      <c r="B631" s="4">
        <v>59594</v>
      </c>
      <c r="C631" s="57">
        <v>386.62</v>
      </c>
      <c r="D631" s="4" t="str">
        <f t="shared" si="36"/>
        <v>EOM plus 10 days</v>
      </c>
      <c r="E631" s="4">
        <v>10</v>
      </c>
      <c r="F631" s="104">
        <f t="shared" si="37"/>
        <v>41618</v>
      </c>
      <c r="J631" s="104">
        <f t="shared" si="38"/>
        <v>41618</v>
      </c>
      <c r="L631" t="b">
        <f t="shared" si="39"/>
        <v>1</v>
      </c>
    </row>
    <row r="632" spans="1:12" x14ac:dyDescent="0.25">
      <c r="A632" s="8">
        <v>41584</v>
      </c>
      <c r="B632" s="4">
        <v>59595</v>
      </c>
      <c r="C632" s="57">
        <v>345.51</v>
      </c>
      <c r="D632" s="4" t="str">
        <f t="shared" si="36"/>
        <v>EOM plus 10 days</v>
      </c>
      <c r="E632" s="4">
        <v>10</v>
      </c>
      <c r="F632" s="104">
        <f t="shared" si="37"/>
        <v>41618</v>
      </c>
      <c r="J632" s="104">
        <f t="shared" si="38"/>
        <v>41618</v>
      </c>
      <c r="L632" t="b">
        <f t="shared" si="39"/>
        <v>1</v>
      </c>
    </row>
    <row r="633" spans="1:12" x14ac:dyDescent="0.25">
      <c r="A633" s="8">
        <v>41584</v>
      </c>
      <c r="B633" s="4">
        <v>59596</v>
      </c>
      <c r="C633" s="57">
        <v>217.68</v>
      </c>
      <c r="D633" s="4" t="str">
        <f t="shared" si="36"/>
        <v>EOM plus 10 days</v>
      </c>
      <c r="E633" s="4">
        <v>10</v>
      </c>
      <c r="F633" s="104">
        <f t="shared" si="37"/>
        <v>41618</v>
      </c>
      <c r="J633" s="104">
        <f t="shared" si="38"/>
        <v>41618</v>
      </c>
      <c r="L633" t="b">
        <f t="shared" si="39"/>
        <v>1</v>
      </c>
    </row>
    <row r="634" spans="1:12" x14ac:dyDescent="0.25">
      <c r="A634" s="8">
        <v>41584</v>
      </c>
      <c r="B634" s="4">
        <v>59597</v>
      </c>
      <c r="C634" s="57">
        <v>278.47000000000003</v>
      </c>
      <c r="D634" s="4" t="str">
        <f t="shared" si="36"/>
        <v>EOM plus 10 days</v>
      </c>
      <c r="E634" s="4">
        <v>10</v>
      </c>
      <c r="F634" s="104">
        <f t="shared" si="37"/>
        <v>41618</v>
      </c>
      <c r="J634" s="104">
        <f t="shared" si="38"/>
        <v>41618</v>
      </c>
      <c r="L634" t="b">
        <f t="shared" si="39"/>
        <v>1</v>
      </c>
    </row>
    <row r="635" spans="1:12" x14ac:dyDescent="0.25">
      <c r="A635" s="8">
        <v>41585</v>
      </c>
      <c r="B635" s="4">
        <v>59598</v>
      </c>
      <c r="C635" s="57">
        <v>265.13</v>
      </c>
      <c r="D635" s="4" t="str">
        <f t="shared" si="36"/>
        <v>EOM plus 10 days</v>
      </c>
      <c r="E635" s="4">
        <v>10</v>
      </c>
      <c r="F635" s="104">
        <f t="shared" si="37"/>
        <v>41618</v>
      </c>
      <c r="J635" s="104">
        <f t="shared" si="38"/>
        <v>41618</v>
      </c>
      <c r="L635" t="b">
        <f t="shared" si="39"/>
        <v>1</v>
      </c>
    </row>
    <row r="636" spans="1:12" x14ac:dyDescent="0.25">
      <c r="A636" s="8">
        <v>41585</v>
      </c>
      <c r="B636" s="4">
        <v>59599</v>
      </c>
      <c r="C636" s="57">
        <v>302.02999999999997</v>
      </c>
      <c r="D636" s="4" t="str">
        <f t="shared" si="36"/>
        <v>EOM plus 10 days</v>
      </c>
      <c r="E636" s="4">
        <v>10</v>
      </c>
      <c r="F636" s="104">
        <f t="shared" si="37"/>
        <v>41618</v>
      </c>
      <c r="J636" s="104">
        <f t="shared" si="38"/>
        <v>41618</v>
      </c>
      <c r="L636" t="b">
        <f t="shared" si="39"/>
        <v>1</v>
      </c>
    </row>
    <row r="637" spans="1:12" x14ac:dyDescent="0.25">
      <c r="A637" s="8">
        <v>41585</v>
      </c>
      <c r="B637" s="4">
        <v>59600</v>
      </c>
      <c r="C637" s="57">
        <v>334.55</v>
      </c>
      <c r="D637" s="4" t="str">
        <f t="shared" si="36"/>
        <v>EOM plus 10 days</v>
      </c>
      <c r="E637" s="4">
        <v>10</v>
      </c>
      <c r="F637" s="104">
        <f t="shared" si="37"/>
        <v>41618</v>
      </c>
      <c r="J637" s="104">
        <f t="shared" si="38"/>
        <v>41618</v>
      </c>
      <c r="L637" t="b">
        <f t="shared" si="39"/>
        <v>1</v>
      </c>
    </row>
    <row r="638" spans="1:12" x14ac:dyDescent="0.25">
      <c r="A638" s="8">
        <v>41585</v>
      </c>
      <c r="B638" s="4">
        <v>59601</v>
      </c>
      <c r="C638" s="57">
        <v>305.52999999999997</v>
      </c>
      <c r="D638" s="4" t="str">
        <f t="shared" si="36"/>
        <v>EOM plus 5 days</v>
      </c>
      <c r="E638" s="4">
        <v>5</v>
      </c>
      <c r="F638" s="104">
        <f t="shared" si="37"/>
        <v>41613</v>
      </c>
      <c r="J638" s="104">
        <f t="shared" si="38"/>
        <v>41613</v>
      </c>
      <c r="L638" t="b">
        <f t="shared" si="39"/>
        <v>1</v>
      </c>
    </row>
    <row r="639" spans="1:12" x14ac:dyDescent="0.25">
      <c r="A639" s="8">
        <v>41585</v>
      </c>
      <c r="B639" s="4">
        <v>59602</v>
      </c>
      <c r="C639" s="57">
        <v>212.99</v>
      </c>
      <c r="D639" s="4" t="str">
        <f t="shared" si="36"/>
        <v>EOM plus 10 days</v>
      </c>
      <c r="E639" s="4">
        <v>10</v>
      </c>
      <c r="F639" s="104">
        <f t="shared" si="37"/>
        <v>41618</v>
      </c>
      <c r="J639" s="104">
        <f t="shared" si="38"/>
        <v>41618</v>
      </c>
      <c r="L639" t="b">
        <f t="shared" si="39"/>
        <v>1</v>
      </c>
    </row>
    <row r="640" spans="1:12" x14ac:dyDescent="0.25">
      <c r="A640" s="8">
        <v>41585</v>
      </c>
      <c r="B640" s="4">
        <v>59603</v>
      </c>
      <c r="C640" s="57">
        <v>312.42</v>
      </c>
      <c r="D640" s="4" t="str">
        <f t="shared" si="36"/>
        <v>EOM plus 5 days</v>
      </c>
      <c r="E640" s="4">
        <v>5</v>
      </c>
      <c r="F640" s="104">
        <f t="shared" si="37"/>
        <v>41613</v>
      </c>
      <c r="J640" s="104">
        <f t="shared" si="38"/>
        <v>41613</v>
      </c>
      <c r="L640" t="b">
        <f t="shared" si="39"/>
        <v>1</v>
      </c>
    </row>
    <row r="641" spans="1:12" x14ac:dyDescent="0.25">
      <c r="A641" s="8">
        <v>41585</v>
      </c>
      <c r="B641" s="4">
        <v>59604</v>
      </c>
      <c r="C641" s="57">
        <v>238.55</v>
      </c>
      <c r="D641" s="4" t="str">
        <f t="shared" si="36"/>
        <v>EOM plus 5 days</v>
      </c>
      <c r="E641" s="4">
        <v>5</v>
      </c>
      <c r="F641" s="104">
        <f t="shared" si="37"/>
        <v>41613</v>
      </c>
      <c r="J641" s="104">
        <f t="shared" si="38"/>
        <v>41613</v>
      </c>
      <c r="L641" t="b">
        <f t="shared" si="39"/>
        <v>1</v>
      </c>
    </row>
    <row r="642" spans="1:12" x14ac:dyDescent="0.25">
      <c r="A642" s="8">
        <v>41585</v>
      </c>
      <c r="B642" s="4">
        <v>59605</v>
      </c>
      <c r="C642" s="57">
        <v>279.61</v>
      </c>
      <c r="D642" s="4" t="str">
        <f t="shared" si="36"/>
        <v>EOM plus 15 days</v>
      </c>
      <c r="E642" s="4">
        <v>15</v>
      </c>
      <c r="F642" s="104">
        <f t="shared" si="37"/>
        <v>41623</v>
      </c>
      <c r="J642" s="104">
        <f t="shared" si="38"/>
        <v>41623</v>
      </c>
      <c r="L642" t="b">
        <f t="shared" si="39"/>
        <v>1</v>
      </c>
    </row>
    <row r="643" spans="1:12" x14ac:dyDescent="0.25">
      <c r="A643" s="8">
        <v>41585</v>
      </c>
      <c r="B643" s="4">
        <v>59606</v>
      </c>
      <c r="C643" s="57">
        <v>183.24</v>
      </c>
      <c r="D643" s="4" t="str">
        <f t="shared" si="36"/>
        <v>EOM plus 15 days</v>
      </c>
      <c r="E643" s="4">
        <v>15</v>
      </c>
      <c r="F643" s="104">
        <f t="shared" si="37"/>
        <v>41623</v>
      </c>
      <c r="J643" s="104">
        <f t="shared" si="38"/>
        <v>41623</v>
      </c>
      <c r="L643" t="b">
        <f t="shared" si="39"/>
        <v>1</v>
      </c>
    </row>
    <row r="644" spans="1:12" x14ac:dyDescent="0.25">
      <c r="A644" s="8">
        <v>41585</v>
      </c>
      <c r="B644" s="4">
        <v>59607</v>
      </c>
      <c r="C644" s="57">
        <v>269.95</v>
      </c>
      <c r="D644" s="4" t="str">
        <f t="shared" si="36"/>
        <v>EOM plus 5 days</v>
      </c>
      <c r="E644" s="4">
        <v>5</v>
      </c>
      <c r="F644" s="104">
        <f t="shared" si="37"/>
        <v>41613</v>
      </c>
      <c r="J644" s="104">
        <f t="shared" si="38"/>
        <v>41613</v>
      </c>
      <c r="L644" t="b">
        <f t="shared" si="39"/>
        <v>1</v>
      </c>
    </row>
    <row r="645" spans="1:12" x14ac:dyDescent="0.25">
      <c r="A645" s="8">
        <v>41585</v>
      </c>
      <c r="B645" s="4">
        <v>59608</v>
      </c>
      <c r="C645" s="57">
        <v>49.01</v>
      </c>
      <c r="D645" s="4" t="str">
        <f t="shared" ref="D645:D708" si="40">"EOM plus "&amp;E645&amp;" days"</f>
        <v>EOM plus 10 days</v>
      </c>
      <c r="E645" s="4">
        <v>10</v>
      </c>
      <c r="F645" s="104">
        <f t="shared" si="37"/>
        <v>41618</v>
      </c>
      <c r="J645" s="104">
        <f t="shared" si="38"/>
        <v>41618</v>
      </c>
      <c r="L645" t="b">
        <f t="shared" si="39"/>
        <v>1</v>
      </c>
    </row>
    <row r="646" spans="1:12" x14ac:dyDescent="0.25">
      <c r="A646" s="8">
        <v>41585</v>
      </c>
      <c r="B646" s="4">
        <v>59609</v>
      </c>
      <c r="C646" s="57">
        <v>185.58</v>
      </c>
      <c r="D646" s="4" t="str">
        <f t="shared" si="40"/>
        <v>EOM plus 15 days</v>
      </c>
      <c r="E646" s="4">
        <v>15</v>
      </c>
      <c r="F646" s="104">
        <f t="shared" ref="F646:F709" si="41">EOMONTH(A646,0)+E646</f>
        <v>41623</v>
      </c>
      <c r="J646" s="104">
        <f t="shared" ref="J646:J709" si="42">DATE(YEAR(A646),MONTH(A646)+1,E646)</f>
        <v>41623</v>
      </c>
      <c r="L646" t="b">
        <f t="shared" ref="L646:L709" si="43">J646=F646</f>
        <v>1</v>
      </c>
    </row>
    <row r="647" spans="1:12" x14ac:dyDescent="0.25">
      <c r="A647" s="8">
        <v>41585</v>
      </c>
      <c r="B647" s="4">
        <v>59610</v>
      </c>
      <c r="C647" s="57">
        <v>123.72</v>
      </c>
      <c r="D647" s="4" t="str">
        <f t="shared" si="40"/>
        <v>EOM plus 10 days</v>
      </c>
      <c r="E647" s="4">
        <v>10</v>
      </c>
      <c r="F647" s="104">
        <f t="shared" si="41"/>
        <v>41618</v>
      </c>
      <c r="J647" s="104">
        <f t="shared" si="42"/>
        <v>41618</v>
      </c>
      <c r="L647" t="b">
        <f t="shared" si="43"/>
        <v>1</v>
      </c>
    </row>
    <row r="648" spans="1:12" x14ac:dyDescent="0.25">
      <c r="A648" s="8">
        <v>41585</v>
      </c>
      <c r="B648" s="4">
        <v>59611</v>
      </c>
      <c r="C648" s="57">
        <v>46.16</v>
      </c>
      <c r="D648" s="4" t="str">
        <f t="shared" si="40"/>
        <v>EOM plus 5 days</v>
      </c>
      <c r="E648" s="4">
        <v>5</v>
      </c>
      <c r="F648" s="104">
        <f t="shared" si="41"/>
        <v>41613</v>
      </c>
      <c r="J648" s="104">
        <f t="shared" si="42"/>
        <v>41613</v>
      </c>
      <c r="L648" t="b">
        <f t="shared" si="43"/>
        <v>1</v>
      </c>
    </row>
    <row r="649" spans="1:12" x14ac:dyDescent="0.25">
      <c r="A649" s="8">
        <v>41585</v>
      </c>
      <c r="B649" s="4">
        <v>59612</v>
      </c>
      <c r="C649" s="57">
        <v>313.41000000000003</v>
      </c>
      <c r="D649" s="4" t="str">
        <f t="shared" si="40"/>
        <v>EOM plus 15 days</v>
      </c>
      <c r="E649" s="4">
        <v>15</v>
      </c>
      <c r="F649" s="104">
        <f t="shared" si="41"/>
        <v>41623</v>
      </c>
      <c r="J649" s="104">
        <f t="shared" si="42"/>
        <v>41623</v>
      </c>
      <c r="L649" t="b">
        <f t="shared" si="43"/>
        <v>1</v>
      </c>
    </row>
    <row r="650" spans="1:12" x14ac:dyDescent="0.25">
      <c r="A650" s="8">
        <v>41585</v>
      </c>
      <c r="B650" s="4">
        <v>59613</v>
      </c>
      <c r="C650" s="57">
        <v>81.03</v>
      </c>
      <c r="D650" s="4" t="str">
        <f t="shared" si="40"/>
        <v>EOM plus 10 days</v>
      </c>
      <c r="E650" s="4">
        <v>10</v>
      </c>
      <c r="F650" s="104">
        <f t="shared" si="41"/>
        <v>41618</v>
      </c>
      <c r="J650" s="104">
        <f t="shared" si="42"/>
        <v>41618</v>
      </c>
      <c r="L650" t="b">
        <f t="shared" si="43"/>
        <v>1</v>
      </c>
    </row>
    <row r="651" spans="1:12" x14ac:dyDescent="0.25">
      <c r="A651" s="8">
        <v>41585</v>
      </c>
      <c r="B651" s="4">
        <v>59614</v>
      </c>
      <c r="C651" s="57">
        <v>362.07</v>
      </c>
      <c r="D651" s="4" t="str">
        <f t="shared" si="40"/>
        <v>EOM plus 20 days</v>
      </c>
      <c r="E651" s="4">
        <v>20</v>
      </c>
      <c r="F651" s="104">
        <f t="shared" si="41"/>
        <v>41628</v>
      </c>
      <c r="J651" s="104">
        <f t="shared" si="42"/>
        <v>41628</v>
      </c>
      <c r="L651" t="b">
        <f t="shared" si="43"/>
        <v>1</v>
      </c>
    </row>
    <row r="652" spans="1:12" x14ac:dyDescent="0.25">
      <c r="A652" s="8">
        <v>41585</v>
      </c>
      <c r="B652" s="4">
        <v>59615</v>
      </c>
      <c r="C652" s="57">
        <v>342.32</v>
      </c>
      <c r="D652" s="4" t="str">
        <f t="shared" si="40"/>
        <v>EOM plus 5 days</v>
      </c>
      <c r="E652" s="4">
        <v>5</v>
      </c>
      <c r="F652" s="104">
        <f t="shared" si="41"/>
        <v>41613</v>
      </c>
      <c r="J652" s="104">
        <f t="shared" si="42"/>
        <v>41613</v>
      </c>
      <c r="L652" t="b">
        <f t="shared" si="43"/>
        <v>1</v>
      </c>
    </row>
    <row r="653" spans="1:12" x14ac:dyDescent="0.25">
      <c r="A653" s="8">
        <v>41585</v>
      </c>
      <c r="B653" s="4">
        <v>59616</v>
      </c>
      <c r="C653" s="57">
        <v>84.8</v>
      </c>
      <c r="D653" s="4" t="str">
        <f t="shared" si="40"/>
        <v>EOM plus 15 days</v>
      </c>
      <c r="E653" s="4">
        <v>15</v>
      </c>
      <c r="F653" s="104">
        <f t="shared" si="41"/>
        <v>41623</v>
      </c>
      <c r="J653" s="104">
        <f t="shared" si="42"/>
        <v>41623</v>
      </c>
      <c r="L653" t="b">
        <f t="shared" si="43"/>
        <v>1</v>
      </c>
    </row>
    <row r="654" spans="1:12" x14ac:dyDescent="0.25">
      <c r="A654" s="8">
        <v>41585</v>
      </c>
      <c r="B654" s="4">
        <v>59617</v>
      </c>
      <c r="C654" s="57">
        <v>361.98</v>
      </c>
      <c r="D654" s="4" t="str">
        <f t="shared" si="40"/>
        <v>EOM plus 5 days</v>
      </c>
      <c r="E654" s="4">
        <v>5</v>
      </c>
      <c r="F654" s="104">
        <f t="shared" si="41"/>
        <v>41613</v>
      </c>
      <c r="J654" s="104">
        <f t="shared" si="42"/>
        <v>41613</v>
      </c>
      <c r="L654" t="b">
        <f t="shared" si="43"/>
        <v>1</v>
      </c>
    </row>
    <row r="655" spans="1:12" x14ac:dyDescent="0.25">
      <c r="A655" s="8">
        <v>41585</v>
      </c>
      <c r="B655" s="4">
        <v>59618</v>
      </c>
      <c r="C655" s="57">
        <v>79.989999999999995</v>
      </c>
      <c r="D655" s="4" t="str">
        <f t="shared" si="40"/>
        <v>EOM plus 5 days</v>
      </c>
      <c r="E655" s="4">
        <v>5</v>
      </c>
      <c r="F655" s="104">
        <f t="shared" si="41"/>
        <v>41613</v>
      </c>
      <c r="J655" s="104">
        <f t="shared" si="42"/>
        <v>41613</v>
      </c>
      <c r="L655" t="b">
        <f t="shared" si="43"/>
        <v>1</v>
      </c>
    </row>
    <row r="656" spans="1:12" x14ac:dyDescent="0.25">
      <c r="A656" s="8">
        <v>41585</v>
      </c>
      <c r="B656" s="4">
        <v>59619</v>
      </c>
      <c r="C656" s="57">
        <v>184.95</v>
      </c>
      <c r="D656" s="4" t="str">
        <f t="shared" si="40"/>
        <v>EOM plus 15 days</v>
      </c>
      <c r="E656" s="4">
        <v>15</v>
      </c>
      <c r="F656" s="104">
        <f t="shared" si="41"/>
        <v>41623</v>
      </c>
      <c r="J656" s="104">
        <f t="shared" si="42"/>
        <v>41623</v>
      </c>
      <c r="L656" t="b">
        <f t="shared" si="43"/>
        <v>1</v>
      </c>
    </row>
    <row r="657" spans="1:12" x14ac:dyDescent="0.25">
      <c r="A657" s="8">
        <v>41585</v>
      </c>
      <c r="B657" s="4">
        <v>59620</v>
      </c>
      <c r="C657" s="57">
        <v>81.12</v>
      </c>
      <c r="D657" s="4" t="str">
        <f t="shared" si="40"/>
        <v>EOM plus 5 days</v>
      </c>
      <c r="E657" s="4">
        <v>5</v>
      </c>
      <c r="F657" s="104">
        <f t="shared" si="41"/>
        <v>41613</v>
      </c>
      <c r="J657" s="104">
        <f t="shared" si="42"/>
        <v>41613</v>
      </c>
      <c r="L657" t="b">
        <f t="shared" si="43"/>
        <v>1</v>
      </c>
    </row>
    <row r="658" spans="1:12" x14ac:dyDescent="0.25">
      <c r="A658" s="8">
        <v>41586</v>
      </c>
      <c r="B658" s="4">
        <v>59621</v>
      </c>
      <c r="C658" s="57">
        <v>157.56</v>
      </c>
      <c r="D658" s="4" t="str">
        <f t="shared" si="40"/>
        <v>EOM plus 15 days</v>
      </c>
      <c r="E658" s="4">
        <v>15</v>
      </c>
      <c r="F658" s="104">
        <f t="shared" si="41"/>
        <v>41623</v>
      </c>
      <c r="J658" s="104">
        <f t="shared" si="42"/>
        <v>41623</v>
      </c>
      <c r="L658" t="b">
        <f t="shared" si="43"/>
        <v>1</v>
      </c>
    </row>
    <row r="659" spans="1:12" x14ac:dyDescent="0.25">
      <c r="A659" s="8">
        <v>41586</v>
      </c>
      <c r="B659" s="4">
        <v>59622</v>
      </c>
      <c r="C659" s="57">
        <v>204.43</v>
      </c>
      <c r="D659" s="4" t="str">
        <f t="shared" si="40"/>
        <v>EOM plus 10 days</v>
      </c>
      <c r="E659" s="4">
        <v>10</v>
      </c>
      <c r="F659" s="104">
        <f t="shared" si="41"/>
        <v>41618</v>
      </c>
      <c r="J659" s="104">
        <f t="shared" si="42"/>
        <v>41618</v>
      </c>
      <c r="L659" t="b">
        <f t="shared" si="43"/>
        <v>1</v>
      </c>
    </row>
    <row r="660" spans="1:12" x14ac:dyDescent="0.25">
      <c r="A660" s="8">
        <v>41586</v>
      </c>
      <c r="B660" s="4">
        <v>59623</v>
      </c>
      <c r="C660" s="57">
        <v>248.36</v>
      </c>
      <c r="D660" s="4" t="str">
        <f t="shared" si="40"/>
        <v>EOM plus 10 days</v>
      </c>
      <c r="E660" s="4">
        <v>10</v>
      </c>
      <c r="F660" s="104">
        <f t="shared" si="41"/>
        <v>41618</v>
      </c>
      <c r="J660" s="104">
        <f t="shared" si="42"/>
        <v>41618</v>
      </c>
      <c r="L660" t="b">
        <f t="shared" si="43"/>
        <v>1</v>
      </c>
    </row>
    <row r="661" spans="1:12" x14ac:dyDescent="0.25">
      <c r="A661" s="8">
        <v>41586</v>
      </c>
      <c r="B661" s="4">
        <v>59624</v>
      </c>
      <c r="C661" s="57">
        <v>350.77</v>
      </c>
      <c r="D661" s="4" t="str">
        <f t="shared" si="40"/>
        <v>EOM plus 10 days</v>
      </c>
      <c r="E661" s="4">
        <v>10</v>
      </c>
      <c r="F661" s="104">
        <f t="shared" si="41"/>
        <v>41618</v>
      </c>
      <c r="J661" s="104">
        <f t="shared" si="42"/>
        <v>41618</v>
      </c>
      <c r="L661" t="b">
        <f t="shared" si="43"/>
        <v>1</v>
      </c>
    </row>
    <row r="662" spans="1:12" x14ac:dyDescent="0.25">
      <c r="A662" s="8">
        <v>41586</v>
      </c>
      <c r="B662" s="4">
        <v>59625</v>
      </c>
      <c r="C662" s="57">
        <v>57.13</v>
      </c>
      <c r="D662" s="4" t="str">
        <f t="shared" si="40"/>
        <v>EOM plus 20 days</v>
      </c>
      <c r="E662" s="4">
        <v>20</v>
      </c>
      <c r="F662" s="104">
        <f t="shared" si="41"/>
        <v>41628</v>
      </c>
      <c r="J662" s="104">
        <f t="shared" si="42"/>
        <v>41628</v>
      </c>
      <c r="L662" t="b">
        <f t="shared" si="43"/>
        <v>1</v>
      </c>
    </row>
    <row r="663" spans="1:12" x14ac:dyDescent="0.25">
      <c r="A663" s="8">
        <v>41586</v>
      </c>
      <c r="B663" s="4">
        <v>59626</v>
      </c>
      <c r="C663" s="57">
        <v>125.32</v>
      </c>
      <c r="D663" s="4" t="str">
        <f t="shared" si="40"/>
        <v>EOM plus 5 days</v>
      </c>
      <c r="E663" s="4">
        <v>5</v>
      </c>
      <c r="F663" s="104">
        <f t="shared" si="41"/>
        <v>41613</v>
      </c>
      <c r="J663" s="104">
        <f t="shared" si="42"/>
        <v>41613</v>
      </c>
      <c r="L663" t="b">
        <f t="shared" si="43"/>
        <v>1</v>
      </c>
    </row>
    <row r="664" spans="1:12" x14ac:dyDescent="0.25">
      <c r="A664" s="8">
        <v>41586</v>
      </c>
      <c r="B664" s="4">
        <v>59627</v>
      </c>
      <c r="C664" s="57">
        <v>107.93</v>
      </c>
      <c r="D664" s="4" t="str">
        <f t="shared" si="40"/>
        <v>EOM plus 5 days</v>
      </c>
      <c r="E664" s="4">
        <v>5</v>
      </c>
      <c r="F664" s="104">
        <f t="shared" si="41"/>
        <v>41613</v>
      </c>
      <c r="J664" s="104">
        <f t="shared" si="42"/>
        <v>41613</v>
      </c>
      <c r="L664" t="b">
        <f t="shared" si="43"/>
        <v>1</v>
      </c>
    </row>
    <row r="665" spans="1:12" x14ac:dyDescent="0.25">
      <c r="A665" s="8">
        <v>41586</v>
      </c>
      <c r="B665" s="4">
        <v>59628</v>
      </c>
      <c r="C665" s="57">
        <v>208.18</v>
      </c>
      <c r="D665" s="4" t="str">
        <f t="shared" si="40"/>
        <v>EOM plus 20 days</v>
      </c>
      <c r="E665" s="4">
        <v>20</v>
      </c>
      <c r="F665" s="104">
        <f t="shared" si="41"/>
        <v>41628</v>
      </c>
      <c r="J665" s="104">
        <f t="shared" si="42"/>
        <v>41628</v>
      </c>
      <c r="L665" t="b">
        <f t="shared" si="43"/>
        <v>1</v>
      </c>
    </row>
    <row r="666" spans="1:12" x14ac:dyDescent="0.25">
      <c r="A666" s="8">
        <v>41586</v>
      </c>
      <c r="B666" s="4">
        <v>59629</v>
      </c>
      <c r="C666" s="57">
        <v>47.44</v>
      </c>
      <c r="D666" s="4" t="str">
        <f t="shared" si="40"/>
        <v>EOM plus 5 days</v>
      </c>
      <c r="E666" s="4">
        <v>5</v>
      </c>
      <c r="F666" s="104">
        <f t="shared" si="41"/>
        <v>41613</v>
      </c>
      <c r="J666" s="104">
        <f t="shared" si="42"/>
        <v>41613</v>
      </c>
      <c r="L666" t="b">
        <f t="shared" si="43"/>
        <v>1</v>
      </c>
    </row>
    <row r="667" spans="1:12" x14ac:dyDescent="0.25">
      <c r="A667" s="8">
        <v>41586</v>
      </c>
      <c r="B667" s="4">
        <v>59630</v>
      </c>
      <c r="C667" s="57">
        <v>89.51</v>
      </c>
      <c r="D667" s="4" t="str">
        <f t="shared" si="40"/>
        <v>EOM plus 15 days</v>
      </c>
      <c r="E667" s="4">
        <v>15</v>
      </c>
      <c r="F667" s="104">
        <f t="shared" si="41"/>
        <v>41623</v>
      </c>
      <c r="J667" s="104">
        <f t="shared" si="42"/>
        <v>41623</v>
      </c>
      <c r="L667" t="b">
        <f t="shared" si="43"/>
        <v>1</v>
      </c>
    </row>
    <row r="668" spans="1:12" x14ac:dyDescent="0.25">
      <c r="A668" s="8">
        <v>41586</v>
      </c>
      <c r="B668" s="4">
        <v>59631</v>
      </c>
      <c r="C668" s="57">
        <v>68.22</v>
      </c>
      <c r="D668" s="4" t="str">
        <f t="shared" si="40"/>
        <v>EOM plus 10 days</v>
      </c>
      <c r="E668" s="4">
        <v>10</v>
      </c>
      <c r="F668" s="104">
        <f t="shared" si="41"/>
        <v>41618</v>
      </c>
      <c r="J668" s="104">
        <f t="shared" si="42"/>
        <v>41618</v>
      </c>
      <c r="L668" t="b">
        <f t="shared" si="43"/>
        <v>1</v>
      </c>
    </row>
    <row r="669" spans="1:12" x14ac:dyDescent="0.25">
      <c r="A669" s="8">
        <v>41586</v>
      </c>
      <c r="B669" s="4">
        <v>59632</v>
      </c>
      <c r="C669" s="57">
        <v>206.4</v>
      </c>
      <c r="D669" s="4" t="str">
        <f t="shared" si="40"/>
        <v>EOM plus 10 days</v>
      </c>
      <c r="E669" s="4">
        <v>10</v>
      </c>
      <c r="F669" s="104">
        <f t="shared" si="41"/>
        <v>41618</v>
      </c>
      <c r="J669" s="104">
        <f t="shared" si="42"/>
        <v>41618</v>
      </c>
      <c r="L669" t="b">
        <f t="shared" si="43"/>
        <v>1</v>
      </c>
    </row>
    <row r="670" spans="1:12" x14ac:dyDescent="0.25">
      <c r="A670" s="8">
        <v>41586</v>
      </c>
      <c r="B670" s="4">
        <v>59633</v>
      </c>
      <c r="C670" s="57">
        <v>336.27</v>
      </c>
      <c r="D670" s="4" t="str">
        <f t="shared" si="40"/>
        <v>EOM plus 15 days</v>
      </c>
      <c r="E670" s="4">
        <v>15</v>
      </c>
      <c r="F670" s="104">
        <f t="shared" si="41"/>
        <v>41623</v>
      </c>
      <c r="J670" s="104">
        <f t="shared" si="42"/>
        <v>41623</v>
      </c>
      <c r="L670" t="b">
        <f t="shared" si="43"/>
        <v>1</v>
      </c>
    </row>
    <row r="671" spans="1:12" x14ac:dyDescent="0.25">
      <c r="A671" s="8">
        <v>41587</v>
      </c>
      <c r="B671" s="4">
        <v>59634</v>
      </c>
      <c r="C671" s="57">
        <v>90.59</v>
      </c>
      <c r="D671" s="4" t="str">
        <f t="shared" si="40"/>
        <v>EOM plus 5 days</v>
      </c>
      <c r="E671" s="4">
        <v>5</v>
      </c>
      <c r="F671" s="104">
        <f t="shared" si="41"/>
        <v>41613</v>
      </c>
      <c r="J671" s="104">
        <f t="shared" si="42"/>
        <v>41613</v>
      </c>
      <c r="L671" t="b">
        <f t="shared" si="43"/>
        <v>1</v>
      </c>
    </row>
    <row r="672" spans="1:12" x14ac:dyDescent="0.25">
      <c r="A672" s="8">
        <v>41587</v>
      </c>
      <c r="B672" s="4">
        <v>59635</v>
      </c>
      <c r="C672" s="57">
        <v>187.88</v>
      </c>
      <c r="D672" s="4" t="str">
        <f t="shared" si="40"/>
        <v>EOM plus 15 days</v>
      </c>
      <c r="E672" s="4">
        <v>15</v>
      </c>
      <c r="F672" s="104">
        <f t="shared" si="41"/>
        <v>41623</v>
      </c>
      <c r="J672" s="104">
        <f t="shared" si="42"/>
        <v>41623</v>
      </c>
      <c r="L672" t="b">
        <f t="shared" si="43"/>
        <v>1</v>
      </c>
    </row>
    <row r="673" spans="1:12" x14ac:dyDescent="0.25">
      <c r="A673" s="8">
        <v>41587</v>
      </c>
      <c r="B673" s="4">
        <v>59636</v>
      </c>
      <c r="C673" s="57">
        <v>122.01</v>
      </c>
      <c r="D673" s="4" t="str">
        <f t="shared" si="40"/>
        <v>EOM plus 5 days</v>
      </c>
      <c r="E673" s="4">
        <v>5</v>
      </c>
      <c r="F673" s="104">
        <f t="shared" si="41"/>
        <v>41613</v>
      </c>
      <c r="J673" s="104">
        <f t="shared" si="42"/>
        <v>41613</v>
      </c>
      <c r="L673" t="b">
        <f t="shared" si="43"/>
        <v>1</v>
      </c>
    </row>
    <row r="674" spans="1:12" x14ac:dyDescent="0.25">
      <c r="A674" s="8">
        <v>41587</v>
      </c>
      <c r="B674" s="4">
        <v>59637</v>
      </c>
      <c r="C674" s="57">
        <v>202.11</v>
      </c>
      <c r="D674" s="4" t="str">
        <f t="shared" si="40"/>
        <v>EOM plus 10 days</v>
      </c>
      <c r="E674" s="4">
        <v>10</v>
      </c>
      <c r="F674" s="104">
        <f t="shared" si="41"/>
        <v>41618</v>
      </c>
      <c r="J674" s="104">
        <f t="shared" si="42"/>
        <v>41618</v>
      </c>
      <c r="L674" t="b">
        <f t="shared" si="43"/>
        <v>1</v>
      </c>
    </row>
    <row r="675" spans="1:12" x14ac:dyDescent="0.25">
      <c r="A675" s="8">
        <v>41587</v>
      </c>
      <c r="B675" s="4">
        <v>59638</v>
      </c>
      <c r="C675" s="57">
        <v>43.78</v>
      </c>
      <c r="D675" s="4" t="str">
        <f t="shared" si="40"/>
        <v>EOM plus 10 days</v>
      </c>
      <c r="E675" s="4">
        <v>10</v>
      </c>
      <c r="F675" s="104">
        <f t="shared" si="41"/>
        <v>41618</v>
      </c>
      <c r="J675" s="104">
        <f t="shared" si="42"/>
        <v>41618</v>
      </c>
      <c r="L675" t="b">
        <f t="shared" si="43"/>
        <v>1</v>
      </c>
    </row>
    <row r="676" spans="1:12" x14ac:dyDescent="0.25">
      <c r="A676" s="8">
        <v>41587</v>
      </c>
      <c r="B676" s="4">
        <v>59639</v>
      </c>
      <c r="C676" s="57">
        <v>136.88</v>
      </c>
      <c r="D676" s="4" t="str">
        <f t="shared" si="40"/>
        <v>EOM plus 5 days</v>
      </c>
      <c r="E676" s="4">
        <v>5</v>
      </c>
      <c r="F676" s="104">
        <f t="shared" si="41"/>
        <v>41613</v>
      </c>
      <c r="J676" s="104">
        <f t="shared" si="42"/>
        <v>41613</v>
      </c>
      <c r="L676" t="b">
        <f t="shared" si="43"/>
        <v>1</v>
      </c>
    </row>
    <row r="677" spans="1:12" x14ac:dyDescent="0.25">
      <c r="A677" s="8">
        <v>41587</v>
      </c>
      <c r="B677" s="4">
        <v>59640</v>
      </c>
      <c r="C677" s="57">
        <v>73.92</v>
      </c>
      <c r="D677" s="4" t="str">
        <f t="shared" si="40"/>
        <v>EOM plus 5 days</v>
      </c>
      <c r="E677" s="4">
        <v>5</v>
      </c>
      <c r="F677" s="104">
        <f t="shared" si="41"/>
        <v>41613</v>
      </c>
      <c r="J677" s="104">
        <f t="shared" si="42"/>
        <v>41613</v>
      </c>
      <c r="L677" t="b">
        <f t="shared" si="43"/>
        <v>1</v>
      </c>
    </row>
    <row r="678" spans="1:12" x14ac:dyDescent="0.25">
      <c r="A678" s="8">
        <v>41587</v>
      </c>
      <c r="B678" s="4">
        <v>59641</v>
      </c>
      <c r="C678" s="57">
        <v>166.45</v>
      </c>
      <c r="D678" s="4" t="str">
        <f t="shared" si="40"/>
        <v>EOM plus 5 days</v>
      </c>
      <c r="E678" s="4">
        <v>5</v>
      </c>
      <c r="F678" s="104">
        <f t="shared" si="41"/>
        <v>41613</v>
      </c>
      <c r="J678" s="104">
        <f t="shared" si="42"/>
        <v>41613</v>
      </c>
      <c r="L678" t="b">
        <f t="shared" si="43"/>
        <v>1</v>
      </c>
    </row>
    <row r="679" spans="1:12" x14ac:dyDescent="0.25">
      <c r="A679" s="8">
        <v>41587</v>
      </c>
      <c r="B679" s="4">
        <v>59642</v>
      </c>
      <c r="C679" s="57">
        <v>214.87</v>
      </c>
      <c r="D679" s="4" t="str">
        <f t="shared" si="40"/>
        <v>EOM plus 5 days</v>
      </c>
      <c r="E679" s="4">
        <v>5</v>
      </c>
      <c r="F679" s="104">
        <f t="shared" si="41"/>
        <v>41613</v>
      </c>
      <c r="J679" s="104">
        <f t="shared" si="42"/>
        <v>41613</v>
      </c>
      <c r="L679" t="b">
        <f t="shared" si="43"/>
        <v>1</v>
      </c>
    </row>
    <row r="680" spans="1:12" x14ac:dyDescent="0.25">
      <c r="A680" s="8">
        <v>41587</v>
      </c>
      <c r="B680" s="4">
        <v>59643</v>
      </c>
      <c r="C680" s="57">
        <v>119.85</v>
      </c>
      <c r="D680" s="4" t="str">
        <f t="shared" si="40"/>
        <v>EOM plus 5 days</v>
      </c>
      <c r="E680" s="4">
        <v>5</v>
      </c>
      <c r="F680" s="104">
        <f t="shared" si="41"/>
        <v>41613</v>
      </c>
      <c r="J680" s="104">
        <f t="shared" si="42"/>
        <v>41613</v>
      </c>
      <c r="L680" t="b">
        <f t="shared" si="43"/>
        <v>1</v>
      </c>
    </row>
    <row r="681" spans="1:12" x14ac:dyDescent="0.25">
      <c r="A681" s="8">
        <v>41587</v>
      </c>
      <c r="B681" s="4">
        <v>59644</v>
      </c>
      <c r="C681" s="57">
        <v>67.56</v>
      </c>
      <c r="D681" s="4" t="str">
        <f t="shared" si="40"/>
        <v>EOM plus 15 days</v>
      </c>
      <c r="E681" s="4">
        <v>15</v>
      </c>
      <c r="F681" s="104">
        <f t="shared" si="41"/>
        <v>41623</v>
      </c>
      <c r="J681" s="104">
        <f t="shared" si="42"/>
        <v>41623</v>
      </c>
      <c r="L681" t="b">
        <f t="shared" si="43"/>
        <v>1</v>
      </c>
    </row>
    <row r="682" spans="1:12" x14ac:dyDescent="0.25">
      <c r="A682" s="8">
        <v>41587</v>
      </c>
      <c r="B682" s="4">
        <v>59645</v>
      </c>
      <c r="C682" s="57">
        <v>368.51</v>
      </c>
      <c r="D682" s="4" t="str">
        <f t="shared" si="40"/>
        <v>EOM plus 5 days</v>
      </c>
      <c r="E682" s="4">
        <v>5</v>
      </c>
      <c r="F682" s="104">
        <f t="shared" si="41"/>
        <v>41613</v>
      </c>
      <c r="J682" s="104">
        <f t="shared" si="42"/>
        <v>41613</v>
      </c>
      <c r="L682" t="b">
        <f t="shared" si="43"/>
        <v>1</v>
      </c>
    </row>
    <row r="683" spans="1:12" x14ac:dyDescent="0.25">
      <c r="A683" s="8">
        <v>41587</v>
      </c>
      <c r="B683" s="4">
        <v>59646</v>
      </c>
      <c r="C683" s="57">
        <v>51.49</v>
      </c>
      <c r="D683" s="4" t="str">
        <f t="shared" si="40"/>
        <v>EOM plus 5 days</v>
      </c>
      <c r="E683" s="4">
        <v>5</v>
      </c>
      <c r="F683" s="104">
        <f t="shared" si="41"/>
        <v>41613</v>
      </c>
      <c r="J683" s="104">
        <f t="shared" si="42"/>
        <v>41613</v>
      </c>
      <c r="L683" t="b">
        <f t="shared" si="43"/>
        <v>1</v>
      </c>
    </row>
    <row r="684" spans="1:12" x14ac:dyDescent="0.25">
      <c r="A684" s="8">
        <v>41587</v>
      </c>
      <c r="B684" s="4">
        <v>59647</v>
      </c>
      <c r="C684" s="57">
        <v>261.58</v>
      </c>
      <c r="D684" s="4" t="str">
        <f t="shared" si="40"/>
        <v>EOM plus 10 days</v>
      </c>
      <c r="E684" s="4">
        <v>10</v>
      </c>
      <c r="F684" s="104">
        <f t="shared" si="41"/>
        <v>41618</v>
      </c>
      <c r="J684" s="104">
        <f t="shared" si="42"/>
        <v>41618</v>
      </c>
      <c r="L684" t="b">
        <f t="shared" si="43"/>
        <v>1</v>
      </c>
    </row>
    <row r="685" spans="1:12" x14ac:dyDescent="0.25">
      <c r="A685" s="8">
        <v>41588</v>
      </c>
      <c r="B685" s="4">
        <v>59648</v>
      </c>
      <c r="C685" s="57">
        <v>126.61</v>
      </c>
      <c r="D685" s="4" t="str">
        <f t="shared" si="40"/>
        <v>EOM plus 10 days</v>
      </c>
      <c r="E685" s="4">
        <v>10</v>
      </c>
      <c r="F685" s="104">
        <f t="shared" si="41"/>
        <v>41618</v>
      </c>
      <c r="J685" s="104">
        <f t="shared" si="42"/>
        <v>41618</v>
      </c>
      <c r="L685" t="b">
        <f t="shared" si="43"/>
        <v>1</v>
      </c>
    </row>
    <row r="686" spans="1:12" x14ac:dyDescent="0.25">
      <c r="A686" s="8">
        <v>41588</v>
      </c>
      <c r="B686" s="4">
        <v>59649</v>
      </c>
      <c r="C686" s="57">
        <v>304.48</v>
      </c>
      <c r="D686" s="4" t="str">
        <f t="shared" si="40"/>
        <v>EOM plus 15 days</v>
      </c>
      <c r="E686" s="4">
        <v>15</v>
      </c>
      <c r="F686" s="104">
        <f t="shared" si="41"/>
        <v>41623</v>
      </c>
      <c r="J686" s="104">
        <f t="shared" si="42"/>
        <v>41623</v>
      </c>
      <c r="L686" t="b">
        <f t="shared" si="43"/>
        <v>1</v>
      </c>
    </row>
    <row r="687" spans="1:12" x14ac:dyDescent="0.25">
      <c r="A687" s="8">
        <v>41588</v>
      </c>
      <c r="B687" s="4">
        <v>59650</v>
      </c>
      <c r="C687" s="57">
        <v>96.5</v>
      </c>
      <c r="D687" s="4" t="str">
        <f t="shared" si="40"/>
        <v>EOM plus 20 days</v>
      </c>
      <c r="E687" s="4">
        <v>20</v>
      </c>
      <c r="F687" s="104">
        <f t="shared" si="41"/>
        <v>41628</v>
      </c>
      <c r="J687" s="104">
        <f t="shared" si="42"/>
        <v>41628</v>
      </c>
      <c r="L687" t="b">
        <f t="shared" si="43"/>
        <v>1</v>
      </c>
    </row>
    <row r="688" spans="1:12" x14ac:dyDescent="0.25">
      <c r="A688" s="8">
        <v>41588</v>
      </c>
      <c r="B688" s="4">
        <v>59651</v>
      </c>
      <c r="C688" s="57">
        <v>123.14</v>
      </c>
      <c r="D688" s="4" t="str">
        <f t="shared" si="40"/>
        <v>EOM plus 15 days</v>
      </c>
      <c r="E688" s="4">
        <v>15</v>
      </c>
      <c r="F688" s="104">
        <f t="shared" si="41"/>
        <v>41623</v>
      </c>
      <c r="J688" s="104">
        <f t="shared" si="42"/>
        <v>41623</v>
      </c>
      <c r="L688" t="b">
        <f t="shared" si="43"/>
        <v>1</v>
      </c>
    </row>
    <row r="689" spans="1:12" x14ac:dyDescent="0.25">
      <c r="A689" s="8">
        <v>41588</v>
      </c>
      <c r="B689" s="4">
        <v>59652</v>
      </c>
      <c r="C689" s="57">
        <v>157.99</v>
      </c>
      <c r="D689" s="4" t="str">
        <f t="shared" si="40"/>
        <v>EOM plus 15 days</v>
      </c>
      <c r="E689" s="4">
        <v>15</v>
      </c>
      <c r="F689" s="104">
        <f t="shared" si="41"/>
        <v>41623</v>
      </c>
      <c r="J689" s="104">
        <f t="shared" si="42"/>
        <v>41623</v>
      </c>
      <c r="L689" t="b">
        <f t="shared" si="43"/>
        <v>1</v>
      </c>
    </row>
    <row r="690" spans="1:12" x14ac:dyDescent="0.25">
      <c r="A690" s="8">
        <v>41588</v>
      </c>
      <c r="B690" s="4">
        <v>59653</v>
      </c>
      <c r="C690" s="57">
        <v>229.05</v>
      </c>
      <c r="D690" s="4" t="str">
        <f t="shared" si="40"/>
        <v>EOM plus 15 days</v>
      </c>
      <c r="E690" s="4">
        <v>15</v>
      </c>
      <c r="F690" s="104">
        <f t="shared" si="41"/>
        <v>41623</v>
      </c>
      <c r="J690" s="104">
        <f t="shared" si="42"/>
        <v>41623</v>
      </c>
      <c r="L690" t="b">
        <f t="shared" si="43"/>
        <v>1</v>
      </c>
    </row>
    <row r="691" spans="1:12" x14ac:dyDescent="0.25">
      <c r="A691" s="8">
        <v>41588</v>
      </c>
      <c r="B691" s="4">
        <v>59654</v>
      </c>
      <c r="C691" s="57">
        <v>229.8</v>
      </c>
      <c r="D691" s="4" t="str">
        <f t="shared" si="40"/>
        <v>EOM plus 15 days</v>
      </c>
      <c r="E691" s="4">
        <v>15</v>
      </c>
      <c r="F691" s="104">
        <f t="shared" si="41"/>
        <v>41623</v>
      </c>
      <c r="J691" s="104">
        <f t="shared" si="42"/>
        <v>41623</v>
      </c>
      <c r="L691" t="b">
        <f t="shared" si="43"/>
        <v>1</v>
      </c>
    </row>
    <row r="692" spans="1:12" x14ac:dyDescent="0.25">
      <c r="A692" s="8">
        <v>41588</v>
      </c>
      <c r="B692" s="4">
        <v>59655</v>
      </c>
      <c r="C692" s="57">
        <v>322.58999999999997</v>
      </c>
      <c r="D692" s="4" t="str">
        <f t="shared" si="40"/>
        <v>EOM plus 5 days</v>
      </c>
      <c r="E692" s="4">
        <v>5</v>
      </c>
      <c r="F692" s="104">
        <f t="shared" si="41"/>
        <v>41613</v>
      </c>
      <c r="J692" s="104">
        <f t="shared" si="42"/>
        <v>41613</v>
      </c>
      <c r="L692" t="b">
        <f t="shared" si="43"/>
        <v>1</v>
      </c>
    </row>
    <row r="693" spans="1:12" x14ac:dyDescent="0.25">
      <c r="A693" s="8">
        <v>41588</v>
      </c>
      <c r="B693" s="4">
        <v>59656</v>
      </c>
      <c r="C693" s="57">
        <v>244.16</v>
      </c>
      <c r="D693" s="4" t="str">
        <f t="shared" si="40"/>
        <v>EOM plus 10 days</v>
      </c>
      <c r="E693" s="4">
        <v>10</v>
      </c>
      <c r="F693" s="104">
        <f t="shared" si="41"/>
        <v>41618</v>
      </c>
      <c r="J693" s="104">
        <f t="shared" si="42"/>
        <v>41618</v>
      </c>
      <c r="L693" t="b">
        <f t="shared" si="43"/>
        <v>1</v>
      </c>
    </row>
    <row r="694" spans="1:12" x14ac:dyDescent="0.25">
      <c r="A694" s="8">
        <v>41588</v>
      </c>
      <c r="B694" s="4">
        <v>59657</v>
      </c>
      <c r="C694" s="57">
        <v>277.33</v>
      </c>
      <c r="D694" s="4" t="str">
        <f t="shared" si="40"/>
        <v>EOM plus 5 days</v>
      </c>
      <c r="E694" s="4">
        <v>5</v>
      </c>
      <c r="F694" s="104">
        <f t="shared" si="41"/>
        <v>41613</v>
      </c>
      <c r="J694" s="104">
        <f t="shared" si="42"/>
        <v>41613</v>
      </c>
      <c r="L694" t="b">
        <f t="shared" si="43"/>
        <v>1</v>
      </c>
    </row>
    <row r="695" spans="1:12" x14ac:dyDescent="0.25">
      <c r="A695" s="8">
        <v>41588</v>
      </c>
      <c r="B695" s="4">
        <v>59658</v>
      </c>
      <c r="C695" s="57">
        <v>99.39</v>
      </c>
      <c r="D695" s="4" t="str">
        <f t="shared" si="40"/>
        <v>EOM plus 5 days</v>
      </c>
      <c r="E695" s="4">
        <v>5</v>
      </c>
      <c r="F695" s="104">
        <f t="shared" si="41"/>
        <v>41613</v>
      </c>
      <c r="J695" s="104">
        <f t="shared" si="42"/>
        <v>41613</v>
      </c>
      <c r="L695" t="b">
        <f t="shared" si="43"/>
        <v>1</v>
      </c>
    </row>
    <row r="696" spans="1:12" x14ac:dyDescent="0.25">
      <c r="A696" s="8">
        <v>41588</v>
      </c>
      <c r="B696" s="4">
        <v>59659</v>
      </c>
      <c r="C696" s="57">
        <v>295.95999999999998</v>
      </c>
      <c r="D696" s="4" t="str">
        <f t="shared" si="40"/>
        <v>EOM plus 15 days</v>
      </c>
      <c r="E696" s="4">
        <v>15</v>
      </c>
      <c r="F696" s="104">
        <f t="shared" si="41"/>
        <v>41623</v>
      </c>
      <c r="J696" s="104">
        <f t="shared" si="42"/>
        <v>41623</v>
      </c>
      <c r="L696" t="b">
        <f t="shared" si="43"/>
        <v>1</v>
      </c>
    </row>
    <row r="697" spans="1:12" x14ac:dyDescent="0.25">
      <c r="A697" s="8">
        <v>41588</v>
      </c>
      <c r="B697" s="4">
        <v>59660</v>
      </c>
      <c r="C697" s="57">
        <v>310.51</v>
      </c>
      <c r="D697" s="4" t="str">
        <f t="shared" si="40"/>
        <v>EOM plus 10 days</v>
      </c>
      <c r="E697" s="4">
        <v>10</v>
      </c>
      <c r="F697" s="104">
        <f t="shared" si="41"/>
        <v>41618</v>
      </c>
      <c r="J697" s="104">
        <f t="shared" si="42"/>
        <v>41618</v>
      </c>
      <c r="L697" t="b">
        <f t="shared" si="43"/>
        <v>1</v>
      </c>
    </row>
    <row r="698" spans="1:12" x14ac:dyDescent="0.25">
      <c r="A698" s="8">
        <v>41588</v>
      </c>
      <c r="B698" s="4">
        <v>59661</v>
      </c>
      <c r="C698" s="57">
        <v>94.44</v>
      </c>
      <c r="D698" s="4" t="str">
        <f t="shared" si="40"/>
        <v>EOM plus 20 days</v>
      </c>
      <c r="E698" s="4">
        <v>20</v>
      </c>
      <c r="F698" s="104">
        <f t="shared" si="41"/>
        <v>41628</v>
      </c>
      <c r="J698" s="104">
        <f t="shared" si="42"/>
        <v>41628</v>
      </c>
      <c r="L698" t="b">
        <f t="shared" si="43"/>
        <v>1</v>
      </c>
    </row>
    <row r="699" spans="1:12" x14ac:dyDescent="0.25">
      <c r="A699" s="8">
        <v>41588</v>
      </c>
      <c r="B699" s="4">
        <v>59662</v>
      </c>
      <c r="C699" s="57">
        <v>147</v>
      </c>
      <c r="D699" s="4" t="str">
        <f t="shared" si="40"/>
        <v>EOM plus 20 days</v>
      </c>
      <c r="E699" s="4">
        <v>20</v>
      </c>
      <c r="F699" s="104">
        <f t="shared" si="41"/>
        <v>41628</v>
      </c>
      <c r="J699" s="104">
        <f t="shared" si="42"/>
        <v>41628</v>
      </c>
      <c r="L699" t="b">
        <f t="shared" si="43"/>
        <v>1</v>
      </c>
    </row>
    <row r="700" spans="1:12" x14ac:dyDescent="0.25">
      <c r="A700" s="8">
        <v>41588</v>
      </c>
      <c r="B700" s="4">
        <v>59663</v>
      </c>
      <c r="C700" s="57">
        <v>108.48</v>
      </c>
      <c r="D700" s="4" t="str">
        <f t="shared" si="40"/>
        <v>EOM plus 10 days</v>
      </c>
      <c r="E700" s="4">
        <v>10</v>
      </c>
      <c r="F700" s="104">
        <f t="shared" si="41"/>
        <v>41618</v>
      </c>
      <c r="J700" s="104">
        <f t="shared" si="42"/>
        <v>41618</v>
      </c>
      <c r="L700" t="b">
        <f t="shared" si="43"/>
        <v>1</v>
      </c>
    </row>
    <row r="701" spans="1:12" x14ac:dyDescent="0.25">
      <c r="A701" s="8">
        <v>41588</v>
      </c>
      <c r="B701" s="4">
        <v>59664</v>
      </c>
      <c r="C701" s="57">
        <v>156.03</v>
      </c>
      <c r="D701" s="4" t="str">
        <f t="shared" si="40"/>
        <v>EOM plus 20 days</v>
      </c>
      <c r="E701" s="4">
        <v>20</v>
      </c>
      <c r="F701" s="104">
        <f t="shared" si="41"/>
        <v>41628</v>
      </c>
      <c r="J701" s="104">
        <f t="shared" si="42"/>
        <v>41628</v>
      </c>
      <c r="L701" t="b">
        <f t="shared" si="43"/>
        <v>1</v>
      </c>
    </row>
    <row r="702" spans="1:12" x14ac:dyDescent="0.25">
      <c r="A702" s="8">
        <v>41588</v>
      </c>
      <c r="B702" s="4">
        <v>59665</v>
      </c>
      <c r="C702" s="57">
        <v>45.15</v>
      </c>
      <c r="D702" s="4" t="str">
        <f t="shared" si="40"/>
        <v>EOM plus 10 days</v>
      </c>
      <c r="E702" s="4">
        <v>10</v>
      </c>
      <c r="F702" s="104">
        <f t="shared" si="41"/>
        <v>41618</v>
      </c>
      <c r="J702" s="104">
        <f t="shared" si="42"/>
        <v>41618</v>
      </c>
      <c r="L702" t="b">
        <f t="shared" si="43"/>
        <v>1</v>
      </c>
    </row>
    <row r="703" spans="1:12" x14ac:dyDescent="0.25">
      <c r="A703" s="8">
        <v>41588</v>
      </c>
      <c r="B703" s="4">
        <v>59666</v>
      </c>
      <c r="C703" s="57">
        <v>192.48</v>
      </c>
      <c r="D703" s="4" t="str">
        <f t="shared" si="40"/>
        <v>EOM plus 15 days</v>
      </c>
      <c r="E703" s="4">
        <v>15</v>
      </c>
      <c r="F703" s="104">
        <f t="shared" si="41"/>
        <v>41623</v>
      </c>
      <c r="J703" s="104">
        <f t="shared" si="42"/>
        <v>41623</v>
      </c>
      <c r="L703" t="b">
        <f t="shared" si="43"/>
        <v>1</v>
      </c>
    </row>
    <row r="704" spans="1:12" x14ac:dyDescent="0.25">
      <c r="A704" s="8">
        <v>41588</v>
      </c>
      <c r="B704" s="4">
        <v>59667</v>
      </c>
      <c r="C704" s="57">
        <v>43.34</v>
      </c>
      <c r="D704" s="4" t="str">
        <f t="shared" si="40"/>
        <v>EOM plus 10 days</v>
      </c>
      <c r="E704" s="4">
        <v>10</v>
      </c>
      <c r="F704" s="104">
        <f t="shared" si="41"/>
        <v>41618</v>
      </c>
      <c r="J704" s="104">
        <f t="shared" si="42"/>
        <v>41618</v>
      </c>
      <c r="L704" t="b">
        <f t="shared" si="43"/>
        <v>1</v>
      </c>
    </row>
    <row r="705" spans="1:12" x14ac:dyDescent="0.25">
      <c r="A705" s="8">
        <v>41588</v>
      </c>
      <c r="B705" s="4">
        <v>59668</v>
      </c>
      <c r="C705" s="57">
        <v>169.85</v>
      </c>
      <c r="D705" s="4" t="str">
        <f t="shared" si="40"/>
        <v>EOM plus 20 days</v>
      </c>
      <c r="E705" s="4">
        <v>20</v>
      </c>
      <c r="F705" s="104">
        <f t="shared" si="41"/>
        <v>41628</v>
      </c>
      <c r="J705" s="104">
        <f t="shared" si="42"/>
        <v>41628</v>
      </c>
      <c r="L705" t="b">
        <f t="shared" si="43"/>
        <v>1</v>
      </c>
    </row>
    <row r="706" spans="1:12" x14ac:dyDescent="0.25">
      <c r="A706" s="8">
        <v>41588</v>
      </c>
      <c r="B706" s="4">
        <v>59669</v>
      </c>
      <c r="C706" s="57">
        <v>280.01</v>
      </c>
      <c r="D706" s="4" t="str">
        <f t="shared" si="40"/>
        <v>EOM plus 5 days</v>
      </c>
      <c r="E706" s="4">
        <v>5</v>
      </c>
      <c r="F706" s="104">
        <f t="shared" si="41"/>
        <v>41613</v>
      </c>
      <c r="J706" s="104">
        <f t="shared" si="42"/>
        <v>41613</v>
      </c>
      <c r="L706" t="b">
        <f t="shared" si="43"/>
        <v>1</v>
      </c>
    </row>
    <row r="707" spans="1:12" x14ac:dyDescent="0.25">
      <c r="A707" s="8">
        <v>41588</v>
      </c>
      <c r="B707" s="4">
        <v>59670</v>
      </c>
      <c r="C707" s="57">
        <v>377.44</v>
      </c>
      <c r="D707" s="4" t="str">
        <f t="shared" si="40"/>
        <v>EOM plus 15 days</v>
      </c>
      <c r="E707" s="4">
        <v>15</v>
      </c>
      <c r="F707" s="104">
        <f t="shared" si="41"/>
        <v>41623</v>
      </c>
      <c r="J707" s="104">
        <f t="shared" si="42"/>
        <v>41623</v>
      </c>
      <c r="L707" t="b">
        <f t="shared" si="43"/>
        <v>1</v>
      </c>
    </row>
    <row r="708" spans="1:12" x14ac:dyDescent="0.25">
      <c r="A708" s="8">
        <v>41588</v>
      </c>
      <c r="B708" s="4">
        <v>59671</v>
      </c>
      <c r="C708" s="57">
        <v>345.72</v>
      </c>
      <c r="D708" s="4" t="str">
        <f t="shared" si="40"/>
        <v>EOM plus 10 days</v>
      </c>
      <c r="E708" s="4">
        <v>10</v>
      </c>
      <c r="F708" s="104">
        <f t="shared" si="41"/>
        <v>41618</v>
      </c>
      <c r="J708" s="104">
        <f t="shared" si="42"/>
        <v>41618</v>
      </c>
      <c r="L708" t="b">
        <f t="shared" si="43"/>
        <v>1</v>
      </c>
    </row>
    <row r="709" spans="1:12" x14ac:dyDescent="0.25">
      <c r="A709" s="8">
        <v>41589</v>
      </c>
      <c r="B709" s="4">
        <v>59672</v>
      </c>
      <c r="C709" s="57">
        <v>151.81</v>
      </c>
      <c r="D709" s="4" t="str">
        <f t="shared" ref="D709:D772" si="44">"EOM plus "&amp;E709&amp;" days"</f>
        <v>EOM plus 10 days</v>
      </c>
      <c r="E709" s="4">
        <v>10</v>
      </c>
      <c r="F709" s="104">
        <f t="shared" si="41"/>
        <v>41618</v>
      </c>
      <c r="J709" s="104">
        <f t="shared" si="42"/>
        <v>41618</v>
      </c>
      <c r="L709" t="b">
        <f t="shared" si="43"/>
        <v>1</v>
      </c>
    </row>
    <row r="710" spans="1:12" x14ac:dyDescent="0.25">
      <c r="A710" s="8">
        <v>41589</v>
      </c>
      <c r="B710" s="4">
        <v>59673</v>
      </c>
      <c r="C710" s="57">
        <v>96.52</v>
      </c>
      <c r="D710" s="4" t="str">
        <f t="shared" si="44"/>
        <v>EOM plus 5 days</v>
      </c>
      <c r="E710" s="4">
        <v>5</v>
      </c>
      <c r="F710" s="104">
        <f t="shared" ref="F710:F773" si="45">EOMONTH(A710,0)+E710</f>
        <v>41613</v>
      </c>
      <c r="J710" s="104">
        <f t="shared" ref="J710:J773" si="46">DATE(YEAR(A710),MONTH(A710)+1,E710)</f>
        <v>41613</v>
      </c>
      <c r="L710" t="b">
        <f t="shared" ref="L710:L773" si="47">J710=F710</f>
        <v>1</v>
      </c>
    </row>
    <row r="711" spans="1:12" x14ac:dyDescent="0.25">
      <c r="A711" s="8">
        <v>41589</v>
      </c>
      <c r="B711" s="4">
        <v>59674</v>
      </c>
      <c r="C711" s="57">
        <v>185.18</v>
      </c>
      <c r="D711" s="4" t="str">
        <f t="shared" si="44"/>
        <v>EOM plus 5 days</v>
      </c>
      <c r="E711" s="4">
        <v>5</v>
      </c>
      <c r="F711" s="104">
        <f t="shared" si="45"/>
        <v>41613</v>
      </c>
      <c r="J711" s="104">
        <f t="shared" si="46"/>
        <v>41613</v>
      </c>
      <c r="L711" t="b">
        <f t="shared" si="47"/>
        <v>1</v>
      </c>
    </row>
    <row r="712" spans="1:12" x14ac:dyDescent="0.25">
      <c r="A712" s="8">
        <v>41589</v>
      </c>
      <c r="B712" s="4">
        <v>59675</v>
      </c>
      <c r="C712" s="57">
        <v>115.43</v>
      </c>
      <c r="D712" s="4" t="str">
        <f t="shared" si="44"/>
        <v>EOM plus 20 days</v>
      </c>
      <c r="E712" s="4">
        <v>20</v>
      </c>
      <c r="F712" s="104">
        <f t="shared" si="45"/>
        <v>41628</v>
      </c>
      <c r="J712" s="104">
        <f t="shared" si="46"/>
        <v>41628</v>
      </c>
      <c r="L712" t="b">
        <f t="shared" si="47"/>
        <v>1</v>
      </c>
    </row>
    <row r="713" spans="1:12" x14ac:dyDescent="0.25">
      <c r="A713" s="8">
        <v>41589</v>
      </c>
      <c r="B713" s="4">
        <v>59676</v>
      </c>
      <c r="C713" s="57">
        <v>289.58999999999997</v>
      </c>
      <c r="D713" s="4" t="str">
        <f t="shared" si="44"/>
        <v>EOM plus 15 days</v>
      </c>
      <c r="E713" s="4">
        <v>15</v>
      </c>
      <c r="F713" s="104">
        <f t="shared" si="45"/>
        <v>41623</v>
      </c>
      <c r="J713" s="104">
        <f t="shared" si="46"/>
        <v>41623</v>
      </c>
      <c r="L713" t="b">
        <f t="shared" si="47"/>
        <v>1</v>
      </c>
    </row>
    <row r="714" spans="1:12" x14ac:dyDescent="0.25">
      <c r="A714" s="8">
        <v>41589</v>
      </c>
      <c r="B714" s="4">
        <v>59677</v>
      </c>
      <c r="C714" s="57">
        <v>68.97</v>
      </c>
      <c r="D714" s="4" t="str">
        <f t="shared" si="44"/>
        <v>EOM plus 5 days</v>
      </c>
      <c r="E714" s="4">
        <v>5</v>
      </c>
      <c r="F714" s="104">
        <f t="shared" si="45"/>
        <v>41613</v>
      </c>
      <c r="J714" s="104">
        <f t="shared" si="46"/>
        <v>41613</v>
      </c>
      <c r="L714" t="b">
        <f t="shared" si="47"/>
        <v>1</v>
      </c>
    </row>
    <row r="715" spans="1:12" x14ac:dyDescent="0.25">
      <c r="A715" s="8">
        <v>41589</v>
      </c>
      <c r="B715" s="4">
        <v>59678</v>
      </c>
      <c r="C715" s="57">
        <v>99.07</v>
      </c>
      <c r="D715" s="4" t="str">
        <f t="shared" si="44"/>
        <v>EOM plus 10 days</v>
      </c>
      <c r="E715" s="4">
        <v>10</v>
      </c>
      <c r="F715" s="104">
        <f t="shared" si="45"/>
        <v>41618</v>
      </c>
      <c r="J715" s="104">
        <f t="shared" si="46"/>
        <v>41618</v>
      </c>
      <c r="L715" t="b">
        <f t="shared" si="47"/>
        <v>1</v>
      </c>
    </row>
    <row r="716" spans="1:12" x14ac:dyDescent="0.25">
      <c r="A716" s="8">
        <v>41589</v>
      </c>
      <c r="B716" s="4">
        <v>59679</v>
      </c>
      <c r="C716" s="57">
        <v>154.46</v>
      </c>
      <c r="D716" s="4" t="str">
        <f t="shared" si="44"/>
        <v>EOM plus 10 days</v>
      </c>
      <c r="E716" s="4">
        <v>10</v>
      </c>
      <c r="F716" s="104">
        <f t="shared" si="45"/>
        <v>41618</v>
      </c>
      <c r="J716" s="104">
        <f t="shared" si="46"/>
        <v>41618</v>
      </c>
      <c r="L716" t="b">
        <f t="shared" si="47"/>
        <v>1</v>
      </c>
    </row>
    <row r="717" spans="1:12" x14ac:dyDescent="0.25">
      <c r="A717" s="8">
        <v>41589</v>
      </c>
      <c r="B717" s="4">
        <v>59680</v>
      </c>
      <c r="C717" s="57">
        <v>229.51</v>
      </c>
      <c r="D717" s="4" t="str">
        <f t="shared" si="44"/>
        <v>EOM plus 15 days</v>
      </c>
      <c r="E717" s="4">
        <v>15</v>
      </c>
      <c r="F717" s="104">
        <f t="shared" si="45"/>
        <v>41623</v>
      </c>
      <c r="J717" s="104">
        <f t="shared" si="46"/>
        <v>41623</v>
      </c>
      <c r="L717" t="b">
        <f t="shared" si="47"/>
        <v>1</v>
      </c>
    </row>
    <row r="718" spans="1:12" x14ac:dyDescent="0.25">
      <c r="A718" s="8">
        <v>41589</v>
      </c>
      <c r="B718" s="4">
        <v>59681</v>
      </c>
      <c r="C718" s="57">
        <v>189.82</v>
      </c>
      <c r="D718" s="4" t="str">
        <f t="shared" si="44"/>
        <v>EOM plus 10 days</v>
      </c>
      <c r="E718" s="4">
        <v>10</v>
      </c>
      <c r="F718" s="104">
        <f t="shared" si="45"/>
        <v>41618</v>
      </c>
      <c r="J718" s="104">
        <f t="shared" si="46"/>
        <v>41618</v>
      </c>
      <c r="L718" t="b">
        <f t="shared" si="47"/>
        <v>1</v>
      </c>
    </row>
    <row r="719" spans="1:12" x14ac:dyDescent="0.25">
      <c r="A719" s="8">
        <v>41589</v>
      </c>
      <c r="B719" s="4">
        <v>59682</v>
      </c>
      <c r="C719" s="57">
        <v>119.18</v>
      </c>
      <c r="D719" s="4" t="str">
        <f t="shared" si="44"/>
        <v>EOM plus 15 days</v>
      </c>
      <c r="E719" s="4">
        <v>15</v>
      </c>
      <c r="F719" s="104">
        <f t="shared" si="45"/>
        <v>41623</v>
      </c>
      <c r="J719" s="104">
        <f t="shared" si="46"/>
        <v>41623</v>
      </c>
      <c r="L719" t="b">
        <f t="shared" si="47"/>
        <v>1</v>
      </c>
    </row>
    <row r="720" spans="1:12" x14ac:dyDescent="0.25">
      <c r="A720" s="8">
        <v>41589</v>
      </c>
      <c r="B720" s="4">
        <v>59683</v>
      </c>
      <c r="C720" s="57">
        <v>104.63</v>
      </c>
      <c r="D720" s="4" t="str">
        <f t="shared" si="44"/>
        <v>EOM plus 10 days</v>
      </c>
      <c r="E720" s="4">
        <v>10</v>
      </c>
      <c r="F720" s="104">
        <f t="shared" si="45"/>
        <v>41618</v>
      </c>
      <c r="J720" s="104">
        <f t="shared" si="46"/>
        <v>41618</v>
      </c>
      <c r="L720" t="b">
        <f t="shared" si="47"/>
        <v>1</v>
      </c>
    </row>
    <row r="721" spans="1:12" x14ac:dyDescent="0.25">
      <c r="A721" s="8">
        <v>41589</v>
      </c>
      <c r="B721" s="4">
        <v>59684</v>
      </c>
      <c r="C721" s="57">
        <v>378.81</v>
      </c>
      <c r="D721" s="4" t="str">
        <f t="shared" si="44"/>
        <v>EOM plus 10 days</v>
      </c>
      <c r="E721" s="4">
        <v>10</v>
      </c>
      <c r="F721" s="104">
        <f t="shared" si="45"/>
        <v>41618</v>
      </c>
      <c r="J721" s="104">
        <f t="shared" si="46"/>
        <v>41618</v>
      </c>
      <c r="L721" t="b">
        <f t="shared" si="47"/>
        <v>1</v>
      </c>
    </row>
    <row r="722" spans="1:12" x14ac:dyDescent="0.25">
      <c r="A722" s="8">
        <v>41589</v>
      </c>
      <c r="B722" s="4">
        <v>59685</v>
      </c>
      <c r="C722" s="57">
        <v>245.55</v>
      </c>
      <c r="D722" s="4" t="str">
        <f t="shared" si="44"/>
        <v>EOM plus 10 days</v>
      </c>
      <c r="E722" s="4">
        <v>10</v>
      </c>
      <c r="F722" s="104">
        <f t="shared" si="45"/>
        <v>41618</v>
      </c>
      <c r="J722" s="104">
        <f t="shared" si="46"/>
        <v>41618</v>
      </c>
      <c r="L722" t="b">
        <f t="shared" si="47"/>
        <v>1</v>
      </c>
    </row>
    <row r="723" spans="1:12" x14ac:dyDescent="0.25">
      <c r="A723" s="8">
        <v>41589</v>
      </c>
      <c r="B723" s="4">
        <v>59686</v>
      </c>
      <c r="C723" s="57">
        <v>94.6</v>
      </c>
      <c r="D723" s="4" t="str">
        <f t="shared" si="44"/>
        <v>EOM plus 5 days</v>
      </c>
      <c r="E723" s="4">
        <v>5</v>
      </c>
      <c r="F723" s="104">
        <f t="shared" si="45"/>
        <v>41613</v>
      </c>
      <c r="J723" s="104">
        <f t="shared" si="46"/>
        <v>41613</v>
      </c>
      <c r="L723" t="b">
        <f t="shared" si="47"/>
        <v>1</v>
      </c>
    </row>
    <row r="724" spans="1:12" x14ac:dyDescent="0.25">
      <c r="A724" s="8">
        <v>41590</v>
      </c>
      <c r="B724" s="4">
        <v>59687</v>
      </c>
      <c r="C724" s="57">
        <v>195.05</v>
      </c>
      <c r="D724" s="4" t="str">
        <f t="shared" si="44"/>
        <v>EOM plus 5 days</v>
      </c>
      <c r="E724" s="4">
        <v>5</v>
      </c>
      <c r="F724" s="104">
        <f t="shared" si="45"/>
        <v>41613</v>
      </c>
      <c r="J724" s="104">
        <f t="shared" si="46"/>
        <v>41613</v>
      </c>
      <c r="L724" t="b">
        <f t="shared" si="47"/>
        <v>1</v>
      </c>
    </row>
    <row r="725" spans="1:12" x14ac:dyDescent="0.25">
      <c r="A725" s="8">
        <v>41590</v>
      </c>
      <c r="B725" s="4">
        <v>59688</v>
      </c>
      <c r="C725" s="57">
        <v>353.03</v>
      </c>
      <c r="D725" s="4" t="str">
        <f t="shared" si="44"/>
        <v>EOM plus 10 days</v>
      </c>
      <c r="E725" s="4">
        <v>10</v>
      </c>
      <c r="F725" s="104">
        <f t="shared" si="45"/>
        <v>41618</v>
      </c>
      <c r="J725" s="104">
        <f t="shared" si="46"/>
        <v>41618</v>
      </c>
      <c r="L725" t="b">
        <f t="shared" si="47"/>
        <v>1</v>
      </c>
    </row>
    <row r="726" spans="1:12" x14ac:dyDescent="0.25">
      <c r="A726" s="8">
        <v>41590</v>
      </c>
      <c r="B726" s="4">
        <v>59689</v>
      </c>
      <c r="C726" s="57">
        <v>277.45999999999998</v>
      </c>
      <c r="D726" s="4" t="str">
        <f t="shared" si="44"/>
        <v>EOM plus 10 days</v>
      </c>
      <c r="E726" s="4">
        <v>10</v>
      </c>
      <c r="F726" s="104">
        <f t="shared" si="45"/>
        <v>41618</v>
      </c>
      <c r="J726" s="104">
        <f t="shared" si="46"/>
        <v>41618</v>
      </c>
      <c r="L726" t="b">
        <f t="shared" si="47"/>
        <v>1</v>
      </c>
    </row>
    <row r="727" spans="1:12" x14ac:dyDescent="0.25">
      <c r="A727" s="8">
        <v>41590</v>
      </c>
      <c r="B727" s="4">
        <v>59690</v>
      </c>
      <c r="C727" s="57">
        <v>236.52</v>
      </c>
      <c r="D727" s="4" t="str">
        <f t="shared" si="44"/>
        <v>EOM plus 5 days</v>
      </c>
      <c r="E727" s="4">
        <v>5</v>
      </c>
      <c r="F727" s="104">
        <f t="shared" si="45"/>
        <v>41613</v>
      </c>
      <c r="J727" s="104">
        <f t="shared" si="46"/>
        <v>41613</v>
      </c>
      <c r="L727" t="b">
        <f t="shared" si="47"/>
        <v>1</v>
      </c>
    </row>
    <row r="728" spans="1:12" x14ac:dyDescent="0.25">
      <c r="A728" s="8">
        <v>41590</v>
      </c>
      <c r="B728" s="4">
        <v>59691</v>
      </c>
      <c r="C728" s="57">
        <v>265.38</v>
      </c>
      <c r="D728" s="4" t="str">
        <f t="shared" si="44"/>
        <v>EOM plus 20 days</v>
      </c>
      <c r="E728" s="4">
        <v>20</v>
      </c>
      <c r="F728" s="104">
        <f t="shared" si="45"/>
        <v>41628</v>
      </c>
      <c r="J728" s="104">
        <f t="shared" si="46"/>
        <v>41628</v>
      </c>
      <c r="L728" t="b">
        <f t="shared" si="47"/>
        <v>1</v>
      </c>
    </row>
    <row r="729" spans="1:12" x14ac:dyDescent="0.25">
      <c r="A729" s="8">
        <v>41590</v>
      </c>
      <c r="B729" s="4">
        <v>59692</v>
      </c>
      <c r="C729" s="57">
        <v>294.17</v>
      </c>
      <c r="D729" s="4" t="str">
        <f t="shared" si="44"/>
        <v>EOM plus 15 days</v>
      </c>
      <c r="E729" s="4">
        <v>15</v>
      </c>
      <c r="F729" s="104">
        <f t="shared" si="45"/>
        <v>41623</v>
      </c>
      <c r="J729" s="104">
        <f t="shared" si="46"/>
        <v>41623</v>
      </c>
      <c r="L729" t="b">
        <f t="shared" si="47"/>
        <v>1</v>
      </c>
    </row>
    <row r="730" spans="1:12" x14ac:dyDescent="0.25">
      <c r="A730" s="8">
        <v>41590</v>
      </c>
      <c r="B730" s="4">
        <v>59693</v>
      </c>
      <c r="C730" s="57">
        <v>245.73</v>
      </c>
      <c r="D730" s="4" t="str">
        <f t="shared" si="44"/>
        <v>EOM plus 10 days</v>
      </c>
      <c r="E730" s="4">
        <v>10</v>
      </c>
      <c r="F730" s="104">
        <f t="shared" si="45"/>
        <v>41618</v>
      </c>
      <c r="J730" s="104">
        <f t="shared" si="46"/>
        <v>41618</v>
      </c>
      <c r="L730" t="b">
        <f t="shared" si="47"/>
        <v>1</v>
      </c>
    </row>
    <row r="731" spans="1:12" x14ac:dyDescent="0.25">
      <c r="A731" s="8">
        <v>41590</v>
      </c>
      <c r="B731" s="4">
        <v>59694</v>
      </c>
      <c r="C731" s="57">
        <v>242.94</v>
      </c>
      <c r="D731" s="4" t="str">
        <f t="shared" si="44"/>
        <v>EOM plus 15 days</v>
      </c>
      <c r="E731" s="4">
        <v>15</v>
      </c>
      <c r="F731" s="104">
        <f t="shared" si="45"/>
        <v>41623</v>
      </c>
      <c r="J731" s="104">
        <f t="shared" si="46"/>
        <v>41623</v>
      </c>
      <c r="L731" t="b">
        <f t="shared" si="47"/>
        <v>1</v>
      </c>
    </row>
    <row r="732" spans="1:12" x14ac:dyDescent="0.25">
      <c r="A732" s="8">
        <v>41590</v>
      </c>
      <c r="B732" s="4">
        <v>59695</v>
      </c>
      <c r="C732" s="57">
        <v>56.78</v>
      </c>
      <c r="D732" s="4" t="str">
        <f t="shared" si="44"/>
        <v>EOM plus 10 days</v>
      </c>
      <c r="E732" s="4">
        <v>10</v>
      </c>
      <c r="F732" s="104">
        <f t="shared" si="45"/>
        <v>41618</v>
      </c>
      <c r="J732" s="104">
        <f t="shared" si="46"/>
        <v>41618</v>
      </c>
      <c r="L732" t="b">
        <f t="shared" si="47"/>
        <v>1</v>
      </c>
    </row>
    <row r="733" spans="1:12" x14ac:dyDescent="0.25">
      <c r="A733" s="8">
        <v>41590</v>
      </c>
      <c r="B733" s="4">
        <v>59696</v>
      </c>
      <c r="C733" s="57">
        <v>199.23</v>
      </c>
      <c r="D733" s="4" t="str">
        <f t="shared" si="44"/>
        <v>EOM plus 10 days</v>
      </c>
      <c r="E733" s="4">
        <v>10</v>
      </c>
      <c r="F733" s="104">
        <f t="shared" si="45"/>
        <v>41618</v>
      </c>
      <c r="J733" s="104">
        <f t="shared" si="46"/>
        <v>41618</v>
      </c>
      <c r="L733" t="b">
        <f t="shared" si="47"/>
        <v>1</v>
      </c>
    </row>
    <row r="734" spans="1:12" x14ac:dyDescent="0.25">
      <c r="A734" s="8">
        <v>41590</v>
      </c>
      <c r="B734" s="4">
        <v>59697</v>
      </c>
      <c r="C734" s="57">
        <v>37.520000000000003</v>
      </c>
      <c r="D734" s="4" t="str">
        <f t="shared" si="44"/>
        <v>EOM plus 10 days</v>
      </c>
      <c r="E734" s="4">
        <v>10</v>
      </c>
      <c r="F734" s="104">
        <f t="shared" si="45"/>
        <v>41618</v>
      </c>
      <c r="J734" s="104">
        <f t="shared" si="46"/>
        <v>41618</v>
      </c>
      <c r="L734" t="b">
        <f t="shared" si="47"/>
        <v>1</v>
      </c>
    </row>
    <row r="735" spans="1:12" x14ac:dyDescent="0.25">
      <c r="A735" s="8">
        <v>41590</v>
      </c>
      <c r="B735" s="4">
        <v>59698</v>
      </c>
      <c r="C735" s="57">
        <v>96.26</v>
      </c>
      <c r="D735" s="4" t="str">
        <f t="shared" si="44"/>
        <v>EOM plus 10 days</v>
      </c>
      <c r="E735" s="4">
        <v>10</v>
      </c>
      <c r="F735" s="104">
        <f t="shared" si="45"/>
        <v>41618</v>
      </c>
      <c r="J735" s="104">
        <f t="shared" si="46"/>
        <v>41618</v>
      </c>
      <c r="L735" t="b">
        <f t="shared" si="47"/>
        <v>1</v>
      </c>
    </row>
    <row r="736" spans="1:12" x14ac:dyDescent="0.25">
      <c r="A736" s="8">
        <v>41590</v>
      </c>
      <c r="B736" s="4">
        <v>59699</v>
      </c>
      <c r="C736" s="57">
        <v>164.62</v>
      </c>
      <c r="D736" s="4" t="str">
        <f t="shared" si="44"/>
        <v>EOM plus 5 days</v>
      </c>
      <c r="E736" s="4">
        <v>5</v>
      </c>
      <c r="F736" s="104">
        <f t="shared" si="45"/>
        <v>41613</v>
      </c>
      <c r="J736" s="104">
        <f t="shared" si="46"/>
        <v>41613</v>
      </c>
      <c r="L736" t="b">
        <f t="shared" si="47"/>
        <v>1</v>
      </c>
    </row>
    <row r="737" spans="1:12" x14ac:dyDescent="0.25">
      <c r="A737" s="8">
        <v>41590</v>
      </c>
      <c r="B737" s="4">
        <v>59700</v>
      </c>
      <c r="C737" s="57">
        <v>164.22</v>
      </c>
      <c r="D737" s="4" t="str">
        <f t="shared" si="44"/>
        <v>EOM plus 10 days</v>
      </c>
      <c r="E737" s="4">
        <v>10</v>
      </c>
      <c r="F737" s="104">
        <f t="shared" si="45"/>
        <v>41618</v>
      </c>
      <c r="J737" s="104">
        <f t="shared" si="46"/>
        <v>41618</v>
      </c>
      <c r="L737" t="b">
        <f t="shared" si="47"/>
        <v>1</v>
      </c>
    </row>
    <row r="738" spans="1:12" x14ac:dyDescent="0.25">
      <c r="A738" s="8">
        <v>41590</v>
      </c>
      <c r="B738" s="4">
        <v>59701</v>
      </c>
      <c r="C738" s="57">
        <v>169.44</v>
      </c>
      <c r="D738" s="4" t="str">
        <f t="shared" si="44"/>
        <v>EOM plus 10 days</v>
      </c>
      <c r="E738" s="4">
        <v>10</v>
      </c>
      <c r="F738" s="104">
        <f t="shared" si="45"/>
        <v>41618</v>
      </c>
      <c r="J738" s="104">
        <f t="shared" si="46"/>
        <v>41618</v>
      </c>
      <c r="L738" t="b">
        <f t="shared" si="47"/>
        <v>1</v>
      </c>
    </row>
    <row r="739" spans="1:12" x14ac:dyDescent="0.25">
      <c r="A739" s="8">
        <v>41590</v>
      </c>
      <c r="B739" s="4">
        <v>59702</v>
      </c>
      <c r="C739" s="57">
        <v>278.86</v>
      </c>
      <c r="D739" s="4" t="str">
        <f t="shared" si="44"/>
        <v>EOM plus 5 days</v>
      </c>
      <c r="E739" s="4">
        <v>5</v>
      </c>
      <c r="F739" s="104">
        <f t="shared" si="45"/>
        <v>41613</v>
      </c>
      <c r="J739" s="104">
        <f t="shared" si="46"/>
        <v>41613</v>
      </c>
      <c r="L739" t="b">
        <f t="shared" si="47"/>
        <v>1</v>
      </c>
    </row>
    <row r="740" spans="1:12" x14ac:dyDescent="0.25">
      <c r="A740" s="8">
        <v>41591</v>
      </c>
      <c r="B740" s="4">
        <v>59703</v>
      </c>
      <c r="C740" s="57">
        <v>97.98</v>
      </c>
      <c r="D740" s="4" t="str">
        <f t="shared" si="44"/>
        <v>EOM plus 10 days</v>
      </c>
      <c r="E740" s="4">
        <v>10</v>
      </c>
      <c r="F740" s="104">
        <f t="shared" si="45"/>
        <v>41618</v>
      </c>
      <c r="J740" s="104">
        <f t="shared" si="46"/>
        <v>41618</v>
      </c>
      <c r="L740" t="b">
        <f t="shared" si="47"/>
        <v>1</v>
      </c>
    </row>
    <row r="741" spans="1:12" x14ac:dyDescent="0.25">
      <c r="A741" s="8">
        <v>41591</v>
      </c>
      <c r="B741" s="4">
        <v>59704</v>
      </c>
      <c r="C741" s="57">
        <v>56.11</v>
      </c>
      <c r="D741" s="4" t="str">
        <f t="shared" si="44"/>
        <v>EOM plus 10 days</v>
      </c>
      <c r="E741" s="4">
        <v>10</v>
      </c>
      <c r="F741" s="104">
        <f t="shared" si="45"/>
        <v>41618</v>
      </c>
      <c r="J741" s="104">
        <f t="shared" si="46"/>
        <v>41618</v>
      </c>
      <c r="L741" t="b">
        <f t="shared" si="47"/>
        <v>1</v>
      </c>
    </row>
    <row r="742" spans="1:12" x14ac:dyDescent="0.25">
      <c r="A742" s="8">
        <v>41591</v>
      </c>
      <c r="B742" s="4">
        <v>59705</v>
      </c>
      <c r="C742" s="57">
        <v>54.86</v>
      </c>
      <c r="D742" s="4" t="str">
        <f t="shared" si="44"/>
        <v>EOM plus 20 days</v>
      </c>
      <c r="E742" s="4">
        <v>20</v>
      </c>
      <c r="F742" s="104">
        <f t="shared" si="45"/>
        <v>41628</v>
      </c>
      <c r="J742" s="104">
        <f t="shared" si="46"/>
        <v>41628</v>
      </c>
      <c r="L742" t="b">
        <f t="shared" si="47"/>
        <v>1</v>
      </c>
    </row>
    <row r="743" spans="1:12" x14ac:dyDescent="0.25">
      <c r="A743" s="8">
        <v>41591</v>
      </c>
      <c r="B743" s="4">
        <v>59706</v>
      </c>
      <c r="C743" s="57">
        <v>78.06</v>
      </c>
      <c r="D743" s="4" t="str">
        <f t="shared" si="44"/>
        <v>EOM plus 10 days</v>
      </c>
      <c r="E743" s="4">
        <v>10</v>
      </c>
      <c r="F743" s="104">
        <f t="shared" si="45"/>
        <v>41618</v>
      </c>
      <c r="J743" s="104">
        <f t="shared" si="46"/>
        <v>41618</v>
      </c>
      <c r="L743" t="b">
        <f t="shared" si="47"/>
        <v>1</v>
      </c>
    </row>
    <row r="744" spans="1:12" x14ac:dyDescent="0.25">
      <c r="A744" s="8">
        <v>41591</v>
      </c>
      <c r="B744" s="4">
        <v>59707</v>
      </c>
      <c r="C744" s="57">
        <v>55.38</v>
      </c>
      <c r="D744" s="4" t="str">
        <f t="shared" si="44"/>
        <v>EOM plus 10 days</v>
      </c>
      <c r="E744" s="4">
        <v>10</v>
      </c>
      <c r="F744" s="104">
        <f t="shared" si="45"/>
        <v>41618</v>
      </c>
      <c r="J744" s="104">
        <f t="shared" si="46"/>
        <v>41618</v>
      </c>
      <c r="L744" t="b">
        <f t="shared" si="47"/>
        <v>1</v>
      </c>
    </row>
    <row r="745" spans="1:12" x14ac:dyDescent="0.25">
      <c r="A745" s="8">
        <v>41591</v>
      </c>
      <c r="B745" s="4">
        <v>59708</v>
      </c>
      <c r="C745" s="57">
        <v>95.66</v>
      </c>
      <c r="D745" s="4" t="str">
        <f t="shared" si="44"/>
        <v>EOM plus 15 days</v>
      </c>
      <c r="E745" s="4">
        <v>15</v>
      </c>
      <c r="F745" s="104">
        <f t="shared" si="45"/>
        <v>41623</v>
      </c>
      <c r="J745" s="104">
        <f t="shared" si="46"/>
        <v>41623</v>
      </c>
      <c r="L745" t="b">
        <f t="shared" si="47"/>
        <v>1</v>
      </c>
    </row>
    <row r="746" spans="1:12" x14ac:dyDescent="0.25">
      <c r="A746" s="8">
        <v>41591</v>
      </c>
      <c r="B746" s="4">
        <v>59709</v>
      </c>
      <c r="C746" s="57">
        <v>159.21</v>
      </c>
      <c r="D746" s="4" t="str">
        <f t="shared" si="44"/>
        <v>EOM plus 10 days</v>
      </c>
      <c r="E746" s="4">
        <v>10</v>
      </c>
      <c r="F746" s="104">
        <f t="shared" si="45"/>
        <v>41618</v>
      </c>
      <c r="J746" s="104">
        <f t="shared" si="46"/>
        <v>41618</v>
      </c>
      <c r="L746" t="b">
        <f t="shared" si="47"/>
        <v>1</v>
      </c>
    </row>
    <row r="747" spans="1:12" x14ac:dyDescent="0.25">
      <c r="A747" s="8">
        <v>41591</v>
      </c>
      <c r="B747" s="4">
        <v>59710</v>
      </c>
      <c r="C747" s="57">
        <v>64.09</v>
      </c>
      <c r="D747" s="4" t="str">
        <f t="shared" si="44"/>
        <v>EOM plus 15 days</v>
      </c>
      <c r="E747" s="4">
        <v>15</v>
      </c>
      <c r="F747" s="104">
        <f t="shared" si="45"/>
        <v>41623</v>
      </c>
      <c r="J747" s="104">
        <f t="shared" si="46"/>
        <v>41623</v>
      </c>
      <c r="L747" t="b">
        <f t="shared" si="47"/>
        <v>1</v>
      </c>
    </row>
    <row r="748" spans="1:12" x14ac:dyDescent="0.25">
      <c r="A748" s="8">
        <v>41591</v>
      </c>
      <c r="B748" s="4">
        <v>59711</v>
      </c>
      <c r="C748" s="57">
        <v>326.10000000000002</v>
      </c>
      <c r="D748" s="4" t="str">
        <f t="shared" si="44"/>
        <v>EOM plus 10 days</v>
      </c>
      <c r="E748" s="4">
        <v>10</v>
      </c>
      <c r="F748" s="104">
        <f t="shared" si="45"/>
        <v>41618</v>
      </c>
      <c r="J748" s="104">
        <f t="shared" si="46"/>
        <v>41618</v>
      </c>
      <c r="L748" t="b">
        <f t="shared" si="47"/>
        <v>1</v>
      </c>
    </row>
    <row r="749" spans="1:12" x14ac:dyDescent="0.25">
      <c r="A749" s="8">
        <v>41591</v>
      </c>
      <c r="B749" s="4">
        <v>59712</v>
      </c>
      <c r="C749" s="57">
        <v>193.39</v>
      </c>
      <c r="D749" s="4" t="str">
        <f t="shared" si="44"/>
        <v>EOM plus 5 days</v>
      </c>
      <c r="E749" s="4">
        <v>5</v>
      </c>
      <c r="F749" s="104">
        <f t="shared" si="45"/>
        <v>41613</v>
      </c>
      <c r="J749" s="104">
        <f t="shared" si="46"/>
        <v>41613</v>
      </c>
      <c r="L749" t="b">
        <f t="shared" si="47"/>
        <v>1</v>
      </c>
    </row>
    <row r="750" spans="1:12" x14ac:dyDescent="0.25">
      <c r="A750" s="8">
        <v>41591</v>
      </c>
      <c r="B750" s="4">
        <v>59713</v>
      </c>
      <c r="C750" s="57">
        <v>317.72000000000003</v>
      </c>
      <c r="D750" s="4" t="str">
        <f t="shared" si="44"/>
        <v>EOM plus 20 days</v>
      </c>
      <c r="E750" s="4">
        <v>20</v>
      </c>
      <c r="F750" s="104">
        <f t="shared" si="45"/>
        <v>41628</v>
      </c>
      <c r="J750" s="104">
        <f t="shared" si="46"/>
        <v>41628</v>
      </c>
      <c r="L750" t="b">
        <f t="shared" si="47"/>
        <v>1</v>
      </c>
    </row>
    <row r="751" spans="1:12" x14ac:dyDescent="0.25">
      <c r="A751" s="8">
        <v>41591</v>
      </c>
      <c r="B751" s="4">
        <v>59714</v>
      </c>
      <c r="C751" s="57">
        <v>48.07</v>
      </c>
      <c r="D751" s="4" t="str">
        <f t="shared" si="44"/>
        <v>EOM plus 20 days</v>
      </c>
      <c r="E751" s="4">
        <v>20</v>
      </c>
      <c r="F751" s="104">
        <f t="shared" si="45"/>
        <v>41628</v>
      </c>
      <c r="J751" s="104">
        <f t="shared" si="46"/>
        <v>41628</v>
      </c>
      <c r="L751" t="b">
        <f t="shared" si="47"/>
        <v>1</v>
      </c>
    </row>
    <row r="752" spans="1:12" x14ac:dyDescent="0.25">
      <c r="A752" s="8">
        <v>41591</v>
      </c>
      <c r="B752" s="4">
        <v>59715</v>
      </c>
      <c r="C752" s="57">
        <v>193.25</v>
      </c>
      <c r="D752" s="4" t="str">
        <f t="shared" si="44"/>
        <v>EOM plus 10 days</v>
      </c>
      <c r="E752" s="4">
        <v>10</v>
      </c>
      <c r="F752" s="104">
        <f t="shared" si="45"/>
        <v>41618</v>
      </c>
      <c r="J752" s="104">
        <f t="shared" si="46"/>
        <v>41618</v>
      </c>
      <c r="L752" t="b">
        <f t="shared" si="47"/>
        <v>1</v>
      </c>
    </row>
    <row r="753" spans="1:12" x14ac:dyDescent="0.25">
      <c r="A753" s="8">
        <v>41591</v>
      </c>
      <c r="B753" s="4">
        <v>59716</v>
      </c>
      <c r="C753" s="57">
        <v>294.49</v>
      </c>
      <c r="D753" s="4" t="str">
        <f t="shared" si="44"/>
        <v>EOM plus 10 days</v>
      </c>
      <c r="E753" s="4">
        <v>10</v>
      </c>
      <c r="F753" s="104">
        <f t="shared" si="45"/>
        <v>41618</v>
      </c>
      <c r="J753" s="104">
        <f t="shared" si="46"/>
        <v>41618</v>
      </c>
      <c r="L753" t="b">
        <f t="shared" si="47"/>
        <v>1</v>
      </c>
    </row>
    <row r="754" spans="1:12" x14ac:dyDescent="0.25">
      <c r="A754" s="8">
        <v>41591</v>
      </c>
      <c r="B754" s="4">
        <v>59717</v>
      </c>
      <c r="C754" s="57">
        <v>217</v>
      </c>
      <c r="D754" s="4" t="str">
        <f t="shared" si="44"/>
        <v>EOM plus 10 days</v>
      </c>
      <c r="E754" s="4">
        <v>10</v>
      </c>
      <c r="F754" s="104">
        <f t="shared" si="45"/>
        <v>41618</v>
      </c>
      <c r="J754" s="104">
        <f t="shared" si="46"/>
        <v>41618</v>
      </c>
      <c r="L754" t="b">
        <f t="shared" si="47"/>
        <v>1</v>
      </c>
    </row>
    <row r="755" spans="1:12" x14ac:dyDescent="0.25">
      <c r="A755" s="8">
        <v>41591</v>
      </c>
      <c r="B755" s="4">
        <v>59718</v>
      </c>
      <c r="C755" s="57">
        <v>104.04</v>
      </c>
      <c r="D755" s="4" t="str">
        <f t="shared" si="44"/>
        <v>EOM plus 10 days</v>
      </c>
      <c r="E755" s="4">
        <v>10</v>
      </c>
      <c r="F755" s="104">
        <f t="shared" si="45"/>
        <v>41618</v>
      </c>
      <c r="J755" s="104">
        <f t="shared" si="46"/>
        <v>41618</v>
      </c>
      <c r="L755" t="b">
        <f t="shared" si="47"/>
        <v>1</v>
      </c>
    </row>
    <row r="756" spans="1:12" x14ac:dyDescent="0.25">
      <c r="A756" s="8">
        <v>41591</v>
      </c>
      <c r="B756" s="4">
        <v>59719</v>
      </c>
      <c r="C756" s="57">
        <v>153.94999999999999</v>
      </c>
      <c r="D756" s="4" t="str">
        <f t="shared" si="44"/>
        <v>EOM plus 10 days</v>
      </c>
      <c r="E756" s="4">
        <v>10</v>
      </c>
      <c r="F756" s="104">
        <f t="shared" si="45"/>
        <v>41618</v>
      </c>
      <c r="J756" s="104">
        <f t="shared" si="46"/>
        <v>41618</v>
      </c>
      <c r="L756" t="b">
        <f t="shared" si="47"/>
        <v>1</v>
      </c>
    </row>
    <row r="757" spans="1:12" x14ac:dyDescent="0.25">
      <c r="A757" s="8">
        <v>41591</v>
      </c>
      <c r="B757" s="4">
        <v>59720</v>
      </c>
      <c r="C757" s="57">
        <v>79.61</v>
      </c>
      <c r="D757" s="4" t="str">
        <f t="shared" si="44"/>
        <v>EOM plus 5 days</v>
      </c>
      <c r="E757" s="4">
        <v>5</v>
      </c>
      <c r="F757" s="104">
        <f t="shared" si="45"/>
        <v>41613</v>
      </c>
      <c r="J757" s="104">
        <f t="shared" si="46"/>
        <v>41613</v>
      </c>
      <c r="L757" t="b">
        <f t="shared" si="47"/>
        <v>1</v>
      </c>
    </row>
    <row r="758" spans="1:12" x14ac:dyDescent="0.25">
      <c r="A758" s="8">
        <v>41592</v>
      </c>
      <c r="B758" s="4">
        <v>59721</v>
      </c>
      <c r="C758" s="57">
        <v>58.5</v>
      </c>
      <c r="D758" s="4" t="str">
        <f t="shared" si="44"/>
        <v>EOM plus 15 days</v>
      </c>
      <c r="E758" s="4">
        <v>15</v>
      </c>
      <c r="F758" s="104">
        <f t="shared" si="45"/>
        <v>41623</v>
      </c>
      <c r="J758" s="104">
        <f t="shared" si="46"/>
        <v>41623</v>
      </c>
      <c r="L758" t="b">
        <f t="shared" si="47"/>
        <v>1</v>
      </c>
    </row>
    <row r="759" spans="1:12" x14ac:dyDescent="0.25">
      <c r="A759" s="8">
        <v>41592</v>
      </c>
      <c r="B759" s="4">
        <v>59722</v>
      </c>
      <c r="C759" s="57">
        <v>203.04</v>
      </c>
      <c r="D759" s="4" t="str">
        <f t="shared" si="44"/>
        <v>EOM plus 20 days</v>
      </c>
      <c r="E759" s="4">
        <v>20</v>
      </c>
      <c r="F759" s="104">
        <f t="shared" si="45"/>
        <v>41628</v>
      </c>
      <c r="J759" s="104">
        <f t="shared" si="46"/>
        <v>41628</v>
      </c>
      <c r="L759" t="b">
        <f t="shared" si="47"/>
        <v>1</v>
      </c>
    </row>
    <row r="760" spans="1:12" x14ac:dyDescent="0.25">
      <c r="A760" s="8">
        <v>41592</v>
      </c>
      <c r="B760" s="4">
        <v>59723</v>
      </c>
      <c r="C760" s="57">
        <v>244.87</v>
      </c>
      <c r="D760" s="4" t="str">
        <f t="shared" si="44"/>
        <v>EOM plus 10 days</v>
      </c>
      <c r="E760" s="4">
        <v>10</v>
      </c>
      <c r="F760" s="104">
        <f t="shared" si="45"/>
        <v>41618</v>
      </c>
      <c r="J760" s="104">
        <f t="shared" si="46"/>
        <v>41618</v>
      </c>
      <c r="L760" t="b">
        <f t="shared" si="47"/>
        <v>1</v>
      </c>
    </row>
    <row r="761" spans="1:12" x14ac:dyDescent="0.25">
      <c r="A761" s="8">
        <v>41592</v>
      </c>
      <c r="B761" s="4">
        <v>59724</v>
      </c>
      <c r="C761" s="57">
        <v>234.89</v>
      </c>
      <c r="D761" s="4" t="str">
        <f t="shared" si="44"/>
        <v>EOM plus 10 days</v>
      </c>
      <c r="E761" s="4">
        <v>10</v>
      </c>
      <c r="F761" s="104">
        <f t="shared" si="45"/>
        <v>41618</v>
      </c>
      <c r="J761" s="104">
        <f t="shared" si="46"/>
        <v>41618</v>
      </c>
      <c r="L761" t="b">
        <f t="shared" si="47"/>
        <v>1</v>
      </c>
    </row>
    <row r="762" spans="1:12" x14ac:dyDescent="0.25">
      <c r="A762" s="8">
        <v>41592</v>
      </c>
      <c r="B762" s="4">
        <v>59725</v>
      </c>
      <c r="C762" s="57">
        <v>166.17</v>
      </c>
      <c r="D762" s="4" t="str">
        <f t="shared" si="44"/>
        <v>EOM plus 5 days</v>
      </c>
      <c r="E762" s="4">
        <v>5</v>
      </c>
      <c r="F762" s="104">
        <f t="shared" si="45"/>
        <v>41613</v>
      </c>
      <c r="J762" s="104">
        <f t="shared" si="46"/>
        <v>41613</v>
      </c>
      <c r="L762" t="b">
        <f t="shared" si="47"/>
        <v>1</v>
      </c>
    </row>
    <row r="763" spans="1:12" x14ac:dyDescent="0.25">
      <c r="A763" s="8">
        <v>41592</v>
      </c>
      <c r="B763" s="4">
        <v>59726</v>
      </c>
      <c r="C763" s="57">
        <v>279.49</v>
      </c>
      <c r="D763" s="4" t="str">
        <f t="shared" si="44"/>
        <v>EOM plus 10 days</v>
      </c>
      <c r="E763" s="4">
        <v>10</v>
      </c>
      <c r="F763" s="104">
        <f t="shared" si="45"/>
        <v>41618</v>
      </c>
      <c r="J763" s="104">
        <f t="shared" si="46"/>
        <v>41618</v>
      </c>
      <c r="L763" t="b">
        <f t="shared" si="47"/>
        <v>1</v>
      </c>
    </row>
    <row r="764" spans="1:12" x14ac:dyDescent="0.25">
      <c r="A764" s="8">
        <v>41592</v>
      </c>
      <c r="B764" s="4">
        <v>59727</v>
      </c>
      <c r="C764" s="57">
        <v>188.78</v>
      </c>
      <c r="D764" s="4" t="str">
        <f t="shared" si="44"/>
        <v>EOM plus 15 days</v>
      </c>
      <c r="E764" s="4">
        <v>15</v>
      </c>
      <c r="F764" s="104">
        <f t="shared" si="45"/>
        <v>41623</v>
      </c>
      <c r="J764" s="104">
        <f t="shared" si="46"/>
        <v>41623</v>
      </c>
      <c r="L764" t="b">
        <f t="shared" si="47"/>
        <v>1</v>
      </c>
    </row>
    <row r="765" spans="1:12" x14ac:dyDescent="0.25">
      <c r="A765" s="8">
        <v>41592</v>
      </c>
      <c r="B765" s="4">
        <v>59728</v>
      </c>
      <c r="C765" s="57">
        <v>94.41</v>
      </c>
      <c r="D765" s="4" t="str">
        <f t="shared" si="44"/>
        <v>EOM plus 10 days</v>
      </c>
      <c r="E765" s="4">
        <v>10</v>
      </c>
      <c r="F765" s="104">
        <f t="shared" si="45"/>
        <v>41618</v>
      </c>
      <c r="J765" s="104">
        <f t="shared" si="46"/>
        <v>41618</v>
      </c>
      <c r="L765" t="b">
        <f t="shared" si="47"/>
        <v>1</v>
      </c>
    </row>
    <row r="766" spans="1:12" x14ac:dyDescent="0.25">
      <c r="A766" s="8">
        <v>41592</v>
      </c>
      <c r="B766" s="4">
        <v>59729</v>
      </c>
      <c r="C766" s="57">
        <v>170.09</v>
      </c>
      <c r="D766" s="4" t="str">
        <f t="shared" si="44"/>
        <v>EOM plus 10 days</v>
      </c>
      <c r="E766" s="4">
        <v>10</v>
      </c>
      <c r="F766" s="104">
        <f t="shared" si="45"/>
        <v>41618</v>
      </c>
      <c r="J766" s="104">
        <f t="shared" si="46"/>
        <v>41618</v>
      </c>
      <c r="L766" t="b">
        <f t="shared" si="47"/>
        <v>1</v>
      </c>
    </row>
    <row r="767" spans="1:12" x14ac:dyDescent="0.25">
      <c r="A767" s="8">
        <v>41592</v>
      </c>
      <c r="B767" s="4">
        <v>59730</v>
      </c>
      <c r="C767" s="57">
        <v>316.27999999999997</v>
      </c>
      <c r="D767" s="4" t="str">
        <f t="shared" si="44"/>
        <v>EOM plus 20 days</v>
      </c>
      <c r="E767" s="4">
        <v>20</v>
      </c>
      <c r="F767" s="104">
        <f t="shared" si="45"/>
        <v>41628</v>
      </c>
      <c r="J767" s="104">
        <f t="shared" si="46"/>
        <v>41628</v>
      </c>
      <c r="L767" t="b">
        <f t="shared" si="47"/>
        <v>1</v>
      </c>
    </row>
    <row r="768" spans="1:12" x14ac:dyDescent="0.25">
      <c r="A768" s="8">
        <v>41592</v>
      </c>
      <c r="B768" s="4">
        <v>59731</v>
      </c>
      <c r="C768" s="57">
        <v>227.8</v>
      </c>
      <c r="D768" s="4" t="str">
        <f t="shared" si="44"/>
        <v>EOM plus 10 days</v>
      </c>
      <c r="E768" s="4">
        <v>10</v>
      </c>
      <c r="F768" s="104">
        <f t="shared" si="45"/>
        <v>41618</v>
      </c>
      <c r="J768" s="104">
        <f t="shared" si="46"/>
        <v>41618</v>
      </c>
      <c r="L768" t="b">
        <f t="shared" si="47"/>
        <v>1</v>
      </c>
    </row>
    <row r="769" spans="1:12" x14ac:dyDescent="0.25">
      <c r="A769" s="8">
        <v>41592</v>
      </c>
      <c r="B769" s="4">
        <v>59732</v>
      </c>
      <c r="C769" s="57">
        <v>215.52</v>
      </c>
      <c r="D769" s="4" t="str">
        <f t="shared" si="44"/>
        <v>EOM plus 5 days</v>
      </c>
      <c r="E769" s="4">
        <v>5</v>
      </c>
      <c r="F769" s="104">
        <f t="shared" si="45"/>
        <v>41613</v>
      </c>
      <c r="J769" s="104">
        <f t="shared" si="46"/>
        <v>41613</v>
      </c>
      <c r="L769" t="b">
        <f t="shared" si="47"/>
        <v>1</v>
      </c>
    </row>
    <row r="770" spans="1:12" x14ac:dyDescent="0.25">
      <c r="A770" s="8">
        <v>41592</v>
      </c>
      <c r="B770" s="4">
        <v>59733</v>
      </c>
      <c r="C770" s="57">
        <v>51.98</v>
      </c>
      <c r="D770" s="4" t="str">
        <f t="shared" si="44"/>
        <v>EOM plus 5 days</v>
      </c>
      <c r="E770" s="4">
        <v>5</v>
      </c>
      <c r="F770" s="104">
        <f t="shared" si="45"/>
        <v>41613</v>
      </c>
      <c r="J770" s="104">
        <f t="shared" si="46"/>
        <v>41613</v>
      </c>
      <c r="L770" t="b">
        <f t="shared" si="47"/>
        <v>1</v>
      </c>
    </row>
    <row r="771" spans="1:12" x14ac:dyDescent="0.25">
      <c r="A771" s="8">
        <v>41592</v>
      </c>
      <c r="B771" s="4">
        <v>59734</v>
      </c>
      <c r="C771" s="57">
        <v>304.61</v>
      </c>
      <c r="D771" s="4" t="str">
        <f t="shared" si="44"/>
        <v>EOM plus 15 days</v>
      </c>
      <c r="E771" s="4">
        <v>15</v>
      </c>
      <c r="F771" s="104">
        <f t="shared" si="45"/>
        <v>41623</v>
      </c>
      <c r="J771" s="104">
        <f t="shared" si="46"/>
        <v>41623</v>
      </c>
      <c r="L771" t="b">
        <f t="shared" si="47"/>
        <v>1</v>
      </c>
    </row>
    <row r="772" spans="1:12" x14ac:dyDescent="0.25">
      <c r="A772" s="8">
        <v>41592</v>
      </c>
      <c r="B772" s="4">
        <v>59735</v>
      </c>
      <c r="C772" s="57">
        <v>264.08</v>
      </c>
      <c r="D772" s="4" t="str">
        <f t="shared" si="44"/>
        <v>EOM plus 20 days</v>
      </c>
      <c r="E772" s="4">
        <v>20</v>
      </c>
      <c r="F772" s="104">
        <f t="shared" si="45"/>
        <v>41628</v>
      </c>
      <c r="J772" s="104">
        <f t="shared" si="46"/>
        <v>41628</v>
      </c>
      <c r="L772" t="b">
        <f t="shared" si="47"/>
        <v>1</v>
      </c>
    </row>
    <row r="773" spans="1:12" x14ac:dyDescent="0.25">
      <c r="A773" s="8">
        <v>41592</v>
      </c>
      <c r="B773" s="4">
        <v>59736</v>
      </c>
      <c r="C773" s="57">
        <v>174.42</v>
      </c>
      <c r="D773" s="4" t="str">
        <f t="shared" ref="D773:D806" si="48">"EOM plus "&amp;E773&amp;" days"</f>
        <v>EOM plus 10 days</v>
      </c>
      <c r="E773" s="4">
        <v>10</v>
      </c>
      <c r="F773" s="104">
        <f t="shared" si="45"/>
        <v>41618</v>
      </c>
      <c r="J773" s="104">
        <f t="shared" si="46"/>
        <v>41618</v>
      </c>
      <c r="L773" t="b">
        <f t="shared" si="47"/>
        <v>1</v>
      </c>
    </row>
    <row r="774" spans="1:12" x14ac:dyDescent="0.25">
      <c r="A774" s="8">
        <v>41592</v>
      </c>
      <c r="B774" s="4">
        <v>59737</v>
      </c>
      <c r="C774" s="57">
        <v>98.78</v>
      </c>
      <c r="D774" s="4" t="str">
        <f t="shared" si="48"/>
        <v>EOM plus 20 days</v>
      </c>
      <c r="E774" s="4">
        <v>20</v>
      </c>
      <c r="F774" s="104">
        <f t="shared" ref="F774:F806" si="49">EOMONTH(A774,0)+E774</f>
        <v>41628</v>
      </c>
      <c r="J774" s="104">
        <f t="shared" ref="J774:J806" si="50">DATE(YEAR(A774),MONTH(A774)+1,E774)</f>
        <v>41628</v>
      </c>
      <c r="L774" t="b">
        <f t="shared" ref="L774:L806" si="51">J774=F774</f>
        <v>1</v>
      </c>
    </row>
    <row r="775" spans="1:12" x14ac:dyDescent="0.25">
      <c r="A775" s="8">
        <v>41592</v>
      </c>
      <c r="B775" s="4">
        <v>59738</v>
      </c>
      <c r="C775" s="57">
        <v>52.73</v>
      </c>
      <c r="D775" s="4" t="str">
        <f t="shared" si="48"/>
        <v>EOM plus 5 days</v>
      </c>
      <c r="E775" s="4">
        <v>5</v>
      </c>
      <c r="F775" s="104">
        <f t="shared" si="49"/>
        <v>41613</v>
      </c>
      <c r="J775" s="104">
        <f t="shared" si="50"/>
        <v>41613</v>
      </c>
      <c r="L775" t="b">
        <f t="shared" si="51"/>
        <v>1</v>
      </c>
    </row>
    <row r="776" spans="1:12" x14ac:dyDescent="0.25">
      <c r="A776" s="8">
        <v>41592</v>
      </c>
      <c r="B776" s="4">
        <v>59739</v>
      </c>
      <c r="C776" s="57">
        <v>161.49</v>
      </c>
      <c r="D776" s="4" t="str">
        <f t="shared" si="48"/>
        <v>EOM plus 15 days</v>
      </c>
      <c r="E776" s="4">
        <v>15</v>
      </c>
      <c r="F776" s="104">
        <f t="shared" si="49"/>
        <v>41623</v>
      </c>
      <c r="J776" s="104">
        <f t="shared" si="50"/>
        <v>41623</v>
      </c>
      <c r="L776" t="b">
        <f t="shared" si="51"/>
        <v>1</v>
      </c>
    </row>
    <row r="777" spans="1:12" x14ac:dyDescent="0.25">
      <c r="A777" s="8">
        <v>41592</v>
      </c>
      <c r="B777" s="4">
        <v>59740</v>
      </c>
      <c r="C777" s="57">
        <v>68.02</v>
      </c>
      <c r="D777" s="4" t="str">
        <f t="shared" si="48"/>
        <v>EOM plus 10 days</v>
      </c>
      <c r="E777" s="4">
        <v>10</v>
      </c>
      <c r="F777" s="104">
        <f t="shared" si="49"/>
        <v>41618</v>
      </c>
      <c r="J777" s="104">
        <f t="shared" si="50"/>
        <v>41618</v>
      </c>
      <c r="L777" t="b">
        <f t="shared" si="51"/>
        <v>1</v>
      </c>
    </row>
    <row r="778" spans="1:12" x14ac:dyDescent="0.25">
      <c r="A778" s="8">
        <v>41592</v>
      </c>
      <c r="B778" s="4">
        <v>59741</v>
      </c>
      <c r="C778" s="57">
        <v>242.04</v>
      </c>
      <c r="D778" s="4" t="str">
        <f t="shared" si="48"/>
        <v>EOM plus 10 days</v>
      </c>
      <c r="E778" s="4">
        <v>10</v>
      </c>
      <c r="F778" s="104">
        <f t="shared" si="49"/>
        <v>41618</v>
      </c>
      <c r="J778" s="104">
        <f t="shared" si="50"/>
        <v>41618</v>
      </c>
      <c r="L778" t="b">
        <f t="shared" si="51"/>
        <v>1</v>
      </c>
    </row>
    <row r="779" spans="1:12" x14ac:dyDescent="0.25">
      <c r="A779" s="8">
        <v>41592</v>
      </c>
      <c r="B779" s="4">
        <v>59742</v>
      </c>
      <c r="C779" s="57">
        <v>140.72</v>
      </c>
      <c r="D779" s="4" t="str">
        <f t="shared" si="48"/>
        <v>EOM plus 20 days</v>
      </c>
      <c r="E779" s="4">
        <v>20</v>
      </c>
      <c r="F779" s="104">
        <f t="shared" si="49"/>
        <v>41628</v>
      </c>
      <c r="J779" s="104">
        <f t="shared" si="50"/>
        <v>41628</v>
      </c>
      <c r="L779" t="b">
        <f t="shared" si="51"/>
        <v>1</v>
      </c>
    </row>
    <row r="780" spans="1:12" x14ac:dyDescent="0.25">
      <c r="A780" s="8">
        <v>41592</v>
      </c>
      <c r="B780" s="4">
        <v>59743</v>
      </c>
      <c r="C780" s="57">
        <v>103.89</v>
      </c>
      <c r="D780" s="4" t="str">
        <f t="shared" si="48"/>
        <v>EOM plus 20 days</v>
      </c>
      <c r="E780" s="4">
        <v>20</v>
      </c>
      <c r="F780" s="104">
        <f t="shared" si="49"/>
        <v>41628</v>
      </c>
      <c r="J780" s="104">
        <f t="shared" si="50"/>
        <v>41628</v>
      </c>
      <c r="L780" t="b">
        <f t="shared" si="51"/>
        <v>1</v>
      </c>
    </row>
    <row r="781" spans="1:12" x14ac:dyDescent="0.25">
      <c r="A781" s="8">
        <v>41592</v>
      </c>
      <c r="B781" s="4">
        <v>59744</v>
      </c>
      <c r="C781" s="57">
        <v>105.2</v>
      </c>
      <c r="D781" s="4" t="str">
        <f t="shared" si="48"/>
        <v>EOM plus 10 days</v>
      </c>
      <c r="E781" s="4">
        <v>10</v>
      </c>
      <c r="F781" s="104">
        <f t="shared" si="49"/>
        <v>41618</v>
      </c>
      <c r="J781" s="104">
        <f t="shared" si="50"/>
        <v>41618</v>
      </c>
      <c r="L781" t="b">
        <f t="shared" si="51"/>
        <v>1</v>
      </c>
    </row>
    <row r="782" spans="1:12" x14ac:dyDescent="0.25">
      <c r="A782" s="8">
        <v>41592</v>
      </c>
      <c r="B782" s="4">
        <v>59745</v>
      </c>
      <c r="C782" s="57">
        <v>35.979999999999997</v>
      </c>
      <c r="D782" s="4" t="str">
        <f t="shared" si="48"/>
        <v>EOM plus 10 days</v>
      </c>
      <c r="E782" s="4">
        <v>10</v>
      </c>
      <c r="F782" s="104">
        <f t="shared" si="49"/>
        <v>41618</v>
      </c>
      <c r="J782" s="104">
        <f t="shared" si="50"/>
        <v>41618</v>
      </c>
      <c r="L782" t="b">
        <f t="shared" si="51"/>
        <v>1</v>
      </c>
    </row>
    <row r="783" spans="1:12" x14ac:dyDescent="0.25">
      <c r="A783" s="8">
        <v>41593</v>
      </c>
      <c r="B783" s="4">
        <v>59746</v>
      </c>
      <c r="C783" s="57">
        <v>79.75</v>
      </c>
      <c r="D783" s="4" t="str">
        <f t="shared" si="48"/>
        <v>EOM plus 10 days</v>
      </c>
      <c r="E783" s="4">
        <v>10</v>
      </c>
      <c r="F783" s="104">
        <f t="shared" si="49"/>
        <v>41618</v>
      </c>
      <c r="J783" s="104">
        <f t="shared" si="50"/>
        <v>41618</v>
      </c>
      <c r="L783" t="b">
        <f t="shared" si="51"/>
        <v>1</v>
      </c>
    </row>
    <row r="784" spans="1:12" x14ac:dyDescent="0.25">
      <c r="A784" s="8">
        <v>41593</v>
      </c>
      <c r="B784" s="4">
        <v>59747</v>
      </c>
      <c r="C784" s="57">
        <v>211.91</v>
      </c>
      <c r="D784" s="4" t="str">
        <f t="shared" si="48"/>
        <v>EOM plus 10 days</v>
      </c>
      <c r="E784" s="4">
        <v>10</v>
      </c>
      <c r="F784" s="104">
        <f t="shared" si="49"/>
        <v>41618</v>
      </c>
      <c r="J784" s="104">
        <f t="shared" si="50"/>
        <v>41618</v>
      </c>
      <c r="L784" t="b">
        <f t="shared" si="51"/>
        <v>1</v>
      </c>
    </row>
    <row r="785" spans="1:12" x14ac:dyDescent="0.25">
      <c r="A785" s="8">
        <v>41593</v>
      </c>
      <c r="B785" s="4">
        <v>59748</v>
      </c>
      <c r="C785" s="57">
        <v>235.98</v>
      </c>
      <c r="D785" s="4" t="str">
        <f t="shared" si="48"/>
        <v>EOM plus 10 days</v>
      </c>
      <c r="E785" s="4">
        <v>10</v>
      </c>
      <c r="F785" s="104">
        <f t="shared" si="49"/>
        <v>41618</v>
      </c>
      <c r="J785" s="104">
        <f t="shared" si="50"/>
        <v>41618</v>
      </c>
      <c r="L785" t="b">
        <f t="shared" si="51"/>
        <v>1</v>
      </c>
    </row>
    <row r="786" spans="1:12" x14ac:dyDescent="0.25">
      <c r="A786" s="8">
        <v>41593</v>
      </c>
      <c r="B786" s="4">
        <v>59749</v>
      </c>
      <c r="C786" s="57">
        <v>38.92</v>
      </c>
      <c r="D786" s="4" t="str">
        <f t="shared" si="48"/>
        <v>EOM plus 15 days</v>
      </c>
      <c r="E786" s="4">
        <v>15</v>
      </c>
      <c r="F786" s="104">
        <f t="shared" si="49"/>
        <v>41623</v>
      </c>
      <c r="J786" s="104">
        <f t="shared" si="50"/>
        <v>41623</v>
      </c>
      <c r="L786" t="b">
        <f t="shared" si="51"/>
        <v>1</v>
      </c>
    </row>
    <row r="787" spans="1:12" x14ac:dyDescent="0.25">
      <c r="A787" s="8">
        <v>41593</v>
      </c>
      <c r="B787" s="4">
        <v>59750</v>
      </c>
      <c r="C787" s="57">
        <v>237.26</v>
      </c>
      <c r="D787" s="4" t="str">
        <f t="shared" si="48"/>
        <v>EOM plus 10 days</v>
      </c>
      <c r="E787" s="4">
        <v>10</v>
      </c>
      <c r="F787" s="104">
        <f t="shared" si="49"/>
        <v>41618</v>
      </c>
      <c r="J787" s="104">
        <f t="shared" si="50"/>
        <v>41618</v>
      </c>
      <c r="L787" t="b">
        <f t="shared" si="51"/>
        <v>1</v>
      </c>
    </row>
    <row r="788" spans="1:12" x14ac:dyDescent="0.25">
      <c r="A788" s="8">
        <v>41593</v>
      </c>
      <c r="B788" s="4">
        <v>59751</v>
      </c>
      <c r="C788" s="57">
        <v>335.56</v>
      </c>
      <c r="D788" s="4" t="str">
        <f t="shared" si="48"/>
        <v>EOM plus 10 days</v>
      </c>
      <c r="E788" s="4">
        <v>10</v>
      </c>
      <c r="F788" s="104">
        <f t="shared" si="49"/>
        <v>41618</v>
      </c>
      <c r="J788" s="104">
        <f t="shared" si="50"/>
        <v>41618</v>
      </c>
      <c r="L788" t="b">
        <f t="shared" si="51"/>
        <v>1</v>
      </c>
    </row>
    <row r="789" spans="1:12" x14ac:dyDescent="0.25">
      <c r="A789" s="8">
        <v>41593</v>
      </c>
      <c r="B789" s="4">
        <v>59752</v>
      </c>
      <c r="C789" s="57">
        <v>328.54</v>
      </c>
      <c r="D789" s="4" t="str">
        <f t="shared" si="48"/>
        <v>EOM plus 10 days</v>
      </c>
      <c r="E789" s="4">
        <v>10</v>
      </c>
      <c r="F789" s="104">
        <f t="shared" si="49"/>
        <v>41618</v>
      </c>
      <c r="J789" s="104">
        <f t="shared" si="50"/>
        <v>41618</v>
      </c>
      <c r="L789" t="b">
        <f t="shared" si="51"/>
        <v>1</v>
      </c>
    </row>
    <row r="790" spans="1:12" x14ac:dyDescent="0.25">
      <c r="A790" s="8">
        <v>41593</v>
      </c>
      <c r="B790" s="4">
        <v>59753</v>
      </c>
      <c r="C790" s="57">
        <v>247.91</v>
      </c>
      <c r="D790" s="4" t="str">
        <f t="shared" si="48"/>
        <v>EOM plus 20 days</v>
      </c>
      <c r="E790" s="4">
        <v>20</v>
      </c>
      <c r="F790" s="104">
        <f t="shared" si="49"/>
        <v>41628</v>
      </c>
      <c r="J790" s="104">
        <f t="shared" si="50"/>
        <v>41628</v>
      </c>
      <c r="L790" t="b">
        <f t="shared" si="51"/>
        <v>1</v>
      </c>
    </row>
    <row r="791" spans="1:12" x14ac:dyDescent="0.25">
      <c r="A791" s="8">
        <v>41593</v>
      </c>
      <c r="B791" s="4">
        <v>59754</v>
      </c>
      <c r="C791" s="57">
        <v>222.26</v>
      </c>
      <c r="D791" s="4" t="str">
        <f t="shared" si="48"/>
        <v>EOM plus 20 days</v>
      </c>
      <c r="E791" s="4">
        <v>20</v>
      </c>
      <c r="F791" s="104">
        <f t="shared" si="49"/>
        <v>41628</v>
      </c>
      <c r="J791" s="104">
        <f t="shared" si="50"/>
        <v>41628</v>
      </c>
      <c r="L791" t="b">
        <f t="shared" si="51"/>
        <v>1</v>
      </c>
    </row>
    <row r="792" spans="1:12" x14ac:dyDescent="0.25">
      <c r="A792" s="8">
        <v>41593</v>
      </c>
      <c r="B792" s="4">
        <v>59755</v>
      </c>
      <c r="C792" s="57">
        <v>214.01</v>
      </c>
      <c r="D792" s="4" t="str">
        <f t="shared" si="48"/>
        <v>EOM plus 10 days</v>
      </c>
      <c r="E792" s="4">
        <v>10</v>
      </c>
      <c r="F792" s="104">
        <f t="shared" si="49"/>
        <v>41618</v>
      </c>
      <c r="J792" s="104">
        <f t="shared" si="50"/>
        <v>41618</v>
      </c>
      <c r="L792" t="b">
        <f t="shared" si="51"/>
        <v>1</v>
      </c>
    </row>
    <row r="793" spans="1:12" x14ac:dyDescent="0.25">
      <c r="A793" s="8">
        <v>41593</v>
      </c>
      <c r="B793" s="4">
        <v>59756</v>
      </c>
      <c r="C793" s="57">
        <v>98.23</v>
      </c>
      <c r="D793" s="4" t="str">
        <f t="shared" si="48"/>
        <v>EOM plus 10 days</v>
      </c>
      <c r="E793" s="4">
        <v>10</v>
      </c>
      <c r="F793" s="104">
        <f t="shared" si="49"/>
        <v>41618</v>
      </c>
      <c r="J793" s="104">
        <f t="shared" si="50"/>
        <v>41618</v>
      </c>
      <c r="L793" t="b">
        <f t="shared" si="51"/>
        <v>1</v>
      </c>
    </row>
    <row r="794" spans="1:12" x14ac:dyDescent="0.25">
      <c r="A794" s="8">
        <v>41593</v>
      </c>
      <c r="B794" s="4">
        <v>59757</v>
      </c>
      <c r="C794" s="57">
        <v>143.38999999999999</v>
      </c>
      <c r="D794" s="4" t="str">
        <f t="shared" si="48"/>
        <v>EOM plus 10 days</v>
      </c>
      <c r="E794" s="4">
        <v>10</v>
      </c>
      <c r="F794" s="104">
        <f t="shared" si="49"/>
        <v>41618</v>
      </c>
      <c r="J794" s="104">
        <f t="shared" si="50"/>
        <v>41618</v>
      </c>
      <c r="L794" t="b">
        <f t="shared" si="51"/>
        <v>1</v>
      </c>
    </row>
    <row r="795" spans="1:12" x14ac:dyDescent="0.25">
      <c r="A795" s="8">
        <v>41593</v>
      </c>
      <c r="B795" s="4">
        <v>59758</v>
      </c>
      <c r="C795" s="57">
        <v>327.13</v>
      </c>
      <c r="D795" s="4" t="str">
        <f t="shared" si="48"/>
        <v>EOM plus 15 days</v>
      </c>
      <c r="E795" s="4">
        <v>15</v>
      </c>
      <c r="F795" s="104">
        <f t="shared" si="49"/>
        <v>41623</v>
      </c>
      <c r="J795" s="104">
        <f t="shared" si="50"/>
        <v>41623</v>
      </c>
      <c r="L795" t="b">
        <f t="shared" si="51"/>
        <v>1</v>
      </c>
    </row>
    <row r="796" spans="1:12" x14ac:dyDescent="0.25">
      <c r="A796" s="8">
        <v>41593</v>
      </c>
      <c r="B796" s="4">
        <v>59759</v>
      </c>
      <c r="C796" s="57">
        <v>364.84</v>
      </c>
      <c r="D796" s="4" t="str">
        <f t="shared" si="48"/>
        <v>EOM plus 10 days</v>
      </c>
      <c r="E796" s="4">
        <v>10</v>
      </c>
      <c r="F796" s="104">
        <f t="shared" si="49"/>
        <v>41618</v>
      </c>
      <c r="J796" s="104">
        <f t="shared" si="50"/>
        <v>41618</v>
      </c>
      <c r="L796" t="b">
        <f t="shared" si="51"/>
        <v>1</v>
      </c>
    </row>
    <row r="797" spans="1:12" x14ac:dyDescent="0.25">
      <c r="A797" s="8">
        <v>41593</v>
      </c>
      <c r="B797" s="4">
        <v>59760</v>
      </c>
      <c r="C797" s="57">
        <v>195.28</v>
      </c>
      <c r="D797" s="4" t="str">
        <f t="shared" si="48"/>
        <v>EOM plus 10 days</v>
      </c>
      <c r="E797" s="4">
        <v>10</v>
      </c>
      <c r="F797" s="104">
        <f t="shared" si="49"/>
        <v>41618</v>
      </c>
      <c r="J797" s="104">
        <f t="shared" si="50"/>
        <v>41618</v>
      </c>
      <c r="L797" t="b">
        <f t="shared" si="51"/>
        <v>1</v>
      </c>
    </row>
    <row r="798" spans="1:12" x14ac:dyDescent="0.25">
      <c r="A798" s="8">
        <v>41593</v>
      </c>
      <c r="B798" s="4">
        <v>59761</v>
      </c>
      <c r="C798" s="57">
        <v>35.08</v>
      </c>
      <c r="D798" s="4" t="str">
        <f t="shared" si="48"/>
        <v>EOM plus 5 days</v>
      </c>
      <c r="E798" s="4">
        <v>5</v>
      </c>
      <c r="F798" s="104">
        <f t="shared" si="49"/>
        <v>41613</v>
      </c>
      <c r="J798" s="104">
        <f t="shared" si="50"/>
        <v>41613</v>
      </c>
      <c r="L798" t="b">
        <f t="shared" si="51"/>
        <v>1</v>
      </c>
    </row>
    <row r="799" spans="1:12" x14ac:dyDescent="0.25">
      <c r="A799" s="8">
        <v>41593</v>
      </c>
      <c r="B799" s="4">
        <v>59762</v>
      </c>
      <c r="C799" s="57">
        <v>88.7</v>
      </c>
      <c r="D799" s="4" t="str">
        <f t="shared" si="48"/>
        <v>EOM plus 10 days</v>
      </c>
      <c r="E799" s="4">
        <v>10</v>
      </c>
      <c r="F799" s="104">
        <f t="shared" si="49"/>
        <v>41618</v>
      </c>
      <c r="J799" s="104">
        <f t="shared" si="50"/>
        <v>41618</v>
      </c>
      <c r="L799" t="b">
        <f t="shared" si="51"/>
        <v>1</v>
      </c>
    </row>
    <row r="800" spans="1:12" x14ac:dyDescent="0.25">
      <c r="A800" s="8">
        <v>41593</v>
      </c>
      <c r="B800" s="4">
        <v>59763</v>
      </c>
      <c r="C800" s="57">
        <v>98.44</v>
      </c>
      <c r="D800" s="4" t="str">
        <f t="shared" si="48"/>
        <v>EOM plus 5 days</v>
      </c>
      <c r="E800" s="4">
        <v>5</v>
      </c>
      <c r="F800" s="104">
        <f t="shared" si="49"/>
        <v>41613</v>
      </c>
      <c r="J800" s="104">
        <f t="shared" si="50"/>
        <v>41613</v>
      </c>
      <c r="L800" t="b">
        <f t="shared" si="51"/>
        <v>1</v>
      </c>
    </row>
    <row r="801" spans="1:12" x14ac:dyDescent="0.25">
      <c r="A801" s="8">
        <v>41593</v>
      </c>
      <c r="B801" s="4">
        <v>59764</v>
      </c>
      <c r="C801" s="57">
        <v>344.86</v>
      </c>
      <c r="D801" s="4" t="str">
        <f t="shared" si="48"/>
        <v>EOM plus 5 days</v>
      </c>
      <c r="E801" s="4">
        <v>5</v>
      </c>
      <c r="F801" s="104">
        <f t="shared" si="49"/>
        <v>41613</v>
      </c>
      <c r="J801" s="104">
        <f t="shared" si="50"/>
        <v>41613</v>
      </c>
      <c r="L801" t="b">
        <f t="shared" si="51"/>
        <v>1</v>
      </c>
    </row>
    <row r="802" spans="1:12" x14ac:dyDescent="0.25">
      <c r="A802" s="8">
        <v>41593</v>
      </c>
      <c r="B802" s="4">
        <v>59765</v>
      </c>
      <c r="C802" s="57">
        <v>38.42</v>
      </c>
      <c r="D802" s="4" t="str">
        <f t="shared" si="48"/>
        <v>EOM plus 10 days</v>
      </c>
      <c r="E802" s="4">
        <v>10</v>
      </c>
      <c r="F802" s="104">
        <f t="shared" si="49"/>
        <v>41618</v>
      </c>
      <c r="J802" s="104">
        <f t="shared" si="50"/>
        <v>41618</v>
      </c>
      <c r="L802" t="b">
        <f t="shared" si="51"/>
        <v>1</v>
      </c>
    </row>
    <row r="803" spans="1:12" x14ac:dyDescent="0.25">
      <c r="A803" s="8">
        <v>41593</v>
      </c>
      <c r="B803" s="4">
        <v>59766</v>
      </c>
      <c r="C803" s="57">
        <v>183.44</v>
      </c>
      <c r="D803" s="4" t="str">
        <f t="shared" si="48"/>
        <v>EOM plus 5 days</v>
      </c>
      <c r="E803" s="4">
        <v>5</v>
      </c>
      <c r="F803" s="104">
        <f t="shared" si="49"/>
        <v>41613</v>
      </c>
      <c r="J803" s="104">
        <f t="shared" si="50"/>
        <v>41613</v>
      </c>
      <c r="L803" t="b">
        <f t="shared" si="51"/>
        <v>1</v>
      </c>
    </row>
    <row r="804" spans="1:12" x14ac:dyDescent="0.25">
      <c r="A804" s="8">
        <v>41593</v>
      </c>
      <c r="B804" s="4">
        <v>59767</v>
      </c>
      <c r="C804" s="57">
        <v>227.2</v>
      </c>
      <c r="D804" s="4" t="str">
        <f t="shared" si="48"/>
        <v>EOM plus 10 days</v>
      </c>
      <c r="E804" s="4">
        <v>10</v>
      </c>
      <c r="F804" s="104">
        <f t="shared" si="49"/>
        <v>41618</v>
      </c>
      <c r="J804" s="104">
        <f t="shared" si="50"/>
        <v>41618</v>
      </c>
      <c r="L804" t="b">
        <f t="shared" si="51"/>
        <v>1</v>
      </c>
    </row>
    <row r="805" spans="1:12" x14ac:dyDescent="0.25">
      <c r="A805" s="8">
        <v>41593</v>
      </c>
      <c r="B805" s="4">
        <v>59768</v>
      </c>
      <c r="C805" s="57">
        <v>365.95</v>
      </c>
      <c r="D805" s="4" t="str">
        <f t="shared" si="48"/>
        <v>EOM plus 10 days</v>
      </c>
      <c r="E805" s="4">
        <v>10</v>
      </c>
      <c r="F805" s="104">
        <f t="shared" si="49"/>
        <v>41618</v>
      </c>
      <c r="J805" s="104">
        <f t="shared" si="50"/>
        <v>41618</v>
      </c>
      <c r="L805" t="b">
        <f t="shared" si="51"/>
        <v>1</v>
      </c>
    </row>
    <row r="806" spans="1:12" x14ac:dyDescent="0.25">
      <c r="A806" s="8">
        <v>41593</v>
      </c>
      <c r="B806" s="4">
        <v>59769</v>
      </c>
      <c r="C806" s="57">
        <v>129.94999999999999</v>
      </c>
      <c r="D806" s="4" t="str">
        <f t="shared" si="48"/>
        <v>EOM plus 10 days</v>
      </c>
      <c r="E806" s="4">
        <v>10</v>
      </c>
      <c r="F806" s="104">
        <f t="shared" si="49"/>
        <v>41618</v>
      </c>
      <c r="J806" s="104">
        <f t="shared" si="50"/>
        <v>41618</v>
      </c>
      <c r="L806" t="b">
        <f t="shared" si="51"/>
        <v>1</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E806"/>
  <sheetViews>
    <sheetView zoomScale="130" zoomScaleNormal="130" workbookViewId="0">
      <selection activeCell="E5" sqref="E5"/>
    </sheetView>
  </sheetViews>
  <sheetFormatPr defaultRowHeight="15" x14ac:dyDescent="0.25"/>
  <cols>
    <col min="1" max="1" width="17.7109375" customWidth="1"/>
    <col min="2" max="2" width="13" customWidth="1"/>
    <col min="3" max="3" width="9.85546875" bestFit="1" customWidth="1"/>
    <col min="4" max="4" width="25.7109375" bestFit="1" customWidth="1"/>
    <col min="5" max="5" width="12.28515625" customWidth="1"/>
    <col min="6" max="6" width="1.85546875" customWidth="1"/>
    <col min="8" max="8" width="1.85546875" customWidth="1"/>
    <col min="9" max="9" width="11.140625" bestFit="1" customWidth="1"/>
  </cols>
  <sheetData>
    <row r="1" spans="1:5" x14ac:dyDescent="0.25">
      <c r="A1" s="63" t="s">
        <v>1424</v>
      </c>
      <c r="B1" s="64"/>
      <c r="C1" s="65"/>
    </row>
    <row r="4" spans="1:5" ht="26.25" x14ac:dyDescent="0.25">
      <c r="A4" s="11" t="s">
        <v>42</v>
      </c>
      <c r="B4" s="11" t="s">
        <v>1414</v>
      </c>
      <c r="C4" s="11" t="s">
        <v>1415</v>
      </c>
      <c r="D4" s="11" t="s">
        <v>1416</v>
      </c>
      <c r="E4" s="11" t="s">
        <v>1417</v>
      </c>
    </row>
    <row r="5" spans="1:5" x14ac:dyDescent="0.25">
      <c r="A5" s="8">
        <v>41550</v>
      </c>
      <c r="B5" s="4">
        <v>58968</v>
      </c>
      <c r="C5" s="57">
        <v>320.98</v>
      </c>
      <c r="D5" s="4" t="s">
        <v>1423</v>
      </c>
      <c r="E5" s="104"/>
    </row>
    <row r="6" spans="1:5" x14ac:dyDescent="0.25">
      <c r="A6" s="8">
        <v>41550</v>
      </c>
      <c r="B6" s="4">
        <v>58969</v>
      </c>
      <c r="C6" s="57">
        <v>92.25</v>
      </c>
      <c r="D6" s="4" t="s">
        <v>1423</v>
      </c>
      <c r="E6" s="104"/>
    </row>
    <row r="7" spans="1:5" x14ac:dyDescent="0.25">
      <c r="A7" s="8">
        <v>41550</v>
      </c>
      <c r="B7" s="4">
        <v>58970</v>
      </c>
      <c r="C7" s="57">
        <v>47.54</v>
      </c>
      <c r="D7" s="4" t="s">
        <v>1423</v>
      </c>
      <c r="E7" s="104"/>
    </row>
    <row r="8" spans="1:5" x14ac:dyDescent="0.25">
      <c r="A8" s="8">
        <v>41550</v>
      </c>
      <c r="B8" s="4">
        <v>58971</v>
      </c>
      <c r="C8" s="57">
        <v>385.71</v>
      </c>
      <c r="D8" s="4" t="s">
        <v>1423</v>
      </c>
      <c r="E8" s="104"/>
    </row>
    <row r="9" spans="1:5" x14ac:dyDescent="0.25">
      <c r="A9" s="8">
        <v>41550</v>
      </c>
      <c r="B9" s="4">
        <v>58972</v>
      </c>
      <c r="C9" s="57">
        <v>216.01</v>
      </c>
      <c r="D9" s="4" t="s">
        <v>1423</v>
      </c>
      <c r="E9" s="104"/>
    </row>
    <row r="10" spans="1:5" x14ac:dyDescent="0.25">
      <c r="A10" s="8">
        <v>41550</v>
      </c>
      <c r="B10" s="4">
        <v>58973</v>
      </c>
      <c r="C10" s="57">
        <v>236.64</v>
      </c>
      <c r="D10" s="4" t="s">
        <v>1423</v>
      </c>
      <c r="E10" s="104"/>
    </row>
    <row r="11" spans="1:5" x14ac:dyDescent="0.25">
      <c r="A11" s="8">
        <v>41550</v>
      </c>
      <c r="B11" s="4">
        <v>58974</v>
      </c>
      <c r="C11" s="57">
        <v>107.74</v>
      </c>
      <c r="D11" s="4" t="s">
        <v>1423</v>
      </c>
      <c r="E11" s="104"/>
    </row>
    <row r="12" spans="1:5" x14ac:dyDescent="0.25">
      <c r="A12" s="8">
        <v>41550</v>
      </c>
      <c r="B12" s="4">
        <v>58975</v>
      </c>
      <c r="C12" s="57">
        <v>258.29000000000002</v>
      </c>
      <c r="D12" s="4" t="s">
        <v>1423</v>
      </c>
      <c r="E12" s="104"/>
    </row>
    <row r="13" spans="1:5" x14ac:dyDescent="0.25">
      <c r="A13" s="8">
        <v>41550</v>
      </c>
      <c r="B13" s="4">
        <v>58976</v>
      </c>
      <c r="C13" s="57">
        <v>87.58</v>
      </c>
      <c r="D13" s="4" t="s">
        <v>1423</v>
      </c>
      <c r="E13" s="104"/>
    </row>
    <row r="14" spans="1:5" x14ac:dyDescent="0.25">
      <c r="A14" s="8">
        <v>41550</v>
      </c>
      <c r="B14" s="4">
        <v>58977</v>
      </c>
      <c r="C14" s="57">
        <v>122.03</v>
      </c>
      <c r="D14" s="4" t="s">
        <v>1423</v>
      </c>
      <c r="E14" s="104"/>
    </row>
    <row r="15" spans="1:5" x14ac:dyDescent="0.25">
      <c r="A15" s="8">
        <v>41550</v>
      </c>
      <c r="B15" s="4">
        <v>58978</v>
      </c>
      <c r="C15" s="57">
        <v>88.41</v>
      </c>
      <c r="D15" s="4" t="s">
        <v>1423</v>
      </c>
      <c r="E15" s="104"/>
    </row>
    <row r="16" spans="1:5" x14ac:dyDescent="0.25">
      <c r="A16" s="8">
        <v>41551</v>
      </c>
      <c r="B16" s="4">
        <v>58979</v>
      </c>
      <c r="C16" s="57">
        <v>286.39999999999998</v>
      </c>
      <c r="D16" s="4" t="s">
        <v>1423</v>
      </c>
      <c r="E16" s="104"/>
    </row>
    <row r="17" spans="1:5" x14ac:dyDescent="0.25">
      <c r="A17" s="8">
        <v>41551</v>
      </c>
      <c r="B17" s="4">
        <v>58980</v>
      </c>
      <c r="C17" s="57">
        <v>277.08999999999997</v>
      </c>
      <c r="D17" s="4" t="s">
        <v>1423</v>
      </c>
      <c r="E17" s="104"/>
    </row>
    <row r="18" spans="1:5" x14ac:dyDescent="0.25">
      <c r="A18" s="8">
        <v>41551</v>
      </c>
      <c r="B18" s="4">
        <v>58981</v>
      </c>
      <c r="C18" s="57">
        <v>212.03</v>
      </c>
      <c r="D18" s="4" t="s">
        <v>1423</v>
      </c>
      <c r="E18" s="104"/>
    </row>
    <row r="19" spans="1:5" x14ac:dyDescent="0.25">
      <c r="A19" s="8">
        <v>41551</v>
      </c>
      <c r="B19" s="4">
        <v>58982</v>
      </c>
      <c r="C19" s="57">
        <v>130.04</v>
      </c>
      <c r="D19" s="4" t="s">
        <v>1423</v>
      </c>
      <c r="E19" s="104"/>
    </row>
    <row r="20" spans="1:5" x14ac:dyDescent="0.25">
      <c r="A20" s="8">
        <v>41551</v>
      </c>
      <c r="B20" s="4">
        <v>58983</v>
      </c>
      <c r="C20" s="57">
        <v>272.83</v>
      </c>
      <c r="D20" s="4" t="s">
        <v>1423</v>
      </c>
      <c r="E20" s="104"/>
    </row>
    <row r="21" spans="1:5" x14ac:dyDescent="0.25">
      <c r="A21" s="8">
        <v>41551</v>
      </c>
      <c r="B21" s="4">
        <v>58984</v>
      </c>
      <c r="C21" s="57">
        <v>68.44</v>
      </c>
      <c r="D21" s="4" t="s">
        <v>1423</v>
      </c>
      <c r="E21" s="104"/>
    </row>
    <row r="22" spans="1:5" x14ac:dyDescent="0.25">
      <c r="A22" s="8">
        <v>41551</v>
      </c>
      <c r="B22" s="4">
        <v>58985</v>
      </c>
      <c r="C22" s="57">
        <v>63.62</v>
      </c>
      <c r="D22" s="4" t="s">
        <v>1423</v>
      </c>
      <c r="E22" s="104"/>
    </row>
    <row r="23" spans="1:5" x14ac:dyDescent="0.25">
      <c r="A23" s="8">
        <v>41551</v>
      </c>
      <c r="B23" s="4">
        <v>58986</v>
      </c>
      <c r="C23" s="57">
        <v>245.92</v>
      </c>
      <c r="D23" s="4" t="s">
        <v>1423</v>
      </c>
      <c r="E23" s="104"/>
    </row>
    <row r="24" spans="1:5" x14ac:dyDescent="0.25">
      <c r="A24" s="8">
        <v>41551</v>
      </c>
      <c r="B24" s="4">
        <v>58987</v>
      </c>
      <c r="C24" s="57">
        <v>285.31</v>
      </c>
      <c r="D24" s="4" t="s">
        <v>1423</v>
      </c>
      <c r="E24" s="104"/>
    </row>
    <row r="25" spans="1:5" x14ac:dyDescent="0.25">
      <c r="A25" s="8">
        <v>41551</v>
      </c>
      <c r="B25" s="4">
        <v>58988</v>
      </c>
      <c r="C25" s="57">
        <v>256.69</v>
      </c>
      <c r="D25" s="4" t="s">
        <v>1423</v>
      </c>
      <c r="E25" s="104"/>
    </row>
    <row r="26" spans="1:5" x14ac:dyDescent="0.25">
      <c r="A26" s="8">
        <v>41551</v>
      </c>
      <c r="B26" s="4">
        <v>58989</v>
      </c>
      <c r="C26" s="57">
        <v>329.98</v>
      </c>
      <c r="D26" s="4" t="s">
        <v>1423</v>
      </c>
      <c r="E26" s="104"/>
    </row>
    <row r="27" spans="1:5" x14ac:dyDescent="0.25">
      <c r="A27" s="8">
        <v>41551</v>
      </c>
      <c r="B27" s="4">
        <v>58990</v>
      </c>
      <c r="C27" s="57">
        <v>293.24</v>
      </c>
      <c r="D27" s="4" t="s">
        <v>1423</v>
      </c>
      <c r="E27" s="104"/>
    </row>
    <row r="28" spans="1:5" x14ac:dyDescent="0.25">
      <c r="A28" s="8">
        <v>41552</v>
      </c>
      <c r="B28" s="4">
        <v>58991</v>
      </c>
      <c r="C28" s="57">
        <v>269.52</v>
      </c>
      <c r="D28" s="4" t="s">
        <v>1423</v>
      </c>
      <c r="E28" s="104"/>
    </row>
    <row r="29" spans="1:5" x14ac:dyDescent="0.25">
      <c r="A29" s="8">
        <v>41552</v>
      </c>
      <c r="B29" s="4">
        <v>58992</v>
      </c>
      <c r="C29" s="57">
        <v>46.21</v>
      </c>
      <c r="D29" s="4" t="s">
        <v>1423</v>
      </c>
      <c r="E29" s="104"/>
    </row>
    <row r="30" spans="1:5" x14ac:dyDescent="0.25">
      <c r="A30" s="8">
        <v>41552</v>
      </c>
      <c r="B30" s="4">
        <v>58993</v>
      </c>
      <c r="C30" s="57">
        <v>193.27</v>
      </c>
      <c r="D30" s="4" t="s">
        <v>1423</v>
      </c>
      <c r="E30" s="104"/>
    </row>
    <row r="31" spans="1:5" x14ac:dyDescent="0.25">
      <c r="A31" s="8">
        <v>41552</v>
      </c>
      <c r="B31" s="4">
        <v>58994</v>
      </c>
      <c r="C31" s="57">
        <v>323.79000000000002</v>
      </c>
      <c r="D31" s="4" t="s">
        <v>1423</v>
      </c>
      <c r="E31" s="104"/>
    </row>
    <row r="32" spans="1:5" x14ac:dyDescent="0.25">
      <c r="A32" s="8">
        <v>41552</v>
      </c>
      <c r="B32" s="4">
        <v>58995</v>
      </c>
      <c r="C32" s="57">
        <v>130.78</v>
      </c>
      <c r="D32" s="4" t="s">
        <v>1423</v>
      </c>
      <c r="E32" s="104"/>
    </row>
    <row r="33" spans="1:5" x14ac:dyDescent="0.25">
      <c r="A33" s="8">
        <v>41552</v>
      </c>
      <c r="B33" s="4">
        <v>58996</v>
      </c>
      <c r="C33" s="57">
        <v>222.56</v>
      </c>
      <c r="D33" s="4" t="s">
        <v>1423</v>
      </c>
      <c r="E33" s="104"/>
    </row>
    <row r="34" spans="1:5" x14ac:dyDescent="0.25">
      <c r="A34" s="8">
        <v>41552</v>
      </c>
      <c r="B34" s="4">
        <v>58997</v>
      </c>
      <c r="C34" s="57">
        <v>263.54000000000002</v>
      </c>
      <c r="D34" s="4" t="s">
        <v>1423</v>
      </c>
      <c r="E34" s="104"/>
    </row>
    <row r="35" spans="1:5" x14ac:dyDescent="0.25">
      <c r="A35" s="8">
        <v>41552</v>
      </c>
      <c r="B35" s="4">
        <v>58998</v>
      </c>
      <c r="C35" s="57">
        <v>209.94</v>
      </c>
      <c r="D35" s="4" t="s">
        <v>1423</v>
      </c>
      <c r="E35" s="104"/>
    </row>
    <row r="36" spans="1:5" x14ac:dyDescent="0.25">
      <c r="A36" s="8">
        <v>41552</v>
      </c>
      <c r="B36" s="4">
        <v>58999</v>
      </c>
      <c r="C36" s="57">
        <v>105.09</v>
      </c>
      <c r="D36" s="4" t="s">
        <v>1423</v>
      </c>
      <c r="E36" s="104"/>
    </row>
    <row r="37" spans="1:5" x14ac:dyDescent="0.25">
      <c r="A37" s="8">
        <v>41552</v>
      </c>
      <c r="B37" s="4">
        <v>59000</v>
      </c>
      <c r="C37" s="57">
        <v>173.68</v>
      </c>
      <c r="D37" s="4" t="s">
        <v>1423</v>
      </c>
      <c r="E37" s="104"/>
    </row>
    <row r="38" spans="1:5" x14ac:dyDescent="0.25">
      <c r="A38" s="8">
        <v>41552</v>
      </c>
      <c r="B38" s="4">
        <v>59001</v>
      </c>
      <c r="C38" s="57">
        <v>307.77</v>
      </c>
      <c r="D38" s="4" t="s">
        <v>1423</v>
      </c>
      <c r="E38" s="104"/>
    </row>
    <row r="39" spans="1:5" x14ac:dyDescent="0.25">
      <c r="A39" s="8">
        <v>41552</v>
      </c>
      <c r="B39" s="4">
        <v>59002</v>
      </c>
      <c r="C39" s="57">
        <v>149.06</v>
      </c>
      <c r="D39" s="4" t="s">
        <v>1423</v>
      </c>
      <c r="E39" s="104"/>
    </row>
    <row r="40" spans="1:5" x14ac:dyDescent="0.25">
      <c r="A40" s="8">
        <v>41553</v>
      </c>
      <c r="B40" s="4">
        <v>59003</v>
      </c>
      <c r="C40" s="57">
        <v>248.51</v>
      </c>
      <c r="D40" s="4" t="s">
        <v>1423</v>
      </c>
      <c r="E40" s="104"/>
    </row>
    <row r="41" spans="1:5" x14ac:dyDescent="0.25">
      <c r="A41" s="8">
        <v>41553</v>
      </c>
      <c r="B41" s="4">
        <v>59004</v>
      </c>
      <c r="C41" s="57">
        <v>231.73</v>
      </c>
      <c r="D41" s="4" t="s">
        <v>1423</v>
      </c>
      <c r="E41" s="104"/>
    </row>
    <row r="42" spans="1:5" x14ac:dyDescent="0.25">
      <c r="A42" s="8">
        <v>41553</v>
      </c>
      <c r="B42" s="4">
        <v>59005</v>
      </c>
      <c r="C42" s="57">
        <v>324.43</v>
      </c>
      <c r="D42" s="4" t="s">
        <v>1423</v>
      </c>
      <c r="E42" s="104"/>
    </row>
    <row r="43" spans="1:5" x14ac:dyDescent="0.25">
      <c r="A43" s="8">
        <v>41553</v>
      </c>
      <c r="B43" s="4">
        <v>59006</v>
      </c>
      <c r="C43" s="57">
        <v>249.58</v>
      </c>
      <c r="D43" s="4" t="s">
        <v>1423</v>
      </c>
      <c r="E43" s="104"/>
    </row>
    <row r="44" spans="1:5" x14ac:dyDescent="0.25">
      <c r="A44" s="8">
        <v>41553</v>
      </c>
      <c r="B44" s="4">
        <v>59007</v>
      </c>
      <c r="C44" s="57">
        <v>161.94</v>
      </c>
      <c r="D44" s="4" t="s">
        <v>1423</v>
      </c>
      <c r="E44" s="104"/>
    </row>
    <row r="45" spans="1:5" x14ac:dyDescent="0.25">
      <c r="A45" s="8">
        <v>41553</v>
      </c>
      <c r="B45" s="4">
        <v>59008</v>
      </c>
      <c r="C45" s="57">
        <v>247.87</v>
      </c>
      <c r="D45" s="4" t="s">
        <v>1423</v>
      </c>
      <c r="E45" s="104"/>
    </row>
    <row r="46" spans="1:5" x14ac:dyDescent="0.25">
      <c r="A46" s="8">
        <v>41553</v>
      </c>
      <c r="B46" s="4">
        <v>59009</v>
      </c>
      <c r="C46" s="57">
        <v>248.86</v>
      </c>
      <c r="D46" s="4" t="s">
        <v>1423</v>
      </c>
      <c r="E46" s="104"/>
    </row>
    <row r="47" spans="1:5" x14ac:dyDescent="0.25">
      <c r="A47" s="8">
        <v>41553</v>
      </c>
      <c r="B47" s="4">
        <v>59010</v>
      </c>
      <c r="C47" s="57">
        <v>235.98</v>
      </c>
      <c r="D47" s="4" t="s">
        <v>1423</v>
      </c>
      <c r="E47" s="104"/>
    </row>
    <row r="48" spans="1:5" x14ac:dyDescent="0.25">
      <c r="A48" s="8">
        <v>41553</v>
      </c>
      <c r="B48" s="4">
        <v>59011</v>
      </c>
      <c r="C48" s="57">
        <v>224.49</v>
      </c>
      <c r="D48" s="4" t="s">
        <v>1423</v>
      </c>
      <c r="E48" s="104"/>
    </row>
    <row r="49" spans="1:5" x14ac:dyDescent="0.25">
      <c r="A49" s="8">
        <v>41553</v>
      </c>
      <c r="B49" s="4">
        <v>59012</v>
      </c>
      <c r="C49" s="57">
        <v>256.42</v>
      </c>
      <c r="D49" s="4" t="s">
        <v>1423</v>
      </c>
      <c r="E49" s="104"/>
    </row>
    <row r="50" spans="1:5" x14ac:dyDescent="0.25">
      <c r="A50" s="8">
        <v>41553</v>
      </c>
      <c r="B50" s="4">
        <v>59013</v>
      </c>
      <c r="C50" s="57">
        <v>233.01</v>
      </c>
      <c r="D50" s="4" t="s">
        <v>1423</v>
      </c>
      <c r="E50" s="104"/>
    </row>
    <row r="51" spans="1:5" x14ac:dyDescent="0.25">
      <c r="A51" s="8">
        <v>41553</v>
      </c>
      <c r="B51" s="4">
        <v>59014</v>
      </c>
      <c r="C51" s="57">
        <v>379.98</v>
      </c>
      <c r="D51" s="4" t="s">
        <v>1423</v>
      </c>
      <c r="E51" s="104"/>
    </row>
    <row r="52" spans="1:5" x14ac:dyDescent="0.25">
      <c r="A52" s="8">
        <v>41553</v>
      </c>
      <c r="B52" s="4">
        <v>59015</v>
      </c>
      <c r="C52" s="57">
        <v>219.3</v>
      </c>
      <c r="D52" s="4" t="s">
        <v>1423</v>
      </c>
      <c r="E52" s="104"/>
    </row>
    <row r="53" spans="1:5" x14ac:dyDescent="0.25">
      <c r="A53" s="8">
        <v>41553</v>
      </c>
      <c r="B53" s="4">
        <v>59016</v>
      </c>
      <c r="C53" s="57">
        <v>371.22</v>
      </c>
      <c r="D53" s="4" t="s">
        <v>1423</v>
      </c>
      <c r="E53" s="104"/>
    </row>
    <row r="54" spans="1:5" x14ac:dyDescent="0.25">
      <c r="A54" s="8">
        <v>41553</v>
      </c>
      <c r="B54" s="4">
        <v>59017</v>
      </c>
      <c r="C54" s="57">
        <v>385.88</v>
      </c>
      <c r="D54" s="4" t="s">
        <v>1423</v>
      </c>
      <c r="E54" s="104"/>
    </row>
    <row r="55" spans="1:5" x14ac:dyDescent="0.25">
      <c r="A55" s="8">
        <v>41553</v>
      </c>
      <c r="B55" s="4">
        <v>59018</v>
      </c>
      <c r="C55" s="57">
        <v>155.65</v>
      </c>
      <c r="D55" s="4" t="s">
        <v>1423</v>
      </c>
      <c r="E55" s="104"/>
    </row>
    <row r="56" spans="1:5" x14ac:dyDescent="0.25">
      <c r="A56" s="8">
        <v>41554</v>
      </c>
      <c r="B56" s="4">
        <v>59019</v>
      </c>
      <c r="C56" s="57">
        <v>325.83</v>
      </c>
      <c r="D56" s="4" t="s">
        <v>1423</v>
      </c>
      <c r="E56" s="104"/>
    </row>
    <row r="57" spans="1:5" x14ac:dyDescent="0.25">
      <c r="A57" s="8">
        <v>41554</v>
      </c>
      <c r="B57" s="4">
        <v>59020</v>
      </c>
      <c r="C57" s="57">
        <v>101.09</v>
      </c>
      <c r="D57" s="4" t="s">
        <v>1423</v>
      </c>
      <c r="E57" s="104"/>
    </row>
    <row r="58" spans="1:5" x14ac:dyDescent="0.25">
      <c r="A58" s="8">
        <v>41554</v>
      </c>
      <c r="B58" s="4">
        <v>59021</v>
      </c>
      <c r="C58" s="57">
        <v>259.24</v>
      </c>
      <c r="D58" s="4" t="s">
        <v>1423</v>
      </c>
      <c r="E58" s="104"/>
    </row>
    <row r="59" spans="1:5" x14ac:dyDescent="0.25">
      <c r="A59" s="8">
        <v>41554</v>
      </c>
      <c r="B59" s="4">
        <v>59022</v>
      </c>
      <c r="C59" s="57">
        <v>188.54</v>
      </c>
      <c r="D59" s="4" t="s">
        <v>1423</v>
      </c>
      <c r="E59" s="104"/>
    </row>
    <row r="60" spans="1:5" x14ac:dyDescent="0.25">
      <c r="A60" s="8">
        <v>41554</v>
      </c>
      <c r="B60" s="4">
        <v>59023</v>
      </c>
      <c r="C60" s="57">
        <v>56.87</v>
      </c>
      <c r="D60" s="4" t="s">
        <v>1423</v>
      </c>
      <c r="E60" s="104"/>
    </row>
    <row r="61" spans="1:5" x14ac:dyDescent="0.25">
      <c r="A61" s="8">
        <v>41554</v>
      </c>
      <c r="B61" s="4">
        <v>59024</v>
      </c>
      <c r="C61" s="57">
        <v>241.46</v>
      </c>
      <c r="D61" s="4" t="s">
        <v>1423</v>
      </c>
      <c r="E61" s="104"/>
    </row>
    <row r="62" spans="1:5" x14ac:dyDescent="0.25">
      <c r="A62" s="8">
        <v>41554</v>
      </c>
      <c r="B62" s="4">
        <v>59025</v>
      </c>
      <c r="C62" s="57">
        <v>99.87</v>
      </c>
      <c r="D62" s="4" t="s">
        <v>1423</v>
      </c>
      <c r="E62" s="104"/>
    </row>
    <row r="63" spans="1:5" x14ac:dyDescent="0.25">
      <c r="A63" s="8">
        <v>41554</v>
      </c>
      <c r="B63" s="4">
        <v>59026</v>
      </c>
      <c r="C63" s="57">
        <v>52.75</v>
      </c>
      <c r="D63" s="4" t="s">
        <v>1423</v>
      </c>
      <c r="E63" s="104"/>
    </row>
    <row r="64" spans="1:5" x14ac:dyDescent="0.25">
      <c r="A64" s="8">
        <v>41554</v>
      </c>
      <c r="B64" s="4">
        <v>59027</v>
      </c>
      <c r="C64" s="57">
        <v>67.819999999999993</v>
      </c>
      <c r="D64" s="4" t="s">
        <v>1423</v>
      </c>
      <c r="E64" s="104"/>
    </row>
    <row r="65" spans="1:5" x14ac:dyDescent="0.25">
      <c r="A65" s="8">
        <v>41554</v>
      </c>
      <c r="B65" s="4">
        <v>59028</v>
      </c>
      <c r="C65" s="57">
        <v>114.91</v>
      </c>
      <c r="D65" s="4" t="s">
        <v>1423</v>
      </c>
      <c r="E65" s="104"/>
    </row>
    <row r="66" spans="1:5" x14ac:dyDescent="0.25">
      <c r="A66" s="8">
        <v>41554</v>
      </c>
      <c r="B66" s="4">
        <v>59029</v>
      </c>
      <c r="C66" s="57">
        <v>189.99</v>
      </c>
      <c r="D66" s="4" t="s">
        <v>1423</v>
      </c>
      <c r="E66" s="104"/>
    </row>
    <row r="67" spans="1:5" x14ac:dyDescent="0.25">
      <c r="A67" s="8">
        <v>41554</v>
      </c>
      <c r="B67" s="4">
        <v>59030</v>
      </c>
      <c r="C67" s="57">
        <v>280.49</v>
      </c>
      <c r="D67" s="4" t="s">
        <v>1423</v>
      </c>
      <c r="E67" s="104"/>
    </row>
    <row r="68" spans="1:5" x14ac:dyDescent="0.25">
      <c r="A68" s="8">
        <v>41554</v>
      </c>
      <c r="B68" s="4">
        <v>59031</v>
      </c>
      <c r="C68" s="57">
        <v>137.1</v>
      </c>
      <c r="D68" s="4" t="s">
        <v>1423</v>
      </c>
      <c r="E68" s="104"/>
    </row>
    <row r="69" spans="1:5" x14ac:dyDescent="0.25">
      <c r="A69" s="8">
        <v>41554</v>
      </c>
      <c r="B69" s="4">
        <v>59032</v>
      </c>
      <c r="C69" s="57">
        <v>182.84</v>
      </c>
      <c r="D69" s="4" t="s">
        <v>1423</v>
      </c>
      <c r="E69" s="104"/>
    </row>
    <row r="70" spans="1:5" x14ac:dyDescent="0.25">
      <c r="A70" s="8">
        <v>41554</v>
      </c>
      <c r="B70" s="4">
        <v>59033</v>
      </c>
      <c r="C70" s="57">
        <v>327.64999999999998</v>
      </c>
      <c r="D70" s="4" t="s">
        <v>1423</v>
      </c>
      <c r="E70" s="104"/>
    </row>
    <row r="71" spans="1:5" x14ac:dyDescent="0.25">
      <c r="A71" s="8">
        <v>41554</v>
      </c>
      <c r="B71" s="4">
        <v>59034</v>
      </c>
      <c r="C71" s="57">
        <v>269.27</v>
      </c>
      <c r="D71" s="4" t="s">
        <v>1423</v>
      </c>
      <c r="E71" s="104"/>
    </row>
    <row r="72" spans="1:5" x14ac:dyDescent="0.25">
      <c r="A72" s="8">
        <v>41554</v>
      </c>
      <c r="B72" s="4">
        <v>59035</v>
      </c>
      <c r="C72" s="57">
        <v>92.39</v>
      </c>
      <c r="D72" s="4" t="s">
        <v>1423</v>
      </c>
      <c r="E72" s="104"/>
    </row>
    <row r="73" spans="1:5" x14ac:dyDescent="0.25">
      <c r="A73" s="8">
        <v>41554</v>
      </c>
      <c r="B73" s="4">
        <v>59036</v>
      </c>
      <c r="C73" s="57">
        <v>97.21</v>
      </c>
      <c r="D73" s="4" t="s">
        <v>1423</v>
      </c>
      <c r="E73" s="104"/>
    </row>
    <row r="74" spans="1:5" x14ac:dyDescent="0.25">
      <c r="A74" s="8">
        <v>41555</v>
      </c>
      <c r="B74" s="4">
        <v>59037</v>
      </c>
      <c r="C74" s="57">
        <v>97.59</v>
      </c>
      <c r="D74" s="4" t="s">
        <v>1423</v>
      </c>
      <c r="E74" s="104"/>
    </row>
    <row r="75" spans="1:5" x14ac:dyDescent="0.25">
      <c r="A75" s="8">
        <v>41555</v>
      </c>
      <c r="B75" s="4">
        <v>59038</v>
      </c>
      <c r="C75" s="57">
        <v>353.5</v>
      </c>
      <c r="D75" s="4" t="s">
        <v>1423</v>
      </c>
      <c r="E75" s="104"/>
    </row>
    <row r="76" spans="1:5" x14ac:dyDescent="0.25">
      <c r="A76" s="8">
        <v>41555</v>
      </c>
      <c r="B76" s="4">
        <v>59039</v>
      </c>
      <c r="C76" s="57">
        <v>130.79</v>
      </c>
      <c r="D76" s="4" t="s">
        <v>1423</v>
      </c>
      <c r="E76" s="104"/>
    </row>
    <row r="77" spans="1:5" x14ac:dyDescent="0.25">
      <c r="A77" s="8">
        <v>41555</v>
      </c>
      <c r="B77" s="4">
        <v>59040</v>
      </c>
      <c r="C77" s="57">
        <v>379.46</v>
      </c>
      <c r="D77" s="4" t="s">
        <v>1423</v>
      </c>
      <c r="E77" s="104"/>
    </row>
    <row r="78" spans="1:5" x14ac:dyDescent="0.25">
      <c r="A78" s="8">
        <v>41555</v>
      </c>
      <c r="B78" s="4">
        <v>59041</v>
      </c>
      <c r="C78" s="57">
        <v>143.1</v>
      </c>
      <c r="D78" s="4" t="s">
        <v>1423</v>
      </c>
      <c r="E78" s="104"/>
    </row>
    <row r="79" spans="1:5" x14ac:dyDescent="0.25">
      <c r="A79" s="8">
        <v>41555</v>
      </c>
      <c r="B79" s="4">
        <v>59042</v>
      </c>
      <c r="C79" s="57">
        <v>163.51</v>
      </c>
      <c r="D79" s="4" t="s">
        <v>1423</v>
      </c>
      <c r="E79" s="104"/>
    </row>
    <row r="80" spans="1:5" x14ac:dyDescent="0.25">
      <c r="A80" s="8">
        <v>41555</v>
      </c>
      <c r="B80" s="4">
        <v>59043</v>
      </c>
      <c r="C80" s="57">
        <v>131.96</v>
      </c>
      <c r="D80" s="4" t="s">
        <v>1423</v>
      </c>
      <c r="E80" s="104"/>
    </row>
    <row r="81" spans="1:5" x14ac:dyDescent="0.25">
      <c r="A81" s="8">
        <v>41555</v>
      </c>
      <c r="B81" s="4">
        <v>59044</v>
      </c>
      <c r="C81" s="57">
        <v>365.99</v>
      </c>
      <c r="D81" s="4" t="s">
        <v>1423</v>
      </c>
      <c r="E81" s="104"/>
    </row>
    <row r="82" spans="1:5" x14ac:dyDescent="0.25">
      <c r="A82" s="8">
        <v>41555</v>
      </c>
      <c r="B82" s="4">
        <v>59045</v>
      </c>
      <c r="C82" s="57">
        <v>311.20999999999998</v>
      </c>
      <c r="D82" s="4" t="s">
        <v>1423</v>
      </c>
      <c r="E82" s="104"/>
    </row>
    <row r="83" spans="1:5" x14ac:dyDescent="0.25">
      <c r="A83" s="8">
        <v>41555</v>
      </c>
      <c r="B83" s="4">
        <v>59046</v>
      </c>
      <c r="C83" s="57">
        <v>163.16999999999999</v>
      </c>
      <c r="D83" s="4" t="s">
        <v>1423</v>
      </c>
      <c r="E83" s="104"/>
    </row>
    <row r="84" spans="1:5" x14ac:dyDescent="0.25">
      <c r="A84" s="8">
        <v>41555</v>
      </c>
      <c r="B84" s="4">
        <v>59047</v>
      </c>
      <c r="C84" s="57">
        <v>68.66</v>
      </c>
      <c r="D84" s="4" t="s">
        <v>1423</v>
      </c>
      <c r="E84" s="104"/>
    </row>
    <row r="85" spans="1:5" x14ac:dyDescent="0.25">
      <c r="A85" s="8">
        <v>41555</v>
      </c>
      <c r="B85" s="4">
        <v>59048</v>
      </c>
      <c r="C85" s="57">
        <v>72.08</v>
      </c>
      <c r="D85" s="4" t="s">
        <v>1423</v>
      </c>
      <c r="E85" s="104"/>
    </row>
    <row r="86" spans="1:5" x14ac:dyDescent="0.25">
      <c r="A86" s="8">
        <v>41555</v>
      </c>
      <c r="B86" s="4">
        <v>59049</v>
      </c>
      <c r="C86" s="57">
        <v>363.6</v>
      </c>
      <c r="D86" s="4" t="s">
        <v>1423</v>
      </c>
      <c r="E86" s="104"/>
    </row>
    <row r="87" spans="1:5" x14ac:dyDescent="0.25">
      <c r="A87" s="8">
        <v>41555</v>
      </c>
      <c r="B87" s="4">
        <v>59050</v>
      </c>
      <c r="C87" s="57">
        <v>291.38</v>
      </c>
      <c r="D87" s="4" t="s">
        <v>1423</v>
      </c>
      <c r="E87" s="104"/>
    </row>
    <row r="88" spans="1:5" x14ac:dyDescent="0.25">
      <c r="A88" s="8">
        <v>41555</v>
      </c>
      <c r="B88" s="4">
        <v>59051</v>
      </c>
      <c r="C88" s="57">
        <v>317.54000000000002</v>
      </c>
      <c r="D88" s="4" t="s">
        <v>1423</v>
      </c>
      <c r="E88" s="104"/>
    </row>
    <row r="89" spans="1:5" x14ac:dyDescent="0.25">
      <c r="A89" s="8">
        <v>41555</v>
      </c>
      <c r="B89" s="4">
        <v>59052</v>
      </c>
      <c r="C89" s="57">
        <v>381.83</v>
      </c>
      <c r="D89" s="4" t="s">
        <v>1423</v>
      </c>
      <c r="E89" s="104"/>
    </row>
    <row r="90" spans="1:5" x14ac:dyDescent="0.25">
      <c r="A90" s="8">
        <v>41555</v>
      </c>
      <c r="B90" s="4">
        <v>59053</v>
      </c>
      <c r="C90" s="57">
        <v>199.1</v>
      </c>
      <c r="D90" s="4" t="s">
        <v>1423</v>
      </c>
      <c r="E90" s="104"/>
    </row>
    <row r="91" spans="1:5" x14ac:dyDescent="0.25">
      <c r="A91" s="8">
        <v>41555</v>
      </c>
      <c r="B91" s="4">
        <v>59054</v>
      </c>
      <c r="C91" s="57">
        <v>194.58</v>
      </c>
      <c r="D91" s="4" t="s">
        <v>1423</v>
      </c>
      <c r="E91" s="104"/>
    </row>
    <row r="92" spans="1:5" x14ac:dyDescent="0.25">
      <c r="A92" s="8">
        <v>41555</v>
      </c>
      <c r="B92" s="4">
        <v>59055</v>
      </c>
      <c r="C92" s="57">
        <v>84.63</v>
      </c>
      <c r="D92" s="4" t="s">
        <v>1423</v>
      </c>
      <c r="E92" s="104"/>
    </row>
    <row r="93" spans="1:5" x14ac:dyDescent="0.25">
      <c r="A93" s="8">
        <v>41555</v>
      </c>
      <c r="B93" s="4">
        <v>59056</v>
      </c>
      <c r="C93" s="57">
        <v>174.5</v>
      </c>
      <c r="D93" s="4" t="s">
        <v>1423</v>
      </c>
      <c r="E93" s="104"/>
    </row>
    <row r="94" spans="1:5" x14ac:dyDescent="0.25">
      <c r="A94" s="8">
        <v>41556</v>
      </c>
      <c r="B94" s="4">
        <v>59057</v>
      </c>
      <c r="C94" s="57">
        <v>70.510000000000005</v>
      </c>
      <c r="D94" s="4" t="s">
        <v>1423</v>
      </c>
      <c r="E94" s="104"/>
    </row>
    <row r="95" spans="1:5" x14ac:dyDescent="0.25">
      <c r="A95" s="8">
        <v>41556</v>
      </c>
      <c r="B95" s="4">
        <v>59058</v>
      </c>
      <c r="C95" s="57">
        <v>243.02</v>
      </c>
      <c r="D95" s="4" t="s">
        <v>1423</v>
      </c>
      <c r="E95" s="104"/>
    </row>
    <row r="96" spans="1:5" x14ac:dyDescent="0.25">
      <c r="A96" s="8">
        <v>41556</v>
      </c>
      <c r="B96" s="4">
        <v>59059</v>
      </c>
      <c r="C96" s="57">
        <v>185.32</v>
      </c>
      <c r="D96" s="4" t="s">
        <v>1423</v>
      </c>
      <c r="E96" s="104"/>
    </row>
    <row r="97" spans="1:5" x14ac:dyDescent="0.25">
      <c r="A97" s="8">
        <v>41556</v>
      </c>
      <c r="B97" s="4">
        <v>59060</v>
      </c>
      <c r="C97" s="57">
        <v>344.37</v>
      </c>
      <c r="D97" s="4" t="s">
        <v>1423</v>
      </c>
      <c r="E97" s="104"/>
    </row>
    <row r="98" spans="1:5" x14ac:dyDescent="0.25">
      <c r="A98" s="8">
        <v>41556</v>
      </c>
      <c r="B98" s="4">
        <v>59061</v>
      </c>
      <c r="C98" s="57">
        <v>192.89</v>
      </c>
      <c r="D98" s="4" t="s">
        <v>1423</v>
      </c>
      <c r="E98" s="104"/>
    </row>
    <row r="99" spans="1:5" x14ac:dyDescent="0.25">
      <c r="A99" s="8">
        <v>41556</v>
      </c>
      <c r="B99" s="4">
        <v>59062</v>
      </c>
      <c r="C99" s="57">
        <v>343.18</v>
      </c>
      <c r="D99" s="4" t="s">
        <v>1423</v>
      </c>
      <c r="E99" s="104"/>
    </row>
    <row r="100" spans="1:5" x14ac:dyDescent="0.25">
      <c r="A100" s="8">
        <v>41556</v>
      </c>
      <c r="B100" s="4">
        <v>59063</v>
      </c>
      <c r="C100" s="57">
        <v>233.61</v>
      </c>
      <c r="D100" s="4" t="s">
        <v>1423</v>
      </c>
      <c r="E100" s="104"/>
    </row>
    <row r="101" spans="1:5" x14ac:dyDescent="0.25">
      <c r="A101" s="8">
        <v>41556</v>
      </c>
      <c r="B101" s="4">
        <v>59064</v>
      </c>
      <c r="C101" s="57">
        <v>263.82</v>
      </c>
      <c r="D101" s="4" t="s">
        <v>1423</v>
      </c>
      <c r="E101" s="104"/>
    </row>
    <row r="102" spans="1:5" x14ac:dyDescent="0.25">
      <c r="A102" s="8">
        <v>41556</v>
      </c>
      <c r="B102" s="4">
        <v>59065</v>
      </c>
      <c r="C102" s="57">
        <v>42.16</v>
      </c>
      <c r="D102" s="4" t="s">
        <v>1423</v>
      </c>
      <c r="E102" s="104"/>
    </row>
    <row r="103" spans="1:5" x14ac:dyDescent="0.25">
      <c r="A103" s="8">
        <v>41556</v>
      </c>
      <c r="B103" s="4">
        <v>59066</v>
      </c>
      <c r="C103" s="57">
        <v>193.92</v>
      </c>
      <c r="D103" s="4" t="s">
        <v>1423</v>
      </c>
      <c r="E103" s="104"/>
    </row>
    <row r="104" spans="1:5" x14ac:dyDescent="0.25">
      <c r="A104" s="8">
        <v>41556</v>
      </c>
      <c r="B104" s="4">
        <v>59067</v>
      </c>
      <c r="C104" s="57">
        <v>263.2</v>
      </c>
      <c r="D104" s="4" t="s">
        <v>1423</v>
      </c>
      <c r="E104" s="104"/>
    </row>
    <row r="105" spans="1:5" x14ac:dyDescent="0.25">
      <c r="A105" s="8">
        <v>41556</v>
      </c>
      <c r="B105" s="4">
        <v>59068</v>
      </c>
      <c r="C105" s="57">
        <v>237.3</v>
      </c>
      <c r="D105" s="4" t="s">
        <v>1423</v>
      </c>
      <c r="E105" s="104"/>
    </row>
    <row r="106" spans="1:5" x14ac:dyDescent="0.25">
      <c r="A106" s="8">
        <v>41556</v>
      </c>
      <c r="B106" s="4">
        <v>59069</v>
      </c>
      <c r="C106" s="57">
        <v>335.98</v>
      </c>
      <c r="D106" s="4" t="s">
        <v>1423</v>
      </c>
      <c r="E106" s="104"/>
    </row>
    <row r="107" spans="1:5" x14ac:dyDescent="0.25">
      <c r="A107" s="8">
        <v>41556</v>
      </c>
      <c r="B107" s="4">
        <v>59070</v>
      </c>
      <c r="C107" s="57">
        <v>89.59</v>
      </c>
      <c r="D107" s="4" t="s">
        <v>1423</v>
      </c>
      <c r="E107" s="104"/>
    </row>
    <row r="108" spans="1:5" x14ac:dyDescent="0.25">
      <c r="A108" s="8">
        <v>41556</v>
      </c>
      <c r="B108" s="4">
        <v>59071</v>
      </c>
      <c r="C108" s="57">
        <v>273.16000000000003</v>
      </c>
      <c r="D108" s="4" t="s">
        <v>1423</v>
      </c>
      <c r="E108" s="104"/>
    </row>
    <row r="109" spans="1:5" x14ac:dyDescent="0.25">
      <c r="A109" s="8">
        <v>41556</v>
      </c>
      <c r="B109" s="4">
        <v>59072</v>
      </c>
      <c r="C109" s="57">
        <v>160.41</v>
      </c>
      <c r="D109" s="4" t="s">
        <v>1423</v>
      </c>
      <c r="E109" s="104"/>
    </row>
    <row r="110" spans="1:5" x14ac:dyDescent="0.25">
      <c r="A110" s="8">
        <v>41557</v>
      </c>
      <c r="B110" s="4">
        <v>59073</v>
      </c>
      <c r="C110" s="57">
        <v>111.8</v>
      </c>
      <c r="D110" s="4" t="s">
        <v>1423</v>
      </c>
      <c r="E110" s="104"/>
    </row>
    <row r="111" spans="1:5" x14ac:dyDescent="0.25">
      <c r="A111" s="8">
        <v>41557</v>
      </c>
      <c r="B111" s="4">
        <v>59074</v>
      </c>
      <c r="C111" s="57">
        <v>57.68</v>
      </c>
      <c r="D111" s="4" t="s">
        <v>1423</v>
      </c>
      <c r="E111" s="104"/>
    </row>
    <row r="112" spans="1:5" x14ac:dyDescent="0.25">
      <c r="A112" s="8">
        <v>41557</v>
      </c>
      <c r="B112" s="4">
        <v>59075</v>
      </c>
      <c r="C112" s="57">
        <v>172.57</v>
      </c>
      <c r="D112" s="4" t="s">
        <v>1423</v>
      </c>
      <c r="E112" s="104"/>
    </row>
    <row r="113" spans="1:5" x14ac:dyDescent="0.25">
      <c r="A113" s="8">
        <v>41557</v>
      </c>
      <c r="B113" s="4">
        <v>59076</v>
      </c>
      <c r="C113" s="57">
        <v>265.02999999999997</v>
      </c>
      <c r="D113" s="4" t="s">
        <v>1423</v>
      </c>
      <c r="E113" s="104"/>
    </row>
    <row r="114" spans="1:5" x14ac:dyDescent="0.25">
      <c r="A114" s="8">
        <v>41557</v>
      </c>
      <c r="B114" s="4">
        <v>59077</v>
      </c>
      <c r="C114" s="57">
        <v>253.47</v>
      </c>
      <c r="D114" s="4" t="s">
        <v>1423</v>
      </c>
      <c r="E114" s="104"/>
    </row>
    <row r="115" spans="1:5" x14ac:dyDescent="0.25">
      <c r="A115" s="8">
        <v>41557</v>
      </c>
      <c r="B115" s="4">
        <v>59078</v>
      </c>
      <c r="C115" s="57">
        <v>344.94</v>
      </c>
      <c r="D115" s="4" t="s">
        <v>1423</v>
      </c>
      <c r="E115" s="104"/>
    </row>
    <row r="116" spans="1:5" x14ac:dyDescent="0.25">
      <c r="A116" s="8">
        <v>41557</v>
      </c>
      <c r="B116" s="4">
        <v>59079</v>
      </c>
      <c r="C116" s="57">
        <v>159.99</v>
      </c>
      <c r="D116" s="4" t="s">
        <v>1423</v>
      </c>
      <c r="E116" s="104"/>
    </row>
    <row r="117" spans="1:5" x14ac:dyDescent="0.25">
      <c r="A117" s="8">
        <v>41557</v>
      </c>
      <c r="B117" s="4">
        <v>59080</v>
      </c>
      <c r="C117" s="57">
        <v>333.4</v>
      </c>
      <c r="D117" s="4" t="s">
        <v>1423</v>
      </c>
      <c r="E117" s="104"/>
    </row>
    <row r="118" spans="1:5" x14ac:dyDescent="0.25">
      <c r="A118" s="8">
        <v>41557</v>
      </c>
      <c r="B118" s="4">
        <v>59081</v>
      </c>
      <c r="C118" s="57">
        <v>107.94</v>
      </c>
      <c r="D118" s="4" t="s">
        <v>1423</v>
      </c>
      <c r="E118" s="104"/>
    </row>
    <row r="119" spans="1:5" x14ac:dyDescent="0.25">
      <c r="A119" s="8">
        <v>41557</v>
      </c>
      <c r="B119" s="4">
        <v>59082</v>
      </c>
      <c r="C119" s="57">
        <v>71.91</v>
      </c>
      <c r="D119" s="4" t="s">
        <v>1423</v>
      </c>
      <c r="E119" s="104"/>
    </row>
    <row r="120" spans="1:5" x14ac:dyDescent="0.25">
      <c r="A120" s="8">
        <v>41557</v>
      </c>
      <c r="B120" s="4">
        <v>59083</v>
      </c>
      <c r="C120" s="57">
        <v>72.510000000000005</v>
      </c>
      <c r="D120" s="4" t="s">
        <v>1423</v>
      </c>
      <c r="E120" s="104"/>
    </row>
    <row r="121" spans="1:5" x14ac:dyDescent="0.25">
      <c r="A121" s="8">
        <v>41557</v>
      </c>
      <c r="B121" s="4">
        <v>59084</v>
      </c>
      <c r="C121" s="57">
        <v>163.51</v>
      </c>
      <c r="D121" s="4" t="s">
        <v>1423</v>
      </c>
      <c r="E121" s="104"/>
    </row>
    <row r="122" spans="1:5" x14ac:dyDescent="0.25">
      <c r="A122" s="8">
        <v>41557</v>
      </c>
      <c r="B122" s="4">
        <v>59085</v>
      </c>
      <c r="C122" s="57">
        <v>83.31</v>
      </c>
      <c r="D122" s="4" t="s">
        <v>1423</v>
      </c>
      <c r="E122" s="104"/>
    </row>
    <row r="123" spans="1:5" x14ac:dyDescent="0.25">
      <c r="A123" s="8">
        <v>41557</v>
      </c>
      <c r="B123" s="4">
        <v>59086</v>
      </c>
      <c r="C123" s="57">
        <v>178.08</v>
      </c>
      <c r="D123" s="4" t="s">
        <v>1423</v>
      </c>
      <c r="E123" s="104"/>
    </row>
    <row r="124" spans="1:5" x14ac:dyDescent="0.25">
      <c r="A124" s="8">
        <v>41557</v>
      </c>
      <c r="B124" s="4">
        <v>59087</v>
      </c>
      <c r="C124" s="57">
        <v>133.58000000000001</v>
      </c>
      <c r="D124" s="4" t="s">
        <v>1423</v>
      </c>
      <c r="E124" s="104"/>
    </row>
    <row r="125" spans="1:5" x14ac:dyDescent="0.25">
      <c r="A125" s="8">
        <v>41557</v>
      </c>
      <c r="B125" s="4">
        <v>59088</v>
      </c>
      <c r="C125" s="57">
        <v>332.54</v>
      </c>
      <c r="D125" s="4" t="s">
        <v>1423</v>
      </c>
      <c r="E125" s="104"/>
    </row>
    <row r="126" spans="1:5" x14ac:dyDescent="0.25">
      <c r="A126" s="8">
        <v>41557</v>
      </c>
      <c r="B126" s="4">
        <v>59089</v>
      </c>
      <c r="C126" s="57">
        <v>170.48</v>
      </c>
      <c r="D126" s="4" t="s">
        <v>1423</v>
      </c>
      <c r="E126" s="104"/>
    </row>
    <row r="127" spans="1:5" x14ac:dyDescent="0.25">
      <c r="A127" s="8">
        <v>41557</v>
      </c>
      <c r="B127" s="4">
        <v>59090</v>
      </c>
      <c r="C127" s="57">
        <v>328.78</v>
      </c>
      <c r="D127" s="4" t="s">
        <v>1423</v>
      </c>
      <c r="E127" s="104"/>
    </row>
    <row r="128" spans="1:5" x14ac:dyDescent="0.25">
      <c r="A128" s="8">
        <v>41557</v>
      </c>
      <c r="B128" s="4">
        <v>59091</v>
      </c>
      <c r="C128" s="57">
        <v>200.31</v>
      </c>
      <c r="D128" s="4" t="s">
        <v>1423</v>
      </c>
      <c r="E128" s="104"/>
    </row>
    <row r="129" spans="1:5" x14ac:dyDescent="0.25">
      <c r="A129" s="8">
        <v>41557</v>
      </c>
      <c r="B129" s="4">
        <v>59092</v>
      </c>
      <c r="C129" s="57">
        <v>152.29</v>
      </c>
      <c r="D129" s="4" t="s">
        <v>1423</v>
      </c>
      <c r="E129" s="104"/>
    </row>
    <row r="130" spans="1:5" x14ac:dyDescent="0.25">
      <c r="A130" s="8">
        <v>41557</v>
      </c>
      <c r="B130" s="4">
        <v>59093</v>
      </c>
      <c r="C130" s="57">
        <v>304.70999999999998</v>
      </c>
      <c r="D130" s="4" t="s">
        <v>1423</v>
      </c>
      <c r="E130" s="104"/>
    </row>
    <row r="131" spans="1:5" x14ac:dyDescent="0.25">
      <c r="A131" s="8">
        <v>41557</v>
      </c>
      <c r="B131" s="4">
        <v>59094</v>
      </c>
      <c r="C131" s="57">
        <v>371.78</v>
      </c>
      <c r="D131" s="4" t="s">
        <v>1423</v>
      </c>
      <c r="E131" s="104"/>
    </row>
    <row r="132" spans="1:5" x14ac:dyDescent="0.25">
      <c r="A132" s="8">
        <v>41558</v>
      </c>
      <c r="B132" s="4">
        <v>59095</v>
      </c>
      <c r="C132" s="57">
        <v>204.74</v>
      </c>
      <c r="D132" s="4" t="s">
        <v>1423</v>
      </c>
      <c r="E132" s="104"/>
    </row>
    <row r="133" spans="1:5" x14ac:dyDescent="0.25">
      <c r="A133" s="8">
        <v>41558</v>
      </c>
      <c r="B133" s="4">
        <v>59096</v>
      </c>
      <c r="C133" s="57">
        <v>169.07</v>
      </c>
      <c r="D133" s="4" t="s">
        <v>1423</v>
      </c>
      <c r="E133" s="104"/>
    </row>
    <row r="134" spans="1:5" x14ac:dyDescent="0.25">
      <c r="A134" s="8">
        <v>41558</v>
      </c>
      <c r="B134" s="4">
        <v>59097</v>
      </c>
      <c r="C134" s="57">
        <v>321.23</v>
      </c>
      <c r="D134" s="4" t="s">
        <v>1423</v>
      </c>
      <c r="E134" s="104"/>
    </row>
    <row r="135" spans="1:5" x14ac:dyDescent="0.25">
      <c r="A135" s="8">
        <v>41558</v>
      </c>
      <c r="B135" s="4">
        <v>59098</v>
      </c>
      <c r="C135" s="57">
        <v>266.52999999999997</v>
      </c>
      <c r="D135" s="4" t="s">
        <v>1423</v>
      </c>
      <c r="E135" s="104"/>
    </row>
    <row r="136" spans="1:5" x14ac:dyDescent="0.25">
      <c r="A136" s="8">
        <v>41558</v>
      </c>
      <c r="B136" s="4">
        <v>59099</v>
      </c>
      <c r="C136" s="57">
        <v>262.87</v>
      </c>
      <c r="D136" s="4" t="s">
        <v>1423</v>
      </c>
      <c r="E136" s="104"/>
    </row>
    <row r="137" spans="1:5" x14ac:dyDescent="0.25">
      <c r="A137" s="8">
        <v>41558</v>
      </c>
      <c r="B137" s="4">
        <v>59100</v>
      </c>
      <c r="C137" s="57">
        <v>103.58</v>
      </c>
      <c r="D137" s="4" t="s">
        <v>1423</v>
      </c>
      <c r="E137" s="104"/>
    </row>
    <row r="138" spans="1:5" x14ac:dyDescent="0.25">
      <c r="A138" s="8">
        <v>41558</v>
      </c>
      <c r="B138" s="4">
        <v>59101</v>
      </c>
      <c r="C138" s="57">
        <v>218.88</v>
      </c>
      <c r="D138" s="4" t="s">
        <v>1423</v>
      </c>
      <c r="E138" s="104"/>
    </row>
    <row r="139" spans="1:5" x14ac:dyDescent="0.25">
      <c r="A139" s="8">
        <v>41558</v>
      </c>
      <c r="B139" s="4">
        <v>59102</v>
      </c>
      <c r="C139" s="57">
        <v>271.44</v>
      </c>
      <c r="D139" s="4" t="s">
        <v>1423</v>
      </c>
      <c r="E139" s="104"/>
    </row>
    <row r="140" spans="1:5" x14ac:dyDescent="0.25">
      <c r="A140" s="8">
        <v>41558</v>
      </c>
      <c r="B140" s="4">
        <v>59103</v>
      </c>
      <c r="C140" s="57">
        <v>309.05</v>
      </c>
      <c r="D140" s="4" t="s">
        <v>1423</v>
      </c>
      <c r="E140" s="104"/>
    </row>
    <row r="141" spans="1:5" x14ac:dyDescent="0.25">
      <c r="A141" s="8">
        <v>41558</v>
      </c>
      <c r="B141" s="4">
        <v>59104</v>
      </c>
      <c r="C141" s="57">
        <v>243.41</v>
      </c>
      <c r="D141" s="4" t="s">
        <v>1423</v>
      </c>
      <c r="E141" s="104"/>
    </row>
    <row r="142" spans="1:5" x14ac:dyDescent="0.25">
      <c r="A142" s="8">
        <v>41558</v>
      </c>
      <c r="B142" s="4">
        <v>59105</v>
      </c>
      <c r="C142" s="57">
        <v>43.12</v>
      </c>
      <c r="D142" s="4" t="s">
        <v>1423</v>
      </c>
      <c r="E142" s="104"/>
    </row>
    <row r="143" spans="1:5" x14ac:dyDescent="0.25">
      <c r="A143" s="8">
        <v>41558</v>
      </c>
      <c r="B143" s="4">
        <v>59106</v>
      </c>
      <c r="C143" s="57">
        <v>202.33</v>
      </c>
      <c r="D143" s="4" t="s">
        <v>1423</v>
      </c>
      <c r="E143" s="104"/>
    </row>
    <row r="144" spans="1:5" x14ac:dyDescent="0.25">
      <c r="A144" s="8">
        <v>41558</v>
      </c>
      <c r="B144" s="4">
        <v>59107</v>
      </c>
      <c r="C144" s="57">
        <v>77.84</v>
      </c>
      <c r="D144" s="4" t="s">
        <v>1423</v>
      </c>
      <c r="E144" s="104"/>
    </row>
    <row r="145" spans="1:5" x14ac:dyDescent="0.25">
      <c r="A145" s="8">
        <v>41558</v>
      </c>
      <c r="B145" s="4">
        <v>59108</v>
      </c>
      <c r="C145" s="57">
        <v>63</v>
      </c>
      <c r="D145" s="4" t="s">
        <v>1423</v>
      </c>
      <c r="E145" s="104"/>
    </row>
    <row r="146" spans="1:5" x14ac:dyDescent="0.25">
      <c r="A146" s="8">
        <v>41558</v>
      </c>
      <c r="B146" s="4">
        <v>59109</v>
      </c>
      <c r="C146" s="57">
        <v>157.47999999999999</v>
      </c>
      <c r="D146" s="4" t="s">
        <v>1423</v>
      </c>
      <c r="E146" s="104"/>
    </row>
    <row r="147" spans="1:5" x14ac:dyDescent="0.25">
      <c r="A147" s="8">
        <v>41558</v>
      </c>
      <c r="B147" s="4">
        <v>59110</v>
      </c>
      <c r="C147" s="57">
        <v>37.21</v>
      </c>
      <c r="D147" s="4" t="s">
        <v>1423</v>
      </c>
      <c r="E147" s="104"/>
    </row>
    <row r="148" spans="1:5" x14ac:dyDescent="0.25">
      <c r="A148" s="8">
        <v>41558</v>
      </c>
      <c r="B148" s="4">
        <v>59111</v>
      </c>
      <c r="C148" s="57">
        <v>259.35000000000002</v>
      </c>
      <c r="D148" s="4" t="s">
        <v>1423</v>
      </c>
      <c r="E148" s="104"/>
    </row>
    <row r="149" spans="1:5" x14ac:dyDescent="0.25">
      <c r="A149" s="8">
        <v>41558</v>
      </c>
      <c r="B149" s="4">
        <v>59112</v>
      </c>
      <c r="C149" s="57">
        <v>227.62</v>
      </c>
      <c r="D149" s="4" t="s">
        <v>1423</v>
      </c>
      <c r="E149" s="104"/>
    </row>
    <row r="150" spans="1:5" x14ac:dyDescent="0.25">
      <c r="A150" s="8">
        <v>41558</v>
      </c>
      <c r="B150" s="4">
        <v>59113</v>
      </c>
      <c r="C150" s="57">
        <v>40.020000000000003</v>
      </c>
      <c r="D150" s="4" t="s">
        <v>1423</v>
      </c>
      <c r="E150" s="104"/>
    </row>
    <row r="151" spans="1:5" x14ac:dyDescent="0.25">
      <c r="A151" s="8">
        <v>41558</v>
      </c>
      <c r="B151" s="4">
        <v>59114</v>
      </c>
      <c r="C151" s="57">
        <v>246.71</v>
      </c>
      <c r="D151" s="4" t="s">
        <v>1423</v>
      </c>
      <c r="E151" s="104"/>
    </row>
    <row r="152" spans="1:5" x14ac:dyDescent="0.25">
      <c r="A152" s="8">
        <v>41558</v>
      </c>
      <c r="B152" s="4">
        <v>59115</v>
      </c>
      <c r="C152" s="57">
        <v>120.66</v>
      </c>
      <c r="D152" s="4" t="s">
        <v>1423</v>
      </c>
      <c r="E152" s="104"/>
    </row>
    <row r="153" spans="1:5" x14ac:dyDescent="0.25">
      <c r="A153" s="8">
        <v>41558</v>
      </c>
      <c r="B153" s="4">
        <v>59116</v>
      </c>
      <c r="C153" s="57">
        <v>53.84</v>
      </c>
      <c r="D153" s="4" t="s">
        <v>1423</v>
      </c>
      <c r="E153" s="104"/>
    </row>
    <row r="154" spans="1:5" x14ac:dyDescent="0.25">
      <c r="A154" s="8">
        <v>41558</v>
      </c>
      <c r="B154" s="4">
        <v>59117</v>
      </c>
      <c r="C154" s="57">
        <v>90.75</v>
      </c>
      <c r="D154" s="4" t="s">
        <v>1423</v>
      </c>
      <c r="E154" s="104"/>
    </row>
    <row r="155" spans="1:5" x14ac:dyDescent="0.25">
      <c r="A155" s="8">
        <v>41558</v>
      </c>
      <c r="B155" s="4">
        <v>59118</v>
      </c>
      <c r="C155" s="57">
        <v>66.25</v>
      </c>
      <c r="D155" s="4" t="s">
        <v>1423</v>
      </c>
      <c r="E155" s="104"/>
    </row>
    <row r="156" spans="1:5" x14ac:dyDescent="0.25">
      <c r="A156" s="8">
        <v>41558</v>
      </c>
      <c r="B156" s="4">
        <v>59119</v>
      </c>
      <c r="C156" s="57">
        <v>329.61</v>
      </c>
      <c r="D156" s="4" t="s">
        <v>1423</v>
      </c>
      <c r="E156" s="104"/>
    </row>
    <row r="157" spans="1:5" x14ac:dyDescent="0.25">
      <c r="A157" s="8">
        <v>41558</v>
      </c>
      <c r="B157" s="4">
        <v>59120</v>
      </c>
      <c r="C157" s="57">
        <v>322.38</v>
      </c>
      <c r="D157" s="4" t="s">
        <v>1423</v>
      </c>
      <c r="E157" s="104"/>
    </row>
    <row r="158" spans="1:5" x14ac:dyDescent="0.25">
      <c r="A158" s="8">
        <v>41559</v>
      </c>
      <c r="B158" s="4">
        <v>59121</v>
      </c>
      <c r="C158" s="57">
        <v>325.39</v>
      </c>
      <c r="D158" s="4" t="s">
        <v>1423</v>
      </c>
      <c r="E158" s="104"/>
    </row>
    <row r="159" spans="1:5" x14ac:dyDescent="0.25">
      <c r="A159" s="8">
        <v>41559</v>
      </c>
      <c r="B159" s="4">
        <v>59122</v>
      </c>
      <c r="C159" s="57">
        <v>329.75</v>
      </c>
      <c r="D159" s="4" t="s">
        <v>1423</v>
      </c>
      <c r="E159" s="104"/>
    </row>
    <row r="160" spans="1:5" x14ac:dyDescent="0.25">
      <c r="A160" s="8">
        <v>41559</v>
      </c>
      <c r="B160" s="4">
        <v>59123</v>
      </c>
      <c r="C160" s="57">
        <v>47.73</v>
      </c>
      <c r="D160" s="4" t="s">
        <v>1423</v>
      </c>
      <c r="E160" s="104"/>
    </row>
    <row r="161" spans="1:5" x14ac:dyDescent="0.25">
      <c r="A161" s="8">
        <v>41559</v>
      </c>
      <c r="B161" s="4">
        <v>59124</v>
      </c>
      <c r="C161" s="57">
        <v>75.069999999999993</v>
      </c>
      <c r="D161" s="4" t="s">
        <v>1423</v>
      </c>
      <c r="E161" s="104"/>
    </row>
    <row r="162" spans="1:5" x14ac:dyDescent="0.25">
      <c r="A162" s="8">
        <v>41559</v>
      </c>
      <c r="B162" s="4">
        <v>59125</v>
      </c>
      <c r="C162" s="57">
        <v>152.38999999999999</v>
      </c>
      <c r="D162" s="4" t="s">
        <v>1423</v>
      </c>
      <c r="E162" s="104"/>
    </row>
    <row r="163" spans="1:5" x14ac:dyDescent="0.25">
      <c r="A163" s="8">
        <v>41559</v>
      </c>
      <c r="B163" s="4">
        <v>59126</v>
      </c>
      <c r="C163" s="57">
        <v>285.69</v>
      </c>
      <c r="D163" s="4" t="s">
        <v>1423</v>
      </c>
      <c r="E163" s="104"/>
    </row>
    <row r="164" spans="1:5" x14ac:dyDescent="0.25">
      <c r="A164" s="8">
        <v>41559</v>
      </c>
      <c r="B164" s="4">
        <v>59127</v>
      </c>
      <c r="C164" s="57">
        <v>284.08</v>
      </c>
      <c r="D164" s="4" t="s">
        <v>1423</v>
      </c>
      <c r="E164" s="104"/>
    </row>
    <row r="165" spans="1:5" x14ac:dyDescent="0.25">
      <c r="A165" s="8">
        <v>41559</v>
      </c>
      <c r="B165" s="4">
        <v>59128</v>
      </c>
      <c r="C165" s="57">
        <v>111.94</v>
      </c>
      <c r="D165" s="4" t="s">
        <v>1423</v>
      </c>
      <c r="E165" s="104"/>
    </row>
    <row r="166" spans="1:5" x14ac:dyDescent="0.25">
      <c r="A166" s="8">
        <v>41559</v>
      </c>
      <c r="B166" s="4">
        <v>59129</v>
      </c>
      <c r="C166" s="57">
        <v>58.69</v>
      </c>
      <c r="D166" s="4" t="s">
        <v>1423</v>
      </c>
      <c r="E166" s="104"/>
    </row>
    <row r="167" spans="1:5" x14ac:dyDescent="0.25">
      <c r="A167" s="8">
        <v>41559</v>
      </c>
      <c r="B167" s="4">
        <v>59130</v>
      </c>
      <c r="C167" s="57">
        <v>74.290000000000006</v>
      </c>
      <c r="D167" s="4" t="s">
        <v>1423</v>
      </c>
      <c r="E167" s="104"/>
    </row>
    <row r="168" spans="1:5" x14ac:dyDescent="0.25">
      <c r="A168" s="8">
        <v>41559</v>
      </c>
      <c r="B168" s="4">
        <v>59131</v>
      </c>
      <c r="C168" s="57">
        <v>230.41</v>
      </c>
      <c r="D168" s="4" t="s">
        <v>1423</v>
      </c>
      <c r="E168" s="104"/>
    </row>
    <row r="169" spans="1:5" x14ac:dyDescent="0.25">
      <c r="A169" s="8">
        <v>41559</v>
      </c>
      <c r="B169" s="4">
        <v>59132</v>
      </c>
      <c r="C169" s="57">
        <v>348.47</v>
      </c>
      <c r="D169" s="4" t="s">
        <v>1423</v>
      </c>
      <c r="E169" s="104"/>
    </row>
    <row r="170" spans="1:5" x14ac:dyDescent="0.25">
      <c r="A170" s="8">
        <v>41559</v>
      </c>
      <c r="B170" s="4">
        <v>59133</v>
      </c>
      <c r="C170" s="57">
        <v>357.34</v>
      </c>
      <c r="D170" s="4" t="s">
        <v>1423</v>
      </c>
      <c r="E170" s="104"/>
    </row>
    <row r="171" spans="1:5" x14ac:dyDescent="0.25">
      <c r="A171" s="8">
        <v>41559</v>
      </c>
      <c r="B171" s="4">
        <v>59134</v>
      </c>
      <c r="C171" s="57">
        <v>145.47</v>
      </c>
      <c r="D171" s="4" t="s">
        <v>1423</v>
      </c>
      <c r="E171" s="104"/>
    </row>
    <row r="172" spans="1:5" x14ac:dyDescent="0.25">
      <c r="A172" s="8">
        <v>41559</v>
      </c>
      <c r="B172" s="4">
        <v>59135</v>
      </c>
      <c r="C172" s="57">
        <v>48.37</v>
      </c>
      <c r="D172" s="4" t="s">
        <v>1423</v>
      </c>
      <c r="E172" s="104"/>
    </row>
    <row r="173" spans="1:5" x14ac:dyDescent="0.25">
      <c r="A173" s="8">
        <v>41559</v>
      </c>
      <c r="B173" s="4">
        <v>59136</v>
      </c>
      <c r="C173" s="57">
        <v>342.34</v>
      </c>
      <c r="D173" s="4" t="s">
        <v>1423</v>
      </c>
      <c r="E173" s="104"/>
    </row>
    <row r="174" spans="1:5" x14ac:dyDescent="0.25">
      <c r="A174" s="8">
        <v>41559</v>
      </c>
      <c r="B174" s="4">
        <v>59137</v>
      </c>
      <c r="C174" s="57">
        <v>278.18</v>
      </c>
      <c r="D174" s="4" t="s">
        <v>1423</v>
      </c>
      <c r="E174" s="104"/>
    </row>
    <row r="175" spans="1:5" x14ac:dyDescent="0.25">
      <c r="A175" s="8">
        <v>41559</v>
      </c>
      <c r="B175" s="4">
        <v>59138</v>
      </c>
      <c r="C175" s="57">
        <v>324.29000000000002</v>
      </c>
      <c r="D175" s="4" t="s">
        <v>1423</v>
      </c>
      <c r="E175" s="104"/>
    </row>
    <row r="176" spans="1:5" x14ac:dyDescent="0.25">
      <c r="A176" s="8">
        <v>41559</v>
      </c>
      <c r="B176" s="4">
        <v>59139</v>
      </c>
      <c r="C176" s="57">
        <v>76.45</v>
      </c>
      <c r="D176" s="4" t="s">
        <v>1423</v>
      </c>
      <c r="E176" s="104"/>
    </row>
    <row r="177" spans="1:5" x14ac:dyDescent="0.25">
      <c r="A177" s="8">
        <v>41559</v>
      </c>
      <c r="B177" s="4">
        <v>59140</v>
      </c>
      <c r="C177" s="57">
        <v>114.44</v>
      </c>
      <c r="D177" s="4" t="s">
        <v>1423</v>
      </c>
      <c r="E177" s="104"/>
    </row>
    <row r="178" spans="1:5" x14ac:dyDescent="0.25">
      <c r="A178" s="8">
        <v>41559</v>
      </c>
      <c r="B178" s="4">
        <v>59141</v>
      </c>
      <c r="C178" s="57">
        <v>125.72</v>
      </c>
      <c r="D178" s="4" t="s">
        <v>1423</v>
      </c>
      <c r="E178" s="104"/>
    </row>
    <row r="179" spans="1:5" x14ac:dyDescent="0.25">
      <c r="A179" s="8">
        <v>41560</v>
      </c>
      <c r="B179" s="4">
        <v>59142</v>
      </c>
      <c r="C179" s="57">
        <v>111.16</v>
      </c>
      <c r="D179" s="4" t="s">
        <v>1423</v>
      </c>
      <c r="E179" s="104"/>
    </row>
    <row r="180" spans="1:5" x14ac:dyDescent="0.25">
      <c r="A180" s="8">
        <v>41560</v>
      </c>
      <c r="B180" s="4">
        <v>59143</v>
      </c>
      <c r="C180" s="57">
        <v>46.82</v>
      </c>
      <c r="D180" s="4" t="s">
        <v>1423</v>
      </c>
      <c r="E180" s="104"/>
    </row>
    <row r="181" spans="1:5" x14ac:dyDescent="0.25">
      <c r="A181" s="8">
        <v>41560</v>
      </c>
      <c r="B181" s="4">
        <v>59144</v>
      </c>
      <c r="C181" s="57">
        <v>213.48</v>
      </c>
      <c r="D181" s="4" t="s">
        <v>1423</v>
      </c>
      <c r="E181" s="104"/>
    </row>
    <row r="182" spans="1:5" x14ac:dyDescent="0.25">
      <c r="A182" s="8">
        <v>41560</v>
      </c>
      <c r="B182" s="4">
        <v>59145</v>
      </c>
      <c r="C182" s="57">
        <v>128.81</v>
      </c>
      <c r="D182" s="4" t="s">
        <v>1423</v>
      </c>
      <c r="E182" s="104"/>
    </row>
    <row r="183" spans="1:5" x14ac:dyDescent="0.25">
      <c r="A183" s="8">
        <v>41560</v>
      </c>
      <c r="B183" s="4">
        <v>59146</v>
      </c>
      <c r="C183" s="57">
        <v>380.16</v>
      </c>
      <c r="D183" s="4" t="s">
        <v>1423</v>
      </c>
      <c r="E183" s="104"/>
    </row>
    <row r="184" spans="1:5" x14ac:dyDescent="0.25">
      <c r="A184" s="8">
        <v>41560</v>
      </c>
      <c r="B184" s="4">
        <v>59147</v>
      </c>
      <c r="C184" s="57">
        <v>71.739999999999995</v>
      </c>
      <c r="D184" s="4" t="s">
        <v>1423</v>
      </c>
      <c r="E184" s="104"/>
    </row>
    <row r="185" spans="1:5" x14ac:dyDescent="0.25">
      <c r="A185" s="8">
        <v>41560</v>
      </c>
      <c r="B185" s="4">
        <v>59148</v>
      </c>
      <c r="C185" s="57">
        <v>340.88</v>
      </c>
      <c r="D185" s="4" t="s">
        <v>1423</v>
      </c>
      <c r="E185" s="104"/>
    </row>
    <row r="186" spans="1:5" x14ac:dyDescent="0.25">
      <c r="A186" s="8">
        <v>41560</v>
      </c>
      <c r="B186" s="4">
        <v>59149</v>
      </c>
      <c r="C186" s="57">
        <v>182.63</v>
      </c>
      <c r="D186" s="4" t="s">
        <v>1423</v>
      </c>
      <c r="E186" s="104"/>
    </row>
    <row r="187" spans="1:5" x14ac:dyDescent="0.25">
      <c r="A187" s="8">
        <v>41560</v>
      </c>
      <c r="B187" s="4">
        <v>59150</v>
      </c>
      <c r="C187" s="57">
        <v>260.07</v>
      </c>
      <c r="D187" s="4" t="s">
        <v>1423</v>
      </c>
      <c r="E187" s="104"/>
    </row>
    <row r="188" spans="1:5" x14ac:dyDescent="0.25">
      <c r="A188" s="8">
        <v>41560</v>
      </c>
      <c r="B188" s="4">
        <v>59151</v>
      </c>
      <c r="C188" s="57">
        <v>314.39999999999998</v>
      </c>
      <c r="D188" s="4" t="s">
        <v>1423</v>
      </c>
      <c r="E188" s="104"/>
    </row>
    <row r="189" spans="1:5" x14ac:dyDescent="0.25">
      <c r="A189" s="8">
        <v>41560</v>
      </c>
      <c r="B189" s="4">
        <v>59152</v>
      </c>
      <c r="C189" s="57">
        <v>49.44</v>
      </c>
      <c r="D189" s="4" t="s">
        <v>1423</v>
      </c>
      <c r="E189" s="104"/>
    </row>
    <row r="190" spans="1:5" x14ac:dyDescent="0.25">
      <c r="A190" s="8">
        <v>41560</v>
      </c>
      <c r="B190" s="4">
        <v>59153</v>
      </c>
      <c r="C190" s="57">
        <v>39.53</v>
      </c>
      <c r="D190" s="4" t="s">
        <v>1423</v>
      </c>
      <c r="E190" s="104"/>
    </row>
    <row r="191" spans="1:5" x14ac:dyDescent="0.25">
      <c r="A191" s="8">
        <v>41560</v>
      </c>
      <c r="B191" s="4">
        <v>59154</v>
      </c>
      <c r="C191" s="57">
        <v>157.85</v>
      </c>
      <c r="D191" s="4" t="s">
        <v>1423</v>
      </c>
      <c r="E191" s="104"/>
    </row>
    <row r="192" spans="1:5" x14ac:dyDescent="0.25">
      <c r="A192" s="8">
        <v>41560</v>
      </c>
      <c r="B192" s="4">
        <v>59155</v>
      </c>
      <c r="C192" s="57">
        <v>99.53</v>
      </c>
      <c r="D192" s="4" t="s">
        <v>1423</v>
      </c>
      <c r="E192" s="104"/>
    </row>
    <row r="193" spans="1:5" x14ac:dyDescent="0.25">
      <c r="A193" s="8">
        <v>41560</v>
      </c>
      <c r="B193" s="4">
        <v>59156</v>
      </c>
      <c r="C193" s="57">
        <v>180.01</v>
      </c>
      <c r="D193" s="4" t="s">
        <v>1423</v>
      </c>
      <c r="E193" s="104"/>
    </row>
    <row r="194" spans="1:5" x14ac:dyDescent="0.25">
      <c r="A194" s="8">
        <v>41561</v>
      </c>
      <c r="B194" s="4">
        <v>59157</v>
      </c>
      <c r="C194" s="57">
        <v>168.56</v>
      </c>
      <c r="D194" s="4" t="s">
        <v>1423</v>
      </c>
      <c r="E194" s="104"/>
    </row>
    <row r="195" spans="1:5" x14ac:dyDescent="0.25">
      <c r="A195" s="8">
        <v>41561</v>
      </c>
      <c r="B195" s="4">
        <v>59158</v>
      </c>
      <c r="C195" s="57">
        <v>169.08</v>
      </c>
      <c r="D195" s="4" t="s">
        <v>1423</v>
      </c>
      <c r="E195" s="104"/>
    </row>
    <row r="196" spans="1:5" x14ac:dyDescent="0.25">
      <c r="A196" s="8">
        <v>41561</v>
      </c>
      <c r="B196" s="4">
        <v>59159</v>
      </c>
      <c r="C196" s="57">
        <v>39.119999999999997</v>
      </c>
      <c r="D196" s="4" t="s">
        <v>1423</v>
      </c>
      <c r="E196" s="104"/>
    </row>
    <row r="197" spans="1:5" x14ac:dyDescent="0.25">
      <c r="A197" s="8">
        <v>41561</v>
      </c>
      <c r="B197" s="4">
        <v>59160</v>
      </c>
      <c r="C197" s="57">
        <v>78.98</v>
      </c>
      <c r="D197" s="4" t="s">
        <v>1423</v>
      </c>
      <c r="E197" s="104"/>
    </row>
    <row r="198" spans="1:5" x14ac:dyDescent="0.25">
      <c r="A198" s="8">
        <v>41561</v>
      </c>
      <c r="B198" s="4">
        <v>59161</v>
      </c>
      <c r="C198" s="57">
        <v>195.01</v>
      </c>
      <c r="D198" s="4" t="s">
        <v>1423</v>
      </c>
      <c r="E198" s="104"/>
    </row>
    <row r="199" spans="1:5" x14ac:dyDescent="0.25">
      <c r="A199" s="8">
        <v>41561</v>
      </c>
      <c r="B199" s="4">
        <v>59162</v>
      </c>
      <c r="C199" s="57">
        <v>308.02</v>
      </c>
      <c r="D199" s="4" t="s">
        <v>1423</v>
      </c>
      <c r="E199" s="104"/>
    </row>
    <row r="200" spans="1:5" x14ac:dyDescent="0.25">
      <c r="A200" s="8">
        <v>41561</v>
      </c>
      <c r="B200" s="4">
        <v>59163</v>
      </c>
      <c r="C200" s="57">
        <v>331.5</v>
      </c>
      <c r="D200" s="4" t="s">
        <v>1423</v>
      </c>
      <c r="E200" s="104"/>
    </row>
    <row r="201" spans="1:5" x14ac:dyDescent="0.25">
      <c r="A201" s="8">
        <v>41561</v>
      </c>
      <c r="B201" s="4">
        <v>59164</v>
      </c>
      <c r="C201" s="57">
        <v>389.32</v>
      </c>
      <c r="D201" s="4" t="s">
        <v>1423</v>
      </c>
      <c r="E201" s="104"/>
    </row>
    <row r="202" spans="1:5" x14ac:dyDescent="0.25">
      <c r="A202" s="8">
        <v>41561</v>
      </c>
      <c r="B202" s="4">
        <v>59165</v>
      </c>
      <c r="C202" s="57">
        <v>78.14</v>
      </c>
      <c r="D202" s="4" t="s">
        <v>1423</v>
      </c>
      <c r="E202" s="104"/>
    </row>
    <row r="203" spans="1:5" x14ac:dyDescent="0.25">
      <c r="A203" s="8">
        <v>41561</v>
      </c>
      <c r="B203" s="4">
        <v>59166</v>
      </c>
      <c r="C203" s="57">
        <v>316.86</v>
      </c>
      <c r="D203" s="4" t="s">
        <v>1423</v>
      </c>
      <c r="E203" s="104"/>
    </row>
    <row r="204" spans="1:5" x14ac:dyDescent="0.25">
      <c r="A204" s="8">
        <v>41561</v>
      </c>
      <c r="B204" s="4">
        <v>59167</v>
      </c>
      <c r="C204" s="57">
        <v>113.45</v>
      </c>
      <c r="D204" s="4" t="s">
        <v>1423</v>
      </c>
      <c r="E204" s="104"/>
    </row>
    <row r="205" spans="1:5" x14ac:dyDescent="0.25">
      <c r="A205" s="8">
        <v>41561</v>
      </c>
      <c r="B205" s="4">
        <v>59168</v>
      </c>
      <c r="C205" s="57">
        <v>148</v>
      </c>
      <c r="D205" s="4" t="s">
        <v>1423</v>
      </c>
      <c r="E205" s="104"/>
    </row>
    <row r="206" spans="1:5" x14ac:dyDescent="0.25">
      <c r="A206" s="8">
        <v>41561</v>
      </c>
      <c r="B206" s="4">
        <v>59169</v>
      </c>
      <c r="C206" s="57">
        <v>76.87</v>
      </c>
      <c r="D206" s="4" t="s">
        <v>1423</v>
      </c>
      <c r="E206" s="104"/>
    </row>
    <row r="207" spans="1:5" x14ac:dyDescent="0.25">
      <c r="A207" s="8">
        <v>41561</v>
      </c>
      <c r="B207" s="4">
        <v>59170</v>
      </c>
      <c r="C207" s="57">
        <v>49.18</v>
      </c>
      <c r="D207" s="4" t="s">
        <v>1423</v>
      </c>
      <c r="E207" s="104"/>
    </row>
    <row r="208" spans="1:5" x14ac:dyDescent="0.25">
      <c r="A208" s="8">
        <v>41561</v>
      </c>
      <c r="B208" s="4">
        <v>59171</v>
      </c>
      <c r="C208" s="57">
        <v>263.62</v>
      </c>
      <c r="D208" s="4" t="s">
        <v>1423</v>
      </c>
      <c r="E208" s="104"/>
    </row>
    <row r="209" spans="1:5" x14ac:dyDescent="0.25">
      <c r="A209" s="8">
        <v>41561</v>
      </c>
      <c r="B209" s="4">
        <v>59172</v>
      </c>
      <c r="C209" s="57">
        <v>172.12</v>
      </c>
      <c r="D209" s="4" t="s">
        <v>1423</v>
      </c>
      <c r="E209" s="104"/>
    </row>
    <row r="210" spans="1:5" x14ac:dyDescent="0.25">
      <c r="A210" s="8">
        <v>41561</v>
      </c>
      <c r="B210" s="4">
        <v>59173</v>
      </c>
      <c r="C210" s="57">
        <v>371.9</v>
      </c>
      <c r="D210" s="4" t="s">
        <v>1423</v>
      </c>
      <c r="E210" s="104"/>
    </row>
    <row r="211" spans="1:5" x14ac:dyDescent="0.25">
      <c r="A211" s="8">
        <v>41561</v>
      </c>
      <c r="B211" s="4">
        <v>59174</v>
      </c>
      <c r="C211" s="57">
        <v>87.68</v>
      </c>
      <c r="D211" s="4" t="s">
        <v>1423</v>
      </c>
      <c r="E211" s="104"/>
    </row>
    <row r="212" spans="1:5" x14ac:dyDescent="0.25">
      <c r="A212" s="8">
        <v>41561</v>
      </c>
      <c r="B212" s="4">
        <v>59175</v>
      </c>
      <c r="C212" s="57">
        <v>186.71</v>
      </c>
      <c r="D212" s="4" t="s">
        <v>1423</v>
      </c>
      <c r="E212" s="104"/>
    </row>
    <row r="213" spans="1:5" x14ac:dyDescent="0.25">
      <c r="A213" s="8">
        <v>41561</v>
      </c>
      <c r="B213" s="4">
        <v>59176</v>
      </c>
      <c r="C213" s="57">
        <v>287.68</v>
      </c>
      <c r="D213" s="4" t="s">
        <v>1423</v>
      </c>
      <c r="E213" s="104"/>
    </row>
    <row r="214" spans="1:5" x14ac:dyDescent="0.25">
      <c r="A214" s="8">
        <v>41561</v>
      </c>
      <c r="B214" s="4">
        <v>59177</v>
      </c>
      <c r="C214" s="57">
        <v>164.03</v>
      </c>
      <c r="D214" s="4" t="s">
        <v>1423</v>
      </c>
      <c r="E214" s="104"/>
    </row>
    <row r="215" spans="1:5" x14ac:dyDescent="0.25">
      <c r="A215" s="8">
        <v>41561</v>
      </c>
      <c r="B215" s="4">
        <v>59178</v>
      </c>
      <c r="C215" s="57">
        <v>192.63</v>
      </c>
      <c r="D215" s="4" t="s">
        <v>1423</v>
      </c>
      <c r="E215" s="104"/>
    </row>
    <row r="216" spans="1:5" x14ac:dyDescent="0.25">
      <c r="A216" s="8">
        <v>41561</v>
      </c>
      <c r="B216" s="4">
        <v>59179</v>
      </c>
      <c r="C216" s="57">
        <v>373.88</v>
      </c>
      <c r="D216" s="4" t="s">
        <v>1423</v>
      </c>
      <c r="E216" s="104"/>
    </row>
    <row r="217" spans="1:5" x14ac:dyDescent="0.25">
      <c r="A217" s="8">
        <v>41561</v>
      </c>
      <c r="B217" s="4">
        <v>59180</v>
      </c>
      <c r="C217" s="57">
        <v>217.53</v>
      </c>
      <c r="D217" s="4" t="s">
        <v>1423</v>
      </c>
      <c r="E217" s="104"/>
    </row>
    <row r="218" spans="1:5" x14ac:dyDescent="0.25">
      <c r="A218" s="8">
        <v>41561</v>
      </c>
      <c r="B218" s="4">
        <v>59181</v>
      </c>
      <c r="C218" s="57">
        <v>210.51</v>
      </c>
      <c r="D218" s="4" t="s">
        <v>1423</v>
      </c>
      <c r="E218" s="104"/>
    </row>
    <row r="219" spans="1:5" x14ac:dyDescent="0.25">
      <c r="A219" s="8">
        <v>41561</v>
      </c>
      <c r="B219" s="4">
        <v>59182</v>
      </c>
      <c r="C219" s="57">
        <v>373.18</v>
      </c>
      <c r="D219" s="4" t="s">
        <v>1423</v>
      </c>
      <c r="E219" s="104"/>
    </row>
    <row r="220" spans="1:5" x14ac:dyDescent="0.25">
      <c r="A220" s="8">
        <v>41561</v>
      </c>
      <c r="B220" s="4">
        <v>59183</v>
      </c>
      <c r="C220" s="57">
        <v>193.14</v>
      </c>
      <c r="D220" s="4" t="s">
        <v>1423</v>
      </c>
      <c r="E220" s="104"/>
    </row>
    <row r="221" spans="1:5" x14ac:dyDescent="0.25">
      <c r="A221" s="8">
        <v>41561</v>
      </c>
      <c r="B221" s="4">
        <v>59184</v>
      </c>
      <c r="C221" s="57">
        <v>271.35000000000002</v>
      </c>
      <c r="D221" s="4" t="s">
        <v>1423</v>
      </c>
      <c r="E221" s="104"/>
    </row>
    <row r="222" spans="1:5" x14ac:dyDescent="0.25">
      <c r="A222" s="8">
        <v>41562</v>
      </c>
      <c r="B222" s="4">
        <v>59185</v>
      </c>
      <c r="C222" s="57">
        <v>328.5</v>
      </c>
      <c r="D222" s="4" t="s">
        <v>1423</v>
      </c>
      <c r="E222" s="104"/>
    </row>
    <row r="223" spans="1:5" x14ac:dyDescent="0.25">
      <c r="A223" s="8">
        <v>41562</v>
      </c>
      <c r="B223" s="4">
        <v>59186</v>
      </c>
      <c r="C223" s="57">
        <v>270.52999999999997</v>
      </c>
      <c r="D223" s="4" t="s">
        <v>1423</v>
      </c>
      <c r="E223" s="104"/>
    </row>
    <row r="224" spans="1:5" x14ac:dyDescent="0.25">
      <c r="A224" s="8">
        <v>41562</v>
      </c>
      <c r="B224" s="4">
        <v>59187</v>
      </c>
      <c r="C224" s="57">
        <v>228.41</v>
      </c>
      <c r="D224" s="4" t="s">
        <v>1423</v>
      </c>
      <c r="E224" s="104"/>
    </row>
    <row r="225" spans="1:5" x14ac:dyDescent="0.25">
      <c r="A225" s="8">
        <v>41562</v>
      </c>
      <c r="B225" s="4">
        <v>59188</v>
      </c>
      <c r="C225" s="57">
        <v>388.02</v>
      </c>
      <c r="D225" s="4" t="s">
        <v>1423</v>
      </c>
      <c r="E225" s="104"/>
    </row>
    <row r="226" spans="1:5" x14ac:dyDescent="0.25">
      <c r="A226" s="8">
        <v>41562</v>
      </c>
      <c r="B226" s="4">
        <v>59189</v>
      </c>
      <c r="C226" s="57">
        <v>350.5</v>
      </c>
      <c r="D226" s="4" t="s">
        <v>1423</v>
      </c>
      <c r="E226" s="104"/>
    </row>
    <row r="227" spans="1:5" x14ac:dyDescent="0.25">
      <c r="A227" s="8">
        <v>41562</v>
      </c>
      <c r="B227" s="4">
        <v>59190</v>
      </c>
      <c r="C227" s="57">
        <v>64.91</v>
      </c>
      <c r="D227" s="4" t="s">
        <v>1423</v>
      </c>
      <c r="E227" s="104"/>
    </row>
    <row r="228" spans="1:5" x14ac:dyDescent="0.25">
      <c r="A228" s="8">
        <v>41562</v>
      </c>
      <c r="B228" s="4">
        <v>59191</v>
      </c>
      <c r="C228" s="57">
        <v>332.68</v>
      </c>
      <c r="D228" s="4" t="s">
        <v>1423</v>
      </c>
      <c r="E228" s="104"/>
    </row>
    <row r="229" spans="1:5" x14ac:dyDescent="0.25">
      <c r="A229" s="8">
        <v>41562</v>
      </c>
      <c r="B229" s="4">
        <v>59192</v>
      </c>
      <c r="C229" s="57">
        <v>201.79</v>
      </c>
      <c r="D229" s="4" t="s">
        <v>1423</v>
      </c>
      <c r="E229" s="104"/>
    </row>
    <row r="230" spans="1:5" x14ac:dyDescent="0.25">
      <c r="A230" s="8">
        <v>41562</v>
      </c>
      <c r="B230" s="4">
        <v>59193</v>
      </c>
      <c r="C230" s="57">
        <v>175.06</v>
      </c>
      <c r="D230" s="4" t="s">
        <v>1423</v>
      </c>
      <c r="E230" s="104"/>
    </row>
    <row r="231" spans="1:5" x14ac:dyDescent="0.25">
      <c r="A231" s="8">
        <v>41562</v>
      </c>
      <c r="B231" s="4">
        <v>59194</v>
      </c>
      <c r="C231" s="57">
        <v>255.7</v>
      </c>
      <c r="D231" s="4" t="s">
        <v>1423</v>
      </c>
      <c r="E231" s="104"/>
    </row>
    <row r="232" spans="1:5" x14ac:dyDescent="0.25">
      <c r="A232" s="8">
        <v>41562</v>
      </c>
      <c r="B232" s="4">
        <v>59195</v>
      </c>
      <c r="C232" s="57">
        <v>320.83</v>
      </c>
      <c r="D232" s="4" t="s">
        <v>1423</v>
      </c>
      <c r="E232" s="104"/>
    </row>
    <row r="233" spans="1:5" x14ac:dyDescent="0.25">
      <c r="A233" s="8">
        <v>41562</v>
      </c>
      <c r="B233" s="4">
        <v>59196</v>
      </c>
      <c r="C233" s="57">
        <v>207.68</v>
      </c>
      <c r="D233" s="4" t="s">
        <v>1423</v>
      </c>
      <c r="E233" s="104"/>
    </row>
    <row r="234" spans="1:5" x14ac:dyDescent="0.25">
      <c r="A234" s="8">
        <v>41562</v>
      </c>
      <c r="B234" s="4">
        <v>59197</v>
      </c>
      <c r="C234" s="57">
        <v>187.72</v>
      </c>
      <c r="D234" s="4" t="s">
        <v>1423</v>
      </c>
      <c r="E234" s="104"/>
    </row>
    <row r="235" spans="1:5" x14ac:dyDescent="0.25">
      <c r="A235" s="8">
        <v>41562</v>
      </c>
      <c r="B235" s="4">
        <v>59198</v>
      </c>
      <c r="C235" s="57">
        <v>134.63</v>
      </c>
      <c r="D235" s="4" t="s">
        <v>1423</v>
      </c>
      <c r="E235" s="104"/>
    </row>
    <row r="236" spans="1:5" x14ac:dyDescent="0.25">
      <c r="A236" s="8">
        <v>41562</v>
      </c>
      <c r="B236" s="4">
        <v>59199</v>
      </c>
      <c r="C236" s="57">
        <v>200.39</v>
      </c>
      <c r="D236" s="4" t="s">
        <v>1423</v>
      </c>
      <c r="E236" s="104"/>
    </row>
    <row r="237" spans="1:5" x14ac:dyDescent="0.25">
      <c r="A237" s="8">
        <v>41562</v>
      </c>
      <c r="B237" s="4">
        <v>59200</v>
      </c>
      <c r="C237" s="57">
        <v>201.59</v>
      </c>
      <c r="D237" s="4" t="s">
        <v>1423</v>
      </c>
      <c r="E237" s="104"/>
    </row>
    <row r="238" spans="1:5" x14ac:dyDescent="0.25">
      <c r="A238" s="8">
        <v>41562</v>
      </c>
      <c r="B238" s="4">
        <v>59201</v>
      </c>
      <c r="C238" s="57">
        <v>124.65</v>
      </c>
      <c r="D238" s="4" t="s">
        <v>1423</v>
      </c>
      <c r="E238" s="104"/>
    </row>
    <row r="239" spans="1:5" x14ac:dyDescent="0.25">
      <c r="A239" s="8">
        <v>41562</v>
      </c>
      <c r="B239" s="4">
        <v>59202</v>
      </c>
      <c r="C239" s="57">
        <v>382.04</v>
      </c>
      <c r="D239" s="4" t="s">
        <v>1423</v>
      </c>
      <c r="E239" s="104"/>
    </row>
    <row r="240" spans="1:5" x14ac:dyDescent="0.25">
      <c r="A240" s="8">
        <v>41562</v>
      </c>
      <c r="B240" s="4">
        <v>59203</v>
      </c>
      <c r="C240" s="57">
        <v>41.3</v>
      </c>
      <c r="D240" s="4" t="s">
        <v>1423</v>
      </c>
      <c r="E240" s="104"/>
    </row>
    <row r="241" spans="1:5" x14ac:dyDescent="0.25">
      <c r="A241" s="8">
        <v>41562</v>
      </c>
      <c r="B241" s="4">
        <v>59204</v>
      </c>
      <c r="C241" s="57">
        <v>178.57</v>
      </c>
      <c r="D241" s="4" t="s">
        <v>1423</v>
      </c>
      <c r="E241" s="104"/>
    </row>
    <row r="242" spans="1:5" x14ac:dyDescent="0.25">
      <c r="A242" s="8">
        <v>41562</v>
      </c>
      <c r="B242" s="4">
        <v>59205</v>
      </c>
      <c r="C242" s="57">
        <v>124.98</v>
      </c>
      <c r="D242" s="4" t="s">
        <v>1423</v>
      </c>
      <c r="E242" s="104"/>
    </row>
    <row r="243" spans="1:5" x14ac:dyDescent="0.25">
      <c r="A243" s="8">
        <v>41562</v>
      </c>
      <c r="B243" s="4">
        <v>59206</v>
      </c>
      <c r="C243" s="57">
        <v>245.86</v>
      </c>
      <c r="D243" s="4" t="s">
        <v>1423</v>
      </c>
      <c r="E243" s="104"/>
    </row>
    <row r="244" spans="1:5" x14ac:dyDescent="0.25">
      <c r="A244" s="8">
        <v>41563</v>
      </c>
      <c r="B244" s="4">
        <v>59207</v>
      </c>
      <c r="C244" s="57">
        <v>133.22</v>
      </c>
      <c r="D244" s="4" t="s">
        <v>1423</v>
      </c>
      <c r="E244" s="104"/>
    </row>
    <row r="245" spans="1:5" x14ac:dyDescent="0.25">
      <c r="A245" s="8">
        <v>41563</v>
      </c>
      <c r="B245" s="4">
        <v>59208</v>
      </c>
      <c r="C245" s="57">
        <v>276.63</v>
      </c>
      <c r="D245" s="4" t="s">
        <v>1423</v>
      </c>
      <c r="E245" s="104"/>
    </row>
    <row r="246" spans="1:5" x14ac:dyDescent="0.25">
      <c r="A246" s="8">
        <v>41563</v>
      </c>
      <c r="B246" s="4">
        <v>59209</v>
      </c>
      <c r="C246" s="57">
        <v>383.59</v>
      </c>
      <c r="D246" s="4" t="s">
        <v>1423</v>
      </c>
      <c r="E246" s="104"/>
    </row>
    <row r="247" spans="1:5" x14ac:dyDescent="0.25">
      <c r="A247" s="8">
        <v>41563</v>
      </c>
      <c r="B247" s="4">
        <v>59210</v>
      </c>
      <c r="C247" s="57">
        <v>207.27</v>
      </c>
      <c r="D247" s="4" t="s">
        <v>1423</v>
      </c>
      <c r="E247" s="104"/>
    </row>
    <row r="248" spans="1:5" x14ac:dyDescent="0.25">
      <c r="A248" s="8">
        <v>41563</v>
      </c>
      <c r="B248" s="4">
        <v>59211</v>
      </c>
      <c r="C248" s="57">
        <v>347.27</v>
      </c>
      <c r="D248" s="4" t="s">
        <v>1423</v>
      </c>
      <c r="E248" s="104"/>
    </row>
    <row r="249" spans="1:5" x14ac:dyDescent="0.25">
      <c r="A249" s="8">
        <v>41563</v>
      </c>
      <c r="B249" s="4">
        <v>59212</v>
      </c>
      <c r="C249" s="57">
        <v>104.78</v>
      </c>
      <c r="D249" s="4" t="s">
        <v>1423</v>
      </c>
      <c r="E249" s="104"/>
    </row>
    <row r="250" spans="1:5" x14ac:dyDescent="0.25">
      <c r="A250" s="8">
        <v>41563</v>
      </c>
      <c r="B250" s="4">
        <v>59213</v>
      </c>
      <c r="C250" s="57">
        <v>340.75</v>
      </c>
      <c r="D250" s="4" t="s">
        <v>1423</v>
      </c>
      <c r="E250" s="104"/>
    </row>
    <row r="251" spans="1:5" x14ac:dyDescent="0.25">
      <c r="A251" s="8">
        <v>41563</v>
      </c>
      <c r="B251" s="4">
        <v>59214</v>
      </c>
      <c r="C251" s="57">
        <v>382.6</v>
      </c>
      <c r="D251" s="4" t="s">
        <v>1423</v>
      </c>
      <c r="E251" s="104"/>
    </row>
    <row r="252" spans="1:5" x14ac:dyDescent="0.25">
      <c r="A252" s="8">
        <v>41563</v>
      </c>
      <c r="B252" s="4">
        <v>59215</v>
      </c>
      <c r="C252" s="57">
        <v>301.58</v>
      </c>
      <c r="D252" s="4" t="s">
        <v>1423</v>
      </c>
      <c r="E252" s="104"/>
    </row>
    <row r="253" spans="1:5" x14ac:dyDescent="0.25">
      <c r="A253" s="8">
        <v>41563</v>
      </c>
      <c r="B253" s="4">
        <v>59216</v>
      </c>
      <c r="C253" s="57">
        <v>264.42</v>
      </c>
      <c r="D253" s="4" t="s">
        <v>1423</v>
      </c>
      <c r="E253" s="104"/>
    </row>
    <row r="254" spans="1:5" x14ac:dyDescent="0.25">
      <c r="A254" s="8">
        <v>41563</v>
      </c>
      <c r="B254" s="4">
        <v>59217</v>
      </c>
      <c r="C254" s="57">
        <v>50.81</v>
      </c>
      <c r="D254" s="4" t="s">
        <v>1423</v>
      </c>
      <c r="E254" s="104"/>
    </row>
    <row r="255" spans="1:5" x14ac:dyDescent="0.25">
      <c r="A255" s="8">
        <v>41563</v>
      </c>
      <c r="B255" s="4">
        <v>59218</v>
      </c>
      <c r="C255" s="57">
        <v>206.84</v>
      </c>
      <c r="D255" s="4" t="s">
        <v>1423</v>
      </c>
      <c r="E255" s="104"/>
    </row>
    <row r="256" spans="1:5" x14ac:dyDescent="0.25">
      <c r="A256" s="8">
        <v>41563</v>
      </c>
      <c r="B256" s="4">
        <v>59219</v>
      </c>
      <c r="C256" s="57">
        <v>269.23</v>
      </c>
      <c r="D256" s="4" t="s">
        <v>1423</v>
      </c>
      <c r="E256" s="104"/>
    </row>
    <row r="257" spans="1:5" x14ac:dyDescent="0.25">
      <c r="A257" s="8">
        <v>41563</v>
      </c>
      <c r="B257" s="4">
        <v>59220</v>
      </c>
      <c r="C257" s="57">
        <v>197.99</v>
      </c>
      <c r="D257" s="4" t="s">
        <v>1423</v>
      </c>
      <c r="E257" s="104"/>
    </row>
    <row r="258" spans="1:5" x14ac:dyDescent="0.25">
      <c r="A258" s="8">
        <v>41563</v>
      </c>
      <c r="B258" s="4">
        <v>59221</v>
      </c>
      <c r="C258" s="57">
        <v>145.43</v>
      </c>
      <c r="D258" s="4" t="s">
        <v>1423</v>
      </c>
      <c r="E258" s="104"/>
    </row>
    <row r="259" spans="1:5" x14ac:dyDescent="0.25">
      <c r="A259" s="8">
        <v>41563</v>
      </c>
      <c r="B259" s="4">
        <v>59222</v>
      </c>
      <c r="C259" s="57">
        <v>337.12</v>
      </c>
      <c r="D259" s="4" t="s">
        <v>1423</v>
      </c>
      <c r="E259" s="104"/>
    </row>
    <row r="260" spans="1:5" x14ac:dyDescent="0.25">
      <c r="A260" s="8">
        <v>41563</v>
      </c>
      <c r="B260" s="4">
        <v>59223</v>
      </c>
      <c r="C260" s="57">
        <v>246.37</v>
      </c>
      <c r="D260" s="4" t="s">
        <v>1423</v>
      </c>
      <c r="E260" s="104"/>
    </row>
    <row r="261" spans="1:5" x14ac:dyDescent="0.25">
      <c r="A261" s="8">
        <v>41563</v>
      </c>
      <c r="B261" s="4">
        <v>59224</v>
      </c>
      <c r="C261" s="57">
        <v>62.79</v>
      </c>
      <c r="D261" s="4" t="s">
        <v>1423</v>
      </c>
      <c r="E261" s="104"/>
    </row>
    <row r="262" spans="1:5" x14ac:dyDescent="0.25">
      <c r="A262" s="8">
        <v>41563</v>
      </c>
      <c r="B262" s="4">
        <v>59225</v>
      </c>
      <c r="C262" s="57">
        <v>299.95</v>
      </c>
      <c r="D262" s="4" t="s">
        <v>1423</v>
      </c>
      <c r="E262" s="104"/>
    </row>
    <row r="263" spans="1:5" x14ac:dyDescent="0.25">
      <c r="A263" s="8">
        <v>41563</v>
      </c>
      <c r="B263" s="4">
        <v>59226</v>
      </c>
      <c r="C263" s="57">
        <v>311.52</v>
      </c>
      <c r="D263" s="4" t="s">
        <v>1423</v>
      </c>
      <c r="E263" s="104"/>
    </row>
    <row r="264" spans="1:5" x14ac:dyDescent="0.25">
      <c r="A264" s="8">
        <v>41564</v>
      </c>
      <c r="B264" s="4">
        <v>59227</v>
      </c>
      <c r="C264" s="57">
        <v>389.38</v>
      </c>
      <c r="D264" s="4" t="s">
        <v>1423</v>
      </c>
      <c r="E264" s="104"/>
    </row>
    <row r="265" spans="1:5" x14ac:dyDescent="0.25">
      <c r="A265" s="8">
        <v>41564</v>
      </c>
      <c r="B265" s="4">
        <v>59228</v>
      </c>
      <c r="C265" s="57">
        <v>345.6</v>
      </c>
      <c r="D265" s="4" t="s">
        <v>1423</v>
      </c>
      <c r="E265" s="104"/>
    </row>
    <row r="266" spans="1:5" x14ac:dyDescent="0.25">
      <c r="A266" s="8">
        <v>41564</v>
      </c>
      <c r="B266" s="4">
        <v>59229</v>
      </c>
      <c r="C266" s="57">
        <v>317.47000000000003</v>
      </c>
      <c r="D266" s="4" t="s">
        <v>1423</v>
      </c>
      <c r="E266" s="104"/>
    </row>
    <row r="267" spans="1:5" x14ac:dyDescent="0.25">
      <c r="A267" s="8">
        <v>41564</v>
      </c>
      <c r="B267" s="4">
        <v>59230</v>
      </c>
      <c r="C267" s="57">
        <v>357.07</v>
      </c>
      <c r="D267" s="4" t="s">
        <v>1423</v>
      </c>
      <c r="E267" s="104"/>
    </row>
    <row r="268" spans="1:5" x14ac:dyDescent="0.25">
      <c r="A268" s="8">
        <v>41564</v>
      </c>
      <c r="B268" s="4">
        <v>59231</v>
      </c>
      <c r="C268" s="57">
        <v>161.04</v>
      </c>
      <c r="D268" s="4" t="s">
        <v>1423</v>
      </c>
      <c r="E268" s="104"/>
    </row>
    <row r="269" spans="1:5" x14ac:dyDescent="0.25">
      <c r="A269" s="8">
        <v>41564</v>
      </c>
      <c r="B269" s="4">
        <v>59232</v>
      </c>
      <c r="C269" s="57">
        <v>215.43</v>
      </c>
      <c r="D269" s="4" t="s">
        <v>1423</v>
      </c>
      <c r="E269" s="104"/>
    </row>
    <row r="270" spans="1:5" x14ac:dyDescent="0.25">
      <c r="A270" s="8">
        <v>41564</v>
      </c>
      <c r="B270" s="4">
        <v>59233</v>
      </c>
      <c r="C270" s="57">
        <v>124.14</v>
      </c>
      <c r="D270" s="4" t="s">
        <v>1423</v>
      </c>
      <c r="E270" s="104"/>
    </row>
    <row r="271" spans="1:5" x14ac:dyDescent="0.25">
      <c r="A271" s="8">
        <v>41564</v>
      </c>
      <c r="B271" s="4">
        <v>59234</v>
      </c>
      <c r="C271" s="57">
        <v>131.44999999999999</v>
      </c>
      <c r="D271" s="4" t="s">
        <v>1423</v>
      </c>
      <c r="E271" s="104"/>
    </row>
    <row r="272" spans="1:5" x14ac:dyDescent="0.25">
      <c r="A272" s="8">
        <v>41564</v>
      </c>
      <c r="B272" s="4">
        <v>59235</v>
      </c>
      <c r="C272" s="57">
        <v>45.08</v>
      </c>
      <c r="D272" s="4" t="s">
        <v>1423</v>
      </c>
      <c r="E272" s="104"/>
    </row>
    <row r="273" spans="1:5" x14ac:dyDescent="0.25">
      <c r="A273" s="8">
        <v>41564</v>
      </c>
      <c r="B273" s="4">
        <v>59236</v>
      </c>
      <c r="C273" s="57">
        <v>261.62</v>
      </c>
      <c r="D273" s="4" t="s">
        <v>1423</v>
      </c>
      <c r="E273" s="104"/>
    </row>
    <row r="274" spans="1:5" x14ac:dyDescent="0.25">
      <c r="A274" s="8">
        <v>41564</v>
      </c>
      <c r="B274" s="4">
        <v>59237</v>
      </c>
      <c r="C274" s="57">
        <v>355.97</v>
      </c>
      <c r="D274" s="4" t="s">
        <v>1423</v>
      </c>
      <c r="E274" s="104"/>
    </row>
    <row r="275" spans="1:5" x14ac:dyDescent="0.25">
      <c r="A275" s="8">
        <v>41564</v>
      </c>
      <c r="B275" s="4">
        <v>59238</v>
      </c>
      <c r="C275" s="57">
        <v>309.29000000000002</v>
      </c>
      <c r="D275" s="4" t="s">
        <v>1423</v>
      </c>
      <c r="E275" s="104"/>
    </row>
    <row r="276" spans="1:5" x14ac:dyDescent="0.25">
      <c r="A276" s="8">
        <v>41564</v>
      </c>
      <c r="B276" s="4">
        <v>59239</v>
      </c>
      <c r="C276" s="57">
        <v>327.49</v>
      </c>
      <c r="D276" s="4" t="s">
        <v>1423</v>
      </c>
      <c r="E276" s="104"/>
    </row>
    <row r="277" spans="1:5" x14ac:dyDescent="0.25">
      <c r="A277" s="8">
        <v>41564</v>
      </c>
      <c r="B277" s="4">
        <v>59240</v>
      </c>
      <c r="C277" s="57">
        <v>186.71</v>
      </c>
      <c r="D277" s="4" t="s">
        <v>1423</v>
      </c>
      <c r="E277" s="104"/>
    </row>
    <row r="278" spans="1:5" x14ac:dyDescent="0.25">
      <c r="A278" s="8">
        <v>41564</v>
      </c>
      <c r="B278" s="4">
        <v>59241</v>
      </c>
      <c r="C278" s="57">
        <v>92.15</v>
      </c>
      <c r="D278" s="4" t="s">
        <v>1423</v>
      </c>
      <c r="E278" s="104"/>
    </row>
    <row r="279" spans="1:5" x14ac:dyDescent="0.25">
      <c r="A279" s="8">
        <v>41564</v>
      </c>
      <c r="B279" s="4">
        <v>59242</v>
      </c>
      <c r="C279" s="57">
        <v>266.87</v>
      </c>
      <c r="D279" s="4" t="s">
        <v>1423</v>
      </c>
      <c r="E279" s="104"/>
    </row>
    <row r="280" spans="1:5" x14ac:dyDescent="0.25">
      <c r="A280" s="8">
        <v>41564</v>
      </c>
      <c r="B280" s="4">
        <v>59243</v>
      </c>
      <c r="C280" s="57">
        <v>112.5</v>
      </c>
      <c r="D280" s="4" t="s">
        <v>1423</v>
      </c>
      <c r="E280" s="104"/>
    </row>
    <row r="281" spans="1:5" x14ac:dyDescent="0.25">
      <c r="A281" s="8">
        <v>41564</v>
      </c>
      <c r="B281" s="4">
        <v>59244</v>
      </c>
      <c r="C281" s="57">
        <v>132.96</v>
      </c>
      <c r="D281" s="4" t="s">
        <v>1423</v>
      </c>
      <c r="E281" s="104"/>
    </row>
    <row r="282" spans="1:5" x14ac:dyDescent="0.25">
      <c r="A282" s="8">
        <v>41565</v>
      </c>
      <c r="B282" s="4">
        <v>59245</v>
      </c>
      <c r="C282" s="57">
        <v>246.3</v>
      </c>
      <c r="D282" s="4" t="s">
        <v>1423</v>
      </c>
      <c r="E282" s="104"/>
    </row>
    <row r="283" spans="1:5" x14ac:dyDescent="0.25">
      <c r="A283" s="8">
        <v>41565</v>
      </c>
      <c r="B283" s="4">
        <v>59246</v>
      </c>
      <c r="C283" s="57">
        <v>357.82</v>
      </c>
      <c r="D283" s="4" t="s">
        <v>1423</v>
      </c>
      <c r="E283" s="104"/>
    </row>
    <row r="284" spans="1:5" x14ac:dyDescent="0.25">
      <c r="A284" s="8">
        <v>41565</v>
      </c>
      <c r="B284" s="4">
        <v>59247</v>
      </c>
      <c r="C284" s="57">
        <v>36.590000000000003</v>
      </c>
      <c r="D284" s="4" t="s">
        <v>1423</v>
      </c>
      <c r="E284" s="104"/>
    </row>
    <row r="285" spans="1:5" x14ac:dyDescent="0.25">
      <c r="A285" s="8">
        <v>41565</v>
      </c>
      <c r="B285" s="4">
        <v>59248</v>
      </c>
      <c r="C285" s="57">
        <v>186.97</v>
      </c>
      <c r="D285" s="4" t="s">
        <v>1423</v>
      </c>
      <c r="E285" s="104"/>
    </row>
    <row r="286" spans="1:5" x14ac:dyDescent="0.25">
      <c r="A286" s="8">
        <v>41565</v>
      </c>
      <c r="B286" s="4">
        <v>59249</v>
      </c>
      <c r="C286" s="57">
        <v>67.75</v>
      </c>
      <c r="D286" s="4" t="s">
        <v>1423</v>
      </c>
      <c r="E286" s="104"/>
    </row>
    <row r="287" spans="1:5" x14ac:dyDescent="0.25">
      <c r="A287" s="8">
        <v>41565</v>
      </c>
      <c r="B287" s="4">
        <v>59250</v>
      </c>
      <c r="C287" s="57">
        <v>165.3</v>
      </c>
      <c r="D287" s="4" t="s">
        <v>1423</v>
      </c>
      <c r="E287" s="104"/>
    </row>
    <row r="288" spans="1:5" x14ac:dyDescent="0.25">
      <c r="A288" s="8">
        <v>41565</v>
      </c>
      <c r="B288" s="4">
        <v>59251</v>
      </c>
      <c r="C288" s="57">
        <v>131.80000000000001</v>
      </c>
      <c r="D288" s="4" t="s">
        <v>1423</v>
      </c>
      <c r="E288" s="104"/>
    </row>
    <row r="289" spans="1:5" x14ac:dyDescent="0.25">
      <c r="A289" s="8">
        <v>41565</v>
      </c>
      <c r="B289" s="4">
        <v>59252</v>
      </c>
      <c r="C289" s="57">
        <v>79.55</v>
      </c>
      <c r="D289" s="4" t="s">
        <v>1423</v>
      </c>
      <c r="E289" s="104"/>
    </row>
    <row r="290" spans="1:5" x14ac:dyDescent="0.25">
      <c r="A290" s="8">
        <v>41565</v>
      </c>
      <c r="B290" s="4">
        <v>59253</v>
      </c>
      <c r="C290" s="57">
        <v>165.41</v>
      </c>
      <c r="D290" s="4" t="s">
        <v>1423</v>
      </c>
      <c r="E290" s="104"/>
    </row>
    <row r="291" spans="1:5" x14ac:dyDescent="0.25">
      <c r="A291" s="8">
        <v>41565</v>
      </c>
      <c r="B291" s="4">
        <v>59254</v>
      </c>
      <c r="C291" s="57">
        <v>64.040000000000006</v>
      </c>
      <c r="D291" s="4" t="s">
        <v>1423</v>
      </c>
      <c r="E291" s="104"/>
    </row>
    <row r="292" spans="1:5" x14ac:dyDescent="0.25">
      <c r="A292" s="8">
        <v>41565</v>
      </c>
      <c r="B292" s="4">
        <v>59255</v>
      </c>
      <c r="C292" s="57">
        <v>85.57</v>
      </c>
      <c r="D292" s="4" t="s">
        <v>1423</v>
      </c>
      <c r="E292" s="104"/>
    </row>
    <row r="293" spans="1:5" x14ac:dyDescent="0.25">
      <c r="A293" s="8">
        <v>41565</v>
      </c>
      <c r="B293" s="4">
        <v>59256</v>
      </c>
      <c r="C293" s="57">
        <v>350.88</v>
      </c>
      <c r="D293" s="4" t="s">
        <v>1423</v>
      </c>
      <c r="E293" s="104"/>
    </row>
    <row r="294" spans="1:5" x14ac:dyDescent="0.25">
      <c r="A294" s="8">
        <v>41565</v>
      </c>
      <c r="B294" s="4">
        <v>59257</v>
      </c>
      <c r="C294" s="57">
        <v>269.77999999999997</v>
      </c>
      <c r="D294" s="4" t="s">
        <v>1423</v>
      </c>
      <c r="E294" s="104"/>
    </row>
    <row r="295" spans="1:5" x14ac:dyDescent="0.25">
      <c r="A295" s="8">
        <v>41565</v>
      </c>
      <c r="B295" s="4">
        <v>59258</v>
      </c>
      <c r="C295" s="57">
        <v>294.08999999999997</v>
      </c>
      <c r="D295" s="4" t="s">
        <v>1423</v>
      </c>
      <c r="E295" s="104"/>
    </row>
    <row r="296" spans="1:5" x14ac:dyDescent="0.25">
      <c r="A296" s="8">
        <v>41565</v>
      </c>
      <c r="B296" s="4">
        <v>59259</v>
      </c>
      <c r="C296" s="57">
        <v>150.68</v>
      </c>
      <c r="D296" s="4" t="s">
        <v>1423</v>
      </c>
      <c r="E296" s="104"/>
    </row>
    <row r="297" spans="1:5" x14ac:dyDescent="0.25">
      <c r="A297" s="8">
        <v>41565</v>
      </c>
      <c r="B297" s="4">
        <v>59260</v>
      </c>
      <c r="C297" s="57">
        <v>335.48</v>
      </c>
      <c r="D297" s="4" t="s">
        <v>1423</v>
      </c>
      <c r="E297" s="104"/>
    </row>
    <row r="298" spans="1:5" x14ac:dyDescent="0.25">
      <c r="A298" s="8">
        <v>41565</v>
      </c>
      <c r="B298" s="4">
        <v>59261</v>
      </c>
      <c r="C298" s="57">
        <v>80.23</v>
      </c>
      <c r="D298" s="4" t="s">
        <v>1423</v>
      </c>
      <c r="E298" s="104"/>
    </row>
    <row r="299" spans="1:5" x14ac:dyDescent="0.25">
      <c r="A299" s="8">
        <v>41565</v>
      </c>
      <c r="B299" s="4">
        <v>59262</v>
      </c>
      <c r="C299" s="57">
        <v>209.89</v>
      </c>
      <c r="D299" s="4" t="s">
        <v>1423</v>
      </c>
      <c r="E299" s="104"/>
    </row>
    <row r="300" spans="1:5" x14ac:dyDescent="0.25">
      <c r="A300" s="8">
        <v>41565</v>
      </c>
      <c r="B300" s="4">
        <v>59263</v>
      </c>
      <c r="C300" s="57">
        <v>58.4</v>
      </c>
      <c r="D300" s="4" t="s">
        <v>1423</v>
      </c>
      <c r="E300" s="104"/>
    </row>
    <row r="301" spans="1:5" x14ac:dyDescent="0.25">
      <c r="A301" s="8">
        <v>41565</v>
      </c>
      <c r="B301" s="4">
        <v>59264</v>
      </c>
      <c r="C301" s="57">
        <v>363.92</v>
      </c>
      <c r="D301" s="4" t="s">
        <v>1423</v>
      </c>
      <c r="E301" s="104"/>
    </row>
    <row r="302" spans="1:5" x14ac:dyDescent="0.25">
      <c r="A302" s="8">
        <v>41565</v>
      </c>
      <c r="B302" s="4">
        <v>59265</v>
      </c>
      <c r="C302" s="57">
        <v>109.95</v>
      </c>
      <c r="D302" s="4" t="s">
        <v>1423</v>
      </c>
      <c r="E302" s="104"/>
    </row>
    <row r="303" spans="1:5" x14ac:dyDescent="0.25">
      <c r="A303" s="8">
        <v>41566</v>
      </c>
      <c r="B303" s="4">
        <v>59266</v>
      </c>
      <c r="C303" s="57">
        <v>144.82</v>
      </c>
      <c r="D303" s="4" t="s">
        <v>1423</v>
      </c>
      <c r="E303" s="104"/>
    </row>
    <row r="304" spans="1:5" x14ac:dyDescent="0.25">
      <c r="A304" s="8">
        <v>41566</v>
      </c>
      <c r="B304" s="4">
        <v>59267</v>
      </c>
      <c r="C304" s="57">
        <v>194.87</v>
      </c>
      <c r="D304" s="4" t="s">
        <v>1423</v>
      </c>
      <c r="E304" s="104"/>
    </row>
    <row r="305" spans="1:5" x14ac:dyDescent="0.25">
      <c r="A305" s="8">
        <v>41566</v>
      </c>
      <c r="B305" s="4">
        <v>59268</v>
      </c>
      <c r="C305" s="57">
        <v>389.76</v>
      </c>
      <c r="D305" s="4" t="s">
        <v>1423</v>
      </c>
      <c r="E305" s="104"/>
    </row>
    <row r="306" spans="1:5" x14ac:dyDescent="0.25">
      <c r="A306" s="8">
        <v>41566</v>
      </c>
      <c r="B306" s="4">
        <v>59269</v>
      </c>
      <c r="C306" s="57">
        <v>79.66</v>
      </c>
      <c r="D306" s="4" t="s">
        <v>1423</v>
      </c>
      <c r="E306" s="104"/>
    </row>
    <row r="307" spans="1:5" x14ac:dyDescent="0.25">
      <c r="A307" s="8">
        <v>41566</v>
      </c>
      <c r="B307" s="4">
        <v>59270</v>
      </c>
      <c r="C307" s="57">
        <v>303.92</v>
      </c>
      <c r="D307" s="4" t="s">
        <v>1423</v>
      </c>
      <c r="E307" s="104"/>
    </row>
    <row r="308" spans="1:5" x14ac:dyDescent="0.25">
      <c r="A308" s="8">
        <v>41566</v>
      </c>
      <c r="B308" s="4">
        <v>59271</v>
      </c>
      <c r="C308" s="57">
        <v>97.62</v>
      </c>
      <c r="D308" s="4" t="s">
        <v>1423</v>
      </c>
      <c r="E308" s="104"/>
    </row>
    <row r="309" spans="1:5" x14ac:dyDescent="0.25">
      <c r="A309" s="8">
        <v>41566</v>
      </c>
      <c r="B309" s="4">
        <v>59272</v>
      </c>
      <c r="C309" s="57">
        <v>300.57</v>
      </c>
      <c r="D309" s="4" t="s">
        <v>1423</v>
      </c>
      <c r="E309" s="104"/>
    </row>
    <row r="310" spans="1:5" x14ac:dyDescent="0.25">
      <c r="A310" s="8">
        <v>41566</v>
      </c>
      <c r="B310" s="4">
        <v>59273</v>
      </c>
      <c r="C310" s="57">
        <v>86.22</v>
      </c>
      <c r="D310" s="4" t="s">
        <v>1423</v>
      </c>
      <c r="E310" s="104"/>
    </row>
    <row r="311" spans="1:5" x14ac:dyDescent="0.25">
      <c r="A311" s="8">
        <v>41566</v>
      </c>
      <c r="B311" s="4">
        <v>59274</v>
      </c>
      <c r="C311" s="57">
        <v>286.69</v>
      </c>
      <c r="D311" s="4" t="s">
        <v>1423</v>
      </c>
      <c r="E311" s="104"/>
    </row>
    <row r="312" spans="1:5" x14ac:dyDescent="0.25">
      <c r="A312" s="8">
        <v>41566</v>
      </c>
      <c r="B312" s="4">
        <v>59275</v>
      </c>
      <c r="C312" s="57">
        <v>351.91</v>
      </c>
      <c r="D312" s="4" t="s">
        <v>1423</v>
      </c>
      <c r="E312" s="104"/>
    </row>
    <row r="313" spans="1:5" x14ac:dyDescent="0.25">
      <c r="A313" s="8">
        <v>41566</v>
      </c>
      <c r="B313" s="4">
        <v>59276</v>
      </c>
      <c r="C313" s="57">
        <v>219.56</v>
      </c>
      <c r="D313" s="4" t="s">
        <v>1423</v>
      </c>
      <c r="E313" s="104"/>
    </row>
    <row r="314" spans="1:5" x14ac:dyDescent="0.25">
      <c r="A314" s="8">
        <v>41566</v>
      </c>
      <c r="B314" s="4">
        <v>59277</v>
      </c>
      <c r="C314" s="57">
        <v>309.63</v>
      </c>
      <c r="D314" s="4" t="s">
        <v>1423</v>
      </c>
      <c r="E314" s="104"/>
    </row>
    <row r="315" spans="1:5" x14ac:dyDescent="0.25">
      <c r="A315" s="8">
        <v>41566</v>
      </c>
      <c r="B315" s="4">
        <v>59278</v>
      </c>
      <c r="C315" s="57">
        <v>369.27</v>
      </c>
      <c r="D315" s="4" t="s">
        <v>1423</v>
      </c>
      <c r="E315" s="104"/>
    </row>
    <row r="316" spans="1:5" x14ac:dyDescent="0.25">
      <c r="A316" s="8">
        <v>41566</v>
      </c>
      <c r="B316" s="4">
        <v>59279</v>
      </c>
      <c r="C316" s="57">
        <v>319.87</v>
      </c>
      <c r="D316" s="4" t="s">
        <v>1423</v>
      </c>
      <c r="E316" s="104"/>
    </row>
    <row r="317" spans="1:5" x14ac:dyDescent="0.25">
      <c r="A317" s="8">
        <v>41566</v>
      </c>
      <c r="B317" s="4">
        <v>59280</v>
      </c>
      <c r="C317" s="57">
        <v>65.010000000000005</v>
      </c>
      <c r="D317" s="4" t="s">
        <v>1423</v>
      </c>
      <c r="E317" s="104"/>
    </row>
    <row r="318" spans="1:5" x14ac:dyDescent="0.25">
      <c r="A318" s="8">
        <v>41566</v>
      </c>
      <c r="B318" s="4">
        <v>59281</v>
      </c>
      <c r="C318" s="57">
        <v>188.54</v>
      </c>
      <c r="D318" s="4" t="s">
        <v>1423</v>
      </c>
      <c r="E318" s="104"/>
    </row>
    <row r="319" spans="1:5" x14ac:dyDescent="0.25">
      <c r="A319" s="8">
        <v>41566</v>
      </c>
      <c r="B319" s="4">
        <v>59282</v>
      </c>
      <c r="C319" s="57">
        <v>205.69</v>
      </c>
      <c r="D319" s="4" t="s">
        <v>1423</v>
      </c>
      <c r="E319" s="104"/>
    </row>
    <row r="320" spans="1:5" x14ac:dyDescent="0.25">
      <c r="A320" s="8">
        <v>41566</v>
      </c>
      <c r="B320" s="4">
        <v>59283</v>
      </c>
      <c r="C320" s="57">
        <v>301.66000000000003</v>
      </c>
      <c r="D320" s="4" t="s">
        <v>1423</v>
      </c>
      <c r="E320" s="104"/>
    </row>
    <row r="321" spans="1:5" x14ac:dyDescent="0.25">
      <c r="A321" s="8">
        <v>41566</v>
      </c>
      <c r="B321" s="4">
        <v>59284</v>
      </c>
      <c r="C321" s="57">
        <v>355.56</v>
      </c>
      <c r="D321" s="4" t="s">
        <v>1423</v>
      </c>
      <c r="E321" s="104"/>
    </row>
    <row r="322" spans="1:5" x14ac:dyDescent="0.25">
      <c r="A322" s="8">
        <v>41566</v>
      </c>
      <c r="B322" s="4">
        <v>59285</v>
      </c>
      <c r="C322" s="57">
        <v>289.93</v>
      </c>
      <c r="D322" s="4" t="s">
        <v>1423</v>
      </c>
      <c r="E322" s="104"/>
    </row>
    <row r="323" spans="1:5" x14ac:dyDescent="0.25">
      <c r="A323" s="8">
        <v>41567</v>
      </c>
      <c r="B323" s="4">
        <v>59286</v>
      </c>
      <c r="C323" s="57">
        <v>344.92</v>
      </c>
      <c r="D323" s="4" t="s">
        <v>1423</v>
      </c>
      <c r="E323" s="104"/>
    </row>
    <row r="324" spans="1:5" x14ac:dyDescent="0.25">
      <c r="A324" s="8">
        <v>41567</v>
      </c>
      <c r="B324" s="4">
        <v>59287</v>
      </c>
      <c r="C324" s="57">
        <v>180.67</v>
      </c>
      <c r="D324" s="4" t="s">
        <v>1423</v>
      </c>
      <c r="E324" s="104"/>
    </row>
    <row r="325" spans="1:5" x14ac:dyDescent="0.25">
      <c r="A325" s="8">
        <v>41567</v>
      </c>
      <c r="B325" s="4">
        <v>59288</v>
      </c>
      <c r="C325" s="57">
        <v>189.6</v>
      </c>
      <c r="D325" s="4" t="s">
        <v>1423</v>
      </c>
      <c r="E325" s="104"/>
    </row>
    <row r="326" spans="1:5" x14ac:dyDescent="0.25">
      <c r="A326" s="8">
        <v>41567</v>
      </c>
      <c r="B326" s="4">
        <v>59289</v>
      </c>
      <c r="C326" s="57">
        <v>172.01</v>
      </c>
      <c r="D326" s="4" t="s">
        <v>1423</v>
      </c>
      <c r="E326" s="104"/>
    </row>
    <row r="327" spans="1:5" x14ac:dyDescent="0.25">
      <c r="A327" s="8">
        <v>41567</v>
      </c>
      <c r="B327" s="4">
        <v>59290</v>
      </c>
      <c r="C327" s="57">
        <v>115.57</v>
      </c>
      <c r="D327" s="4" t="s">
        <v>1423</v>
      </c>
      <c r="E327" s="104"/>
    </row>
    <row r="328" spans="1:5" x14ac:dyDescent="0.25">
      <c r="A328" s="8">
        <v>41567</v>
      </c>
      <c r="B328" s="4">
        <v>59291</v>
      </c>
      <c r="C328" s="57">
        <v>369.38</v>
      </c>
      <c r="D328" s="4" t="s">
        <v>1423</v>
      </c>
      <c r="E328" s="104"/>
    </row>
    <row r="329" spans="1:5" x14ac:dyDescent="0.25">
      <c r="A329" s="8">
        <v>41567</v>
      </c>
      <c r="B329" s="4">
        <v>59292</v>
      </c>
      <c r="C329" s="57">
        <v>311.51</v>
      </c>
      <c r="D329" s="4" t="s">
        <v>1423</v>
      </c>
      <c r="E329" s="104"/>
    </row>
    <row r="330" spans="1:5" x14ac:dyDescent="0.25">
      <c r="A330" s="8">
        <v>41567</v>
      </c>
      <c r="B330" s="4">
        <v>59293</v>
      </c>
      <c r="C330" s="57">
        <v>130.91</v>
      </c>
      <c r="D330" s="4" t="s">
        <v>1423</v>
      </c>
      <c r="E330" s="104"/>
    </row>
    <row r="331" spans="1:5" x14ac:dyDescent="0.25">
      <c r="A331" s="8">
        <v>41567</v>
      </c>
      <c r="B331" s="4">
        <v>59294</v>
      </c>
      <c r="C331" s="57">
        <v>334.71</v>
      </c>
      <c r="D331" s="4" t="s">
        <v>1423</v>
      </c>
      <c r="E331" s="104"/>
    </row>
    <row r="332" spans="1:5" x14ac:dyDescent="0.25">
      <c r="A332" s="8">
        <v>41567</v>
      </c>
      <c r="B332" s="4">
        <v>59295</v>
      </c>
      <c r="C332" s="57">
        <v>110.29</v>
      </c>
      <c r="D332" s="4" t="s">
        <v>1423</v>
      </c>
      <c r="E332" s="104"/>
    </row>
    <row r="333" spans="1:5" x14ac:dyDescent="0.25">
      <c r="A333" s="8">
        <v>41567</v>
      </c>
      <c r="B333" s="4">
        <v>59296</v>
      </c>
      <c r="C333" s="57">
        <v>160.38999999999999</v>
      </c>
      <c r="D333" s="4" t="s">
        <v>1423</v>
      </c>
      <c r="E333" s="104"/>
    </row>
    <row r="334" spans="1:5" x14ac:dyDescent="0.25">
      <c r="A334" s="8">
        <v>41567</v>
      </c>
      <c r="B334" s="4">
        <v>59297</v>
      </c>
      <c r="C334" s="57">
        <v>77.59</v>
      </c>
      <c r="D334" s="4" t="s">
        <v>1423</v>
      </c>
      <c r="E334" s="104"/>
    </row>
    <row r="335" spans="1:5" x14ac:dyDescent="0.25">
      <c r="A335" s="8">
        <v>41567</v>
      </c>
      <c r="B335" s="4">
        <v>59298</v>
      </c>
      <c r="C335" s="57">
        <v>234.43</v>
      </c>
      <c r="D335" s="4" t="s">
        <v>1423</v>
      </c>
      <c r="E335" s="104"/>
    </row>
    <row r="336" spans="1:5" x14ac:dyDescent="0.25">
      <c r="A336" s="8">
        <v>41568</v>
      </c>
      <c r="B336" s="4">
        <v>59299</v>
      </c>
      <c r="C336" s="57">
        <v>296.64999999999998</v>
      </c>
      <c r="D336" s="4" t="s">
        <v>1423</v>
      </c>
      <c r="E336" s="104"/>
    </row>
    <row r="337" spans="1:5" x14ac:dyDescent="0.25">
      <c r="A337" s="8">
        <v>41568</v>
      </c>
      <c r="B337" s="4">
        <v>59300</v>
      </c>
      <c r="C337" s="57">
        <v>122.66</v>
      </c>
      <c r="D337" s="4" t="s">
        <v>1423</v>
      </c>
      <c r="E337" s="104"/>
    </row>
    <row r="338" spans="1:5" x14ac:dyDescent="0.25">
      <c r="A338" s="8">
        <v>41568</v>
      </c>
      <c r="B338" s="4">
        <v>59301</v>
      </c>
      <c r="C338" s="57">
        <v>139.07</v>
      </c>
      <c r="D338" s="4" t="s">
        <v>1423</v>
      </c>
      <c r="E338" s="104"/>
    </row>
    <row r="339" spans="1:5" x14ac:dyDescent="0.25">
      <c r="A339" s="8">
        <v>41568</v>
      </c>
      <c r="B339" s="4">
        <v>59302</v>
      </c>
      <c r="C339" s="57">
        <v>266.02999999999997</v>
      </c>
      <c r="D339" s="4" t="s">
        <v>1423</v>
      </c>
      <c r="E339" s="104"/>
    </row>
    <row r="340" spans="1:5" x14ac:dyDescent="0.25">
      <c r="A340" s="8">
        <v>41568</v>
      </c>
      <c r="B340" s="4">
        <v>59303</v>
      </c>
      <c r="C340" s="57">
        <v>217.73</v>
      </c>
      <c r="D340" s="4" t="s">
        <v>1423</v>
      </c>
      <c r="E340" s="104"/>
    </row>
    <row r="341" spans="1:5" x14ac:dyDescent="0.25">
      <c r="A341" s="8">
        <v>41568</v>
      </c>
      <c r="B341" s="4">
        <v>59304</v>
      </c>
      <c r="C341" s="57">
        <v>85.16</v>
      </c>
      <c r="D341" s="4" t="s">
        <v>1423</v>
      </c>
      <c r="E341" s="104"/>
    </row>
    <row r="342" spans="1:5" x14ac:dyDescent="0.25">
      <c r="A342" s="8">
        <v>41568</v>
      </c>
      <c r="B342" s="4">
        <v>59305</v>
      </c>
      <c r="C342" s="57">
        <v>173.62</v>
      </c>
      <c r="D342" s="4" t="s">
        <v>1423</v>
      </c>
      <c r="E342" s="104"/>
    </row>
    <row r="343" spans="1:5" x14ac:dyDescent="0.25">
      <c r="A343" s="8">
        <v>41568</v>
      </c>
      <c r="B343" s="4">
        <v>59306</v>
      </c>
      <c r="C343" s="57">
        <v>60.2</v>
      </c>
      <c r="D343" s="4" t="s">
        <v>1423</v>
      </c>
      <c r="E343" s="104"/>
    </row>
    <row r="344" spans="1:5" x14ac:dyDescent="0.25">
      <c r="A344" s="8">
        <v>41568</v>
      </c>
      <c r="B344" s="4">
        <v>59307</v>
      </c>
      <c r="C344" s="57">
        <v>358.84</v>
      </c>
      <c r="D344" s="4" t="s">
        <v>1423</v>
      </c>
      <c r="E344" s="104"/>
    </row>
    <row r="345" spans="1:5" x14ac:dyDescent="0.25">
      <c r="A345" s="8">
        <v>41568</v>
      </c>
      <c r="B345" s="4">
        <v>59308</v>
      </c>
      <c r="C345" s="57">
        <v>362.58</v>
      </c>
      <c r="D345" s="4" t="s">
        <v>1423</v>
      </c>
      <c r="E345" s="104"/>
    </row>
    <row r="346" spans="1:5" x14ac:dyDescent="0.25">
      <c r="A346" s="8">
        <v>41568</v>
      </c>
      <c r="B346" s="4">
        <v>59309</v>
      </c>
      <c r="C346" s="57">
        <v>104.01</v>
      </c>
      <c r="D346" s="4" t="s">
        <v>1423</v>
      </c>
      <c r="E346" s="104"/>
    </row>
    <row r="347" spans="1:5" x14ac:dyDescent="0.25">
      <c r="A347" s="8">
        <v>41568</v>
      </c>
      <c r="B347" s="4">
        <v>59310</v>
      </c>
      <c r="C347" s="57">
        <v>342.57</v>
      </c>
      <c r="D347" s="4" t="s">
        <v>1423</v>
      </c>
      <c r="E347" s="104"/>
    </row>
    <row r="348" spans="1:5" x14ac:dyDescent="0.25">
      <c r="A348" s="8">
        <v>41568</v>
      </c>
      <c r="B348" s="4">
        <v>59311</v>
      </c>
      <c r="C348" s="57">
        <v>155.13</v>
      </c>
      <c r="D348" s="4" t="s">
        <v>1423</v>
      </c>
      <c r="E348" s="104"/>
    </row>
    <row r="349" spans="1:5" x14ac:dyDescent="0.25">
      <c r="A349" s="8">
        <v>41569</v>
      </c>
      <c r="B349" s="4">
        <v>59312</v>
      </c>
      <c r="C349" s="57">
        <v>218.18</v>
      </c>
      <c r="D349" s="4" t="s">
        <v>1423</v>
      </c>
      <c r="E349" s="104"/>
    </row>
    <row r="350" spans="1:5" x14ac:dyDescent="0.25">
      <c r="A350" s="8">
        <v>41569</v>
      </c>
      <c r="B350" s="4">
        <v>59313</v>
      </c>
      <c r="C350" s="57">
        <v>248.48</v>
      </c>
      <c r="D350" s="4" t="s">
        <v>1423</v>
      </c>
      <c r="E350" s="104"/>
    </row>
    <row r="351" spans="1:5" x14ac:dyDescent="0.25">
      <c r="A351" s="8">
        <v>41569</v>
      </c>
      <c r="B351" s="4">
        <v>59314</v>
      </c>
      <c r="C351" s="57">
        <v>207.69</v>
      </c>
      <c r="D351" s="4" t="s">
        <v>1423</v>
      </c>
      <c r="E351" s="104"/>
    </row>
    <row r="352" spans="1:5" x14ac:dyDescent="0.25">
      <c r="A352" s="8">
        <v>41569</v>
      </c>
      <c r="B352" s="4">
        <v>59315</v>
      </c>
      <c r="C352" s="57">
        <v>147.53</v>
      </c>
      <c r="D352" s="4" t="s">
        <v>1423</v>
      </c>
      <c r="E352" s="104"/>
    </row>
    <row r="353" spans="1:5" x14ac:dyDescent="0.25">
      <c r="A353" s="8">
        <v>41569</v>
      </c>
      <c r="B353" s="4">
        <v>59316</v>
      </c>
      <c r="C353" s="57">
        <v>356.08</v>
      </c>
      <c r="D353" s="4" t="s">
        <v>1423</v>
      </c>
      <c r="E353" s="104"/>
    </row>
    <row r="354" spans="1:5" x14ac:dyDescent="0.25">
      <c r="A354" s="8">
        <v>41569</v>
      </c>
      <c r="B354" s="4">
        <v>59317</v>
      </c>
      <c r="C354" s="57">
        <v>276.2</v>
      </c>
      <c r="D354" s="4" t="s">
        <v>1423</v>
      </c>
      <c r="E354" s="104"/>
    </row>
    <row r="355" spans="1:5" x14ac:dyDescent="0.25">
      <c r="A355" s="8">
        <v>41569</v>
      </c>
      <c r="B355" s="4">
        <v>59318</v>
      </c>
      <c r="C355" s="57">
        <v>350</v>
      </c>
      <c r="D355" s="4" t="s">
        <v>1423</v>
      </c>
      <c r="E355" s="104"/>
    </row>
    <row r="356" spans="1:5" x14ac:dyDescent="0.25">
      <c r="A356" s="8">
        <v>41569</v>
      </c>
      <c r="B356" s="4">
        <v>59319</v>
      </c>
      <c r="C356" s="57">
        <v>232.3</v>
      </c>
      <c r="D356" s="4" t="s">
        <v>1423</v>
      </c>
      <c r="E356" s="104"/>
    </row>
    <row r="357" spans="1:5" x14ac:dyDescent="0.25">
      <c r="A357" s="8">
        <v>41569</v>
      </c>
      <c r="B357" s="4">
        <v>59320</v>
      </c>
      <c r="C357" s="57">
        <v>364.81</v>
      </c>
      <c r="D357" s="4" t="s">
        <v>1423</v>
      </c>
      <c r="E357" s="104"/>
    </row>
    <row r="358" spans="1:5" x14ac:dyDescent="0.25">
      <c r="A358" s="8">
        <v>41569</v>
      </c>
      <c r="B358" s="4">
        <v>59321</v>
      </c>
      <c r="C358" s="57">
        <v>307.27</v>
      </c>
      <c r="D358" s="4" t="s">
        <v>1423</v>
      </c>
      <c r="E358" s="104"/>
    </row>
    <row r="359" spans="1:5" x14ac:dyDescent="0.25">
      <c r="A359" s="8">
        <v>41569</v>
      </c>
      <c r="B359" s="4">
        <v>59322</v>
      </c>
      <c r="C359" s="57">
        <v>377.42</v>
      </c>
      <c r="D359" s="4" t="s">
        <v>1423</v>
      </c>
      <c r="E359" s="104"/>
    </row>
    <row r="360" spans="1:5" x14ac:dyDescent="0.25">
      <c r="A360" s="8">
        <v>41569</v>
      </c>
      <c r="B360" s="4">
        <v>59323</v>
      </c>
      <c r="C360" s="57">
        <v>218.34</v>
      </c>
      <c r="D360" s="4" t="s">
        <v>1423</v>
      </c>
      <c r="E360" s="104"/>
    </row>
    <row r="361" spans="1:5" x14ac:dyDescent="0.25">
      <c r="A361" s="8">
        <v>41569</v>
      </c>
      <c r="B361" s="4">
        <v>59324</v>
      </c>
      <c r="C361" s="57">
        <v>296.11</v>
      </c>
      <c r="D361" s="4" t="s">
        <v>1423</v>
      </c>
      <c r="E361" s="104"/>
    </row>
    <row r="362" spans="1:5" x14ac:dyDescent="0.25">
      <c r="A362" s="8">
        <v>41570</v>
      </c>
      <c r="B362" s="4">
        <v>59325</v>
      </c>
      <c r="C362" s="57">
        <v>289.73</v>
      </c>
      <c r="D362" s="4" t="s">
        <v>1423</v>
      </c>
      <c r="E362" s="104"/>
    </row>
    <row r="363" spans="1:5" x14ac:dyDescent="0.25">
      <c r="A363" s="8">
        <v>41570</v>
      </c>
      <c r="B363" s="4">
        <v>59326</v>
      </c>
      <c r="C363" s="57">
        <v>45.43</v>
      </c>
      <c r="D363" s="4" t="s">
        <v>1423</v>
      </c>
      <c r="E363" s="104"/>
    </row>
    <row r="364" spans="1:5" x14ac:dyDescent="0.25">
      <c r="A364" s="8">
        <v>41570</v>
      </c>
      <c r="B364" s="4">
        <v>59327</v>
      </c>
      <c r="C364" s="57">
        <v>288.60000000000002</v>
      </c>
      <c r="D364" s="4" t="s">
        <v>1423</v>
      </c>
      <c r="E364" s="104"/>
    </row>
    <row r="365" spans="1:5" x14ac:dyDescent="0.25">
      <c r="A365" s="8">
        <v>41570</v>
      </c>
      <c r="B365" s="4">
        <v>59328</v>
      </c>
      <c r="C365" s="57">
        <v>273.41000000000003</v>
      </c>
      <c r="D365" s="4" t="s">
        <v>1423</v>
      </c>
      <c r="E365" s="104"/>
    </row>
    <row r="366" spans="1:5" x14ac:dyDescent="0.25">
      <c r="A366" s="8">
        <v>41570</v>
      </c>
      <c r="B366" s="4">
        <v>59329</v>
      </c>
      <c r="C366" s="57">
        <v>282.18</v>
      </c>
      <c r="D366" s="4" t="s">
        <v>1423</v>
      </c>
      <c r="E366" s="104"/>
    </row>
    <row r="367" spans="1:5" x14ac:dyDescent="0.25">
      <c r="A367" s="8">
        <v>41570</v>
      </c>
      <c r="B367" s="4">
        <v>59330</v>
      </c>
      <c r="C367" s="57">
        <v>278.48</v>
      </c>
      <c r="D367" s="4" t="s">
        <v>1423</v>
      </c>
      <c r="E367" s="104"/>
    </row>
    <row r="368" spans="1:5" x14ac:dyDescent="0.25">
      <c r="A368" s="8">
        <v>41570</v>
      </c>
      <c r="B368" s="4">
        <v>59331</v>
      </c>
      <c r="C368" s="57">
        <v>381.07</v>
      </c>
      <c r="D368" s="4" t="s">
        <v>1423</v>
      </c>
      <c r="E368" s="104"/>
    </row>
    <row r="369" spans="1:5" x14ac:dyDescent="0.25">
      <c r="A369" s="8">
        <v>41570</v>
      </c>
      <c r="B369" s="4">
        <v>59332</v>
      </c>
      <c r="C369" s="57">
        <v>332.98</v>
      </c>
      <c r="D369" s="4" t="s">
        <v>1423</v>
      </c>
      <c r="E369" s="104"/>
    </row>
    <row r="370" spans="1:5" x14ac:dyDescent="0.25">
      <c r="A370" s="8">
        <v>41570</v>
      </c>
      <c r="B370" s="4">
        <v>59333</v>
      </c>
      <c r="C370" s="57">
        <v>142.49</v>
      </c>
      <c r="D370" s="4" t="s">
        <v>1423</v>
      </c>
      <c r="E370" s="104"/>
    </row>
    <row r="371" spans="1:5" x14ac:dyDescent="0.25">
      <c r="A371" s="8">
        <v>41570</v>
      </c>
      <c r="B371" s="4">
        <v>59334</v>
      </c>
      <c r="C371" s="57">
        <v>85.06</v>
      </c>
      <c r="D371" s="4" t="s">
        <v>1423</v>
      </c>
      <c r="E371" s="104"/>
    </row>
    <row r="372" spans="1:5" x14ac:dyDescent="0.25">
      <c r="A372" s="8">
        <v>41570</v>
      </c>
      <c r="B372" s="4">
        <v>59335</v>
      </c>
      <c r="C372" s="57">
        <v>203.88</v>
      </c>
      <c r="D372" s="4" t="s">
        <v>1423</v>
      </c>
      <c r="E372" s="104"/>
    </row>
    <row r="373" spans="1:5" x14ac:dyDescent="0.25">
      <c r="A373" s="8">
        <v>41570</v>
      </c>
      <c r="B373" s="4">
        <v>59336</v>
      </c>
      <c r="C373" s="57">
        <v>371.79</v>
      </c>
      <c r="D373" s="4" t="s">
        <v>1423</v>
      </c>
      <c r="E373" s="104"/>
    </row>
    <row r="374" spans="1:5" x14ac:dyDescent="0.25">
      <c r="A374" s="8">
        <v>41570</v>
      </c>
      <c r="B374" s="4">
        <v>59337</v>
      </c>
      <c r="C374" s="57">
        <v>266.83999999999997</v>
      </c>
      <c r="D374" s="4" t="s">
        <v>1423</v>
      </c>
      <c r="E374" s="104"/>
    </row>
    <row r="375" spans="1:5" x14ac:dyDescent="0.25">
      <c r="A375" s="8">
        <v>41570</v>
      </c>
      <c r="B375" s="4">
        <v>59338</v>
      </c>
      <c r="C375" s="57">
        <v>85.41</v>
      </c>
      <c r="D375" s="4" t="s">
        <v>1423</v>
      </c>
      <c r="E375" s="104"/>
    </row>
    <row r="376" spans="1:5" x14ac:dyDescent="0.25">
      <c r="A376" s="8">
        <v>41571</v>
      </c>
      <c r="B376" s="4">
        <v>59339</v>
      </c>
      <c r="C376" s="57">
        <v>37.520000000000003</v>
      </c>
      <c r="D376" s="4" t="s">
        <v>1423</v>
      </c>
      <c r="E376" s="104"/>
    </row>
    <row r="377" spans="1:5" x14ac:dyDescent="0.25">
      <c r="A377" s="8">
        <v>41571</v>
      </c>
      <c r="B377" s="4">
        <v>59340</v>
      </c>
      <c r="C377" s="57">
        <v>278.62</v>
      </c>
      <c r="D377" s="4" t="s">
        <v>1423</v>
      </c>
      <c r="E377" s="104"/>
    </row>
    <row r="378" spans="1:5" x14ac:dyDescent="0.25">
      <c r="A378" s="8">
        <v>41571</v>
      </c>
      <c r="B378" s="4">
        <v>59341</v>
      </c>
      <c r="C378" s="57">
        <v>314.97000000000003</v>
      </c>
      <c r="D378" s="4" t="s">
        <v>1423</v>
      </c>
      <c r="E378" s="104"/>
    </row>
    <row r="379" spans="1:5" x14ac:dyDescent="0.25">
      <c r="A379" s="8">
        <v>41571</v>
      </c>
      <c r="B379" s="4">
        <v>59342</v>
      </c>
      <c r="C379" s="57">
        <v>74.430000000000007</v>
      </c>
      <c r="D379" s="4" t="s">
        <v>1423</v>
      </c>
      <c r="E379" s="104"/>
    </row>
    <row r="380" spans="1:5" x14ac:dyDescent="0.25">
      <c r="A380" s="8">
        <v>41571</v>
      </c>
      <c r="B380" s="4">
        <v>59343</v>
      </c>
      <c r="C380" s="57">
        <v>190.74</v>
      </c>
      <c r="D380" s="4" t="s">
        <v>1423</v>
      </c>
      <c r="E380" s="104"/>
    </row>
    <row r="381" spans="1:5" x14ac:dyDescent="0.25">
      <c r="A381" s="8">
        <v>41571</v>
      </c>
      <c r="B381" s="4">
        <v>59344</v>
      </c>
      <c r="C381" s="57">
        <v>263.36</v>
      </c>
      <c r="D381" s="4" t="s">
        <v>1423</v>
      </c>
      <c r="E381" s="104"/>
    </row>
    <row r="382" spans="1:5" x14ac:dyDescent="0.25">
      <c r="A382" s="8">
        <v>41571</v>
      </c>
      <c r="B382" s="4">
        <v>59345</v>
      </c>
      <c r="C382" s="57">
        <v>66.19</v>
      </c>
      <c r="D382" s="4" t="s">
        <v>1423</v>
      </c>
      <c r="E382" s="104"/>
    </row>
    <row r="383" spans="1:5" x14ac:dyDescent="0.25">
      <c r="A383" s="8">
        <v>41571</v>
      </c>
      <c r="B383" s="4">
        <v>59346</v>
      </c>
      <c r="C383" s="57">
        <v>233.47</v>
      </c>
      <c r="D383" s="4" t="s">
        <v>1423</v>
      </c>
      <c r="E383" s="104"/>
    </row>
    <row r="384" spans="1:5" x14ac:dyDescent="0.25">
      <c r="A384" s="8">
        <v>41571</v>
      </c>
      <c r="B384" s="4">
        <v>59347</v>
      </c>
      <c r="C384" s="57">
        <v>298.95999999999998</v>
      </c>
      <c r="D384" s="4" t="s">
        <v>1423</v>
      </c>
      <c r="E384" s="104"/>
    </row>
    <row r="385" spans="1:5" x14ac:dyDescent="0.25">
      <c r="A385" s="8">
        <v>41571</v>
      </c>
      <c r="B385" s="4">
        <v>59348</v>
      </c>
      <c r="C385" s="57">
        <v>250.18</v>
      </c>
      <c r="D385" s="4" t="s">
        <v>1423</v>
      </c>
      <c r="E385" s="104"/>
    </row>
    <row r="386" spans="1:5" x14ac:dyDescent="0.25">
      <c r="A386" s="8">
        <v>41571</v>
      </c>
      <c r="B386" s="4">
        <v>59349</v>
      </c>
      <c r="C386" s="57">
        <v>241.52</v>
      </c>
      <c r="D386" s="4" t="s">
        <v>1423</v>
      </c>
      <c r="E386" s="104"/>
    </row>
    <row r="387" spans="1:5" x14ac:dyDescent="0.25">
      <c r="A387" s="8">
        <v>41571</v>
      </c>
      <c r="B387" s="4">
        <v>59350</v>
      </c>
      <c r="C387" s="57">
        <v>359.59</v>
      </c>
      <c r="D387" s="4" t="s">
        <v>1423</v>
      </c>
      <c r="E387" s="104"/>
    </row>
    <row r="388" spans="1:5" x14ac:dyDescent="0.25">
      <c r="A388" s="8">
        <v>41571</v>
      </c>
      <c r="B388" s="4">
        <v>59351</v>
      </c>
      <c r="C388" s="57">
        <v>211.22</v>
      </c>
      <c r="D388" s="4" t="s">
        <v>1423</v>
      </c>
      <c r="E388" s="104"/>
    </row>
    <row r="389" spans="1:5" x14ac:dyDescent="0.25">
      <c r="A389" s="8">
        <v>41571</v>
      </c>
      <c r="B389" s="4">
        <v>59352</v>
      </c>
      <c r="C389" s="57">
        <v>148.49</v>
      </c>
      <c r="D389" s="4" t="s">
        <v>1423</v>
      </c>
      <c r="E389" s="104"/>
    </row>
    <row r="390" spans="1:5" x14ac:dyDescent="0.25">
      <c r="A390" s="8">
        <v>41571</v>
      </c>
      <c r="B390" s="4">
        <v>59353</v>
      </c>
      <c r="C390" s="57">
        <v>260.04000000000002</v>
      </c>
      <c r="D390" s="4" t="s">
        <v>1423</v>
      </c>
      <c r="E390" s="104"/>
    </row>
    <row r="391" spans="1:5" x14ac:dyDescent="0.25">
      <c r="A391" s="8">
        <v>41571</v>
      </c>
      <c r="B391" s="4">
        <v>59354</v>
      </c>
      <c r="C391" s="57">
        <v>330.04</v>
      </c>
      <c r="D391" s="4" t="s">
        <v>1423</v>
      </c>
      <c r="E391" s="104"/>
    </row>
    <row r="392" spans="1:5" x14ac:dyDescent="0.25">
      <c r="A392" s="8">
        <v>41571</v>
      </c>
      <c r="B392" s="4">
        <v>59355</v>
      </c>
      <c r="C392" s="57">
        <v>68.209999999999994</v>
      </c>
      <c r="D392" s="4" t="s">
        <v>1423</v>
      </c>
      <c r="E392" s="104"/>
    </row>
    <row r="393" spans="1:5" x14ac:dyDescent="0.25">
      <c r="A393" s="8">
        <v>41571</v>
      </c>
      <c r="B393" s="4">
        <v>59356</v>
      </c>
      <c r="C393" s="57">
        <v>263.42</v>
      </c>
      <c r="D393" s="4" t="s">
        <v>1423</v>
      </c>
      <c r="E393" s="104"/>
    </row>
    <row r="394" spans="1:5" x14ac:dyDescent="0.25">
      <c r="A394" s="8">
        <v>41571</v>
      </c>
      <c r="B394" s="4">
        <v>59357</v>
      </c>
      <c r="C394" s="57">
        <v>377.89</v>
      </c>
      <c r="D394" s="4" t="s">
        <v>1423</v>
      </c>
      <c r="E394" s="104"/>
    </row>
    <row r="395" spans="1:5" x14ac:dyDescent="0.25">
      <c r="A395" s="8">
        <v>41571</v>
      </c>
      <c r="B395" s="4">
        <v>59358</v>
      </c>
      <c r="C395" s="57">
        <v>288.32</v>
      </c>
      <c r="D395" s="4" t="s">
        <v>1423</v>
      </c>
      <c r="E395" s="104"/>
    </row>
    <row r="396" spans="1:5" x14ac:dyDescent="0.25">
      <c r="A396" s="8">
        <v>41571</v>
      </c>
      <c r="B396" s="4">
        <v>59359</v>
      </c>
      <c r="C396" s="57">
        <v>291.08</v>
      </c>
      <c r="D396" s="4" t="s">
        <v>1423</v>
      </c>
      <c r="E396" s="104"/>
    </row>
    <row r="397" spans="1:5" x14ac:dyDescent="0.25">
      <c r="A397" s="8">
        <v>41572</v>
      </c>
      <c r="B397" s="4">
        <v>59360</v>
      </c>
      <c r="C397" s="57">
        <v>177.81</v>
      </c>
      <c r="D397" s="4" t="s">
        <v>1423</v>
      </c>
      <c r="E397" s="104"/>
    </row>
    <row r="398" spans="1:5" x14ac:dyDescent="0.25">
      <c r="A398" s="8">
        <v>41572</v>
      </c>
      <c r="B398" s="4">
        <v>59361</v>
      </c>
      <c r="C398" s="57">
        <v>77</v>
      </c>
      <c r="D398" s="4" t="s">
        <v>1423</v>
      </c>
      <c r="E398" s="104"/>
    </row>
    <row r="399" spans="1:5" x14ac:dyDescent="0.25">
      <c r="A399" s="8">
        <v>41572</v>
      </c>
      <c r="B399" s="4">
        <v>59362</v>
      </c>
      <c r="C399" s="57">
        <v>111.64</v>
      </c>
      <c r="D399" s="4" t="s">
        <v>1423</v>
      </c>
      <c r="E399" s="104"/>
    </row>
    <row r="400" spans="1:5" x14ac:dyDescent="0.25">
      <c r="A400" s="8">
        <v>41572</v>
      </c>
      <c r="B400" s="4">
        <v>59363</v>
      </c>
      <c r="C400" s="57">
        <v>278.05</v>
      </c>
      <c r="D400" s="4" t="s">
        <v>1423</v>
      </c>
      <c r="E400" s="104"/>
    </row>
    <row r="401" spans="1:5" x14ac:dyDescent="0.25">
      <c r="A401" s="8">
        <v>41572</v>
      </c>
      <c r="B401" s="4">
        <v>59364</v>
      </c>
      <c r="C401" s="57">
        <v>276.39999999999998</v>
      </c>
      <c r="D401" s="4" t="s">
        <v>1423</v>
      </c>
      <c r="E401" s="104"/>
    </row>
    <row r="402" spans="1:5" x14ac:dyDescent="0.25">
      <c r="A402" s="8">
        <v>41572</v>
      </c>
      <c r="B402" s="4">
        <v>59365</v>
      </c>
      <c r="C402" s="57">
        <v>307.06</v>
      </c>
      <c r="D402" s="4" t="s">
        <v>1423</v>
      </c>
      <c r="E402" s="104"/>
    </row>
    <row r="403" spans="1:5" x14ac:dyDescent="0.25">
      <c r="A403" s="8">
        <v>41572</v>
      </c>
      <c r="B403" s="4">
        <v>59366</v>
      </c>
      <c r="C403" s="57">
        <v>73.959999999999994</v>
      </c>
      <c r="D403" s="4" t="s">
        <v>1423</v>
      </c>
      <c r="E403" s="104"/>
    </row>
    <row r="404" spans="1:5" x14ac:dyDescent="0.25">
      <c r="A404" s="8">
        <v>41572</v>
      </c>
      <c r="B404" s="4">
        <v>59367</v>
      </c>
      <c r="C404" s="57">
        <v>316.89</v>
      </c>
      <c r="D404" s="4" t="s">
        <v>1423</v>
      </c>
      <c r="E404" s="104"/>
    </row>
    <row r="405" spans="1:5" x14ac:dyDescent="0.25">
      <c r="A405" s="8">
        <v>41572</v>
      </c>
      <c r="B405" s="4">
        <v>59368</v>
      </c>
      <c r="C405" s="57">
        <v>224.97</v>
      </c>
      <c r="D405" s="4" t="s">
        <v>1423</v>
      </c>
      <c r="E405" s="104"/>
    </row>
    <row r="406" spans="1:5" x14ac:dyDescent="0.25">
      <c r="A406" s="8">
        <v>41572</v>
      </c>
      <c r="B406" s="4">
        <v>59369</v>
      </c>
      <c r="C406" s="57">
        <v>189.31</v>
      </c>
      <c r="D406" s="4" t="s">
        <v>1423</v>
      </c>
      <c r="E406" s="104"/>
    </row>
    <row r="407" spans="1:5" x14ac:dyDescent="0.25">
      <c r="A407" s="8">
        <v>41572</v>
      </c>
      <c r="B407" s="4">
        <v>59370</v>
      </c>
      <c r="C407" s="57">
        <v>113.93</v>
      </c>
      <c r="D407" s="4" t="s">
        <v>1423</v>
      </c>
      <c r="E407" s="104"/>
    </row>
    <row r="408" spans="1:5" x14ac:dyDescent="0.25">
      <c r="A408" s="8">
        <v>41572</v>
      </c>
      <c r="B408" s="4">
        <v>59371</v>
      </c>
      <c r="C408" s="57">
        <v>213.9</v>
      </c>
      <c r="D408" s="4" t="s">
        <v>1423</v>
      </c>
      <c r="E408" s="104"/>
    </row>
    <row r="409" spans="1:5" x14ac:dyDescent="0.25">
      <c r="A409" s="8">
        <v>41572</v>
      </c>
      <c r="B409" s="4">
        <v>59372</v>
      </c>
      <c r="C409" s="57">
        <v>257.81</v>
      </c>
      <c r="D409" s="4" t="s">
        <v>1423</v>
      </c>
      <c r="E409" s="104"/>
    </row>
    <row r="410" spans="1:5" x14ac:dyDescent="0.25">
      <c r="A410" s="8">
        <v>41572</v>
      </c>
      <c r="B410" s="4">
        <v>59373</v>
      </c>
      <c r="C410" s="57">
        <v>370.91</v>
      </c>
      <c r="D410" s="4" t="s">
        <v>1423</v>
      </c>
      <c r="E410" s="104"/>
    </row>
    <row r="411" spans="1:5" x14ac:dyDescent="0.25">
      <c r="A411" s="8">
        <v>41572</v>
      </c>
      <c r="B411" s="4">
        <v>59374</v>
      </c>
      <c r="C411" s="57">
        <v>277.77</v>
      </c>
      <c r="D411" s="4" t="s">
        <v>1423</v>
      </c>
      <c r="E411" s="104"/>
    </row>
    <row r="412" spans="1:5" x14ac:dyDescent="0.25">
      <c r="A412" s="8">
        <v>41572</v>
      </c>
      <c r="B412" s="4">
        <v>59375</v>
      </c>
      <c r="C412" s="57">
        <v>219.95</v>
      </c>
      <c r="D412" s="4" t="s">
        <v>1423</v>
      </c>
      <c r="E412" s="104"/>
    </row>
    <row r="413" spans="1:5" x14ac:dyDescent="0.25">
      <c r="A413" s="8">
        <v>41573</v>
      </c>
      <c r="B413" s="4">
        <v>59376</v>
      </c>
      <c r="C413" s="57">
        <v>318.58999999999997</v>
      </c>
      <c r="D413" s="4" t="s">
        <v>1423</v>
      </c>
      <c r="E413" s="104"/>
    </row>
    <row r="414" spans="1:5" x14ac:dyDescent="0.25">
      <c r="A414" s="8">
        <v>41573</v>
      </c>
      <c r="B414" s="4">
        <v>59377</v>
      </c>
      <c r="C414" s="57">
        <v>211.71</v>
      </c>
      <c r="D414" s="4" t="s">
        <v>1423</v>
      </c>
      <c r="E414" s="104"/>
    </row>
    <row r="415" spans="1:5" x14ac:dyDescent="0.25">
      <c r="A415" s="8">
        <v>41573</v>
      </c>
      <c r="B415" s="4">
        <v>59378</v>
      </c>
      <c r="C415" s="57">
        <v>309.19</v>
      </c>
      <c r="D415" s="4" t="s">
        <v>1423</v>
      </c>
      <c r="E415" s="104"/>
    </row>
    <row r="416" spans="1:5" x14ac:dyDescent="0.25">
      <c r="A416" s="8">
        <v>41573</v>
      </c>
      <c r="B416" s="4">
        <v>59379</v>
      </c>
      <c r="C416" s="57">
        <v>140.55000000000001</v>
      </c>
      <c r="D416" s="4" t="s">
        <v>1423</v>
      </c>
      <c r="E416" s="104"/>
    </row>
    <row r="417" spans="1:5" x14ac:dyDescent="0.25">
      <c r="A417" s="8">
        <v>41573</v>
      </c>
      <c r="B417" s="4">
        <v>59380</v>
      </c>
      <c r="C417" s="57">
        <v>130.9</v>
      </c>
      <c r="D417" s="4" t="s">
        <v>1423</v>
      </c>
      <c r="E417" s="104"/>
    </row>
    <row r="418" spans="1:5" x14ac:dyDescent="0.25">
      <c r="A418" s="8">
        <v>41573</v>
      </c>
      <c r="B418" s="4">
        <v>59381</v>
      </c>
      <c r="C418" s="57">
        <v>110.71</v>
      </c>
      <c r="D418" s="4" t="s">
        <v>1423</v>
      </c>
      <c r="E418" s="104"/>
    </row>
    <row r="419" spans="1:5" x14ac:dyDescent="0.25">
      <c r="A419" s="8">
        <v>41573</v>
      </c>
      <c r="B419" s="4">
        <v>59382</v>
      </c>
      <c r="C419" s="57">
        <v>299.55</v>
      </c>
      <c r="D419" s="4" t="s">
        <v>1423</v>
      </c>
      <c r="E419" s="104"/>
    </row>
    <row r="420" spans="1:5" x14ac:dyDescent="0.25">
      <c r="A420" s="8">
        <v>41573</v>
      </c>
      <c r="B420" s="4">
        <v>59383</v>
      </c>
      <c r="C420" s="57">
        <v>187.88</v>
      </c>
      <c r="D420" s="4" t="s">
        <v>1423</v>
      </c>
      <c r="E420" s="104"/>
    </row>
    <row r="421" spans="1:5" x14ac:dyDescent="0.25">
      <c r="A421" s="8">
        <v>41573</v>
      </c>
      <c r="B421" s="4">
        <v>59384</v>
      </c>
      <c r="C421" s="57">
        <v>225.97</v>
      </c>
      <c r="D421" s="4" t="s">
        <v>1423</v>
      </c>
      <c r="E421" s="104"/>
    </row>
    <row r="422" spans="1:5" x14ac:dyDescent="0.25">
      <c r="A422" s="8">
        <v>41573</v>
      </c>
      <c r="B422" s="4">
        <v>59385</v>
      </c>
      <c r="C422" s="57">
        <v>196.22</v>
      </c>
      <c r="D422" s="4" t="s">
        <v>1423</v>
      </c>
      <c r="E422" s="104"/>
    </row>
    <row r="423" spans="1:5" x14ac:dyDescent="0.25">
      <c r="A423" s="8">
        <v>41573</v>
      </c>
      <c r="B423" s="4">
        <v>59386</v>
      </c>
      <c r="C423" s="57">
        <v>61.71</v>
      </c>
      <c r="D423" s="4" t="s">
        <v>1423</v>
      </c>
      <c r="E423" s="104"/>
    </row>
    <row r="424" spans="1:5" x14ac:dyDescent="0.25">
      <c r="A424" s="8">
        <v>41573</v>
      </c>
      <c r="B424" s="4">
        <v>59387</v>
      </c>
      <c r="C424" s="57">
        <v>85.95</v>
      </c>
      <c r="D424" s="4" t="s">
        <v>1423</v>
      </c>
      <c r="E424" s="104"/>
    </row>
    <row r="425" spans="1:5" x14ac:dyDescent="0.25">
      <c r="A425" s="8">
        <v>41573</v>
      </c>
      <c r="B425" s="4">
        <v>59388</v>
      </c>
      <c r="C425" s="57">
        <v>332.24</v>
      </c>
      <c r="D425" s="4" t="s">
        <v>1423</v>
      </c>
      <c r="E425" s="104"/>
    </row>
    <row r="426" spans="1:5" x14ac:dyDescent="0.25">
      <c r="A426" s="8">
        <v>41573</v>
      </c>
      <c r="B426" s="4">
        <v>59389</v>
      </c>
      <c r="C426" s="57">
        <v>192.54</v>
      </c>
      <c r="D426" s="4" t="s">
        <v>1423</v>
      </c>
      <c r="E426" s="104"/>
    </row>
    <row r="427" spans="1:5" x14ac:dyDescent="0.25">
      <c r="A427" s="8">
        <v>41573</v>
      </c>
      <c r="B427" s="4">
        <v>59390</v>
      </c>
      <c r="C427" s="57">
        <v>333.95</v>
      </c>
      <c r="D427" s="4" t="s">
        <v>1423</v>
      </c>
      <c r="E427" s="104"/>
    </row>
    <row r="428" spans="1:5" x14ac:dyDescent="0.25">
      <c r="A428" s="8">
        <v>41573</v>
      </c>
      <c r="B428" s="4">
        <v>59391</v>
      </c>
      <c r="C428" s="57">
        <v>259.44</v>
      </c>
      <c r="D428" s="4" t="s">
        <v>1423</v>
      </c>
      <c r="E428" s="104"/>
    </row>
    <row r="429" spans="1:5" x14ac:dyDescent="0.25">
      <c r="A429" s="8">
        <v>41573</v>
      </c>
      <c r="B429" s="4">
        <v>59392</v>
      </c>
      <c r="C429" s="57">
        <v>91.71</v>
      </c>
      <c r="D429" s="4" t="s">
        <v>1423</v>
      </c>
      <c r="E429" s="104"/>
    </row>
    <row r="430" spans="1:5" x14ac:dyDescent="0.25">
      <c r="A430" s="8">
        <v>41574</v>
      </c>
      <c r="B430" s="4">
        <v>59393</v>
      </c>
      <c r="C430" s="57">
        <v>110.18</v>
      </c>
      <c r="D430" s="4" t="s">
        <v>1423</v>
      </c>
      <c r="E430" s="104"/>
    </row>
    <row r="431" spans="1:5" x14ac:dyDescent="0.25">
      <c r="A431" s="8">
        <v>41574</v>
      </c>
      <c r="B431" s="4">
        <v>59394</v>
      </c>
      <c r="C431" s="57">
        <v>196.23</v>
      </c>
      <c r="D431" s="4" t="s">
        <v>1423</v>
      </c>
      <c r="E431" s="104"/>
    </row>
    <row r="432" spans="1:5" x14ac:dyDescent="0.25">
      <c r="A432" s="8">
        <v>41574</v>
      </c>
      <c r="B432" s="4">
        <v>59395</v>
      </c>
      <c r="C432" s="57">
        <v>43.36</v>
      </c>
      <c r="D432" s="4" t="s">
        <v>1423</v>
      </c>
      <c r="E432" s="104"/>
    </row>
    <row r="433" spans="1:5" x14ac:dyDescent="0.25">
      <c r="A433" s="8">
        <v>41574</v>
      </c>
      <c r="B433" s="4">
        <v>59396</v>
      </c>
      <c r="C433" s="57">
        <v>281.57</v>
      </c>
      <c r="D433" s="4" t="s">
        <v>1423</v>
      </c>
      <c r="E433" s="104"/>
    </row>
    <row r="434" spans="1:5" x14ac:dyDescent="0.25">
      <c r="A434" s="8">
        <v>41574</v>
      </c>
      <c r="B434" s="4">
        <v>59397</v>
      </c>
      <c r="C434" s="57">
        <v>353.41</v>
      </c>
      <c r="D434" s="4" t="s">
        <v>1423</v>
      </c>
      <c r="E434" s="104"/>
    </row>
    <row r="435" spans="1:5" x14ac:dyDescent="0.25">
      <c r="A435" s="8">
        <v>41574</v>
      </c>
      <c r="B435" s="4">
        <v>59398</v>
      </c>
      <c r="C435" s="57">
        <v>45.37</v>
      </c>
      <c r="D435" s="4" t="s">
        <v>1423</v>
      </c>
      <c r="E435" s="104"/>
    </row>
    <row r="436" spans="1:5" x14ac:dyDescent="0.25">
      <c r="A436" s="8">
        <v>41574</v>
      </c>
      <c r="B436" s="4">
        <v>59399</v>
      </c>
      <c r="C436" s="57">
        <v>186.27</v>
      </c>
      <c r="D436" s="4" t="s">
        <v>1423</v>
      </c>
      <c r="E436" s="104"/>
    </row>
    <row r="437" spans="1:5" x14ac:dyDescent="0.25">
      <c r="A437" s="8">
        <v>41574</v>
      </c>
      <c r="B437" s="4">
        <v>59400</v>
      </c>
      <c r="C437" s="57">
        <v>183.08</v>
      </c>
      <c r="D437" s="4" t="s">
        <v>1423</v>
      </c>
      <c r="E437" s="104"/>
    </row>
    <row r="438" spans="1:5" x14ac:dyDescent="0.25">
      <c r="A438" s="8">
        <v>41574</v>
      </c>
      <c r="B438" s="4">
        <v>59401</v>
      </c>
      <c r="C438" s="57">
        <v>236.97</v>
      </c>
      <c r="D438" s="4" t="s">
        <v>1423</v>
      </c>
      <c r="E438" s="104"/>
    </row>
    <row r="439" spans="1:5" x14ac:dyDescent="0.25">
      <c r="A439" s="8">
        <v>41574</v>
      </c>
      <c r="B439" s="4">
        <v>59402</v>
      </c>
      <c r="C439" s="57">
        <v>252.81</v>
      </c>
      <c r="D439" s="4" t="s">
        <v>1423</v>
      </c>
      <c r="E439" s="104"/>
    </row>
    <row r="440" spans="1:5" x14ac:dyDescent="0.25">
      <c r="A440" s="8">
        <v>41574</v>
      </c>
      <c r="B440" s="4">
        <v>59403</v>
      </c>
      <c r="C440" s="57">
        <v>78.09</v>
      </c>
      <c r="D440" s="4" t="s">
        <v>1423</v>
      </c>
      <c r="E440" s="104"/>
    </row>
    <row r="441" spans="1:5" x14ac:dyDescent="0.25">
      <c r="A441" s="8">
        <v>41574</v>
      </c>
      <c r="B441" s="4">
        <v>59404</v>
      </c>
      <c r="C441" s="57">
        <v>122.24</v>
      </c>
      <c r="D441" s="4" t="s">
        <v>1423</v>
      </c>
      <c r="E441" s="104"/>
    </row>
    <row r="442" spans="1:5" x14ac:dyDescent="0.25">
      <c r="A442" s="8">
        <v>41574</v>
      </c>
      <c r="B442" s="4">
        <v>59405</v>
      </c>
      <c r="C442" s="57">
        <v>346.97</v>
      </c>
      <c r="D442" s="4" t="s">
        <v>1423</v>
      </c>
      <c r="E442" s="104"/>
    </row>
    <row r="443" spans="1:5" x14ac:dyDescent="0.25">
      <c r="A443" s="8">
        <v>41574</v>
      </c>
      <c r="B443" s="4">
        <v>59406</v>
      </c>
      <c r="C443" s="57">
        <v>217.76</v>
      </c>
      <c r="D443" s="4" t="s">
        <v>1423</v>
      </c>
      <c r="E443" s="104"/>
    </row>
    <row r="444" spans="1:5" x14ac:dyDescent="0.25">
      <c r="A444" s="8">
        <v>41574</v>
      </c>
      <c r="B444" s="4">
        <v>59407</v>
      </c>
      <c r="C444" s="57">
        <v>150.05000000000001</v>
      </c>
      <c r="D444" s="4" t="s">
        <v>1423</v>
      </c>
      <c r="E444" s="104"/>
    </row>
    <row r="445" spans="1:5" x14ac:dyDescent="0.25">
      <c r="A445" s="8">
        <v>41574</v>
      </c>
      <c r="B445" s="4">
        <v>59408</v>
      </c>
      <c r="C445" s="57">
        <v>350.83</v>
      </c>
      <c r="D445" s="4" t="s">
        <v>1423</v>
      </c>
      <c r="E445" s="104"/>
    </row>
    <row r="446" spans="1:5" x14ac:dyDescent="0.25">
      <c r="A446" s="8">
        <v>41574</v>
      </c>
      <c r="B446" s="4">
        <v>59409</v>
      </c>
      <c r="C446" s="57">
        <v>81.650000000000006</v>
      </c>
      <c r="D446" s="4" t="s">
        <v>1423</v>
      </c>
      <c r="E446" s="104"/>
    </row>
    <row r="447" spans="1:5" x14ac:dyDescent="0.25">
      <c r="A447" s="8">
        <v>41574</v>
      </c>
      <c r="B447" s="4">
        <v>59410</v>
      </c>
      <c r="C447" s="57">
        <v>56.29</v>
      </c>
      <c r="D447" s="4" t="s">
        <v>1423</v>
      </c>
      <c r="E447" s="104"/>
    </row>
    <row r="448" spans="1:5" x14ac:dyDescent="0.25">
      <c r="A448" s="8">
        <v>41574</v>
      </c>
      <c r="B448" s="4">
        <v>59411</v>
      </c>
      <c r="C448" s="57">
        <v>105.36</v>
      </c>
      <c r="D448" s="4" t="s">
        <v>1423</v>
      </c>
      <c r="E448" s="104"/>
    </row>
    <row r="449" spans="1:5" x14ac:dyDescent="0.25">
      <c r="A449" s="8">
        <v>41574</v>
      </c>
      <c r="B449" s="4">
        <v>59412</v>
      </c>
      <c r="C449" s="57">
        <v>142.54</v>
      </c>
      <c r="D449" s="4" t="s">
        <v>1423</v>
      </c>
      <c r="E449" s="104"/>
    </row>
    <row r="450" spans="1:5" x14ac:dyDescent="0.25">
      <c r="A450" s="8">
        <v>41574</v>
      </c>
      <c r="B450" s="4">
        <v>59413</v>
      </c>
      <c r="C450" s="57">
        <v>207.18</v>
      </c>
      <c r="D450" s="4" t="s">
        <v>1423</v>
      </c>
      <c r="E450" s="104"/>
    </row>
    <row r="451" spans="1:5" x14ac:dyDescent="0.25">
      <c r="A451" s="8">
        <v>41574</v>
      </c>
      <c r="B451" s="4">
        <v>59414</v>
      </c>
      <c r="C451" s="57">
        <v>368.45</v>
      </c>
      <c r="D451" s="4" t="s">
        <v>1423</v>
      </c>
      <c r="E451" s="104"/>
    </row>
    <row r="452" spans="1:5" x14ac:dyDescent="0.25">
      <c r="A452" s="8">
        <v>41574</v>
      </c>
      <c r="B452" s="4">
        <v>59415</v>
      </c>
      <c r="C452" s="57">
        <v>329.03</v>
      </c>
      <c r="D452" s="4" t="s">
        <v>1423</v>
      </c>
      <c r="E452" s="104"/>
    </row>
    <row r="453" spans="1:5" x14ac:dyDescent="0.25">
      <c r="A453" s="8">
        <v>41574</v>
      </c>
      <c r="B453" s="4">
        <v>59416</v>
      </c>
      <c r="C453" s="57">
        <v>128.97999999999999</v>
      </c>
      <c r="D453" s="4" t="s">
        <v>1423</v>
      </c>
      <c r="E453" s="104"/>
    </row>
    <row r="454" spans="1:5" x14ac:dyDescent="0.25">
      <c r="A454" s="8">
        <v>41574</v>
      </c>
      <c r="B454" s="4">
        <v>59417</v>
      </c>
      <c r="C454" s="57">
        <v>42.15</v>
      </c>
      <c r="D454" s="4" t="s">
        <v>1423</v>
      </c>
      <c r="E454" s="104"/>
    </row>
    <row r="455" spans="1:5" x14ac:dyDescent="0.25">
      <c r="A455" s="8">
        <v>41574</v>
      </c>
      <c r="B455" s="4">
        <v>59418</v>
      </c>
      <c r="C455" s="57">
        <v>271.10000000000002</v>
      </c>
      <c r="D455" s="4" t="s">
        <v>1423</v>
      </c>
      <c r="E455" s="104"/>
    </row>
    <row r="456" spans="1:5" x14ac:dyDescent="0.25">
      <c r="A456" s="8">
        <v>41574</v>
      </c>
      <c r="B456" s="4">
        <v>59419</v>
      </c>
      <c r="C456" s="57">
        <v>176.72</v>
      </c>
      <c r="D456" s="4" t="s">
        <v>1423</v>
      </c>
      <c r="E456" s="104"/>
    </row>
    <row r="457" spans="1:5" x14ac:dyDescent="0.25">
      <c r="A457" s="8">
        <v>41575</v>
      </c>
      <c r="B457" s="4">
        <v>59420</v>
      </c>
      <c r="C457" s="57">
        <v>177.77</v>
      </c>
      <c r="D457" s="4" t="s">
        <v>1423</v>
      </c>
      <c r="E457" s="104"/>
    </row>
    <row r="458" spans="1:5" x14ac:dyDescent="0.25">
      <c r="A458" s="8">
        <v>41575</v>
      </c>
      <c r="B458" s="4">
        <v>59421</v>
      </c>
      <c r="C458" s="57">
        <v>381.81</v>
      </c>
      <c r="D458" s="4" t="s">
        <v>1423</v>
      </c>
      <c r="E458" s="104"/>
    </row>
    <row r="459" spans="1:5" x14ac:dyDescent="0.25">
      <c r="A459" s="8">
        <v>41575</v>
      </c>
      <c r="B459" s="4">
        <v>59422</v>
      </c>
      <c r="C459" s="57">
        <v>42.82</v>
      </c>
      <c r="D459" s="4" t="s">
        <v>1423</v>
      </c>
      <c r="E459" s="104"/>
    </row>
    <row r="460" spans="1:5" x14ac:dyDescent="0.25">
      <c r="A460" s="8">
        <v>41575</v>
      </c>
      <c r="B460" s="4">
        <v>59423</v>
      </c>
      <c r="C460" s="57">
        <v>130.19</v>
      </c>
      <c r="D460" s="4" t="s">
        <v>1423</v>
      </c>
      <c r="E460" s="104"/>
    </row>
    <row r="461" spans="1:5" x14ac:dyDescent="0.25">
      <c r="A461" s="8">
        <v>41575</v>
      </c>
      <c r="B461" s="4">
        <v>59424</v>
      </c>
      <c r="C461" s="57">
        <v>123.64</v>
      </c>
      <c r="D461" s="4" t="s">
        <v>1423</v>
      </c>
      <c r="E461" s="104"/>
    </row>
    <row r="462" spans="1:5" x14ac:dyDescent="0.25">
      <c r="A462" s="8">
        <v>41575</v>
      </c>
      <c r="B462" s="4">
        <v>59425</v>
      </c>
      <c r="C462" s="57">
        <v>327</v>
      </c>
      <c r="D462" s="4" t="s">
        <v>1423</v>
      </c>
      <c r="E462" s="104"/>
    </row>
    <row r="463" spans="1:5" x14ac:dyDescent="0.25">
      <c r="A463" s="8">
        <v>41575</v>
      </c>
      <c r="B463" s="4">
        <v>59426</v>
      </c>
      <c r="C463" s="57">
        <v>388.07</v>
      </c>
      <c r="D463" s="4" t="s">
        <v>1423</v>
      </c>
      <c r="E463" s="104"/>
    </row>
    <row r="464" spans="1:5" x14ac:dyDescent="0.25">
      <c r="A464" s="8">
        <v>41575</v>
      </c>
      <c r="B464" s="4">
        <v>59427</v>
      </c>
      <c r="C464" s="57">
        <v>64.92</v>
      </c>
      <c r="D464" s="4" t="s">
        <v>1423</v>
      </c>
      <c r="E464" s="104"/>
    </row>
    <row r="465" spans="1:5" x14ac:dyDescent="0.25">
      <c r="A465" s="8">
        <v>41575</v>
      </c>
      <c r="B465" s="4">
        <v>59428</v>
      </c>
      <c r="C465" s="57">
        <v>289.25</v>
      </c>
      <c r="D465" s="4" t="s">
        <v>1423</v>
      </c>
      <c r="E465" s="104"/>
    </row>
    <row r="466" spans="1:5" x14ac:dyDescent="0.25">
      <c r="A466" s="8">
        <v>41575</v>
      </c>
      <c r="B466" s="4">
        <v>59429</v>
      </c>
      <c r="C466" s="57">
        <v>384.69</v>
      </c>
      <c r="D466" s="4" t="s">
        <v>1423</v>
      </c>
      <c r="E466" s="104"/>
    </row>
    <row r="467" spans="1:5" x14ac:dyDescent="0.25">
      <c r="A467" s="8">
        <v>41575</v>
      </c>
      <c r="B467" s="4">
        <v>59430</v>
      </c>
      <c r="C467" s="57">
        <v>228.27</v>
      </c>
      <c r="D467" s="4" t="s">
        <v>1423</v>
      </c>
      <c r="E467" s="104"/>
    </row>
    <row r="468" spans="1:5" x14ac:dyDescent="0.25">
      <c r="A468" s="8">
        <v>41575</v>
      </c>
      <c r="B468" s="4">
        <v>59431</v>
      </c>
      <c r="C468" s="57">
        <v>101.11</v>
      </c>
      <c r="D468" s="4" t="s">
        <v>1423</v>
      </c>
      <c r="E468" s="104"/>
    </row>
    <row r="469" spans="1:5" x14ac:dyDescent="0.25">
      <c r="A469" s="8">
        <v>41575</v>
      </c>
      <c r="B469" s="4">
        <v>59432</v>
      </c>
      <c r="C469" s="57">
        <v>366.63</v>
      </c>
      <c r="D469" s="4" t="s">
        <v>1423</v>
      </c>
      <c r="E469" s="104"/>
    </row>
    <row r="470" spans="1:5" x14ac:dyDescent="0.25">
      <c r="A470" s="8">
        <v>41575</v>
      </c>
      <c r="B470" s="4">
        <v>59433</v>
      </c>
      <c r="C470" s="57">
        <v>48.07</v>
      </c>
      <c r="D470" s="4" t="s">
        <v>1423</v>
      </c>
      <c r="E470" s="104"/>
    </row>
    <row r="471" spans="1:5" x14ac:dyDescent="0.25">
      <c r="A471" s="8">
        <v>41575</v>
      </c>
      <c r="B471" s="4">
        <v>59434</v>
      </c>
      <c r="C471" s="57">
        <v>82.5</v>
      </c>
      <c r="D471" s="4" t="s">
        <v>1423</v>
      </c>
      <c r="E471" s="104"/>
    </row>
    <row r="472" spans="1:5" x14ac:dyDescent="0.25">
      <c r="A472" s="8">
        <v>41575</v>
      </c>
      <c r="B472" s="4">
        <v>59435</v>
      </c>
      <c r="C472" s="57">
        <v>108.81</v>
      </c>
      <c r="D472" s="4" t="s">
        <v>1423</v>
      </c>
      <c r="E472" s="104"/>
    </row>
    <row r="473" spans="1:5" x14ac:dyDescent="0.25">
      <c r="A473" s="8">
        <v>41576</v>
      </c>
      <c r="B473" s="4">
        <v>59436</v>
      </c>
      <c r="C473" s="57">
        <v>240.5</v>
      </c>
      <c r="D473" s="4" t="s">
        <v>1423</v>
      </c>
      <c r="E473" s="104"/>
    </row>
    <row r="474" spans="1:5" x14ac:dyDescent="0.25">
      <c r="A474" s="8">
        <v>41576</v>
      </c>
      <c r="B474" s="4">
        <v>59437</v>
      </c>
      <c r="C474" s="57">
        <v>376.38</v>
      </c>
      <c r="D474" s="4" t="s">
        <v>1423</v>
      </c>
      <c r="E474" s="104"/>
    </row>
    <row r="475" spans="1:5" x14ac:dyDescent="0.25">
      <c r="A475" s="8">
        <v>41576</v>
      </c>
      <c r="B475" s="4">
        <v>59438</v>
      </c>
      <c r="C475" s="57">
        <v>186.61</v>
      </c>
      <c r="D475" s="4" t="s">
        <v>1423</v>
      </c>
      <c r="E475" s="104"/>
    </row>
    <row r="476" spans="1:5" x14ac:dyDescent="0.25">
      <c r="A476" s="8">
        <v>41576</v>
      </c>
      <c r="B476" s="4">
        <v>59439</v>
      </c>
      <c r="C476" s="57">
        <v>317.88</v>
      </c>
      <c r="D476" s="4" t="s">
        <v>1423</v>
      </c>
      <c r="E476" s="104"/>
    </row>
    <row r="477" spans="1:5" x14ac:dyDescent="0.25">
      <c r="A477" s="8">
        <v>41576</v>
      </c>
      <c r="B477" s="4">
        <v>59440</v>
      </c>
      <c r="C477" s="57">
        <v>137.52000000000001</v>
      </c>
      <c r="D477" s="4" t="s">
        <v>1423</v>
      </c>
      <c r="E477" s="104"/>
    </row>
    <row r="478" spans="1:5" x14ac:dyDescent="0.25">
      <c r="A478" s="8">
        <v>41576</v>
      </c>
      <c r="B478" s="4">
        <v>59441</v>
      </c>
      <c r="C478" s="57">
        <v>198.13</v>
      </c>
      <c r="D478" s="4" t="s">
        <v>1423</v>
      </c>
      <c r="E478" s="104"/>
    </row>
    <row r="479" spans="1:5" x14ac:dyDescent="0.25">
      <c r="A479" s="8">
        <v>41576</v>
      </c>
      <c r="B479" s="4">
        <v>59442</v>
      </c>
      <c r="C479" s="57">
        <v>50.82</v>
      </c>
      <c r="D479" s="4" t="s">
        <v>1423</v>
      </c>
      <c r="E479" s="104"/>
    </row>
    <row r="480" spans="1:5" x14ac:dyDescent="0.25">
      <c r="A480" s="8">
        <v>41576</v>
      </c>
      <c r="B480" s="4">
        <v>59443</v>
      </c>
      <c r="C480" s="57">
        <v>312.32</v>
      </c>
      <c r="D480" s="4" t="s">
        <v>1423</v>
      </c>
      <c r="E480" s="104"/>
    </row>
    <row r="481" spans="1:5" x14ac:dyDescent="0.25">
      <c r="A481" s="8">
        <v>41576</v>
      </c>
      <c r="B481" s="4">
        <v>59444</v>
      </c>
      <c r="C481" s="57">
        <v>66.89</v>
      </c>
      <c r="D481" s="4" t="s">
        <v>1423</v>
      </c>
      <c r="E481" s="104"/>
    </row>
    <row r="482" spans="1:5" x14ac:dyDescent="0.25">
      <c r="A482" s="8">
        <v>41576</v>
      </c>
      <c r="B482" s="4">
        <v>59445</v>
      </c>
      <c r="C482" s="57">
        <v>38.200000000000003</v>
      </c>
      <c r="D482" s="4" t="s">
        <v>1423</v>
      </c>
      <c r="E482" s="104"/>
    </row>
    <row r="483" spans="1:5" x14ac:dyDescent="0.25">
      <c r="A483" s="8">
        <v>41576</v>
      </c>
      <c r="B483" s="4">
        <v>59446</v>
      </c>
      <c r="C483" s="57">
        <v>365.01</v>
      </c>
      <c r="D483" s="4" t="s">
        <v>1423</v>
      </c>
      <c r="E483" s="104"/>
    </row>
    <row r="484" spans="1:5" x14ac:dyDescent="0.25">
      <c r="A484" s="8">
        <v>41576</v>
      </c>
      <c r="B484" s="4">
        <v>59447</v>
      </c>
      <c r="C484" s="57">
        <v>351.64</v>
      </c>
      <c r="D484" s="4" t="s">
        <v>1423</v>
      </c>
      <c r="E484" s="104"/>
    </row>
    <row r="485" spans="1:5" x14ac:dyDescent="0.25">
      <c r="A485" s="8">
        <v>41576</v>
      </c>
      <c r="B485" s="4">
        <v>59448</v>
      </c>
      <c r="C485" s="57">
        <v>370.4</v>
      </c>
      <c r="D485" s="4" t="s">
        <v>1423</v>
      </c>
      <c r="E485" s="104"/>
    </row>
    <row r="486" spans="1:5" x14ac:dyDescent="0.25">
      <c r="A486" s="8">
        <v>41576</v>
      </c>
      <c r="B486" s="4">
        <v>59449</v>
      </c>
      <c r="C486" s="57">
        <v>270.39</v>
      </c>
      <c r="D486" s="4" t="s">
        <v>1423</v>
      </c>
      <c r="E486" s="104"/>
    </row>
    <row r="487" spans="1:5" x14ac:dyDescent="0.25">
      <c r="A487" s="8">
        <v>41576</v>
      </c>
      <c r="B487" s="4">
        <v>59450</v>
      </c>
      <c r="C487" s="57">
        <v>75.55</v>
      </c>
      <c r="D487" s="4" t="s">
        <v>1423</v>
      </c>
      <c r="E487" s="104"/>
    </row>
    <row r="488" spans="1:5" x14ac:dyDescent="0.25">
      <c r="A488" s="8">
        <v>41576</v>
      </c>
      <c r="B488" s="4">
        <v>59451</v>
      </c>
      <c r="C488" s="57">
        <v>211.01</v>
      </c>
      <c r="D488" s="4" t="s">
        <v>1423</v>
      </c>
      <c r="E488" s="104"/>
    </row>
    <row r="489" spans="1:5" x14ac:dyDescent="0.25">
      <c r="A489" s="8">
        <v>41576</v>
      </c>
      <c r="B489" s="4">
        <v>59452</v>
      </c>
      <c r="C489" s="57">
        <v>214.08</v>
      </c>
      <c r="D489" s="4" t="s">
        <v>1423</v>
      </c>
      <c r="E489" s="104"/>
    </row>
    <row r="490" spans="1:5" x14ac:dyDescent="0.25">
      <c r="A490" s="8">
        <v>41576</v>
      </c>
      <c r="B490" s="4">
        <v>59453</v>
      </c>
      <c r="C490" s="57">
        <v>168.15</v>
      </c>
      <c r="D490" s="4" t="s">
        <v>1423</v>
      </c>
      <c r="E490" s="104"/>
    </row>
    <row r="491" spans="1:5" x14ac:dyDescent="0.25">
      <c r="A491" s="8">
        <v>41576</v>
      </c>
      <c r="B491" s="4">
        <v>59454</v>
      </c>
      <c r="C491" s="57">
        <v>212.1</v>
      </c>
      <c r="D491" s="4" t="s">
        <v>1423</v>
      </c>
      <c r="E491" s="104"/>
    </row>
    <row r="492" spans="1:5" x14ac:dyDescent="0.25">
      <c r="A492" s="8">
        <v>41576</v>
      </c>
      <c r="B492" s="4">
        <v>59455</v>
      </c>
      <c r="C492" s="57">
        <v>243.27</v>
      </c>
      <c r="D492" s="4" t="s">
        <v>1423</v>
      </c>
      <c r="E492" s="104"/>
    </row>
    <row r="493" spans="1:5" x14ac:dyDescent="0.25">
      <c r="A493" s="8">
        <v>41577</v>
      </c>
      <c r="B493" s="4">
        <v>59456</v>
      </c>
      <c r="C493" s="57">
        <v>118.22</v>
      </c>
      <c r="D493" s="4" t="s">
        <v>1423</v>
      </c>
      <c r="E493" s="104"/>
    </row>
    <row r="494" spans="1:5" x14ac:dyDescent="0.25">
      <c r="A494" s="8">
        <v>41577</v>
      </c>
      <c r="B494" s="4">
        <v>59457</v>
      </c>
      <c r="C494" s="57">
        <v>301.37</v>
      </c>
      <c r="D494" s="4" t="s">
        <v>1423</v>
      </c>
      <c r="E494" s="104"/>
    </row>
    <row r="495" spans="1:5" x14ac:dyDescent="0.25">
      <c r="A495" s="8">
        <v>41577</v>
      </c>
      <c r="B495" s="4">
        <v>59458</v>
      </c>
      <c r="C495" s="57">
        <v>106.08</v>
      </c>
      <c r="D495" s="4" t="s">
        <v>1423</v>
      </c>
      <c r="E495" s="104"/>
    </row>
    <row r="496" spans="1:5" x14ac:dyDescent="0.25">
      <c r="A496" s="8">
        <v>41577</v>
      </c>
      <c r="B496" s="4">
        <v>59459</v>
      </c>
      <c r="C496" s="57">
        <v>224.36</v>
      </c>
      <c r="D496" s="4" t="s">
        <v>1423</v>
      </c>
      <c r="E496" s="104"/>
    </row>
    <row r="497" spans="1:5" x14ac:dyDescent="0.25">
      <c r="A497" s="8">
        <v>41577</v>
      </c>
      <c r="B497" s="4">
        <v>59460</v>
      </c>
      <c r="C497" s="57">
        <v>151.16</v>
      </c>
      <c r="D497" s="4" t="s">
        <v>1423</v>
      </c>
      <c r="E497" s="104"/>
    </row>
    <row r="498" spans="1:5" x14ac:dyDescent="0.25">
      <c r="A498" s="8">
        <v>41577</v>
      </c>
      <c r="B498" s="4">
        <v>59461</v>
      </c>
      <c r="C498" s="57">
        <v>258.17</v>
      </c>
      <c r="D498" s="4" t="s">
        <v>1423</v>
      </c>
      <c r="E498" s="104"/>
    </row>
    <row r="499" spans="1:5" x14ac:dyDescent="0.25">
      <c r="A499" s="8">
        <v>41577</v>
      </c>
      <c r="B499" s="4">
        <v>59462</v>
      </c>
      <c r="C499" s="57">
        <v>312.19</v>
      </c>
      <c r="D499" s="4" t="s">
        <v>1423</v>
      </c>
      <c r="E499" s="104"/>
    </row>
    <row r="500" spans="1:5" x14ac:dyDescent="0.25">
      <c r="A500" s="8">
        <v>41577</v>
      </c>
      <c r="B500" s="4">
        <v>59463</v>
      </c>
      <c r="C500" s="57">
        <v>236.59</v>
      </c>
      <c r="D500" s="4" t="s">
        <v>1423</v>
      </c>
      <c r="E500" s="104"/>
    </row>
    <row r="501" spans="1:5" x14ac:dyDescent="0.25">
      <c r="A501" s="8">
        <v>41577</v>
      </c>
      <c r="B501" s="4">
        <v>59464</v>
      </c>
      <c r="C501" s="57">
        <v>190.59</v>
      </c>
      <c r="D501" s="4" t="s">
        <v>1423</v>
      </c>
      <c r="E501" s="104"/>
    </row>
    <row r="502" spans="1:5" x14ac:dyDescent="0.25">
      <c r="A502" s="8">
        <v>41577</v>
      </c>
      <c r="B502" s="4">
        <v>59465</v>
      </c>
      <c r="C502" s="57">
        <v>377.43</v>
      </c>
      <c r="D502" s="4" t="s">
        <v>1423</v>
      </c>
      <c r="E502" s="104"/>
    </row>
    <row r="503" spans="1:5" x14ac:dyDescent="0.25">
      <c r="A503" s="8">
        <v>41577</v>
      </c>
      <c r="B503" s="4">
        <v>59466</v>
      </c>
      <c r="C503" s="57">
        <v>371.73</v>
      </c>
      <c r="D503" s="4" t="s">
        <v>1423</v>
      </c>
      <c r="E503" s="104"/>
    </row>
    <row r="504" spans="1:5" x14ac:dyDescent="0.25">
      <c r="A504" s="8">
        <v>41577</v>
      </c>
      <c r="B504" s="4">
        <v>59467</v>
      </c>
      <c r="C504" s="57">
        <v>73.87</v>
      </c>
      <c r="D504" s="4" t="s">
        <v>1423</v>
      </c>
      <c r="E504" s="104"/>
    </row>
    <row r="505" spans="1:5" x14ac:dyDescent="0.25">
      <c r="A505" s="8">
        <v>41577</v>
      </c>
      <c r="B505" s="4">
        <v>59468</v>
      </c>
      <c r="C505" s="57">
        <v>309.99</v>
      </c>
      <c r="D505" s="4" t="s">
        <v>1423</v>
      </c>
      <c r="E505" s="104"/>
    </row>
    <row r="506" spans="1:5" x14ac:dyDescent="0.25">
      <c r="A506" s="8">
        <v>41578</v>
      </c>
      <c r="B506" s="4">
        <v>59469</v>
      </c>
      <c r="C506" s="57">
        <v>76.099999999999994</v>
      </c>
      <c r="D506" s="4" t="s">
        <v>1423</v>
      </c>
      <c r="E506" s="104"/>
    </row>
    <row r="507" spans="1:5" x14ac:dyDescent="0.25">
      <c r="A507" s="8">
        <v>41578</v>
      </c>
      <c r="B507" s="4">
        <v>59470</v>
      </c>
      <c r="C507" s="57">
        <v>166.77</v>
      </c>
      <c r="D507" s="4" t="s">
        <v>1423</v>
      </c>
      <c r="E507" s="104"/>
    </row>
    <row r="508" spans="1:5" x14ac:dyDescent="0.25">
      <c r="A508" s="8">
        <v>41578</v>
      </c>
      <c r="B508" s="4">
        <v>59471</v>
      </c>
      <c r="C508" s="57">
        <v>281.33999999999997</v>
      </c>
      <c r="D508" s="4" t="s">
        <v>1423</v>
      </c>
      <c r="E508" s="104"/>
    </row>
    <row r="509" spans="1:5" x14ac:dyDescent="0.25">
      <c r="A509" s="8">
        <v>41578</v>
      </c>
      <c r="B509" s="4">
        <v>59472</v>
      </c>
      <c r="C509" s="57">
        <v>313.36</v>
      </c>
      <c r="D509" s="4" t="s">
        <v>1423</v>
      </c>
      <c r="E509" s="104"/>
    </row>
    <row r="510" spans="1:5" x14ac:dyDescent="0.25">
      <c r="A510" s="8">
        <v>41578</v>
      </c>
      <c r="B510" s="4">
        <v>59473</v>
      </c>
      <c r="C510" s="57">
        <v>75.06</v>
      </c>
      <c r="D510" s="4" t="s">
        <v>1423</v>
      </c>
      <c r="E510" s="104"/>
    </row>
    <row r="511" spans="1:5" x14ac:dyDescent="0.25">
      <c r="A511" s="8">
        <v>41578</v>
      </c>
      <c r="B511" s="4">
        <v>59474</v>
      </c>
      <c r="C511" s="57">
        <v>173.69</v>
      </c>
      <c r="D511" s="4" t="s">
        <v>1423</v>
      </c>
      <c r="E511" s="104"/>
    </row>
    <row r="512" spans="1:5" x14ac:dyDescent="0.25">
      <c r="A512" s="8">
        <v>41578</v>
      </c>
      <c r="B512" s="4">
        <v>59475</v>
      </c>
      <c r="C512" s="57">
        <v>185.36</v>
      </c>
      <c r="D512" s="4" t="s">
        <v>1423</v>
      </c>
      <c r="E512" s="104"/>
    </row>
    <row r="513" spans="1:5" x14ac:dyDescent="0.25">
      <c r="A513" s="8">
        <v>41578</v>
      </c>
      <c r="B513" s="4">
        <v>59476</v>
      </c>
      <c r="C513" s="57">
        <v>339.26</v>
      </c>
      <c r="D513" s="4" t="s">
        <v>1423</v>
      </c>
      <c r="E513" s="104"/>
    </row>
    <row r="514" spans="1:5" x14ac:dyDescent="0.25">
      <c r="A514" s="8">
        <v>41578</v>
      </c>
      <c r="B514" s="4">
        <v>59477</v>
      </c>
      <c r="C514" s="57">
        <v>261.49</v>
      </c>
      <c r="D514" s="4" t="s">
        <v>1423</v>
      </c>
      <c r="E514" s="104"/>
    </row>
    <row r="515" spans="1:5" x14ac:dyDescent="0.25">
      <c r="A515" s="8">
        <v>41578</v>
      </c>
      <c r="B515" s="4">
        <v>59478</v>
      </c>
      <c r="C515" s="57">
        <v>114.09</v>
      </c>
      <c r="D515" s="4" t="s">
        <v>1423</v>
      </c>
      <c r="E515" s="104"/>
    </row>
    <row r="516" spans="1:5" x14ac:dyDescent="0.25">
      <c r="A516" s="8">
        <v>41578</v>
      </c>
      <c r="B516" s="4">
        <v>59479</v>
      </c>
      <c r="C516" s="57">
        <v>166.49</v>
      </c>
      <c r="D516" s="4" t="s">
        <v>1423</v>
      </c>
      <c r="E516" s="104"/>
    </row>
    <row r="517" spans="1:5" x14ac:dyDescent="0.25">
      <c r="A517" s="8">
        <v>41578</v>
      </c>
      <c r="B517" s="4">
        <v>59480</v>
      </c>
      <c r="C517" s="57">
        <v>95.1</v>
      </c>
      <c r="D517" s="4" t="s">
        <v>1423</v>
      </c>
      <c r="E517" s="104"/>
    </row>
    <row r="518" spans="1:5" x14ac:dyDescent="0.25">
      <c r="A518" s="8">
        <v>41578</v>
      </c>
      <c r="B518" s="4">
        <v>59481</v>
      </c>
      <c r="C518" s="57">
        <v>109.95</v>
      </c>
      <c r="D518" s="4" t="s">
        <v>1423</v>
      </c>
      <c r="E518" s="104"/>
    </row>
    <row r="519" spans="1:5" x14ac:dyDescent="0.25">
      <c r="A519" s="8">
        <v>41578</v>
      </c>
      <c r="B519" s="4">
        <v>59482</v>
      </c>
      <c r="C519" s="57">
        <v>290.08999999999997</v>
      </c>
      <c r="D519" s="4" t="s">
        <v>1423</v>
      </c>
      <c r="E519" s="104"/>
    </row>
    <row r="520" spans="1:5" x14ac:dyDescent="0.25">
      <c r="A520" s="8">
        <v>41578</v>
      </c>
      <c r="B520" s="4">
        <v>59483</v>
      </c>
      <c r="C520" s="57">
        <v>297.85000000000002</v>
      </c>
      <c r="D520" s="4" t="s">
        <v>1423</v>
      </c>
      <c r="E520" s="104"/>
    </row>
    <row r="521" spans="1:5" x14ac:dyDescent="0.25">
      <c r="A521" s="8">
        <v>41578</v>
      </c>
      <c r="B521" s="4">
        <v>59484</v>
      </c>
      <c r="C521" s="57">
        <v>331.36</v>
      </c>
      <c r="D521" s="4" t="s">
        <v>1423</v>
      </c>
      <c r="E521" s="104"/>
    </row>
    <row r="522" spans="1:5" x14ac:dyDescent="0.25">
      <c r="A522" s="8">
        <v>41578</v>
      </c>
      <c r="B522" s="4">
        <v>59485</v>
      </c>
      <c r="C522" s="57">
        <v>104.21</v>
      </c>
      <c r="D522" s="4" t="s">
        <v>1423</v>
      </c>
      <c r="E522" s="104"/>
    </row>
    <row r="523" spans="1:5" x14ac:dyDescent="0.25">
      <c r="A523" s="8">
        <v>41578</v>
      </c>
      <c r="B523" s="4">
        <v>59486</v>
      </c>
      <c r="C523" s="57">
        <v>136.32</v>
      </c>
      <c r="D523" s="4" t="s">
        <v>1423</v>
      </c>
      <c r="E523" s="104"/>
    </row>
    <row r="524" spans="1:5" x14ac:dyDescent="0.25">
      <c r="A524" s="8">
        <v>41578</v>
      </c>
      <c r="B524" s="4">
        <v>59487</v>
      </c>
      <c r="C524" s="57">
        <v>228.75</v>
      </c>
      <c r="D524" s="4" t="s">
        <v>1423</v>
      </c>
      <c r="E524" s="104"/>
    </row>
    <row r="525" spans="1:5" x14ac:dyDescent="0.25">
      <c r="A525" s="8">
        <v>41578</v>
      </c>
      <c r="B525" s="4">
        <v>59488</v>
      </c>
      <c r="C525" s="57">
        <v>370.83</v>
      </c>
      <c r="D525" s="4" t="s">
        <v>1423</v>
      </c>
      <c r="E525" s="104"/>
    </row>
    <row r="526" spans="1:5" x14ac:dyDescent="0.25">
      <c r="A526" s="8">
        <v>41579</v>
      </c>
      <c r="B526" s="4">
        <v>59489</v>
      </c>
      <c r="C526" s="57">
        <v>42.44</v>
      </c>
      <c r="D526" s="4" t="s">
        <v>1423</v>
      </c>
      <c r="E526" s="104"/>
    </row>
    <row r="527" spans="1:5" x14ac:dyDescent="0.25">
      <c r="A527" s="8">
        <v>41579</v>
      </c>
      <c r="B527" s="4">
        <v>59490</v>
      </c>
      <c r="C527" s="57">
        <v>208.22</v>
      </c>
      <c r="D527" s="4" t="s">
        <v>1423</v>
      </c>
      <c r="E527" s="104"/>
    </row>
    <row r="528" spans="1:5" x14ac:dyDescent="0.25">
      <c r="A528" s="8">
        <v>41579</v>
      </c>
      <c r="B528" s="4">
        <v>59491</v>
      </c>
      <c r="C528" s="57">
        <v>152.13</v>
      </c>
      <c r="D528" s="4" t="s">
        <v>1423</v>
      </c>
      <c r="E528" s="104"/>
    </row>
    <row r="529" spans="1:5" x14ac:dyDescent="0.25">
      <c r="A529" s="8">
        <v>41579</v>
      </c>
      <c r="B529" s="4">
        <v>59492</v>
      </c>
      <c r="C529" s="57">
        <v>35.090000000000003</v>
      </c>
      <c r="D529" s="4" t="s">
        <v>1423</v>
      </c>
      <c r="E529" s="104"/>
    </row>
    <row r="530" spans="1:5" x14ac:dyDescent="0.25">
      <c r="A530" s="8">
        <v>41579</v>
      </c>
      <c r="B530" s="4">
        <v>59493</v>
      </c>
      <c r="C530" s="57">
        <v>226.73</v>
      </c>
      <c r="D530" s="4" t="s">
        <v>1423</v>
      </c>
      <c r="E530" s="104"/>
    </row>
    <row r="531" spans="1:5" x14ac:dyDescent="0.25">
      <c r="A531" s="8">
        <v>41579</v>
      </c>
      <c r="B531" s="4">
        <v>59494</v>
      </c>
      <c r="C531" s="57">
        <v>230.33</v>
      </c>
      <c r="D531" s="4" t="s">
        <v>1423</v>
      </c>
      <c r="E531" s="104"/>
    </row>
    <row r="532" spans="1:5" x14ac:dyDescent="0.25">
      <c r="A532" s="8">
        <v>41579</v>
      </c>
      <c r="B532" s="4">
        <v>59495</v>
      </c>
      <c r="C532" s="57">
        <v>122.14</v>
      </c>
      <c r="D532" s="4" t="s">
        <v>1423</v>
      </c>
      <c r="E532" s="104"/>
    </row>
    <row r="533" spans="1:5" x14ac:dyDescent="0.25">
      <c r="A533" s="8">
        <v>41579</v>
      </c>
      <c r="B533" s="4">
        <v>59496</v>
      </c>
      <c r="C533" s="57">
        <v>375.41</v>
      </c>
      <c r="D533" s="4" t="s">
        <v>1423</v>
      </c>
      <c r="E533" s="104"/>
    </row>
    <row r="534" spans="1:5" x14ac:dyDescent="0.25">
      <c r="A534" s="8">
        <v>41579</v>
      </c>
      <c r="B534" s="4">
        <v>59497</v>
      </c>
      <c r="C534" s="57">
        <v>38.65</v>
      </c>
      <c r="D534" s="4" t="s">
        <v>1423</v>
      </c>
      <c r="E534" s="104"/>
    </row>
    <row r="535" spans="1:5" x14ac:dyDescent="0.25">
      <c r="A535" s="8">
        <v>41579</v>
      </c>
      <c r="B535" s="4">
        <v>59498</v>
      </c>
      <c r="C535" s="57">
        <v>129.86000000000001</v>
      </c>
      <c r="D535" s="4" t="s">
        <v>1423</v>
      </c>
      <c r="E535" s="104"/>
    </row>
    <row r="536" spans="1:5" x14ac:dyDescent="0.25">
      <c r="A536" s="8">
        <v>41579</v>
      </c>
      <c r="B536" s="4">
        <v>59499</v>
      </c>
      <c r="C536" s="57">
        <v>306.52</v>
      </c>
      <c r="D536" s="4" t="s">
        <v>1423</v>
      </c>
      <c r="E536" s="104"/>
    </row>
    <row r="537" spans="1:5" x14ac:dyDescent="0.25">
      <c r="A537" s="8">
        <v>41579</v>
      </c>
      <c r="B537" s="4">
        <v>59500</v>
      </c>
      <c r="C537" s="57">
        <v>264.52</v>
      </c>
      <c r="D537" s="4" t="s">
        <v>1423</v>
      </c>
      <c r="E537" s="104"/>
    </row>
    <row r="538" spans="1:5" x14ac:dyDescent="0.25">
      <c r="A538" s="8">
        <v>41579</v>
      </c>
      <c r="B538" s="4">
        <v>59501</v>
      </c>
      <c r="C538" s="57">
        <v>144.53</v>
      </c>
      <c r="D538" s="4" t="s">
        <v>1423</v>
      </c>
      <c r="E538" s="104"/>
    </row>
    <row r="539" spans="1:5" x14ac:dyDescent="0.25">
      <c r="A539" s="8">
        <v>41579</v>
      </c>
      <c r="B539" s="4">
        <v>59502</v>
      </c>
      <c r="C539" s="57">
        <v>198.64</v>
      </c>
      <c r="D539" s="4" t="s">
        <v>1423</v>
      </c>
      <c r="E539" s="104"/>
    </row>
    <row r="540" spans="1:5" x14ac:dyDescent="0.25">
      <c r="A540" s="8">
        <v>41579</v>
      </c>
      <c r="B540" s="4">
        <v>59503</v>
      </c>
      <c r="C540" s="57">
        <v>298.51</v>
      </c>
      <c r="D540" s="4" t="s">
        <v>1423</v>
      </c>
      <c r="E540" s="104"/>
    </row>
    <row r="541" spans="1:5" x14ac:dyDescent="0.25">
      <c r="A541" s="8">
        <v>41579</v>
      </c>
      <c r="B541" s="4">
        <v>59504</v>
      </c>
      <c r="C541" s="57">
        <v>314.27999999999997</v>
      </c>
      <c r="D541" s="4" t="s">
        <v>1423</v>
      </c>
      <c r="E541" s="104"/>
    </row>
    <row r="542" spans="1:5" x14ac:dyDescent="0.25">
      <c r="A542" s="8">
        <v>41579</v>
      </c>
      <c r="B542" s="4">
        <v>59505</v>
      </c>
      <c r="C542" s="57">
        <v>234.39</v>
      </c>
      <c r="D542" s="4" t="s">
        <v>1423</v>
      </c>
      <c r="E542" s="104"/>
    </row>
    <row r="543" spans="1:5" x14ac:dyDescent="0.25">
      <c r="A543" s="8">
        <v>41579</v>
      </c>
      <c r="B543" s="4">
        <v>59506</v>
      </c>
      <c r="C543" s="57">
        <v>250.87</v>
      </c>
      <c r="D543" s="4" t="s">
        <v>1423</v>
      </c>
      <c r="E543" s="104"/>
    </row>
    <row r="544" spans="1:5" x14ac:dyDescent="0.25">
      <c r="A544" s="8">
        <v>41580</v>
      </c>
      <c r="B544" s="4">
        <v>59507</v>
      </c>
      <c r="C544" s="57">
        <v>198.9</v>
      </c>
      <c r="D544" s="4" t="s">
        <v>1423</v>
      </c>
      <c r="E544" s="104"/>
    </row>
    <row r="545" spans="1:5" x14ac:dyDescent="0.25">
      <c r="A545" s="8">
        <v>41580</v>
      </c>
      <c r="B545" s="4">
        <v>59508</v>
      </c>
      <c r="C545" s="57">
        <v>197.89</v>
      </c>
      <c r="D545" s="4" t="s">
        <v>1423</v>
      </c>
      <c r="E545" s="104"/>
    </row>
    <row r="546" spans="1:5" x14ac:dyDescent="0.25">
      <c r="A546" s="8">
        <v>41580</v>
      </c>
      <c r="B546" s="4">
        <v>59509</v>
      </c>
      <c r="C546" s="57">
        <v>269.07</v>
      </c>
      <c r="D546" s="4" t="s">
        <v>1423</v>
      </c>
      <c r="E546" s="104"/>
    </row>
    <row r="547" spans="1:5" x14ac:dyDescent="0.25">
      <c r="A547" s="8">
        <v>41580</v>
      </c>
      <c r="B547" s="4">
        <v>59510</v>
      </c>
      <c r="C547" s="57">
        <v>323.58999999999997</v>
      </c>
      <c r="D547" s="4" t="s">
        <v>1423</v>
      </c>
      <c r="E547" s="104"/>
    </row>
    <row r="548" spans="1:5" x14ac:dyDescent="0.25">
      <c r="A548" s="8">
        <v>41580</v>
      </c>
      <c r="B548" s="4">
        <v>59511</v>
      </c>
      <c r="C548" s="57">
        <v>330.16</v>
      </c>
      <c r="D548" s="4" t="s">
        <v>1423</v>
      </c>
      <c r="E548" s="104"/>
    </row>
    <row r="549" spans="1:5" x14ac:dyDescent="0.25">
      <c r="A549" s="8">
        <v>41580</v>
      </c>
      <c r="B549" s="4">
        <v>59512</v>
      </c>
      <c r="C549" s="57">
        <v>306.01</v>
      </c>
      <c r="D549" s="4" t="s">
        <v>1423</v>
      </c>
      <c r="E549" s="104"/>
    </row>
    <row r="550" spans="1:5" x14ac:dyDescent="0.25">
      <c r="A550" s="8">
        <v>41580</v>
      </c>
      <c r="B550" s="4">
        <v>59513</v>
      </c>
      <c r="C550" s="57">
        <v>159.76</v>
      </c>
      <c r="D550" s="4" t="s">
        <v>1423</v>
      </c>
      <c r="E550" s="104"/>
    </row>
    <row r="551" spans="1:5" x14ac:dyDescent="0.25">
      <c r="A551" s="8">
        <v>41580</v>
      </c>
      <c r="B551" s="4">
        <v>59514</v>
      </c>
      <c r="C551" s="57">
        <v>56.38</v>
      </c>
      <c r="D551" s="4" t="s">
        <v>1423</v>
      </c>
      <c r="E551" s="104"/>
    </row>
    <row r="552" spans="1:5" x14ac:dyDescent="0.25">
      <c r="A552" s="8">
        <v>41580</v>
      </c>
      <c r="B552" s="4">
        <v>59515</v>
      </c>
      <c r="C552" s="57">
        <v>257.33</v>
      </c>
      <c r="D552" s="4" t="s">
        <v>1423</v>
      </c>
      <c r="E552" s="104"/>
    </row>
    <row r="553" spans="1:5" x14ac:dyDescent="0.25">
      <c r="A553" s="8">
        <v>41580</v>
      </c>
      <c r="B553" s="4">
        <v>59516</v>
      </c>
      <c r="C553" s="57">
        <v>225.88</v>
      </c>
      <c r="D553" s="4" t="s">
        <v>1423</v>
      </c>
      <c r="E553" s="104"/>
    </row>
    <row r="554" spans="1:5" x14ac:dyDescent="0.25">
      <c r="A554" s="8">
        <v>41580</v>
      </c>
      <c r="B554" s="4">
        <v>59517</v>
      </c>
      <c r="C554" s="57">
        <v>252.19</v>
      </c>
      <c r="D554" s="4" t="s">
        <v>1423</v>
      </c>
      <c r="E554" s="104"/>
    </row>
    <row r="555" spans="1:5" x14ac:dyDescent="0.25">
      <c r="A555" s="8">
        <v>41580</v>
      </c>
      <c r="B555" s="4">
        <v>59518</v>
      </c>
      <c r="C555" s="57">
        <v>207.84</v>
      </c>
      <c r="D555" s="4" t="s">
        <v>1423</v>
      </c>
      <c r="E555" s="104"/>
    </row>
    <row r="556" spans="1:5" x14ac:dyDescent="0.25">
      <c r="A556" s="8">
        <v>41580</v>
      </c>
      <c r="B556" s="4">
        <v>59519</v>
      </c>
      <c r="C556" s="57">
        <v>361.07</v>
      </c>
      <c r="D556" s="4" t="s">
        <v>1423</v>
      </c>
      <c r="E556" s="104"/>
    </row>
    <row r="557" spans="1:5" x14ac:dyDescent="0.25">
      <c r="A557" s="8">
        <v>41580</v>
      </c>
      <c r="B557" s="4">
        <v>59520</v>
      </c>
      <c r="C557" s="57">
        <v>125.04</v>
      </c>
      <c r="D557" s="4" t="s">
        <v>1423</v>
      </c>
      <c r="E557" s="104"/>
    </row>
    <row r="558" spans="1:5" x14ac:dyDescent="0.25">
      <c r="A558" s="8">
        <v>41580</v>
      </c>
      <c r="B558" s="4">
        <v>59521</v>
      </c>
      <c r="C558" s="57">
        <v>302.86</v>
      </c>
      <c r="D558" s="4" t="s">
        <v>1423</v>
      </c>
      <c r="E558" s="104"/>
    </row>
    <row r="559" spans="1:5" x14ac:dyDescent="0.25">
      <c r="A559" s="8">
        <v>41580</v>
      </c>
      <c r="B559" s="4">
        <v>59522</v>
      </c>
      <c r="C559" s="57">
        <v>113.55</v>
      </c>
      <c r="D559" s="4" t="s">
        <v>1423</v>
      </c>
      <c r="E559" s="104"/>
    </row>
    <row r="560" spans="1:5" x14ac:dyDescent="0.25">
      <c r="A560" s="8">
        <v>41580</v>
      </c>
      <c r="B560" s="4">
        <v>59523</v>
      </c>
      <c r="C560" s="57">
        <v>205.97</v>
      </c>
      <c r="D560" s="4" t="s">
        <v>1423</v>
      </c>
      <c r="E560" s="104"/>
    </row>
    <row r="561" spans="1:5" x14ac:dyDescent="0.25">
      <c r="A561" s="8">
        <v>41580</v>
      </c>
      <c r="B561" s="4">
        <v>59524</v>
      </c>
      <c r="C561" s="57">
        <v>313.77</v>
      </c>
      <c r="D561" s="4" t="s">
        <v>1423</v>
      </c>
      <c r="E561" s="104"/>
    </row>
    <row r="562" spans="1:5" x14ac:dyDescent="0.25">
      <c r="A562" s="8">
        <v>41580</v>
      </c>
      <c r="B562" s="4">
        <v>59525</v>
      </c>
      <c r="C562" s="57">
        <v>131.78</v>
      </c>
      <c r="D562" s="4" t="s">
        <v>1423</v>
      </c>
      <c r="E562" s="104"/>
    </row>
    <row r="563" spans="1:5" x14ac:dyDescent="0.25">
      <c r="A563" s="8">
        <v>41580</v>
      </c>
      <c r="B563" s="4">
        <v>59526</v>
      </c>
      <c r="C563" s="57">
        <v>128.65</v>
      </c>
      <c r="D563" s="4" t="s">
        <v>1423</v>
      </c>
      <c r="E563" s="104"/>
    </row>
    <row r="564" spans="1:5" x14ac:dyDescent="0.25">
      <c r="A564" s="8">
        <v>41580</v>
      </c>
      <c r="B564" s="4">
        <v>59527</v>
      </c>
      <c r="C564" s="57">
        <v>286.83</v>
      </c>
      <c r="D564" s="4" t="s">
        <v>1423</v>
      </c>
      <c r="E564" s="104"/>
    </row>
    <row r="565" spans="1:5" x14ac:dyDescent="0.25">
      <c r="A565" s="8">
        <v>41581</v>
      </c>
      <c r="B565" s="4">
        <v>59528</v>
      </c>
      <c r="C565" s="57">
        <v>184.58</v>
      </c>
      <c r="D565" s="4" t="s">
        <v>1423</v>
      </c>
      <c r="E565" s="104"/>
    </row>
    <row r="566" spans="1:5" x14ac:dyDescent="0.25">
      <c r="A566" s="8">
        <v>41581</v>
      </c>
      <c r="B566" s="4">
        <v>59529</v>
      </c>
      <c r="C566" s="57">
        <v>191.32</v>
      </c>
      <c r="D566" s="4" t="s">
        <v>1423</v>
      </c>
      <c r="E566" s="104"/>
    </row>
    <row r="567" spans="1:5" x14ac:dyDescent="0.25">
      <c r="A567" s="8">
        <v>41581</v>
      </c>
      <c r="B567" s="4">
        <v>59530</v>
      </c>
      <c r="C567" s="57">
        <v>239.69</v>
      </c>
      <c r="D567" s="4" t="s">
        <v>1423</v>
      </c>
      <c r="E567" s="104"/>
    </row>
    <row r="568" spans="1:5" x14ac:dyDescent="0.25">
      <c r="A568" s="8">
        <v>41581</v>
      </c>
      <c r="B568" s="4">
        <v>59531</v>
      </c>
      <c r="C568" s="57">
        <v>174.84</v>
      </c>
      <c r="D568" s="4" t="s">
        <v>1423</v>
      </c>
      <c r="E568" s="104"/>
    </row>
    <row r="569" spans="1:5" x14ac:dyDescent="0.25">
      <c r="A569" s="8">
        <v>41581</v>
      </c>
      <c r="B569" s="4">
        <v>59532</v>
      </c>
      <c r="C569" s="57">
        <v>229.17</v>
      </c>
      <c r="D569" s="4" t="s">
        <v>1423</v>
      </c>
      <c r="E569" s="104"/>
    </row>
    <row r="570" spans="1:5" x14ac:dyDescent="0.25">
      <c r="A570" s="8">
        <v>41581</v>
      </c>
      <c r="B570" s="4">
        <v>59533</v>
      </c>
      <c r="C570" s="57">
        <v>271.29000000000002</v>
      </c>
      <c r="D570" s="4" t="s">
        <v>1423</v>
      </c>
      <c r="E570" s="104"/>
    </row>
    <row r="571" spans="1:5" x14ac:dyDescent="0.25">
      <c r="A571" s="8">
        <v>41581</v>
      </c>
      <c r="B571" s="4">
        <v>59534</v>
      </c>
      <c r="C571" s="57">
        <v>88.86</v>
      </c>
      <c r="D571" s="4" t="s">
        <v>1423</v>
      </c>
      <c r="E571" s="104"/>
    </row>
    <row r="572" spans="1:5" x14ac:dyDescent="0.25">
      <c r="A572" s="8">
        <v>41581</v>
      </c>
      <c r="B572" s="4">
        <v>59535</v>
      </c>
      <c r="C572" s="57">
        <v>99.75</v>
      </c>
      <c r="D572" s="4" t="s">
        <v>1423</v>
      </c>
      <c r="E572" s="104"/>
    </row>
    <row r="573" spans="1:5" x14ac:dyDescent="0.25">
      <c r="A573" s="8">
        <v>41581</v>
      </c>
      <c r="B573" s="4">
        <v>59536</v>
      </c>
      <c r="C573" s="57">
        <v>57.05</v>
      </c>
      <c r="D573" s="4" t="s">
        <v>1423</v>
      </c>
      <c r="E573" s="104"/>
    </row>
    <row r="574" spans="1:5" x14ac:dyDescent="0.25">
      <c r="A574" s="8">
        <v>41581</v>
      </c>
      <c r="B574" s="4">
        <v>59537</v>
      </c>
      <c r="C574" s="57">
        <v>370.57</v>
      </c>
      <c r="D574" s="4" t="s">
        <v>1423</v>
      </c>
      <c r="E574" s="104"/>
    </row>
    <row r="575" spans="1:5" x14ac:dyDescent="0.25">
      <c r="A575" s="8">
        <v>41581</v>
      </c>
      <c r="B575" s="4">
        <v>59538</v>
      </c>
      <c r="C575" s="57">
        <v>65.66</v>
      </c>
      <c r="D575" s="4" t="s">
        <v>1423</v>
      </c>
      <c r="E575" s="104"/>
    </row>
    <row r="576" spans="1:5" x14ac:dyDescent="0.25">
      <c r="A576" s="8">
        <v>41581</v>
      </c>
      <c r="B576" s="4">
        <v>59539</v>
      </c>
      <c r="C576" s="57">
        <v>86.83</v>
      </c>
      <c r="D576" s="4" t="s">
        <v>1423</v>
      </c>
      <c r="E576" s="104"/>
    </row>
    <row r="577" spans="1:5" x14ac:dyDescent="0.25">
      <c r="A577" s="8">
        <v>41581</v>
      </c>
      <c r="B577" s="4">
        <v>59540</v>
      </c>
      <c r="C577" s="57">
        <v>268.2</v>
      </c>
      <c r="D577" s="4" t="s">
        <v>1423</v>
      </c>
      <c r="E577" s="104"/>
    </row>
    <row r="578" spans="1:5" x14ac:dyDescent="0.25">
      <c r="A578" s="8">
        <v>41581</v>
      </c>
      <c r="B578" s="4">
        <v>59541</v>
      </c>
      <c r="C578" s="57">
        <v>256.89999999999998</v>
      </c>
      <c r="D578" s="4" t="s">
        <v>1423</v>
      </c>
      <c r="E578" s="104"/>
    </row>
    <row r="579" spans="1:5" x14ac:dyDescent="0.25">
      <c r="A579" s="8">
        <v>41581</v>
      </c>
      <c r="B579" s="4">
        <v>59542</v>
      </c>
      <c r="C579" s="57">
        <v>104.25</v>
      </c>
      <c r="D579" s="4" t="s">
        <v>1423</v>
      </c>
      <c r="E579" s="104"/>
    </row>
    <row r="580" spans="1:5" x14ac:dyDescent="0.25">
      <c r="A580" s="8">
        <v>41581</v>
      </c>
      <c r="B580" s="4">
        <v>59543</v>
      </c>
      <c r="C580" s="57">
        <v>154.52000000000001</v>
      </c>
      <c r="D580" s="4" t="s">
        <v>1423</v>
      </c>
      <c r="E580" s="104"/>
    </row>
    <row r="581" spans="1:5" x14ac:dyDescent="0.25">
      <c r="A581" s="8">
        <v>41581</v>
      </c>
      <c r="B581" s="4">
        <v>59544</v>
      </c>
      <c r="C581" s="57">
        <v>308.67</v>
      </c>
      <c r="D581" s="4" t="s">
        <v>1423</v>
      </c>
      <c r="E581" s="104"/>
    </row>
    <row r="582" spans="1:5" x14ac:dyDescent="0.25">
      <c r="A582" s="8">
        <v>41581</v>
      </c>
      <c r="B582" s="4">
        <v>59545</v>
      </c>
      <c r="C582" s="57">
        <v>132.1</v>
      </c>
      <c r="D582" s="4" t="s">
        <v>1423</v>
      </c>
      <c r="E582" s="104"/>
    </row>
    <row r="583" spans="1:5" x14ac:dyDescent="0.25">
      <c r="A583" s="8">
        <v>41582</v>
      </c>
      <c r="B583" s="4">
        <v>59546</v>
      </c>
      <c r="C583" s="57">
        <v>112.68</v>
      </c>
      <c r="D583" s="4" t="s">
        <v>1423</v>
      </c>
      <c r="E583" s="104"/>
    </row>
    <row r="584" spans="1:5" x14ac:dyDescent="0.25">
      <c r="A584" s="8">
        <v>41582</v>
      </c>
      <c r="B584" s="4">
        <v>59547</v>
      </c>
      <c r="C584" s="57">
        <v>77.59</v>
      </c>
      <c r="D584" s="4" t="s">
        <v>1423</v>
      </c>
      <c r="E584" s="104"/>
    </row>
    <row r="585" spans="1:5" x14ac:dyDescent="0.25">
      <c r="A585" s="8">
        <v>41582</v>
      </c>
      <c r="B585" s="4">
        <v>59548</v>
      </c>
      <c r="C585" s="57">
        <v>299.49</v>
      </c>
      <c r="D585" s="4" t="s">
        <v>1423</v>
      </c>
      <c r="E585" s="104"/>
    </row>
    <row r="586" spans="1:5" x14ac:dyDescent="0.25">
      <c r="A586" s="8">
        <v>41582</v>
      </c>
      <c r="B586" s="4">
        <v>59549</v>
      </c>
      <c r="C586" s="57">
        <v>370.28</v>
      </c>
      <c r="D586" s="4" t="s">
        <v>1423</v>
      </c>
      <c r="E586" s="104"/>
    </row>
    <row r="587" spans="1:5" x14ac:dyDescent="0.25">
      <c r="A587" s="8">
        <v>41582</v>
      </c>
      <c r="B587" s="4">
        <v>59550</v>
      </c>
      <c r="C587" s="57">
        <v>39.869999999999997</v>
      </c>
      <c r="D587" s="4" t="s">
        <v>1423</v>
      </c>
      <c r="E587" s="104"/>
    </row>
    <row r="588" spans="1:5" x14ac:dyDescent="0.25">
      <c r="A588" s="8">
        <v>41582</v>
      </c>
      <c r="B588" s="4">
        <v>59551</v>
      </c>
      <c r="C588" s="57">
        <v>292.36</v>
      </c>
      <c r="D588" s="4" t="s">
        <v>1423</v>
      </c>
      <c r="E588" s="104"/>
    </row>
    <row r="589" spans="1:5" x14ac:dyDescent="0.25">
      <c r="A589" s="8">
        <v>41582</v>
      </c>
      <c r="B589" s="4">
        <v>59552</v>
      </c>
      <c r="C589" s="57">
        <v>273.2</v>
      </c>
      <c r="D589" s="4" t="s">
        <v>1423</v>
      </c>
      <c r="E589" s="104"/>
    </row>
    <row r="590" spans="1:5" x14ac:dyDescent="0.25">
      <c r="A590" s="8">
        <v>41582</v>
      </c>
      <c r="B590" s="4">
        <v>59553</v>
      </c>
      <c r="C590" s="57">
        <v>128.47999999999999</v>
      </c>
      <c r="D590" s="4" t="s">
        <v>1423</v>
      </c>
      <c r="E590" s="104"/>
    </row>
    <row r="591" spans="1:5" x14ac:dyDescent="0.25">
      <c r="A591" s="8">
        <v>41582</v>
      </c>
      <c r="B591" s="4">
        <v>59554</v>
      </c>
      <c r="C591" s="57">
        <v>187.38</v>
      </c>
      <c r="D591" s="4" t="s">
        <v>1423</v>
      </c>
      <c r="E591" s="104"/>
    </row>
    <row r="592" spans="1:5" x14ac:dyDescent="0.25">
      <c r="A592" s="8">
        <v>41582</v>
      </c>
      <c r="B592" s="4">
        <v>59555</v>
      </c>
      <c r="C592" s="57">
        <v>237.8</v>
      </c>
      <c r="D592" s="4" t="s">
        <v>1423</v>
      </c>
      <c r="E592" s="104"/>
    </row>
    <row r="593" spans="1:5" x14ac:dyDescent="0.25">
      <c r="A593" s="8">
        <v>41582</v>
      </c>
      <c r="B593" s="4">
        <v>59556</v>
      </c>
      <c r="C593" s="57">
        <v>262.93</v>
      </c>
      <c r="D593" s="4" t="s">
        <v>1423</v>
      </c>
      <c r="E593" s="104"/>
    </row>
    <row r="594" spans="1:5" x14ac:dyDescent="0.25">
      <c r="A594" s="8">
        <v>41582</v>
      </c>
      <c r="B594" s="4">
        <v>59557</v>
      </c>
      <c r="C594" s="57">
        <v>247.58</v>
      </c>
      <c r="D594" s="4" t="s">
        <v>1423</v>
      </c>
      <c r="E594" s="104"/>
    </row>
    <row r="595" spans="1:5" x14ac:dyDescent="0.25">
      <c r="A595" s="8">
        <v>41582</v>
      </c>
      <c r="B595" s="4">
        <v>59558</v>
      </c>
      <c r="C595" s="57">
        <v>213.83</v>
      </c>
      <c r="D595" s="4" t="s">
        <v>1423</v>
      </c>
      <c r="E595" s="104"/>
    </row>
    <row r="596" spans="1:5" x14ac:dyDescent="0.25">
      <c r="A596" s="8">
        <v>41582</v>
      </c>
      <c r="B596" s="4">
        <v>59559</v>
      </c>
      <c r="C596" s="57">
        <v>371.78</v>
      </c>
      <c r="D596" s="4" t="s">
        <v>1423</v>
      </c>
      <c r="E596" s="104"/>
    </row>
    <row r="597" spans="1:5" x14ac:dyDescent="0.25">
      <c r="A597" s="8">
        <v>41582</v>
      </c>
      <c r="B597" s="4">
        <v>59560</v>
      </c>
      <c r="C597" s="57">
        <v>305.64999999999998</v>
      </c>
      <c r="D597" s="4" t="s">
        <v>1423</v>
      </c>
      <c r="E597" s="104"/>
    </row>
    <row r="598" spans="1:5" x14ac:dyDescent="0.25">
      <c r="A598" s="8">
        <v>41582</v>
      </c>
      <c r="B598" s="4">
        <v>59561</v>
      </c>
      <c r="C598" s="57">
        <v>266.76</v>
      </c>
      <c r="D598" s="4" t="s">
        <v>1423</v>
      </c>
      <c r="E598" s="104"/>
    </row>
    <row r="599" spans="1:5" x14ac:dyDescent="0.25">
      <c r="A599" s="8">
        <v>41582</v>
      </c>
      <c r="B599" s="4">
        <v>59562</v>
      </c>
      <c r="C599" s="57">
        <v>55.89</v>
      </c>
      <c r="D599" s="4" t="s">
        <v>1423</v>
      </c>
      <c r="E599" s="104"/>
    </row>
    <row r="600" spans="1:5" x14ac:dyDescent="0.25">
      <c r="A600" s="8">
        <v>41582</v>
      </c>
      <c r="B600" s="4">
        <v>59563</v>
      </c>
      <c r="C600" s="57">
        <v>349.79</v>
      </c>
      <c r="D600" s="4" t="s">
        <v>1423</v>
      </c>
      <c r="E600" s="104"/>
    </row>
    <row r="601" spans="1:5" x14ac:dyDescent="0.25">
      <c r="A601" s="8">
        <v>41582</v>
      </c>
      <c r="B601" s="4">
        <v>59564</v>
      </c>
      <c r="C601" s="57">
        <v>331.79</v>
      </c>
      <c r="D601" s="4" t="s">
        <v>1423</v>
      </c>
      <c r="E601" s="104"/>
    </row>
    <row r="602" spans="1:5" x14ac:dyDescent="0.25">
      <c r="A602" s="8">
        <v>41583</v>
      </c>
      <c r="B602" s="4">
        <v>59565</v>
      </c>
      <c r="C602" s="57">
        <v>121.38</v>
      </c>
      <c r="D602" s="4" t="s">
        <v>1423</v>
      </c>
      <c r="E602" s="104"/>
    </row>
    <row r="603" spans="1:5" x14ac:dyDescent="0.25">
      <c r="A603" s="8">
        <v>41583</v>
      </c>
      <c r="B603" s="4">
        <v>59566</v>
      </c>
      <c r="C603" s="57">
        <v>289.72000000000003</v>
      </c>
      <c r="D603" s="4" t="s">
        <v>1423</v>
      </c>
      <c r="E603" s="104"/>
    </row>
    <row r="604" spans="1:5" x14ac:dyDescent="0.25">
      <c r="A604" s="8">
        <v>41583</v>
      </c>
      <c r="B604" s="4">
        <v>59567</v>
      </c>
      <c r="C604" s="57">
        <v>103.8</v>
      </c>
      <c r="D604" s="4" t="s">
        <v>1423</v>
      </c>
      <c r="E604" s="104"/>
    </row>
    <row r="605" spans="1:5" x14ac:dyDescent="0.25">
      <c r="A605" s="8">
        <v>41583</v>
      </c>
      <c r="B605" s="4">
        <v>59568</v>
      </c>
      <c r="C605" s="57">
        <v>332.61</v>
      </c>
      <c r="D605" s="4" t="s">
        <v>1423</v>
      </c>
      <c r="E605" s="104"/>
    </row>
    <row r="606" spans="1:5" x14ac:dyDescent="0.25">
      <c r="A606" s="8">
        <v>41583</v>
      </c>
      <c r="B606" s="4">
        <v>59569</v>
      </c>
      <c r="C606" s="57">
        <v>39.96</v>
      </c>
      <c r="D606" s="4" t="s">
        <v>1423</v>
      </c>
      <c r="E606" s="104"/>
    </row>
    <row r="607" spans="1:5" x14ac:dyDescent="0.25">
      <c r="A607" s="8">
        <v>41583</v>
      </c>
      <c r="B607" s="4">
        <v>59570</v>
      </c>
      <c r="C607" s="57">
        <v>119.58</v>
      </c>
      <c r="D607" s="4" t="s">
        <v>1423</v>
      </c>
      <c r="E607" s="104"/>
    </row>
    <row r="608" spans="1:5" x14ac:dyDescent="0.25">
      <c r="A608" s="8">
        <v>41583</v>
      </c>
      <c r="B608" s="4">
        <v>59571</v>
      </c>
      <c r="C608" s="57">
        <v>252.3</v>
      </c>
      <c r="D608" s="4" t="s">
        <v>1423</v>
      </c>
      <c r="E608" s="104"/>
    </row>
    <row r="609" spans="1:5" x14ac:dyDescent="0.25">
      <c r="A609" s="8">
        <v>41583</v>
      </c>
      <c r="B609" s="4">
        <v>59572</v>
      </c>
      <c r="C609" s="57">
        <v>160.78</v>
      </c>
      <c r="D609" s="4" t="s">
        <v>1423</v>
      </c>
      <c r="E609" s="104"/>
    </row>
    <row r="610" spans="1:5" x14ac:dyDescent="0.25">
      <c r="A610" s="8">
        <v>41583</v>
      </c>
      <c r="B610" s="4">
        <v>59573</v>
      </c>
      <c r="C610" s="57">
        <v>354.26</v>
      </c>
      <c r="D610" s="4" t="s">
        <v>1423</v>
      </c>
      <c r="E610" s="104"/>
    </row>
    <row r="611" spans="1:5" x14ac:dyDescent="0.25">
      <c r="A611" s="8">
        <v>41583</v>
      </c>
      <c r="B611" s="4">
        <v>59574</v>
      </c>
      <c r="C611" s="57">
        <v>231.99</v>
      </c>
      <c r="D611" s="4" t="s">
        <v>1423</v>
      </c>
      <c r="E611" s="104"/>
    </row>
    <row r="612" spans="1:5" x14ac:dyDescent="0.25">
      <c r="A612" s="8">
        <v>41583</v>
      </c>
      <c r="B612" s="4">
        <v>59575</v>
      </c>
      <c r="C612" s="57">
        <v>160.72</v>
      </c>
      <c r="D612" s="4" t="s">
        <v>1423</v>
      </c>
      <c r="E612" s="104"/>
    </row>
    <row r="613" spans="1:5" x14ac:dyDescent="0.25">
      <c r="A613" s="8">
        <v>41583</v>
      </c>
      <c r="B613" s="4">
        <v>59576</v>
      </c>
      <c r="C613" s="57">
        <v>226.1</v>
      </c>
      <c r="D613" s="4" t="s">
        <v>1423</v>
      </c>
      <c r="E613" s="104"/>
    </row>
    <row r="614" spans="1:5" x14ac:dyDescent="0.25">
      <c r="A614" s="8">
        <v>41583</v>
      </c>
      <c r="B614" s="4">
        <v>59577</v>
      </c>
      <c r="C614" s="57">
        <v>311.95</v>
      </c>
      <c r="D614" s="4" t="s">
        <v>1423</v>
      </c>
      <c r="E614" s="104"/>
    </row>
    <row r="615" spans="1:5" x14ac:dyDescent="0.25">
      <c r="A615" s="8">
        <v>41583</v>
      </c>
      <c r="B615" s="4">
        <v>59578</v>
      </c>
      <c r="C615" s="57">
        <v>126.87</v>
      </c>
      <c r="D615" s="4" t="s">
        <v>1423</v>
      </c>
      <c r="E615" s="104"/>
    </row>
    <row r="616" spans="1:5" x14ac:dyDescent="0.25">
      <c r="A616" s="8">
        <v>41583</v>
      </c>
      <c r="B616" s="4">
        <v>59579</v>
      </c>
      <c r="C616" s="57">
        <v>180.1</v>
      </c>
      <c r="D616" s="4" t="s">
        <v>1423</v>
      </c>
      <c r="E616" s="104"/>
    </row>
    <row r="617" spans="1:5" x14ac:dyDescent="0.25">
      <c r="A617" s="8">
        <v>41583</v>
      </c>
      <c r="B617" s="4">
        <v>59580</v>
      </c>
      <c r="C617" s="57">
        <v>142.63</v>
      </c>
      <c r="D617" s="4" t="s">
        <v>1423</v>
      </c>
      <c r="E617" s="104"/>
    </row>
    <row r="618" spans="1:5" x14ac:dyDescent="0.25">
      <c r="A618" s="8">
        <v>41583</v>
      </c>
      <c r="B618" s="4">
        <v>59581</v>
      </c>
      <c r="C618" s="57">
        <v>199.15</v>
      </c>
      <c r="D618" s="4" t="s">
        <v>1423</v>
      </c>
      <c r="E618" s="104"/>
    </row>
    <row r="619" spans="1:5" x14ac:dyDescent="0.25">
      <c r="A619" s="8">
        <v>41584</v>
      </c>
      <c r="B619" s="4">
        <v>59582</v>
      </c>
      <c r="C619" s="57">
        <v>51.96</v>
      </c>
      <c r="D619" s="4" t="s">
        <v>1423</v>
      </c>
      <c r="E619" s="104"/>
    </row>
    <row r="620" spans="1:5" x14ac:dyDescent="0.25">
      <c r="A620" s="8">
        <v>41584</v>
      </c>
      <c r="B620" s="4">
        <v>59583</v>
      </c>
      <c r="C620" s="57">
        <v>117.75</v>
      </c>
      <c r="D620" s="4" t="s">
        <v>1423</v>
      </c>
      <c r="E620" s="104"/>
    </row>
    <row r="621" spans="1:5" x14ac:dyDescent="0.25">
      <c r="A621" s="8">
        <v>41584</v>
      </c>
      <c r="B621" s="4">
        <v>59584</v>
      </c>
      <c r="C621" s="57">
        <v>314.08999999999997</v>
      </c>
      <c r="D621" s="4" t="s">
        <v>1423</v>
      </c>
      <c r="E621" s="104"/>
    </row>
    <row r="622" spans="1:5" x14ac:dyDescent="0.25">
      <c r="A622" s="8">
        <v>41584</v>
      </c>
      <c r="B622" s="4">
        <v>59585</v>
      </c>
      <c r="C622" s="57">
        <v>114.02</v>
      </c>
      <c r="D622" s="4" t="s">
        <v>1423</v>
      </c>
      <c r="E622" s="104"/>
    </row>
    <row r="623" spans="1:5" x14ac:dyDescent="0.25">
      <c r="A623" s="8">
        <v>41584</v>
      </c>
      <c r="B623" s="4">
        <v>59586</v>
      </c>
      <c r="C623" s="57">
        <v>137.59</v>
      </c>
      <c r="D623" s="4" t="s">
        <v>1423</v>
      </c>
      <c r="E623" s="104"/>
    </row>
    <row r="624" spans="1:5" x14ac:dyDescent="0.25">
      <c r="A624" s="8">
        <v>41584</v>
      </c>
      <c r="B624" s="4">
        <v>59587</v>
      </c>
      <c r="C624" s="57">
        <v>196.36</v>
      </c>
      <c r="D624" s="4" t="s">
        <v>1423</v>
      </c>
      <c r="E624" s="104"/>
    </row>
    <row r="625" spans="1:5" x14ac:dyDescent="0.25">
      <c r="A625" s="8">
        <v>41584</v>
      </c>
      <c r="B625" s="4">
        <v>59588</v>
      </c>
      <c r="C625" s="57">
        <v>295.97000000000003</v>
      </c>
      <c r="D625" s="4" t="s">
        <v>1423</v>
      </c>
      <c r="E625" s="104"/>
    </row>
    <row r="626" spans="1:5" x14ac:dyDescent="0.25">
      <c r="A626" s="8">
        <v>41584</v>
      </c>
      <c r="B626" s="4">
        <v>59589</v>
      </c>
      <c r="C626" s="57">
        <v>69.09</v>
      </c>
      <c r="D626" s="4" t="s">
        <v>1423</v>
      </c>
      <c r="E626" s="104"/>
    </row>
    <row r="627" spans="1:5" x14ac:dyDescent="0.25">
      <c r="A627" s="8">
        <v>41584</v>
      </c>
      <c r="B627" s="4">
        <v>59590</v>
      </c>
      <c r="C627" s="57">
        <v>163.38</v>
      </c>
      <c r="D627" s="4" t="s">
        <v>1423</v>
      </c>
      <c r="E627" s="104"/>
    </row>
    <row r="628" spans="1:5" x14ac:dyDescent="0.25">
      <c r="A628" s="8">
        <v>41584</v>
      </c>
      <c r="B628" s="4">
        <v>59591</v>
      </c>
      <c r="C628" s="57">
        <v>338.13</v>
      </c>
      <c r="D628" s="4" t="s">
        <v>1423</v>
      </c>
      <c r="E628" s="104"/>
    </row>
    <row r="629" spans="1:5" x14ac:dyDescent="0.25">
      <c r="A629" s="8">
        <v>41584</v>
      </c>
      <c r="B629" s="4">
        <v>59592</v>
      </c>
      <c r="C629" s="57">
        <v>189.16</v>
      </c>
      <c r="D629" s="4" t="s">
        <v>1423</v>
      </c>
      <c r="E629" s="104"/>
    </row>
    <row r="630" spans="1:5" x14ac:dyDescent="0.25">
      <c r="A630" s="8">
        <v>41584</v>
      </c>
      <c r="B630" s="4">
        <v>59593</v>
      </c>
      <c r="C630" s="57">
        <v>89.41</v>
      </c>
      <c r="D630" s="4" t="s">
        <v>1423</v>
      </c>
      <c r="E630" s="104"/>
    </row>
    <row r="631" spans="1:5" x14ac:dyDescent="0.25">
      <c r="A631" s="8">
        <v>41584</v>
      </c>
      <c r="B631" s="4">
        <v>59594</v>
      </c>
      <c r="C631" s="57">
        <v>386.62</v>
      </c>
      <c r="D631" s="4" t="s">
        <v>1423</v>
      </c>
      <c r="E631" s="104"/>
    </row>
    <row r="632" spans="1:5" x14ac:dyDescent="0.25">
      <c r="A632" s="8">
        <v>41584</v>
      </c>
      <c r="B632" s="4">
        <v>59595</v>
      </c>
      <c r="C632" s="57">
        <v>345.51</v>
      </c>
      <c r="D632" s="4" t="s">
        <v>1423</v>
      </c>
      <c r="E632" s="104"/>
    </row>
    <row r="633" spans="1:5" x14ac:dyDescent="0.25">
      <c r="A633" s="8">
        <v>41584</v>
      </c>
      <c r="B633" s="4">
        <v>59596</v>
      </c>
      <c r="C633" s="57">
        <v>217.68</v>
      </c>
      <c r="D633" s="4" t="s">
        <v>1423</v>
      </c>
      <c r="E633" s="104"/>
    </row>
    <row r="634" spans="1:5" x14ac:dyDescent="0.25">
      <c r="A634" s="8">
        <v>41584</v>
      </c>
      <c r="B634" s="4">
        <v>59597</v>
      </c>
      <c r="C634" s="57">
        <v>278.47000000000003</v>
      </c>
      <c r="D634" s="4" t="s">
        <v>1423</v>
      </c>
      <c r="E634" s="104"/>
    </row>
    <row r="635" spans="1:5" x14ac:dyDescent="0.25">
      <c r="A635" s="8">
        <v>41585</v>
      </c>
      <c r="B635" s="4">
        <v>59598</v>
      </c>
      <c r="C635" s="57">
        <v>265.13</v>
      </c>
      <c r="D635" s="4" t="s">
        <v>1423</v>
      </c>
      <c r="E635" s="104"/>
    </row>
    <row r="636" spans="1:5" x14ac:dyDescent="0.25">
      <c r="A636" s="8">
        <v>41585</v>
      </c>
      <c r="B636" s="4">
        <v>59599</v>
      </c>
      <c r="C636" s="57">
        <v>302.02999999999997</v>
      </c>
      <c r="D636" s="4" t="s">
        <v>1423</v>
      </c>
      <c r="E636" s="104"/>
    </row>
    <row r="637" spans="1:5" x14ac:dyDescent="0.25">
      <c r="A637" s="8">
        <v>41585</v>
      </c>
      <c r="B637" s="4">
        <v>59600</v>
      </c>
      <c r="C637" s="57">
        <v>334.55</v>
      </c>
      <c r="D637" s="4" t="s">
        <v>1423</v>
      </c>
      <c r="E637" s="104"/>
    </row>
    <row r="638" spans="1:5" x14ac:dyDescent="0.25">
      <c r="A638" s="8">
        <v>41585</v>
      </c>
      <c r="B638" s="4">
        <v>59601</v>
      </c>
      <c r="C638" s="57">
        <v>305.52999999999997</v>
      </c>
      <c r="D638" s="4" t="s">
        <v>1423</v>
      </c>
      <c r="E638" s="104"/>
    </row>
    <row r="639" spans="1:5" x14ac:dyDescent="0.25">
      <c r="A639" s="8">
        <v>41585</v>
      </c>
      <c r="B639" s="4">
        <v>59602</v>
      </c>
      <c r="C639" s="57">
        <v>212.99</v>
      </c>
      <c r="D639" s="4" t="s">
        <v>1423</v>
      </c>
      <c r="E639" s="104"/>
    </row>
    <row r="640" spans="1:5" x14ac:dyDescent="0.25">
      <c r="A640" s="8">
        <v>41585</v>
      </c>
      <c r="B640" s="4">
        <v>59603</v>
      </c>
      <c r="C640" s="57">
        <v>312.42</v>
      </c>
      <c r="D640" s="4" t="s">
        <v>1423</v>
      </c>
      <c r="E640" s="104"/>
    </row>
    <row r="641" spans="1:5" x14ac:dyDescent="0.25">
      <c r="A641" s="8">
        <v>41585</v>
      </c>
      <c r="B641" s="4">
        <v>59604</v>
      </c>
      <c r="C641" s="57">
        <v>238.55</v>
      </c>
      <c r="D641" s="4" t="s">
        <v>1423</v>
      </c>
      <c r="E641" s="104"/>
    </row>
    <row r="642" spans="1:5" x14ac:dyDescent="0.25">
      <c r="A642" s="8">
        <v>41585</v>
      </c>
      <c r="B642" s="4">
        <v>59605</v>
      </c>
      <c r="C642" s="57">
        <v>279.61</v>
      </c>
      <c r="D642" s="4" t="s">
        <v>1423</v>
      </c>
      <c r="E642" s="104"/>
    </row>
    <row r="643" spans="1:5" x14ac:dyDescent="0.25">
      <c r="A643" s="8">
        <v>41585</v>
      </c>
      <c r="B643" s="4">
        <v>59606</v>
      </c>
      <c r="C643" s="57">
        <v>183.24</v>
      </c>
      <c r="D643" s="4" t="s">
        <v>1423</v>
      </c>
      <c r="E643" s="104"/>
    </row>
    <row r="644" spans="1:5" x14ac:dyDescent="0.25">
      <c r="A644" s="8">
        <v>41585</v>
      </c>
      <c r="B644" s="4">
        <v>59607</v>
      </c>
      <c r="C644" s="57">
        <v>269.95</v>
      </c>
      <c r="D644" s="4" t="s">
        <v>1423</v>
      </c>
      <c r="E644" s="104"/>
    </row>
    <row r="645" spans="1:5" x14ac:dyDescent="0.25">
      <c r="A645" s="8">
        <v>41585</v>
      </c>
      <c r="B645" s="4">
        <v>59608</v>
      </c>
      <c r="C645" s="57">
        <v>49.01</v>
      </c>
      <c r="D645" s="4" t="s">
        <v>1423</v>
      </c>
      <c r="E645" s="104"/>
    </row>
    <row r="646" spans="1:5" x14ac:dyDescent="0.25">
      <c r="A646" s="8">
        <v>41585</v>
      </c>
      <c r="B646" s="4">
        <v>59609</v>
      </c>
      <c r="C646" s="57">
        <v>185.58</v>
      </c>
      <c r="D646" s="4" t="s">
        <v>1423</v>
      </c>
      <c r="E646" s="104"/>
    </row>
    <row r="647" spans="1:5" x14ac:dyDescent="0.25">
      <c r="A647" s="8">
        <v>41585</v>
      </c>
      <c r="B647" s="4">
        <v>59610</v>
      </c>
      <c r="C647" s="57">
        <v>123.72</v>
      </c>
      <c r="D647" s="4" t="s">
        <v>1423</v>
      </c>
      <c r="E647" s="104"/>
    </row>
    <row r="648" spans="1:5" x14ac:dyDescent="0.25">
      <c r="A648" s="8">
        <v>41585</v>
      </c>
      <c r="B648" s="4">
        <v>59611</v>
      </c>
      <c r="C648" s="57">
        <v>46.16</v>
      </c>
      <c r="D648" s="4" t="s">
        <v>1423</v>
      </c>
      <c r="E648" s="104"/>
    </row>
    <row r="649" spans="1:5" x14ac:dyDescent="0.25">
      <c r="A649" s="8">
        <v>41585</v>
      </c>
      <c r="B649" s="4">
        <v>59612</v>
      </c>
      <c r="C649" s="57">
        <v>313.41000000000003</v>
      </c>
      <c r="D649" s="4" t="s">
        <v>1423</v>
      </c>
      <c r="E649" s="104"/>
    </row>
    <row r="650" spans="1:5" x14ac:dyDescent="0.25">
      <c r="A650" s="8">
        <v>41585</v>
      </c>
      <c r="B650" s="4">
        <v>59613</v>
      </c>
      <c r="C650" s="57">
        <v>81.03</v>
      </c>
      <c r="D650" s="4" t="s">
        <v>1423</v>
      </c>
      <c r="E650" s="104"/>
    </row>
    <row r="651" spans="1:5" x14ac:dyDescent="0.25">
      <c r="A651" s="8">
        <v>41585</v>
      </c>
      <c r="B651" s="4">
        <v>59614</v>
      </c>
      <c r="C651" s="57">
        <v>362.07</v>
      </c>
      <c r="D651" s="4" t="s">
        <v>1423</v>
      </c>
      <c r="E651" s="104"/>
    </row>
    <row r="652" spans="1:5" x14ac:dyDescent="0.25">
      <c r="A652" s="8">
        <v>41585</v>
      </c>
      <c r="B652" s="4">
        <v>59615</v>
      </c>
      <c r="C652" s="57">
        <v>342.32</v>
      </c>
      <c r="D652" s="4" t="s">
        <v>1423</v>
      </c>
      <c r="E652" s="104"/>
    </row>
    <row r="653" spans="1:5" x14ac:dyDescent="0.25">
      <c r="A653" s="8">
        <v>41585</v>
      </c>
      <c r="B653" s="4">
        <v>59616</v>
      </c>
      <c r="C653" s="57">
        <v>84.8</v>
      </c>
      <c r="D653" s="4" t="s">
        <v>1423</v>
      </c>
      <c r="E653" s="104"/>
    </row>
    <row r="654" spans="1:5" x14ac:dyDescent="0.25">
      <c r="A654" s="8">
        <v>41585</v>
      </c>
      <c r="B654" s="4">
        <v>59617</v>
      </c>
      <c r="C654" s="57">
        <v>361.98</v>
      </c>
      <c r="D654" s="4" t="s">
        <v>1423</v>
      </c>
      <c r="E654" s="104"/>
    </row>
    <row r="655" spans="1:5" x14ac:dyDescent="0.25">
      <c r="A655" s="8">
        <v>41585</v>
      </c>
      <c r="B655" s="4">
        <v>59618</v>
      </c>
      <c r="C655" s="57">
        <v>79.989999999999995</v>
      </c>
      <c r="D655" s="4" t="s">
        <v>1423</v>
      </c>
      <c r="E655" s="104"/>
    </row>
    <row r="656" spans="1:5" x14ac:dyDescent="0.25">
      <c r="A656" s="8">
        <v>41585</v>
      </c>
      <c r="B656" s="4">
        <v>59619</v>
      </c>
      <c r="C656" s="57">
        <v>184.95</v>
      </c>
      <c r="D656" s="4" t="s">
        <v>1423</v>
      </c>
      <c r="E656" s="104"/>
    </row>
    <row r="657" spans="1:5" x14ac:dyDescent="0.25">
      <c r="A657" s="8">
        <v>41585</v>
      </c>
      <c r="B657" s="4">
        <v>59620</v>
      </c>
      <c r="C657" s="57">
        <v>81.12</v>
      </c>
      <c r="D657" s="4" t="s">
        <v>1423</v>
      </c>
      <c r="E657" s="104"/>
    </row>
    <row r="658" spans="1:5" x14ac:dyDescent="0.25">
      <c r="A658" s="8">
        <v>41586</v>
      </c>
      <c r="B658" s="4">
        <v>59621</v>
      </c>
      <c r="C658" s="57">
        <v>157.56</v>
      </c>
      <c r="D658" s="4" t="s">
        <v>1423</v>
      </c>
      <c r="E658" s="104"/>
    </row>
    <row r="659" spans="1:5" x14ac:dyDescent="0.25">
      <c r="A659" s="8">
        <v>41586</v>
      </c>
      <c r="B659" s="4">
        <v>59622</v>
      </c>
      <c r="C659" s="57">
        <v>204.43</v>
      </c>
      <c r="D659" s="4" t="s">
        <v>1423</v>
      </c>
      <c r="E659" s="104"/>
    </row>
    <row r="660" spans="1:5" x14ac:dyDescent="0.25">
      <c r="A660" s="8">
        <v>41586</v>
      </c>
      <c r="B660" s="4">
        <v>59623</v>
      </c>
      <c r="C660" s="57">
        <v>248.36</v>
      </c>
      <c r="D660" s="4" t="s">
        <v>1423</v>
      </c>
      <c r="E660" s="104"/>
    </row>
    <row r="661" spans="1:5" x14ac:dyDescent="0.25">
      <c r="A661" s="8">
        <v>41586</v>
      </c>
      <c r="B661" s="4">
        <v>59624</v>
      </c>
      <c r="C661" s="57">
        <v>350.77</v>
      </c>
      <c r="D661" s="4" t="s">
        <v>1423</v>
      </c>
      <c r="E661" s="104"/>
    </row>
    <row r="662" spans="1:5" x14ac:dyDescent="0.25">
      <c r="A662" s="8">
        <v>41586</v>
      </c>
      <c r="B662" s="4">
        <v>59625</v>
      </c>
      <c r="C662" s="57">
        <v>57.13</v>
      </c>
      <c r="D662" s="4" t="s">
        <v>1423</v>
      </c>
      <c r="E662" s="104"/>
    </row>
    <row r="663" spans="1:5" x14ac:dyDescent="0.25">
      <c r="A663" s="8">
        <v>41586</v>
      </c>
      <c r="B663" s="4">
        <v>59626</v>
      </c>
      <c r="C663" s="57">
        <v>125.32</v>
      </c>
      <c r="D663" s="4" t="s">
        <v>1423</v>
      </c>
      <c r="E663" s="104"/>
    </row>
    <row r="664" spans="1:5" x14ac:dyDescent="0.25">
      <c r="A664" s="8">
        <v>41586</v>
      </c>
      <c r="B664" s="4">
        <v>59627</v>
      </c>
      <c r="C664" s="57">
        <v>107.93</v>
      </c>
      <c r="D664" s="4" t="s">
        <v>1423</v>
      </c>
      <c r="E664" s="104"/>
    </row>
    <row r="665" spans="1:5" x14ac:dyDescent="0.25">
      <c r="A665" s="8">
        <v>41586</v>
      </c>
      <c r="B665" s="4">
        <v>59628</v>
      </c>
      <c r="C665" s="57">
        <v>208.18</v>
      </c>
      <c r="D665" s="4" t="s">
        <v>1423</v>
      </c>
      <c r="E665" s="104"/>
    </row>
    <row r="666" spans="1:5" x14ac:dyDescent="0.25">
      <c r="A666" s="8">
        <v>41586</v>
      </c>
      <c r="B666" s="4">
        <v>59629</v>
      </c>
      <c r="C666" s="57">
        <v>47.44</v>
      </c>
      <c r="D666" s="4" t="s">
        <v>1423</v>
      </c>
      <c r="E666" s="104"/>
    </row>
    <row r="667" spans="1:5" x14ac:dyDescent="0.25">
      <c r="A667" s="8">
        <v>41586</v>
      </c>
      <c r="B667" s="4">
        <v>59630</v>
      </c>
      <c r="C667" s="57">
        <v>89.51</v>
      </c>
      <c r="D667" s="4" t="s">
        <v>1423</v>
      </c>
      <c r="E667" s="104"/>
    </row>
    <row r="668" spans="1:5" x14ac:dyDescent="0.25">
      <c r="A668" s="8">
        <v>41586</v>
      </c>
      <c r="B668" s="4">
        <v>59631</v>
      </c>
      <c r="C668" s="57">
        <v>68.22</v>
      </c>
      <c r="D668" s="4" t="s">
        <v>1423</v>
      </c>
      <c r="E668" s="104"/>
    </row>
    <row r="669" spans="1:5" x14ac:dyDescent="0.25">
      <c r="A669" s="8">
        <v>41586</v>
      </c>
      <c r="B669" s="4">
        <v>59632</v>
      </c>
      <c r="C669" s="57">
        <v>206.4</v>
      </c>
      <c r="D669" s="4" t="s">
        <v>1423</v>
      </c>
      <c r="E669" s="104"/>
    </row>
    <row r="670" spans="1:5" x14ac:dyDescent="0.25">
      <c r="A670" s="8">
        <v>41586</v>
      </c>
      <c r="B670" s="4">
        <v>59633</v>
      </c>
      <c r="C670" s="57">
        <v>336.27</v>
      </c>
      <c r="D670" s="4" t="s">
        <v>1423</v>
      </c>
      <c r="E670" s="104"/>
    </row>
    <row r="671" spans="1:5" x14ac:dyDescent="0.25">
      <c r="A671" s="8">
        <v>41587</v>
      </c>
      <c r="B671" s="4">
        <v>59634</v>
      </c>
      <c r="C671" s="57">
        <v>90.59</v>
      </c>
      <c r="D671" s="4" t="s">
        <v>1423</v>
      </c>
      <c r="E671" s="104"/>
    </row>
    <row r="672" spans="1:5" x14ac:dyDescent="0.25">
      <c r="A672" s="8">
        <v>41587</v>
      </c>
      <c r="B672" s="4">
        <v>59635</v>
      </c>
      <c r="C672" s="57">
        <v>187.88</v>
      </c>
      <c r="D672" s="4" t="s">
        <v>1423</v>
      </c>
      <c r="E672" s="104"/>
    </row>
    <row r="673" spans="1:5" x14ac:dyDescent="0.25">
      <c r="A673" s="8">
        <v>41587</v>
      </c>
      <c r="B673" s="4">
        <v>59636</v>
      </c>
      <c r="C673" s="57">
        <v>122.01</v>
      </c>
      <c r="D673" s="4" t="s">
        <v>1423</v>
      </c>
      <c r="E673" s="104"/>
    </row>
    <row r="674" spans="1:5" x14ac:dyDescent="0.25">
      <c r="A674" s="8">
        <v>41587</v>
      </c>
      <c r="B674" s="4">
        <v>59637</v>
      </c>
      <c r="C674" s="57">
        <v>202.11</v>
      </c>
      <c r="D674" s="4" t="s">
        <v>1423</v>
      </c>
      <c r="E674" s="104"/>
    </row>
    <row r="675" spans="1:5" x14ac:dyDescent="0.25">
      <c r="A675" s="8">
        <v>41587</v>
      </c>
      <c r="B675" s="4">
        <v>59638</v>
      </c>
      <c r="C675" s="57">
        <v>43.78</v>
      </c>
      <c r="D675" s="4" t="s">
        <v>1423</v>
      </c>
      <c r="E675" s="104"/>
    </row>
    <row r="676" spans="1:5" x14ac:dyDescent="0.25">
      <c r="A676" s="8">
        <v>41587</v>
      </c>
      <c r="B676" s="4">
        <v>59639</v>
      </c>
      <c r="C676" s="57">
        <v>136.88</v>
      </c>
      <c r="D676" s="4" t="s">
        <v>1423</v>
      </c>
      <c r="E676" s="104"/>
    </row>
    <row r="677" spans="1:5" x14ac:dyDescent="0.25">
      <c r="A677" s="8">
        <v>41587</v>
      </c>
      <c r="B677" s="4">
        <v>59640</v>
      </c>
      <c r="C677" s="57">
        <v>73.92</v>
      </c>
      <c r="D677" s="4" t="s">
        <v>1423</v>
      </c>
      <c r="E677" s="104"/>
    </row>
    <row r="678" spans="1:5" x14ac:dyDescent="0.25">
      <c r="A678" s="8">
        <v>41587</v>
      </c>
      <c r="B678" s="4">
        <v>59641</v>
      </c>
      <c r="C678" s="57">
        <v>166.45</v>
      </c>
      <c r="D678" s="4" t="s">
        <v>1423</v>
      </c>
      <c r="E678" s="104"/>
    </row>
    <row r="679" spans="1:5" x14ac:dyDescent="0.25">
      <c r="A679" s="8">
        <v>41587</v>
      </c>
      <c r="B679" s="4">
        <v>59642</v>
      </c>
      <c r="C679" s="57">
        <v>214.87</v>
      </c>
      <c r="D679" s="4" t="s">
        <v>1423</v>
      </c>
      <c r="E679" s="104"/>
    </row>
    <row r="680" spans="1:5" x14ac:dyDescent="0.25">
      <c r="A680" s="8">
        <v>41587</v>
      </c>
      <c r="B680" s="4">
        <v>59643</v>
      </c>
      <c r="C680" s="57">
        <v>119.85</v>
      </c>
      <c r="D680" s="4" t="s">
        <v>1423</v>
      </c>
      <c r="E680" s="104"/>
    </row>
    <row r="681" spans="1:5" x14ac:dyDescent="0.25">
      <c r="A681" s="8">
        <v>41587</v>
      </c>
      <c r="B681" s="4">
        <v>59644</v>
      </c>
      <c r="C681" s="57">
        <v>67.56</v>
      </c>
      <c r="D681" s="4" t="s">
        <v>1423</v>
      </c>
      <c r="E681" s="104"/>
    </row>
    <row r="682" spans="1:5" x14ac:dyDescent="0.25">
      <c r="A682" s="8">
        <v>41587</v>
      </c>
      <c r="B682" s="4">
        <v>59645</v>
      </c>
      <c r="C682" s="57">
        <v>368.51</v>
      </c>
      <c r="D682" s="4" t="s">
        <v>1423</v>
      </c>
      <c r="E682" s="104"/>
    </row>
    <row r="683" spans="1:5" x14ac:dyDescent="0.25">
      <c r="A683" s="8">
        <v>41587</v>
      </c>
      <c r="B683" s="4">
        <v>59646</v>
      </c>
      <c r="C683" s="57">
        <v>51.49</v>
      </c>
      <c r="D683" s="4" t="s">
        <v>1423</v>
      </c>
      <c r="E683" s="104"/>
    </row>
    <row r="684" spans="1:5" x14ac:dyDescent="0.25">
      <c r="A684" s="8">
        <v>41587</v>
      </c>
      <c r="B684" s="4">
        <v>59647</v>
      </c>
      <c r="C684" s="57">
        <v>261.58</v>
      </c>
      <c r="D684" s="4" t="s">
        <v>1423</v>
      </c>
      <c r="E684" s="104"/>
    </row>
    <row r="685" spans="1:5" x14ac:dyDescent="0.25">
      <c r="A685" s="8">
        <v>41588</v>
      </c>
      <c r="B685" s="4">
        <v>59648</v>
      </c>
      <c r="C685" s="57">
        <v>126.61</v>
      </c>
      <c r="D685" s="4" t="s">
        <v>1423</v>
      </c>
      <c r="E685" s="104"/>
    </row>
    <row r="686" spans="1:5" x14ac:dyDescent="0.25">
      <c r="A686" s="8">
        <v>41588</v>
      </c>
      <c r="B686" s="4">
        <v>59649</v>
      </c>
      <c r="C686" s="57">
        <v>304.48</v>
      </c>
      <c r="D686" s="4" t="s">
        <v>1423</v>
      </c>
      <c r="E686" s="104"/>
    </row>
    <row r="687" spans="1:5" x14ac:dyDescent="0.25">
      <c r="A687" s="8">
        <v>41588</v>
      </c>
      <c r="B687" s="4">
        <v>59650</v>
      </c>
      <c r="C687" s="57">
        <v>96.5</v>
      </c>
      <c r="D687" s="4" t="s">
        <v>1423</v>
      </c>
      <c r="E687" s="104"/>
    </row>
    <row r="688" spans="1:5" x14ac:dyDescent="0.25">
      <c r="A688" s="8">
        <v>41588</v>
      </c>
      <c r="B688" s="4">
        <v>59651</v>
      </c>
      <c r="C688" s="57">
        <v>123.14</v>
      </c>
      <c r="D688" s="4" t="s">
        <v>1423</v>
      </c>
      <c r="E688" s="104"/>
    </row>
    <row r="689" spans="1:5" x14ac:dyDescent="0.25">
      <c r="A689" s="8">
        <v>41588</v>
      </c>
      <c r="B689" s="4">
        <v>59652</v>
      </c>
      <c r="C689" s="57">
        <v>157.99</v>
      </c>
      <c r="D689" s="4" t="s">
        <v>1423</v>
      </c>
      <c r="E689" s="104"/>
    </row>
    <row r="690" spans="1:5" x14ac:dyDescent="0.25">
      <c r="A690" s="8">
        <v>41588</v>
      </c>
      <c r="B690" s="4">
        <v>59653</v>
      </c>
      <c r="C690" s="57">
        <v>229.05</v>
      </c>
      <c r="D690" s="4" t="s">
        <v>1423</v>
      </c>
      <c r="E690" s="104"/>
    </row>
    <row r="691" spans="1:5" x14ac:dyDescent="0.25">
      <c r="A691" s="8">
        <v>41588</v>
      </c>
      <c r="B691" s="4">
        <v>59654</v>
      </c>
      <c r="C691" s="57">
        <v>229.8</v>
      </c>
      <c r="D691" s="4" t="s">
        <v>1423</v>
      </c>
      <c r="E691" s="104"/>
    </row>
    <row r="692" spans="1:5" x14ac:dyDescent="0.25">
      <c r="A692" s="8">
        <v>41588</v>
      </c>
      <c r="B692" s="4">
        <v>59655</v>
      </c>
      <c r="C692" s="57">
        <v>322.58999999999997</v>
      </c>
      <c r="D692" s="4" t="s">
        <v>1423</v>
      </c>
      <c r="E692" s="104"/>
    </row>
    <row r="693" spans="1:5" x14ac:dyDescent="0.25">
      <c r="A693" s="8">
        <v>41588</v>
      </c>
      <c r="B693" s="4">
        <v>59656</v>
      </c>
      <c r="C693" s="57">
        <v>244.16</v>
      </c>
      <c r="D693" s="4" t="s">
        <v>1423</v>
      </c>
      <c r="E693" s="104"/>
    </row>
    <row r="694" spans="1:5" x14ac:dyDescent="0.25">
      <c r="A694" s="8">
        <v>41588</v>
      </c>
      <c r="B694" s="4">
        <v>59657</v>
      </c>
      <c r="C694" s="57">
        <v>277.33</v>
      </c>
      <c r="D694" s="4" t="s">
        <v>1423</v>
      </c>
      <c r="E694" s="104"/>
    </row>
    <row r="695" spans="1:5" x14ac:dyDescent="0.25">
      <c r="A695" s="8">
        <v>41588</v>
      </c>
      <c r="B695" s="4">
        <v>59658</v>
      </c>
      <c r="C695" s="57">
        <v>99.39</v>
      </c>
      <c r="D695" s="4" t="s">
        <v>1423</v>
      </c>
      <c r="E695" s="104"/>
    </row>
    <row r="696" spans="1:5" x14ac:dyDescent="0.25">
      <c r="A696" s="8">
        <v>41588</v>
      </c>
      <c r="B696" s="4">
        <v>59659</v>
      </c>
      <c r="C696" s="57">
        <v>295.95999999999998</v>
      </c>
      <c r="D696" s="4" t="s">
        <v>1423</v>
      </c>
      <c r="E696" s="104"/>
    </row>
    <row r="697" spans="1:5" x14ac:dyDescent="0.25">
      <c r="A697" s="8">
        <v>41588</v>
      </c>
      <c r="B697" s="4">
        <v>59660</v>
      </c>
      <c r="C697" s="57">
        <v>310.51</v>
      </c>
      <c r="D697" s="4" t="s">
        <v>1423</v>
      </c>
      <c r="E697" s="104"/>
    </row>
    <row r="698" spans="1:5" x14ac:dyDescent="0.25">
      <c r="A698" s="8">
        <v>41588</v>
      </c>
      <c r="B698" s="4">
        <v>59661</v>
      </c>
      <c r="C698" s="57">
        <v>94.44</v>
      </c>
      <c r="D698" s="4" t="s">
        <v>1423</v>
      </c>
      <c r="E698" s="104"/>
    </row>
    <row r="699" spans="1:5" x14ac:dyDescent="0.25">
      <c r="A699" s="8">
        <v>41588</v>
      </c>
      <c r="B699" s="4">
        <v>59662</v>
      </c>
      <c r="C699" s="57">
        <v>147</v>
      </c>
      <c r="D699" s="4" t="s">
        <v>1423</v>
      </c>
      <c r="E699" s="104"/>
    </row>
    <row r="700" spans="1:5" x14ac:dyDescent="0.25">
      <c r="A700" s="8">
        <v>41588</v>
      </c>
      <c r="B700" s="4">
        <v>59663</v>
      </c>
      <c r="C700" s="57">
        <v>108.48</v>
      </c>
      <c r="D700" s="4" t="s">
        <v>1423</v>
      </c>
      <c r="E700" s="104"/>
    </row>
    <row r="701" spans="1:5" x14ac:dyDescent="0.25">
      <c r="A701" s="8">
        <v>41588</v>
      </c>
      <c r="B701" s="4">
        <v>59664</v>
      </c>
      <c r="C701" s="57">
        <v>156.03</v>
      </c>
      <c r="D701" s="4" t="s">
        <v>1423</v>
      </c>
      <c r="E701" s="104"/>
    </row>
    <row r="702" spans="1:5" x14ac:dyDescent="0.25">
      <c r="A702" s="8">
        <v>41588</v>
      </c>
      <c r="B702" s="4">
        <v>59665</v>
      </c>
      <c r="C702" s="57">
        <v>45.15</v>
      </c>
      <c r="D702" s="4" t="s">
        <v>1423</v>
      </c>
      <c r="E702" s="104"/>
    </row>
    <row r="703" spans="1:5" x14ac:dyDescent="0.25">
      <c r="A703" s="8">
        <v>41588</v>
      </c>
      <c r="B703" s="4">
        <v>59666</v>
      </c>
      <c r="C703" s="57">
        <v>192.48</v>
      </c>
      <c r="D703" s="4" t="s">
        <v>1423</v>
      </c>
      <c r="E703" s="104"/>
    </row>
    <row r="704" spans="1:5" x14ac:dyDescent="0.25">
      <c r="A704" s="8">
        <v>41588</v>
      </c>
      <c r="B704" s="4">
        <v>59667</v>
      </c>
      <c r="C704" s="57">
        <v>43.34</v>
      </c>
      <c r="D704" s="4" t="s">
        <v>1423</v>
      </c>
      <c r="E704" s="104"/>
    </row>
    <row r="705" spans="1:5" x14ac:dyDescent="0.25">
      <c r="A705" s="8">
        <v>41588</v>
      </c>
      <c r="B705" s="4">
        <v>59668</v>
      </c>
      <c r="C705" s="57">
        <v>169.85</v>
      </c>
      <c r="D705" s="4" t="s">
        <v>1423</v>
      </c>
      <c r="E705" s="104"/>
    </row>
    <row r="706" spans="1:5" x14ac:dyDescent="0.25">
      <c r="A706" s="8">
        <v>41588</v>
      </c>
      <c r="B706" s="4">
        <v>59669</v>
      </c>
      <c r="C706" s="57">
        <v>280.01</v>
      </c>
      <c r="D706" s="4" t="s">
        <v>1423</v>
      </c>
      <c r="E706" s="104"/>
    </row>
    <row r="707" spans="1:5" x14ac:dyDescent="0.25">
      <c r="A707" s="8">
        <v>41588</v>
      </c>
      <c r="B707" s="4">
        <v>59670</v>
      </c>
      <c r="C707" s="57">
        <v>377.44</v>
      </c>
      <c r="D707" s="4" t="s">
        <v>1423</v>
      </c>
      <c r="E707" s="104"/>
    </row>
    <row r="708" spans="1:5" x14ac:dyDescent="0.25">
      <c r="A708" s="8">
        <v>41588</v>
      </c>
      <c r="B708" s="4">
        <v>59671</v>
      </c>
      <c r="C708" s="57">
        <v>345.72</v>
      </c>
      <c r="D708" s="4" t="s">
        <v>1423</v>
      </c>
      <c r="E708" s="104"/>
    </row>
    <row r="709" spans="1:5" x14ac:dyDescent="0.25">
      <c r="A709" s="8">
        <v>41589</v>
      </c>
      <c r="B709" s="4">
        <v>59672</v>
      </c>
      <c r="C709" s="57">
        <v>151.81</v>
      </c>
      <c r="D709" s="4" t="s">
        <v>1423</v>
      </c>
      <c r="E709" s="104"/>
    </row>
    <row r="710" spans="1:5" x14ac:dyDescent="0.25">
      <c r="A710" s="8">
        <v>41589</v>
      </c>
      <c r="B710" s="4">
        <v>59673</v>
      </c>
      <c r="C710" s="57">
        <v>96.52</v>
      </c>
      <c r="D710" s="4" t="s">
        <v>1423</v>
      </c>
      <c r="E710" s="104"/>
    </row>
    <row r="711" spans="1:5" x14ac:dyDescent="0.25">
      <c r="A711" s="8">
        <v>41589</v>
      </c>
      <c r="B711" s="4">
        <v>59674</v>
      </c>
      <c r="C711" s="57">
        <v>185.18</v>
      </c>
      <c r="D711" s="4" t="s">
        <v>1423</v>
      </c>
      <c r="E711" s="104"/>
    </row>
    <row r="712" spans="1:5" x14ac:dyDescent="0.25">
      <c r="A712" s="8">
        <v>41589</v>
      </c>
      <c r="B712" s="4">
        <v>59675</v>
      </c>
      <c r="C712" s="57">
        <v>115.43</v>
      </c>
      <c r="D712" s="4" t="s">
        <v>1423</v>
      </c>
      <c r="E712" s="104"/>
    </row>
    <row r="713" spans="1:5" x14ac:dyDescent="0.25">
      <c r="A713" s="8">
        <v>41589</v>
      </c>
      <c r="B713" s="4">
        <v>59676</v>
      </c>
      <c r="C713" s="57">
        <v>289.58999999999997</v>
      </c>
      <c r="D713" s="4" t="s">
        <v>1423</v>
      </c>
      <c r="E713" s="104"/>
    </row>
    <row r="714" spans="1:5" x14ac:dyDescent="0.25">
      <c r="A714" s="8">
        <v>41589</v>
      </c>
      <c r="B714" s="4">
        <v>59677</v>
      </c>
      <c r="C714" s="57">
        <v>68.97</v>
      </c>
      <c r="D714" s="4" t="s">
        <v>1423</v>
      </c>
      <c r="E714" s="104"/>
    </row>
    <row r="715" spans="1:5" x14ac:dyDescent="0.25">
      <c r="A715" s="8">
        <v>41589</v>
      </c>
      <c r="B715" s="4">
        <v>59678</v>
      </c>
      <c r="C715" s="57">
        <v>99.07</v>
      </c>
      <c r="D715" s="4" t="s">
        <v>1423</v>
      </c>
      <c r="E715" s="104"/>
    </row>
    <row r="716" spans="1:5" x14ac:dyDescent="0.25">
      <c r="A716" s="8">
        <v>41589</v>
      </c>
      <c r="B716" s="4">
        <v>59679</v>
      </c>
      <c r="C716" s="57">
        <v>154.46</v>
      </c>
      <c r="D716" s="4" t="s">
        <v>1423</v>
      </c>
      <c r="E716" s="104"/>
    </row>
    <row r="717" spans="1:5" x14ac:dyDescent="0.25">
      <c r="A717" s="8">
        <v>41589</v>
      </c>
      <c r="B717" s="4">
        <v>59680</v>
      </c>
      <c r="C717" s="57">
        <v>229.51</v>
      </c>
      <c r="D717" s="4" t="s">
        <v>1423</v>
      </c>
      <c r="E717" s="104"/>
    </row>
    <row r="718" spans="1:5" x14ac:dyDescent="0.25">
      <c r="A718" s="8">
        <v>41589</v>
      </c>
      <c r="B718" s="4">
        <v>59681</v>
      </c>
      <c r="C718" s="57">
        <v>189.82</v>
      </c>
      <c r="D718" s="4" t="s">
        <v>1423</v>
      </c>
      <c r="E718" s="104"/>
    </row>
    <row r="719" spans="1:5" x14ac:dyDescent="0.25">
      <c r="A719" s="8">
        <v>41589</v>
      </c>
      <c r="B719" s="4">
        <v>59682</v>
      </c>
      <c r="C719" s="57">
        <v>119.18</v>
      </c>
      <c r="D719" s="4" t="s">
        <v>1423</v>
      </c>
      <c r="E719" s="104"/>
    </row>
    <row r="720" spans="1:5" x14ac:dyDescent="0.25">
      <c r="A720" s="8">
        <v>41589</v>
      </c>
      <c r="B720" s="4">
        <v>59683</v>
      </c>
      <c r="C720" s="57">
        <v>104.63</v>
      </c>
      <c r="D720" s="4" t="s">
        <v>1423</v>
      </c>
      <c r="E720" s="104"/>
    </row>
    <row r="721" spans="1:5" x14ac:dyDescent="0.25">
      <c r="A721" s="8">
        <v>41589</v>
      </c>
      <c r="B721" s="4">
        <v>59684</v>
      </c>
      <c r="C721" s="57">
        <v>378.81</v>
      </c>
      <c r="D721" s="4" t="s">
        <v>1423</v>
      </c>
      <c r="E721" s="104"/>
    </row>
    <row r="722" spans="1:5" x14ac:dyDescent="0.25">
      <c r="A722" s="8">
        <v>41589</v>
      </c>
      <c r="B722" s="4">
        <v>59685</v>
      </c>
      <c r="C722" s="57">
        <v>245.55</v>
      </c>
      <c r="D722" s="4" t="s">
        <v>1423</v>
      </c>
      <c r="E722" s="104"/>
    </row>
    <row r="723" spans="1:5" x14ac:dyDescent="0.25">
      <c r="A723" s="8">
        <v>41589</v>
      </c>
      <c r="B723" s="4">
        <v>59686</v>
      </c>
      <c r="C723" s="57">
        <v>94.6</v>
      </c>
      <c r="D723" s="4" t="s">
        <v>1423</v>
      </c>
      <c r="E723" s="104"/>
    </row>
    <row r="724" spans="1:5" x14ac:dyDescent="0.25">
      <c r="A724" s="8">
        <v>41590</v>
      </c>
      <c r="B724" s="4">
        <v>59687</v>
      </c>
      <c r="C724" s="57">
        <v>195.05</v>
      </c>
      <c r="D724" s="4" t="s">
        <v>1423</v>
      </c>
      <c r="E724" s="104"/>
    </row>
    <row r="725" spans="1:5" x14ac:dyDescent="0.25">
      <c r="A725" s="8">
        <v>41590</v>
      </c>
      <c r="B725" s="4">
        <v>59688</v>
      </c>
      <c r="C725" s="57">
        <v>353.03</v>
      </c>
      <c r="D725" s="4" t="s">
        <v>1423</v>
      </c>
      <c r="E725" s="104"/>
    </row>
    <row r="726" spans="1:5" x14ac:dyDescent="0.25">
      <c r="A726" s="8">
        <v>41590</v>
      </c>
      <c r="B726" s="4">
        <v>59689</v>
      </c>
      <c r="C726" s="57">
        <v>277.45999999999998</v>
      </c>
      <c r="D726" s="4" t="s">
        <v>1423</v>
      </c>
      <c r="E726" s="104"/>
    </row>
    <row r="727" spans="1:5" x14ac:dyDescent="0.25">
      <c r="A727" s="8">
        <v>41590</v>
      </c>
      <c r="B727" s="4">
        <v>59690</v>
      </c>
      <c r="C727" s="57">
        <v>236.52</v>
      </c>
      <c r="D727" s="4" t="s">
        <v>1423</v>
      </c>
      <c r="E727" s="104"/>
    </row>
    <row r="728" spans="1:5" x14ac:dyDescent="0.25">
      <c r="A728" s="8">
        <v>41590</v>
      </c>
      <c r="B728" s="4">
        <v>59691</v>
      </c>
      <c r="C728" s="57">
        <v>265.38</v>
      </c>
      <c r="D728" s="4" t="s">
        <v>1423</v>
      </c>
      <c r="E728" s="104"/>
    </row>
    <row r="729" spans="1:5" x14ac:dyDescent="0.25">
      <c r="A729" s="8">
        <v>41590</v>
      </c>
      <c r="B729" s="4">
        <v>59692</v>
      </c>
      <c r="C729" s="57">
        <v>294.17</v>
      </c>
      <c r="D729" s="4" t="s">
        <v>1423</v>
      </c>
      <c r="E729" s="104"/>
    </row>
    <row r="730" spans="1:5" x14ac:dyDescent="0.25">
      <c r="A730" s="8">
        <v>41590</v>
      </c>
      <c r="B730" s="4">
        <v>59693</v>
      </c>
      <c r="C730" s="57">
        <v>245.73</v>
      </c>
      <c r="D730" s="4" t="s">
        <v>1423</v>
      </c>
      <c r="E730" s="104"/>
    </row>
    <row r="731" spans="1:5" x14ac:dyDescent="0.25">
      <c r="A731" s="8">
        <v>41590</v>
      </c>
      <c r="B731" s="4">
        <v>59694</v>
      </c>
      <c r="C731" s="57">
        <v>242.94</v>
      </c>
      <c r="D731" s="4" t="s">
        <v>1423</v>
      </c>
      <c r="E731" s="104"/>
    </row>
    <row r="732" spans="1:5" x14ac:dyDescent="0.25">
      <c r="A732" s="8">
        <v>41590</v>
      </c>
      <c r="B732" s="4">
        <v>59695</v>
      </c>
      <c r="C732" s="57">
        <v>56.78</v>
      </c>
      <c r="D732" s="4" t="s">
        <v>1423</v>
      </c>
      <c r="E732" s="104"/>
    </row>
    <row r="733" spans="1:5" x14ac:dyDescent="0.25">
      <c r="A733" s="8">
        <v>41590</v>
      </c>
      <c r="B733" s="4">
        <v>59696</v>
      </c>
      <c r="C733" s="57">
        <v>199.23</v>
      </c>
      <c r="D733" s="4" t="s">
        <v>1423</v>
      </c>
      <c r="E733" s="104"/>
    </row>
    <row r="734" spans="1:5" x14ac:dyDescent="0.25">
      <c r="A734" s="8">
        <v>41590</v>
      </c>
      <c r="B734" s="4">
        <v>59697</v>
      </c>
      <c r="C734" s="57">
        <v>37.520000000000003</v>
      </c>
      <c r="D734" s="4" t="s">
        <v>1423</v>
      </c>
      <c r="E734" s="104"/>
    </row>
    <row r="735" spans="1:5" x14ac:dyDescent="0.25">
      <c r="A735" s="8">
        <v>41590</v>
      </c>
      <c r="B735" s="4">
        <v>59698</v>
      </c>
      <c r="C735" s="57">
        <v>96.26</v>
      </c>
      <c r="D735" s="4" t="s">
        <v>1423</v>
      </c>
      <c r="E735" s="104"/>
    </row>
    <row r="736" spans="1:5" x14ac:dyDescent="0.25">
      <c r="A736" s="8">
        <v>41590</v>
      </c>
      <c r="B736" s="4">
        <v>59699</v>
      </c>
      <c r="C736" s="57">
        <v>164.62</v>
      </c>
      <c r="D736" s="4" t="s">
        <v>1423</v>
      </c>
      <c r="E736" s="104"/>
    </row>
    <row r="737" spans="1:5" x14ac:dyDescent="0.25">
      <c r="A737" s="8">
        <v>41590</v>
      </c>
      <c r="B737" s="4">
        <v>59700</v>
      </c>
      <c r="C737" s="57">
        <v>164.22</v>
      </c>
      <c r="D737" s="4" t="s">
        <v>1423</v>
      </c>
      <c r="E737" s="104"/>
    </row>
    <row r="738" spans="1:5" x14ac:dyDescent="0.25">
      <c r="A738" s="8">
        <v>41590</v>
      </c>
      <c r="B738" s="4">
        <v>59701</v>
      </c>
      <c r="C738" s="57">
        <v>169.44</v>
      </c>
      <c r="D738" s="4" t="s">
        <v>1423</v>
      </c>
      <c r="E738" s="104"/>
    </row>
    <row r="739" spans="1:5" x14ac:dyDescent="0.25">
      <c r="A739" s="8">
        <v>41590</v>
      </c>
      <c r="B739" s="4">
        <v>59702</v>
      </c>
      <c r="C739" s="57">
        <v>278.86</v>
      </c>
      <c r="D739" s="4" t="s">
        <v>1423</v>
      </c>
      <c r="E739" s="104"/>
    </row>
    <row r="740" spans="1:5" x14ac:dyDescent="0.25">
      <c r="A740" s="8">
        <v>41591</v>
      </c>
      <c r="B740" s="4">
        <v>59703</v>
      </c>
      <c r="C740" s="57">
        <v>97.98</v>
      </c>
      <c r="D740" s="4" t="s">
        <v>1423</v>
      </c>
      <c r="E740" s="104"/>
    </row>
    <row r="741" spans="1:5" x14ac:dyDescent="0.25">
      <c r="A741" s="8">
        <v>41591</v>
      </c>
      <c r="B741" s="4">
        <v>59704</v>
      </c>
      <c r="C741" s="57">
        <v>56.11</v>
      </c>
      <c r="D741" s="4" t="s">
        <v>1423</v>
      </c>
      <c r="E741" s="104"/>
    </row>
    <row r="742" spans="1:5" x14ac:dyDescent="0.25">
      <c r="A742" s="8">
        <v>41591</v>
      </c>
      <c r="B742" s="4">
        <v>59705</v>
      </c>
      <c r="C742" s="57">
        <v>54.86</v>
      </c>
      <c r="D742" s="4" t="s">
        <v>1423</v>
      </c>
      <c r="E742" s="104"/>
    </row>
    <row r="743" spans="1:5" x14ac:dyDescent="0.25">
      <c r="A743" s="8">
        <v>41591</v>
      </c>
      <c r="B743" s="4">
        <v>59706</v>
      </c>
      <c r="C743" s="57">
        <v>78.06</v>
      </c>
      <c r="D743" s="4" t="s">
        <v>1423</v>
      </c>
      <c r="E743" s="104"/>
    </row>
    <row r="744" spans="1:5" x14ac:dyDescent="0.25">
      <c r="A744" s="8">
        <v>41591</v>
      </c>
      <c r="B744" s="4">
        <v>59707</v>
      </c>
      <c r="C744" s="57">
        <v>55.38</v>
      </c>
      <c r="D744" s="4" t="s">
        <v>1423</v>
      </c>
      <c r="E744" s="104"/>
    </row>
    <row r="745" spans="1:5" x14ac:dyDescent="0.25">
      <c r="A745" s="8">
        <v>41591</v>
      </c>
      <c r="B745" s="4">
        <v>59708</v>
      </c>
      <c r="C745" s="57">
        <v>95.66</v>
      </c>
      <c r="D745" s="4" t="s">
        <v>1423</v>
      </c>
      <c r="E745" s="104"/>
    </row>
    <row r="746" spans="1:5" x14ac:dyDescent="0.25">
      <c r="A746" s="8">
        <v>41591</v>
      </c>
      <c r="B746" s="4">
        <v>59709</v>
      </c>
      <c r="C746" s="57">
        <v>159.21</v>
      </c>
      <c r="D746" s="4" t="s">
        <v>1423</v>
      </c>
      <c r="E746" s="104"/>
    </row>
    <row r="747" spans="1:5" x14ac:dyDescent="0.25">
      <c r="A747" s="8">
        <v>41591</v>
      </c>
      <c r="B747" s="4">
        <v>59710</v>
      </c>
      <c r="C747" s="57">
        <v>64.09</v>
      </c>
      <c r="D747" s="4" t="s">
        <v>1423</v>
      </c>
      <c r="E747" s="104"/>
    </row>
    <row r="748" spans="1:5" x14ac:dyDescent="0.25">
      <c r="A748" s="8">
        <v>41591</v>
      </c>
      <c r="B748" s="4">
        <v>59711</v>
      </c>
      <c r="C748" s="57">
        <v>326.10000000000002</v>
      </c>
      <c r="D748" s="4" t="s">
        <v>1423</v>
      </c>
      <c r="E748" s="104"/>
    </row>
    <row r="749" spans="1:5" x14ac:dyDescent="0.25">
      <c r="A749" s="8">
        <v>41591</v>
      </c>
      <c r="B749" s="4">
        <v>59712</v>
      </c>
      <c r="C749" s="57">
        <v>193.39</v>
      </c>
      <c r="D749" s="4" t="s">
        <v>1423</v>
      </c>
      <c r="E749" s="104"/>
    </row>
    <row r="750" spans="1:5" x14ac:dyDescent="0.25">
      <c r="A750" s="8">
        <v>41591</v>
      </c>
      <c r="B750" s="4">
        <v>59713</v>
      </c>
      <c r="C750" s="57">
        <v>317.72000000000003</v>
      </c>
      <c r="D750" s="4" t="s">
        <v>1423</v>
      </c>
      <c r="E750" s="104"/>
    </row>
    <row r="751" spans="1:5" x14ac:dyDescent="0.25">
      <c r="A751" s="8">
        <v>41591</v>
      </c>
      <c r="B751" s="4">
        <v>59714</v>
      </c>
      <c r="C751" s="57">
        <v>48.07</v>
      </c>
      <c r="D751" s="4" t="s">
        <v>1423</v>
      </c>
      <c r="E751" s="104"/>
    </row>
    <row r="752" spans="1:5" x14ac:dyDescent="0.25">
      <c r="A752" s="8">
        <v>41591</v>
      </c>
      <c r="B752" s="4">
        <v>59715</v>
      </c>
      <c r="C752" s="57">
        <v>193.25</v>
      </c>
      <c r="D752" s="4" t="s">
        <v>1423</v>
      </c>
      <c r="E752" s="104"/>
    </row>
    <row r="753" spans="1:5" x14ac:dyDescent="0.25">
      <c r="A753" s="8">
        <v>41591</v>
      </c>
      <c r="B753" s="4">
        <v>59716</v>
      </c>
      <c r="C753" s="57">
        <v>294.49</v>
      </c>
      <c r="D753" s="4" t="s">
        <v>1423</v>
      </c>
      <c r="E753" s="104"/>
    </row>
    <row r="754" spans="1:5" x14ac:dyDescent="0.25">
      <c r="A754" s="8">
        <v>41591</v>
      </c>
      <c r="B754" s="4">
        <v>59717</v>
      </c>
      <c r="C754" s="57">
        <v>217</v>
      </c>
      <c r="D754" s="4" t="s">
        <v>1423</v>
      </c>
      <c r="E754" s="104"/>
    </row>
    <row r="755" spans="1:5" x14ac:dyDescent="0.25">
      <c r="A755" s="8">
        <v>41591</v>
      </c>
      <c r="B755" s="4">
        <v>59718</v>
      </c>
      <c r="C755" s="57">
        <v>104.04</v>
      </c>
      <c r="D755" s="4" t="s">
        <v>1423</v>
      </c>
      <c r="E755" s="104"/>
    </row>
    <row r="756" spans="1:5" x14ac:dyDescent="0.25">
      <c r="A756" s="8">
        <v>41591</v>
      </c>
      <c r="B756" s="4">
        <v>59719</v>
      </c>
      <c r="C756" s="57">
        <v>153.94999999999999</v>
      </c>
      <c r="D756" s="4" t="s">
        <v>1423</v>
      </c>
      <c r="E756" s="104"/>
    </row>
    <row r="757" spans="1:5" x14ac:dyDescent="0.25">
      <c r="A757" s="8">
        <v>41591</v>
      </c>
      <c r="B757" s="4">
        <v>59720</v>
      </c>
      <c r="C757" s="57">
        <v>79.61</v>
      </c>
      <c r="D757" s="4" t="s">
        <v>1423</v>
      </c>
      <c r="E757" s="104"/>
    </row>
    <row r="758" spans="1:5" x14ac:dyDescent="0.25">
      <c r="A758" s="8">
        <v>41592</v>
      </c>
      <c r="B758" s="4">
        <v>59721</v>
      </c>
      <c r="C758" s="57">
        <v>58.5</v>
      </c>
      <c r="D758" s="4" t="s">
        <v>1423</v>
      </c>
      <c r="E758" s="104"/>
    </row>
    <row r="759" spans="1:5" x14ac:dyDescent="0.25">
      <c r="A759" s="8">
        <v>41592</v>
      </c>
      <c r="B759" s="4">
        <v>59722</v>
      </c>
      <c r="C759" s="57">
        <v>203.04</v>
      </c>
      <c r="D759" s="4" t="s">
        <v>1423</v>
      </c>
      <c r="E759" s="104"/>
    </row>
    <row r="760" spans="1:5" x14ac:dyDescent="0.25">
      <c r="A760" s="8">
        <v>41592</v>
      </c>
      <c r="B760" s="4">
        <v>59723</v>
      </c>
      <c r="C760" s="57">
        <v>244.87</v>
      </c>
      <c r="D760" s="4" t="s">
        <v>1423</v>
      </c>
      <c r="E760" s="104"/>
    </row>
    <row r="761" spans="1:5" x14ac:dyDescent="0.25">
      <c r="A761" s="8">
        <v>41592</v>
      </c>
      <c r="B761" s="4">
        <v>59724</v>
      </c>
      <c r="C761" s="57">
        <v>234.89</v>
      </c>
      <c r="D761" s="4" t="s">
        <v>1423</v>
      </c>
      <c r="E761" s="104"/>
    </row>
    <row r="762" spans="1:5" x14ac:dyDescent="0.25">
      <c r="A762" s="8">
        <v>41592</v>
      </c>
      <c r="B762" s="4">
        <v>59725</v>
      </c>
      <c r="C762" s="57">
        <v>166.17</v>
      </c>
      <c r="D762" s="4" t="s">
        <v>1423</v>
      </c>
      <c r="E762" s="104"/>
    </row>
    <row r="763" spans="1:5" x14ac:dyDescent="0.25">
      <c r="A763" s="8">
        <v>41592</v>
      </c>
      <c r="B763" s="4">
        <v>59726</v>
      </c>
      <c r="C763" s="57">
        <v>279.49</v>
      </c>
      <c r="D763" s="4" t="s">
        <v>1423</v>
      </c>
      <c r="E763" s="104"/>
    </row>
    <row r="764" spans="1:5" x14ac:dyDescent="0.25">
      <c r="A764" s="8">
        <v>41592</v>
      </c>
      <c r="B764" s="4">
        <v>59727</v>
      </c>
      <c r="C764" s="57">
        <v>188.78</v>
      </c>
      <c r="D764" s="4" t="s">
        <v>1423</v>
      </c>
      <c r="E764" s="104"/>
    </row>
    <row r="765" spans="1:5" x14ac:dyDescent="0.25">
      <c r="A765" s="8">
        <v>41592</v>
      </c>
      <c r="B765" s="4">
        <v>59728</v>
      </c>
      <c r="C765" s="57">
        <v>94.41</v>
      </c>
      <c r="D765" s="4" t="s">
        <v>1423</v>
      </c>
      <c r="E765" s="104"/>
    </row>
    <row r="766" spans="1:5" x14ac:dyDescent="0.25">
      <c r="A766" s="8">
        <v>41592</v>
      </c>
      <c r="B766" s="4">
        <v>59729</v>
      </c>
      <c r="C766" s="57">
        <v>170.09</v>
      </c>
      <c r="D766" s="4" t="s">
        <v>1423</v>
      </c>
      <c r="E766" s="104"/>
    </row>
    <row r="767" spans="1:5" x14ac:dyDescent="0.25">
      <c r="A767" s="8">
        <v>41592</v>
      </c>
      <c r="B767" s="4">
        <v>59730</v>
      </c>
      <c r="C767" s="57">
        <v>316.27999999999997</v>
      </c>
      <c r="D767" s="4" t="s">
        <v>1423</v>
      </c>
      <c r="E767" s="104"/>
    </row>
    <row r="768" spans="1:5" x14ac:dyDescent="0.25">
      <c r="A768" s="8">
        <v>41592</v>
      </c>
      <c r="B768" s="4">
        <v>59731</v>
      </c>
      <c r="C768" s="57">
        <v>227.8</v>
      </c>
      <c r="D768" s="4" t="s">
        <v>1423</v>
      </c>
      <c r="E768" s="104"/>
    </row>
    <row r="769" spans="1:5" x14ac:dyDescent="0.25">
      <c r="A769" s="8">
        <v>41592</v>
      </c>
      <c r="B769" s="4">
        <v>59732</v>
      </c>
      <c r="C769" s="57">
        <v>215.52</v>
      </c>
      <c r="D769" s="4" t="s">
        <v>1423</v>
      </c>
      <c r="E769" s="104"/>
    </row>
    <row r="770" spans="1:5" x14ac:dyDescent="0.25">
      <c r="A770" s="8">
        <v>41592</v>
      </c>
      <c r="B770" s="4">
        <v>59733</v>
      </c>
      <c r="C770" s="57">
        <v>51.98</v>
      </c>
      <c r="D770" s="4" t="s">
        <v>1423</v>
      </c>
      <c r="E770" s="104"/>
    </row>
    <row r="771" spans="1:5" x14ac:dyDescent="0.25">
      <c r="A771" s="8">
        <v>41592</v>
      </c>
      <c r="B771" s="4">
        <v>59734</v>
      </c>
      <c r="C771" s="57">
        <v>304.61</v>
      </c>
      <c r="D771" s="4" t="s">
        <v>1423</v>
      </c>
      <c r="E771" s="104"/>
    </row>
    <row r="772" spans="1:5" x14ac:dyDescent="0.25">
      <c r="A772" s="8">
        <v>41592</v>
      </c>
      <c r="B772" s="4">
        <v>59735</v>
      </c>
      <c r="C772" s="57">
        <v>264.08</v>
      </c>
      <c r="D772" s="4" t="s">
        <v>1423</v>
      </c>
      <c r="E772" s="104"/>
    </row>
    <row r="773" spans="1:5" x14ac:dyDescent="0.25">
      <c r="A773" s="8">
        <v>41592</v>
      </c>
      <c r="B773" s="4">
        <v>59736</v>
      </c>
      <c r="C773" s="57">
        <v>174.42</v>
      </c>
      <c r="D773" s="4" t="s">
        <v>1423</v>
      </c>
      <c r="E773" s="104"/>
    </row>
    <row r="774" spans="1:5" x14ac:dyDescent="0.25">
      <c r="A774" s="8">
        <v>41592</v>
      </c>
      <c r="B774" s="4">
        <v>59737</v>
      </c>
      <c r="C774" s="57">
        <v>98.78</v>
      </c>
      <c r="D774" s="4" t="s">
        <v>1423</v>
      </c>
      <c r="E774" s="104"/>
    </row>
    <row r="775" spans="1:5" x14ac:dyDescent="0.25">
      <c r="A775" s="8">
        <v>41592</v>
      </c>
      <c r="B775" s="4">
        <v>59738</v>
      </c>
      <c r="C775" s="57">
        <v>52.73</v>
      </c>
      <c r="D775" s="4" t="s">
        <v>1423</v>
      </c>
      <c r="E775" s="104"/>
    </row>
    <row r="776" spans="1:5" x14ac:dyDescent="0.25">
      <c r="A776" s="8">
        <v>41592</v>
      </c>
      <c r="B776" s="4">
        <v>59739</v>
      </c>
      <c r="C776" s="57">
        <v>161.49</v>
      </c>
      <c r="D776" s="4" t="s">
        <v>1423</v>
      </c>
      <c r="E776" s="104"/>
    </row>
    <row r="777" spans="1:5" x14ac:dyDescent="0.25">
      <c r="A777" s="8">
        <v>41592</v>
      </c>
      <c r="B777" s="4">
        <v>59740</v>
      </c>
      <c r="C777" s="57">
        <v>68.02</v>
      </c>
      <c r="D777" s="4" t="s">
        <v>1423</v>
      </c>
      <c r="E777" s="104"/>
    </row>
    <row r="778" spans="1:5" x14ac:dyDescent="0.25">
      <c r="A778" s="8">
        <v>41592</v>
      </c>
      <c r="B778" s="4">
        <v>59741</v>
      </c>
      <c r="C778" s="57">
        <v>242.04</v>
      </c>
      <c r="D778" s="4" t="s">
        <v>1423</v>
      </c>
      <c r="E778" s="104"/>
    </row>
    <row r="779" spans="1:5" x14ac:dyDescent="0.25">
      <c r="A779" s="8">
        <v>41592</v>
      </c>
      <c r="B779" s="4">
        <v>59742</v>
      </c>
      <c r="C779" s="57">
        <v>140.72</v>
      </c>
      <c r="D779" s="4" t="s">
        <v>1423</v>
      </c>
      <c r="E779" s="104"/>
    </row>
    <row r="780" spans="1:5" x14ac:dyDescent="0.25">
      <c r="A780" s="8">
        <v>41592</v>
      </c>
      <c r="B780" s="4">
        <v>59743</v>
      </c>
      <c r="C780" s="57">
        <v>103.89</v>
      </c>
      <c r="D780" s="4" t="s">
        <v>1423</v>
      </c>
      <c r="E780" s="104"/>
    </row>
    <row r="781" spans="1:5" x14ac:dyDescent="0.25">
      <c r="A781" s="8">
        <v>41592</v>
      </c>
      <c r="B781" s="4">
        <v>59744</v>
      </c>
      <c r="C781" s="57">
        <v>105.2</v>
      </c>
      <c r="D781" s="4" t="s">
        <v>1423</v>
      </c>
      <c r="E781" s="104"/>
    </row>
    <row r="782" spans="1:5" x14ac:dyDescent="0.25">
      <c r="A782" s="8">
        <v>41592</v>
      </c>
      <c r="B782" s="4">
        <v>59745</v>
      </c>
      <c r="C782" s="57">
        <v>35.979999999999997</v>
      </c>
      <c r="D782" s="4" t="s">
        <v>1423</v>
      </c>
      <c r="E782" s="104"/>
    </row>
    <row r="783" spans="1:5" x14ac:dyDescent="0.25">
      <c r="A783" s="8">
        <v>41593</v>
      </c>
      <c r="B783" s="4">
        <v>59746</v>
      </c>
      <c r="C783" s="57">
        <v>79.75</v>
      </c>
      <c r="D783" s="4" t="s">
        <v>1423</v>
      </c>
      <c r="E783" s="104"/>
    </row>
    <row r="784" spans="1:5" x14ac:dyDescent="0.25">
      <c r="A784" s="8">
        <v>41593</v>
      </c>
      <c r="B784" s="4">
        <v>59747</v>
      </c>
      <c r="C784" s="57">
        <v>211.91</v>
      </c>
      <c r="D784" s="4" t="s">
        <v>1423</v>
      </c>
      <c r="E784" s="104"/>
    </row>
    <row r="785" spans="1:5" x14ac:dyDescent="0.25">
      <c r="A785" s="8">
        <v>41593</v>
      </c>
      <c r="B785" s="4">
        <v>59748</v>
      </c>
      <c r="C785" s="57">
        <v>235.98</v>
      </c>
      <c r="D785" s="4" t="s">
        <v>1423</v>
      </c>
      <c r="E785" s="104"/>
    </row>
    <row r="786" spans="1:5" x14ac:dyDescent="0.25">
      <c r="A786" s="8">
        <v>41593</v>
      </c>
      <c r="B786" s="4">
        <v>59749</v>
      </c>
      <c r="C786" s="57">
        <v>38.92</v>
      </c>
      <c r="D786" s="4" t="s">
        <v>1423</v>
      </c>
      <c r="E786" s="104"/>
    </row>
    <row r="787" spans="1:5" x14ac:dyDescent="0.25">
      <c r="A787" s="8">
        <v>41593</v>
      </c>
      <c r="B787" s="4">
        <v>59750</v>
      </c>
      <c r="C787" s="57">
        <v>237.26</v>
      </c>
      <c r="D787" s="4" t="s">
        <v>1423</v>
      </c>
      <c r="E787" s="104"/>
    </row>
    <row r="788" spans="1:5" x14ac:dyDescent="0.25">
      <c r="A788" s="8">
        <v>41593</v>
      </c>
      <c r="B788" s="4">
        <v>59751</v>
      </c>
      <c r="C788" s="57">
        <v>335.56</v>
      </c>
      <c r="D788" s="4" t="s">
        <v>1423</v>
      </c>
      <c r="E788" s="104"/>
    </row>
    <row r="789" spans="1:5" x14ac:dyDescent="0.25">
      <c r="A789" s="8">
        <v>41593</v>
      </c>
      <c r="B789" s="4">
        <v>59752</v>
      </c>
      <c r="C789" s="57">
        <v>328.54</v>
      </c>
      <c r="D789" s="4" t="s">
        <v>1423</v>
      </c>
      <c r="E789" s="104"/>
    </row>
    <row r="790" spans="1:5" x14ac:dyDescent="0.25">
      <c r="A790" s="8">
        <v>41593</v>
      </c>
      <c r="B790" s="4">
        <v>59753</v>
      </c>
      <c r="C790" s="57">
        <v>247.91</v>
      </c>
      <c r="D790" s="4" t="s">
        <v>1423</v>
      </c>
      <c r="E790" s="104"/>
    </row>
    <row r="791" spans="1:5" x14ac:dyDescent="0.25">
      <c r="A791" s="8">
        <v>41593</v>
      </c>
      <c r="B791" s="4">
        <v>59754</v>
      </c>
      <c r="C791" s="57">
        <v>222.26</v>
      </c>
      <c r="D791" s="4" t="s">
        <v>1423</v>
      </c>
      <c r="E791" s="104"/>
    </row>
    <row r="792" spans="1:5" x14ac:dyDescent="0.25">
      <c r="A792" s="8">
        <v>41593</v>
      </c>
      <c r="B792" s="4">
        <v>59755</v>
      </c>
      <c r="C792" s="57">
        <v>214.01</v>
      </c>
      <c r="D792" s="4" t="s">
        <v>1423</v>
      </c>
      <c r="E792" s="104"/>
    </row>
    <row r="793" spans="1:5" x14ac:dyDescent="0.25">
      <c r="A793" s="8">
        <v>41593</v>
      </c>
      <c r="B793" s="4">
        <v>59756</v>
      </c>
      <c r="C793" s="57">
        <v>98.23</v>
      </c>
      <c r="D793" s="4" t="s">
        <v>1423</v>
      </c>
      <c r="E793" s="104"/>
    </row>
    <row r="794" spans="1:5" x14ac:dyDescent="0.25">
      <c r="A794" s="8">
        <v>41593</v>
      </c>
      <c r="B794" s="4">
        <v>59757</v>
      </c>
      <c r="C794" s="57">
        <v>143.38999999999999</v>
      </c>
      <c r="D794" s="4" t="s">
        <v>1423</v>
      </c>
      <c r="E794" s="104"/>
    </row>
    <row r="795" spans="1:5" x14ac:dyDescent="0.25">
      <c r="A795" s="8">
        <v>41593</v>
      </c>
      <c r="B795" s="4">
        <v>59758</v>
      </c>
      <c r="C795" s="57">
        <v>327.13</v>
      </c>
      <c r="D795" s="4" t="s">
        <v>1423</v>
      </c>
      <c r="E795" s="104"/>
    </row>
    <row r="796" spans="1:5" x14ac:dyDescent="0.25">
      <c r="A796" s="8">
        <v>41593</v>
      </c>
      <c r="B796" s="4">
        <v>59759</v>
      </c>
      <c r="C796" s="57">
        <v>364.84</v>
      </c>
      <c r="D796" s="4" t="s">
        <v>1423</v>
      </c>
      <c r="E796" s="104"/>
    </row>
    <row r="797" spans="1:5" x14ac:dyDescent="0.25">
      <c r="A797" s="8">
        <v>41593</v>
      </c>
      <c r="B797" s="4">
        <v>59760</v>
      </c>
      <c r="C797" s="57">
        <v>195.28</v>
      </c>
      <c r="D797" s="4" t="s">
        <v>1423</v>
      </c>
      <c r="E797" s="104"/>
    </row>
    <row r="798" spans="1:5" x14ac:dyDescent="0.25">
      <c r="A798" s="8">
        <v>41593</v>
      </c>
      <c r="B798" s="4">
        <v>59761</v>
      </c>
      <c r="C798" s="57">
        <v>35.08</v>
      </c>
      <c r="D798" s="4" t="s">
        <v>1423</v>
      </c>
      <c r="E798" s="104"/>
    </row>
    <row r="799" spans="1:5" x14ac:dyDescent="0.25">
      <c r="A799" s="8">
        <v>41593</v>
      </c>
      <c r="B799" s="4">
        <v>59762</v>
      </c>
      <c r="C799" s="57">
        <v>88.7</v>
      </c>
      <c r="D799" s="4" t="s">
        <v>1423</v>
      </c>
      <c r="E799" s="104"/>
    </row>
    <row r="800" spans="1:5" x14ac:dyDescent="0.25">
      <c r="A800" s="8">
        <v>41593</v>
      </c>
      <c r="B800" s="4">
        <v>59763</v>
      </c>
      <c r="C800" s="57">
        <v>98.44</v>
      </c>
      <c r="D800" s="4" t="s">
        <v>1423</v>
      </c>
      <c r="E800" s="104"/>
    </row>
    <row r="801" spans="1:5" x14ac:dyDescent="0.25">
      <c r="A801" s="8">
        <v>41593</v>
      </c>
      <c r="B801" s="4">
        <v>59764</v>
      </c>
      <c r="C801" s="57">
        <v>344.86</v>
      </c>
      <c r="D801" s="4" t="s">
        <v>1423</v>
      </c>
      <c r="E801" s="104"/>
    </row>
    <row r="802" spans="1:5" x14ac:dyDescent="0.25">
      <c r="A802" s="8">
        <v>41593</v>
      </c>
      <c r="B802" s="4">
        <v>59765</v>
      </c>
      <c r="C802" s="57">
        <v>38.42</v>
      </c>
      <c r="D802" s="4" t="s">
        <v>1423</v>
      </c>
      <c r="E802" s="104"/>
    </row>
    <row r="803" spans="1:5" x14ac:dyDescent="0.25">
      <c r="A803" s="8">
        <v>41593</v>
      </c>
      <c r="B803" s="4">
        <v>59766</v>
      </c>
      <c r="C803" s="57">
        <v>183.44</v>
      </c>
      <c r="D803" s="4" t="s">
        <v>1423</v>
      </c>
      <c r="E803" s="104"/>
    </row>
    <row r="804" spans="1:5" x14ac:dyDescent="0.25">
      <c r="A804" s="8">
        <v>41593</v>
      </c>
      <c r="B804" s="4">
        <v>59767</v>
      </c>
      <c r="C804" s="57">
        <v>227.2</v>
      </c>
      <c r="D804" s="4" t="s">
        <v>1423</v>
      </c>
      <c r="E804" s="104"/>
    </row>
    <row r="805" spans="1:5" x14ac:dyDescent="0.25">
      <c r="A805" s="8">
        <v>41593</v>
      </c>
      <c r="B805" s="4">
        <v>59768</v>
      </c>
      <c r="C805" s="57">
        <v>365.95</v>
      </c>
      <c r="D805" s="4" t="s">
        <v>1423</v>
      </c>
      <c r="E805" s="104"/>
    </row>
    <row r="806" spans="1:5" x14ac:dyDescent="0.25">
      <c r="A806" s="8">
        <v>41593</v>
      </c>
      <c r="B806" s="4">
        <v>59769</v>
      </c>
      <c r="C806" s="57">
        <v>129.94999999999999</v>
      </c>
      <c r="D806" s="4" t="s">
        <v>1423</v>
      </c>
      <c r="E806" s="104"/>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E806"/>
  <sheetViews>
    <sheetView zoomScale="115" zoomScaleNormal="115" workbookViewId="0">
      <selection activeCell="E5" sqref="E5"/>
    </sheetView>
  </sheetViews>
  <sheetFormatPr defaultRowHeight="15" x14ac:dyDescent="0.25"/>
  <cols>
    <col min="1" max="1" width="17.7109375" customWidth="1"/>
    <col min="2" max="2" width="13" customWidth="1"/>
    <col min="3" max="3" width="9.85546875" bestFit="1" customWidth="1"/>
    <col min="4" max="4" width="25.7109375" bestFit="1" customWidth="1"/>
    <col min="5" max="5" width="12.28515625" customWidth="1"/>
    <col min="6" max="6" width="1.85546875" customWidth="1"/>
    <col min="8" max="8" width="1.85546875" customWidth="1"/>
    <col min="9" max="9" width="11.140625" bestFit="1" customWidth="1"/>
  </cols>
  <sheetData>
    <row r="1" spans="1:5" x14ac:dyDescent="0.25">
      <c r="A1" s="63" t="s">
        <v>1424</v>
      </c>
      <c r="B1" s="64"/>
      <c r="C1" s="65"/>
    </row>
    <row r="4" spans="1:5" ht="26.25" x14ac:dyDescent="0.25">
      <c r="A4" s="11" t="s">
        <v>42</v>
      </c>
      <c r="B4" s="11" t="s">
        <v>1414</v>
      </c>
      <c r="C4" s="11" t="s">
        <v>1415</v>
      </c>
      <c r="D4" s="11" t="s">
        <v>1416</v>
      </c>
      <c r="E4" s="11" t="s">
        <v>1417</v>
      </c>
    </row>
    <row r="5" spans="1:5" x14ac:dyDescent="0.25">
      <c r="A5" s="8">
        <v>41550</v>
      </c>
      <c r="B5" s="4">
        <v>58968</v>
      </c>
      <c r="C5" s="57">
        <v>320.98</v>
      </c>
      <c r="D5" s="4" t="s">
        <v>1423</v>
      </c>
      <c r="E5" s="104">
        <f>EDATE(A5,1)</f>
        <v>41581</v>
      </c>
    </row>
    <row r="6" spans="1:5" x14ac:dyDescent="0.25">
      <c r="A6" s="8">
        <v>41550</v>
      </c>
      <c r="B6" s="4">
        <v>58969</v>
      </c>
      <c r="C6" s="57">
        <v>92.25</v>
      </c>
      <c r="D6" s="4" t="s">
        <v>1423</v>
      </c>
      <c r="E6" s="104">
        <f t="shared" ref="E6:E69" si="0">EDATE(A6,1)</f>
        <v>41581</v>
      </c>
    </row>
    <row r="7" spans="1:5" x14ac:dyDescent="0.25">
      <c r="A7" s="8">
        <v>41550</v>
      </c>
      <c r="B7" s="4">
        <v>58970</v>
      </c>
      <c r="C7" s="57">
        <v>47.54</v>
      </c>
      <c r="D7" s="4" t="s">
        <v>1423</v>
      </c>
      <c r="E7" s="104">
        <f t="shared" si="0"/>
        <v>41581</v>
      </c>
    </row>
    <row r="8" spans="1:5" x14ac:dyDescent="0.25">
      <c r="A8" s="8">
        <v>41550</v>
      </c>
      <c r="B8" s="4">
        <v>58971</v>
      </c>
      <c r="C8" s="57">
        <v>385.71</v>
      </c>
      <c r="D8" s="4" t="s">
        <v>1423</v>
      </c>
      <c r="E8" s="104">
        <f t="shared" si="0"/>
        <v>41581</v>
      </c>
    </row>
    <row r="9" spans="1:5" x14ac:dyDescent="0.25">
      <c r="A9" s="8">
        <v>41550</v>
      </c>
      <c r="B9" s="4">
        <v>58972</v>
      </c>
      <c r="C9" s="57">
        <v>216.01</v>
      </c>
      <c r="D9" s="4" t="s">
        <v>1423</v>
      </c>
      <c r="E9" s="104">
        <f t="shared" si="0"/>
        <v>41581</v>
      </c>
    </row>
    <row r="10" spans="1:5" x14ac:dyDescent="0.25">
      <c r="A10" s="8">
        <v>41550</v>
      </c>
      <c r="B10" s="4">
        <v>58973</v>
      </c>
      <c r="C10" s="57">
        <v>236.64</v>
      </c>
      <c r="D10" s="4" t="s">
        <v>1423</v>
      </c>
      <c r="E10" s="104">
        <f t="shared" si="0"/>
        <v>41581</v>
      </c>
    </row>
    <row r="11" spans="1:5" x14ac:dyDescent="0.25">
      <c r="A11" s="8">
        <v>41550</v>
      </c>
      <c r="B11" s="4">
        <v>58974</v>
      </c>
      <c r="C11" s="57">
        <v>107.74</v>
      </c>
      <c r="D11" s="4" t="s">
        <v>1423</v>
      </c>
      <c r="E11" s="104">
        <f t="shared" si="0"/>
        <v>41581</v>
      </c>
    </row>
    <row r="12" spans="1:5" x14ac:dyDescent="0.25">
      <c r="A12" s="8">
        <v>41550</v>
      </c>
      <c r="B12" s="4">
        <v>58975</v>
      </c>
      <c r="C12" s="57">
        <v>258.29000000000002</v>
      </c>
      <c r="D12" s="4" t="s">
        <v>1423</v>
      </c>
      <c r="E12" s="104">
        <f t="shared" si="0"/>
        <v>41581</v>
      </c>
    </row>
    <row r="13" spans="1:5" x14ac:dyDescent="0.25">
      <c r="A13" s="8">
        <v>41550</v>
      </c>
      <c r="B13" s="4">
        <v>58976</v>
      </c>
      <c r="C13" s="57">
        <v>87.58</v>
      </c>
      <c r="D13" s="4" t="s">
        <v>1423</v>
      </c>
      <c r="E13" s="104">
        <f t="shared" si="0"/>
        <v>41581</v>
      </c>
    </row>
    <row r="14" spans="1:5" x14ac:dyDescent="0.25">
      <c r="A14" s="8">
        <v>41550</v>
      </c>
      <c r="B14" s="4">
        <v>58977</v>
      </c>
      <c r="C14" s="57">
        <v>122.03</v>
      </c>
      <c r="D14" s="4" t="s">
        <v>1423</v>
      </c>
      <c r="E14" s="104">
        <f t="shared" si="0"/>
        <v>41581</v>
      </c>
    </row>
    <row r="15" spans="1:5" x14ac:dyDescent="0.25">
      <c r="A15" s="8">
        <v>41550</v>
      </c>
      <c r="B15" s="4">
        <v>58978</v>
      </c>
      <c r="C15" s="57">
        <v>88.41</v>
      </c>
      <c r="D15" s="4" t="s">
        <v>1423</v>
      </c>
      <c r="E15" s="104">
        <f t="shared" si="0"/>
        <v>41581</v>
      </c>
    </row>
    <row r="16" spans="1:5" x14ac:dyDescent="0.25">
      <c r="A16" s="8">
        <v>41551</v>
      </c>
      <c r="B16" s="4">
        <v>58979</v>
      </c>
      <c r="C16" s="57">
        <v>286.39999999999998</v>
      </c>
      <c r="D16" s="4" t="s">
        <v>1423</v>
      </c>
      <c r="E16" s="104">
        <f t="shared" si="0"/>
        <v>41582</v>
      </c>
    </row>
    <row r="17" spans="1:5" x14ac:dyDescent="0.25">
      <c r="A17" s="8">
        <v>41551</v>
      </c>
      <c r="B17" s="4">
        <v>58980</v>
      </c>
      <c r="C17" s="57">
        <v>277.08999999999997</v>
      </c>
      <c r="D17" s="4" t="s">
        <v>1423</v>
      </c>
      <c r="E17" s="104">
        <f t="shared" si="0"/>
        <v>41582</v>
      </c>
    </row>
    <row r="18" spans="1:5" x14ac:dyDescent="0.25">
      <c r="A18" s="8">
        <v>41551</v>
      </c>
      <c r="B18" s="4">
        <v>58981</v>
      </c>
      <c r="C18" s="57">
        <v>212.03</v>
      </c>
      <c r="D18" s="4" t="s">
        <v>1423</v>
      </c>
      <c r="E18" s="104">
        <f t="shared" si="0"/>
        <v>41582</v>
      </c>
    </row>
    <row r="19" spans="1:5" x14ac:dyDescent="0.25">
      <c r="A19" s="8">
        <v>41551</v>
      </c>
      <c r="B19" s="4">
        <v>58982</v>
      </c>
      <c r="C19" s="57">
        <v>130.04</v>
      </c>
      <c r="D19" s="4" t="s">
        <v>1423</v>
      </c>
      <c r="E19" s="104">
        <f t="shared" si="0"/>
        <v>41582</v>
      </c>
    </row>
    <row r="20" spans="1:5" x14ac:dyDescent="0.25">
      <c r="A20" s="8">
        <v>41551</v>
      </c>
      <c r="B20" s="4">
        <v>58983</v>
      </c>
      <c r="C20" s="57">
        <v>272.83</v>
      </c>
      <c r="D20" s="4" t="s">
        <v>1423</v>
      </c>
      <c r="E20" s="104">
        <f t="shared" si="0"/>
        <v>41582</v>
      </c>
    </row>
    <row r="21" spans="1:5" x14ac:dyDescent="0.25">
      <c r="A21" s="8">
        <v>41551</v>
      </c>
      <c r="B21" s="4">
        <v>58984</v>
      </c>
      <c r="C21" s="57">
        <v>68.44</v>
      </c>
      <c r="D21" s="4" t="s">
        <v>1423</v>
      </c>
      <c r="E21" s="104">
        <f t="shared" si="0"/>
        <v>41582</v>
      </c>
    </row>
    <row r="22" spans="1:5" x14ac:dyDescent="0.25">
      <c r="A22" s="8">
        <v>41551</v>
      </c>
      <c r="B22" s="4">
        <v>58985</v>
      </c>
      <c r="C22" s="57">
        <v>63.62</v>
      </c>
      <c r="D22" s="4" t="s">
        <v>1423</v>
      </c>
      <c r="E22" s="104">
        <f t="shared" si="0"/>
        <v>41582</v>
      </c>
    </row>
    <row r="23" spans="1:5" x14ac:dyDescent="0.25">
      <c r="A23" s="8">
        <v>41551</v>
      </c>
      <c r="B23" s="4">
        <v>58986</v>
      </c>
      <c r="C23" s="57">
        <v>245.92</v>
      </c>
      <c r="D23" s="4" t="s">
        <v>1423</v>
      </c>
      <c r="E23" s="104">
        <f t="shared" si="0"/>
        <v>41582</v>
      </c>
    </row>
    <row r="24" spans="1:5" x14ac:dyDescent="0.25">
      <c r="A24" s="8">
        <v>41551</v>
      </c>
      <c r="B24" s="4">
        <v>58987</v>
      </c>
      <c r="C24" s="57">
        <v>285.31</v>
      </c>
      <c r="D24" s="4" t="s">
        <v>1423</v>
      </c>
      <c r="E24" s="104">
        <f t="shared" si="0"/>
        <v>41582</v>
      </c>
    </row>
    <row r="25" spans="1:5" x14ac:dyDescent="0.25">
      <c r="A25" s="8">
        <v>41551</v>
      </c>
      <c r="B25" s="4">
        <v>58988</v>
      </c>
      <c r="C25" s="57">
        <v>256.69</v>
      </c>
      <c r="D25" s="4" t="s">
        <v>1423</v>
      </c>
      <c r="E25" s="104">
        <f t="shared" si="0"/>
        <v>41582</v>
      </c>
    </row>
    <row r="26" spans="1:5" x14ac:dyDescent="0.25">
      <c r="A26" s="8">
        <v>41551</v>
      </c>
      <c r="B26" s="4">
        <v>58989</v>
      </c>
      <c r="C26" s="57">
        <v>329.98</v>
      </c>
      <c r="D26" s="4" t="s">
        <v>1423</v>
      </c>
      <c r="E26" s="104">
        <f t="shared" si="0"/>
        <v>41582</v>
      </c>
    </row>
    <row r="27" spans="1:5" x14ac:dyDescent="0.25">
      <c r="A27" s="8">
        <v>41551</v>
      </c>
      <c r="B27" s="4">
        <v>58990</v>
      </c>
      <c r="C27" s="57">
        <v>293.24</v>
      </c>
      <c r="D27" s="4" t="s">
        <v>1423</v>
      </c>
      <c r="E27" s="104">
        <f t="shared" si="0"/>
        <v>41582</v>
      </c>
    </row>
    <row r="28" spans="1:5" x14ac:dyDescent="0.25">
      <c r="A28" s="8">
        <v>41552</v>
      </c>
      <c r="B28" s="4">
        <v>58991</v>
      </c>
      <c r="C28" s="57">
        <v>269.52</v>
      </c>
      <c r="D28" s="4" t="s">
        <v>1423</v>
      </c>
      <c r="E28" s="104">
        <f t="shared" si="0"/>
        <v>41583</v>
      </c>
    </row>
    <row r="29" spans="1:5" x14ac:dyDescent="0.25">
      <c r="A29" s="8">
        <v>41552</v>
      </c>
      <c r="B29" s="4">
        <v>58992</v>
      </c>
      <c r="C29" s="57">
        <v>46.21</v>
      </c>
      <c r="D29" s="4" t="s">
        <v>1423</v>
      </c>
      <c r="E29" s="104">
        <f t="shared" si="0"/>
        <v>41583</v>
      </c>
    </row>
    <row r="30" spans="1:5" x14ac:dyDescent="0.25">
      <c r="A30" s="8">
        <v>41552</v>
      </c>
      <c r="B30" s="4">
        <v>58993</v>
      </c>
      <c r="C30" s="57">
        <v>193.27</v>
      </c>
      <c r="D30" s="4" t="s">
        <v>1423</v>
      </c>
      <c r="E30" s="104">
        <f t="shared" si="0"/>
        <v>41583</v>
      </c>
    </row>
    <row r="31" spans="1:5" x14ac:dyDescent="0.25">
      <c r="A31" s="8">
        <v>41552</v>
      </c>
      <c r="B31" s="4">
        <v>58994</v>
      </c>
      <c r="C31" s="57">
        <v>323.79000000000002</v>
      </c>
      <c r="D31" s="4" t="s">
        <v>1423</v>
      </c>
      <c r="E31" s="104">
        <f t="shared" si="0"/>
        <v>41583</v>
      </c>
    </row>
    <row r="32" spans="1:5" x14ac:dyDescent="0.25">
      <c r="A32" s="8">
        <v>41552</v>
      </c>
      <c r="B32" s="4">
        <v>58995</v>
      </c>
      <c r="C32" s="57">
        <v>130.78</v>
      </c>
      <c r="D32" s="4" t="s">
        <v>1423</v>
      </c>
      <c r="E32" s="104">
        <f t="shared" si="0"/>
        <v>41583</v>
      </c>
    </row>
    <row r="33" spans="1:5" x14ac:dyDescent="0.25">
      <c r="A33" s="8">
        <v>41552</v>
      </c>
      <c r="B33" s="4">
        <v>58996</v>
      </c>
      <c r="C33" s="57">
        <v>222.56</v>
      </c>
      <c r="D33" s="4" t="s">
        <v>1423</v>
      </c>
      <c r="E33" s="104">
        <f t="shared" si="0"/>
        <v>41583</v>
      </c>
    </row>
    <row r="34" spans="1:5" x14ac:dyDescent="0.25">
      <c r="A34" s="8">
        <v>41552</v>
      </c>
      <c r="B34" s="4">
        <v>58997</v>
      </c>
      <c r="C34" s="57">
        <v>263.54000000000002</v>
      </c>
      <c r="D34" s="4" t="s">
        <v>1423</v>
      </c>
      <c r="E34" s="104">
        <f t="shared" si="0"/>
        <v>41583</v>
      </c>
    </row>
    <row r="35" spans="1:5" x14ac:dyDescent="0.25">
      <c r="A35" s="8">
        <v>41552</v>
      </c>
      <c r="B35" s="4">
        <v>58998</v>
      </c>
      <c r="C35" s="57">
        <v>209.94</v>
      </c>
      <c r="D35" s="4" t="s">
        <v>1423</v>
      </c>
      <c r="E35" s="104">
        <f t="shared" si="0"/>
        <v>41583</v>
      </c>
    </row>
    <row r="36" spans="1:5" x14ac:dyDescent="0.25">
      <c r="A36" s="8">
        <v>41552</v>
      </c>
      <c r="B36" s="4">
        <v>58999</v>
      </c>
      <c r="C36" s="57">
        <v>105.09</v>
      </c>
      <c r="D36" s="4" t="s">
        <v>1423</v>
      </c>
      <c r="E36" s="104">
        <f t="shared" si="0"/>
        <v>41583</v>
      </c>
    </row>
    <row r="37" spans="1:5" x14ac:dyDescent="0.25">
      <c r="A37" s="8">
        <v>41552</v>
      </c>
      <c r="B37" s="4">
        <v>59000</v>
      </c>
      <c r="C37" s="57">
        <v>173.68</v>
      </c>
      <c r="D37" s="4" t="s">
        <v>1423</v>
      </c>
      <c r="E37" s="104">
        <f t="shared" si="0"/>
        <v>41583</v>
      </c>
    </row>
    <row r="38" spans="1:5" x14ac:dyDescent="0.25">
      <c r="A38" s="8">
        <v>41552</v>
      </c>
      <c r="B38" s="4">
        <v>59001</v>
      </c>
      <c r="C38" s="57">
        <v>307.77</v>
      </c>
      <c r="D38" s="4" t="s">
        <v>1423</v>
      </c>
      <c r="E38" s="104">
        <f t="shared" si="0"/>
        <v>41583</v>
      </c>
    </row>
    <row r="39" spans="1:5" x14ac:dyDescent="0.25">
      <c r="A39" s="8">
        <v>41552</v>
      </c>
      <c r="B39" s="4">
        <v>59002</v>
      </c>
      <c r="C39" s="57">
        <v>149.06</v>
      </c>
      <c r="D39" s="4" t="s">
        <v>1423</v>
      </c>
      <c r="E39" s="104">
        <f t="shared" si="0"/>
        <v>41583</v>
      </c>
    </row>
    <row r="40" spans="1:5" x14ac:dyDescent="0.25">
      <c r="A40" s="8">
        <v>41553</v>
      </c>
      <c r="B40" s="4">
        <v>59003</v>
      </c>
      <c r="C40" s="57">
        <v>248.51</v>
      </c>
      <c r="D40" s="4" t="s">
        <v>1423</v>
      </c>
      <c r="E40" s="104">
        <f t="shared" si="0"/>
        <v>41584</v>
      </c>
    </row>
    <row r="41" spans="1:5" x14ac:dyDescent="0.25">
      <c r="A41" s="8">
        <v>41553</v>
      </c>
      <c r="B41" s="4">
        <v>59004</v>
      </c>
      <c r="C41" s="57">
        <v>231.73</v>
      </c>
      <c r="D41" s="4" t="s">
        <v>1423</v>
      </c>
      <c r="E41" s="104">
        <f t="shared" si="0"/>
        <v>41584</v>
      </c>
    </row>
    <row r="42" spans="1:5" x14ac:dyDescent="0.25">
      <c r="A42" s="8">
        <v>41553</v>
      </c>
      <c r="B42" s="4">
        <v>59005</v>
      </c>
      <c r="C42" s="57">
        <v>324.43</v>
      </c>
      <c r="D42" s="4" t="s">
        <v>1423</v>
      </c>
      <c r="E42" s="104">
        <f t="shared" si="0"/>
        <v>41584</v>
      </c>
    </row>
    <row r="43" spans="1:5" x14ac:dyDescent="0.25">
      <c r="A43" s="8">
        <v>41553</v>
      </c>
      <c r="B43" s="4">
        <v>59006</v>
      </c>
      <c r="C43" s="57">
        <v>249.58</v>
      </c>
      <c r="D43" s="4" t="s">
        <v>1423</v>
      </c>
      <c r="E43" s="104">
        <f t="shared" si="0"/>
        <v>41584</v>
      </c>
    </row>
    <row r="44" spans="1:5" x14ac:dyDescent="0.25">
      <c r="A44" s="8">
        <v>41553</v>
      </c>
      <c r="B44" s="4">
        <v>59007</v>
      </c>
      <c r="C44" s="57">
        <v>161.94</v>
      </c>
      <c r="D44" s="4" t="s">
        <v>1423</v>
      </c>
      <c r="E44" s="104">
        <f t="shared" si="0"/>
        <v>41584</v>
      </c>
    </row>
    <row r="45" spans="1:5" x14ac:dyDescent="0.25">
      <c r="A45" s="8">
        <v>41553</v>
      </c>
      <c r="B45" s="4">
        <v>59008</v>
      </c>
      <c r="C45" s="57">
        <v>247.87</v>
      </c>
      <c r="D45" s="4" t="s">
        <v>1423</v>
      </c>
      <c r="E45" s="104">
        <f t="shared" si="0"/>
        <v>41584</v>
      </c>
    </row>
    <row r="46" spans="1:5" x14ac:dyDescent="0.25">
      <c r="A46" s="8">
        <v>41553</v>
      </c>
      <c r="B46" s="4">
        <v>59009</v>
      </c>
      <c r="C46" s="57">
        <v>248.86</v>
      </c>
      <c r="D46" s="4" t="s">
        <v>1423</v>
      </c>
      <c r="E46" s="104">
        <f t="shared" si="0"/>
        <v>41584</v>
      </c>
    </row>
    <row r="47" spans="1:5" x14ac:dyDescent="0.25">
      <c r="A47" s="8">
        <v>41553</v>
      </c>
      <c r="B47" s="4">
        <v>59010</v>
      </c>
      <c r="C47" s="57">
        <v>235.98</v>
      </c>
      <c r="D47" s="4" t="s">
        <v>1423</v>
      </c>
      <c r="E47" s="104">
        <f t="shared" si="0"/>
        <v>41584</v>
      </c>
    </row>
    <row r="48" spans="1:5" x14ac:dyDescent="0.25">
      <c r="A48" s="8">
        <v>41553</v>
      </c>
      <c r="B48" s="4">
        <v>59011</v>
      </c>
      <c r="C48" s="57">
        <v>224.49</v>
      </c>
      <c r="D48" s="4" t="s">
        <v>1423</v>
      </c>
      <c r="E48" s="104">
        <f t="shared" si="0"/>
        <v>41584</v>
      </c>
    </row>
    <row r="49" spans="1:5" x14ac:dyDescent="0.25">
      <c r="A49" s="8">
        <v>41553</v>
      </c>
      <c r="B49" s="4">
        <v>59012</v>
      </c>
      <c r="C49" s="57">
        <v>256.42</v>
      </c>
      <c r="D49" s="4" t="s">
        <v>1423</v>
      </c>
      <c r="E49" s="104">
        <f t="shared" si="0"/>
        <v>41584</v>
      </c>
    </row>
    <row r="50" spans="1:5" x14ac:dyDescent="0.25">
      <c r="A50" s="8">
        <v>41553</v>
      </c>
      <c r="B50" s="4">
        <v>59013</v>
      </c>
      <c r="C50" s="57">
        <v>233.01</v>
      </c>
      <c r="D50" s="4" t="s">
        <v>1423</v>
      </c>
      <c r="E50" s="104">
        <f t="shared" si="0"/>
        <v>41584</v>
      </c>
    </row>
    <row r="51" spans="1:5" x14ac:dyDescent="0.25">
      <c r="A51" s="8">
        <v>41553</v>
      </c>
      <c r="B51" s="4">
        <v>59014</v>
      </c>
      <c r="C51" s="57">
        <v>379.98</v>
      </c>
      <c r="D51" s="4" t="s">
        <v>1423</v>
      </c>
      <c r="E51" s="104">
        <f t="shared" si="0"/>
        <v>41584</v>
      </c>
    </row>
    <row r="52" spans="1:5" x14ac:dyDescent="0.25">
      <c r="A52" s="8">
        <v>41553</v>
      </c>
      <c r="B52" s="4">
        <v>59015</v>
      </c>
      <c r="C52" s="57">
        <v>219.3</v>
      </c>
      <c r="D52" s="4" t="s">
        <v>1423</v>
      </c>
      <c r="E52" s="104">
        <f t="shared" si="0"/>
        <v>41584</v>
      </c>
    </row>
    <row r="53" spans="1:5" x14ac:dyDescent="0.25">
      <c r="A53" s="8">
        <v>41553</v>
      </c>
      <c r="B53" s="4">
        <v>59016</v>
      </c>
      <c r="C53" s="57">
        <v>371.22</v>
      </c>
      <c r="D53" s="4" t="s">
        <v>1423</v>
      </c>
      <c r="E53" s="104">
        <f t="shared" si="0"/>
        <v>41584</v>
      </c>
    </row>
    <row r="54" spans="1:5" x14ac:dyDescent="0.25">
      <c r="A54" s="8">
        <v>41553</v>
      </c>
      <c r="B54" s="4">
        <v>59017</v>
      </c>
      <c r="C54" s="57">
        <v>385.88</v>
      </c>
      <c r="D54" s="4" t="s">
        <v>1423</v>
      </c>
      <c r="E54" s="104">
        <f t="shared" si="0"/>
        <v>41584</v>
      </c>
    </row>
    <row r="55" spans="1:5" x14ac:dyDescent="0.25">
      <c r="A55" s="8">
        <v>41553</v>
      </c>
      <c r="B55" s="4">
        <v>59018</v>
      </c>
      <c r="C55" s="57">
        <v>155.65</v>
      </c>
      <c r="D55" s="4" t="s">
        <v>1423</v>
      </c>
      <c r="E55" s="104">
        <f t="shared" si="0"/>
        <v>41584</v>
      </c>
    </row>
    <row r="56" spans="1:5" x14ac:dyDescent="0.25">
      <c r="A56" s="8">
        <v>41554</v>
      </c>
      <c r="B56" s="4">
        <v>59019</v>
      </c>
      <c r="C56" s="57">
        <v>325.83</v>
      </c>
      <c r="D56" s="4" t="s">
        <v>1423</v>
      </c>
      <c r="E56" s="104">
        <f t="shared" si="0"/>
        <v>41585</v>
      </c>
    </row>
    <row r="57" spans="1:5" x14ac:dyDescent="0.25">
      <c r="A57" s="8">
        <v>41554</v>
      </c>
      <c r="B57" s="4">
        <v>59020</v>
      </c>
      <c r="C57" s="57">
        <v>101.09</v>
      </c>
      <c r="D57" s="4" t="s">
        <v>1423</v>
      </c>
      <c r="E57" s="104">
        <f t="shared" si="0"/>
        <v>41585</v>
      </c>
    </row>
    <row r="58" spans="1:5" x14ac:dyDescent="0.25">
      <c r="A58" s="8">
        <v>41554</v>
      </c>
      <c r="B58" s="4">
        <v>59021</v>
      </c>
      <c r="C58" s="57">
        <v>259.24</v>
      </c>
      <c r="D58" s="4" t="s">
        <v>1423</v>
      </c>
      <c r="E58" s="104">
        <f t="shared" si="0"/>
        <v>41585</v>
      </c>
    </row>
    <row r="59" spans="1:5" x14ac:dyDescent="0.25">
      <c r="A59" s="8">
        <v>41554</v>
      </c>
      <c r="B59" s="4">
        <v>59022</v>
      </c>
      <c r="C59" s="57">
        <v>188.54</v>
      </c>
      <c r="D59" s="4" t="s">
        <v>1423</v>
      </c>
      <c r="E59" s="104">
        <f t="shared" si="0"/>
        <v>41585</v>
      </c>
    </row>
    <row r="60" spans="1:5" x14ac:dyDescent="0.25">
      <c r="A60" s="8">
        <v>41554</v>
      </c>
      <c r="B60" s="4">
        <v>59023</v>
      </c>
      <c r="C60" s="57">
        <v>56.87</v>
      </c>
      <c r="D60" s="4" t="s">
        <v>1423</v>
      </c>
      <c r="E60" s="104">
        <f t="shared" si="0"/>
        <v>41585</v>
      </c>
    </row>
    <row r="61" spans="1:5" x14ac:dyDescent="0.25">
      <c r="A61" s="8">
        <v>41554</v>
      </c>
      <c r="B61" s="4">
        <v>59024</v>
      </c>
      <c r="C61" s="57">
        <v>241.46</v>
      </c>
      <c r="D61" s="4" t="s">
        <v>1423</v>
      </c>
      <c r="E61" s="104">
        <f t="shared" si="0"/>
        <v>41585</v>
      </c>
    </row>
    <row r="62" spans="1:5" x14ac:dyDescent="0.25">
      <c r="A62" s="8">
        <v>41554</v>
      </c>
      <c r="B62" s="4">
        <v>59025</v>
      </c>
      <c r="C62" s="57">
        <v>99.87</v>
      </c>
      <c r="D62" s="4" t="s">
        <v>1423</v>
      </c>
      <c r="E62" s="104">
        <f t="shared" si="0"/>
        <v>41585</v>
      </c>
    </row>
    <row r="63" spans="1:5" x14ac:dyDescent="0.25">
      <c r="A63" s="8">
        <v>41554</v>
      </c>
      <c r="B63" s="4">
        <v>59026</v>
      </c>
      <c r="C63" s="57">
        <v>52.75</v>
      </c>
      <c r="D63" s="4" t="s">
        <v>1423</v>
      </c>
      <c r="E63" s="104">
        <f t="shared" si="0"/>
        <v>41585</v>
      </c>
    </row>
    <row r="64" spans="1:5" x14ac:dyDescent="0.25">
      <c r="A64" s="8">
        <v>41554</v>
      </c>
      <c r="B64" s="4">
        <v>59027</v>
      </c>
      <c r="C64" s="57">
        <v>67.819999999999993</v>
      </c>
      <c r="D64" s="4" t="s">
        <v>1423</v>
      </c>
      <c r="E64" s="104">
        <f t="shared" si="0"/>
        <v>41585</v>
      </c>
    </row>
    <row r="65" spans="1:5" x14ac:dyDescent="0.25">
      <c r="A65" s="8">
        <v>41554</v>
      </c>
      <c r="B65" s="4">
        <v>59028</v>
      </c>
      <c r="C65" s="57">
        <v>114.91</v>
      </c>
      <c r="D65" s="4" t="s">
        <v>1423</v>
      </c>
      <c r="E65" s="104">
        <f t="shared" si="0"/>
        <v>41585</v>
      </c>
    </row>
    <row r="66" spans="1:5" x14ac:dyDescent="0.25">
      <c r="A66" s="8">
        <v>41554</v>
      </c>
      <c r="B66" s="4">
        <v>59029</v>
      </c>
      <c r="C66" s="57">
        <v>189.99</v>
      </c>
      <c r="D66" s="4" t="s">
        <v>1423</v>
      </c>
      <c r="E66" s="104">
        <f t="shared" si="0"/>
        <v>41585</v>
      </c>
    </row>
    <row r="67" spans="1:5" x14ac:dyDescent="0.25">
      <c r="A67" s="8">
        <v>41554</v>
      </c>
      <c r="B67" s="4">
        <v>59030</v>
      </c>
      <c r="C67" s="57">
        <v>280.49</v>
      </c>
      <c r="D67" s="4" t="s">
        <v>1423</v>
      </c>
      <c r="E67" s="104">
        <f t="shared" si="0"/>
        <v>41585</v>
      </c>
    </row>
    <row r="68" spans="1:5" x14ac:dyDescent="0.25">
      <c r="A68" s="8">
        <v>41554</v>
      </c>
      <c r="B68" s="4">
        <v>59031</v>
      </c>
      <c r="C68" s="57">
        <v>137.1</v>
      </c>
      <c r="D68" s="4" t="s">
        <v>1423</v>
      </c>
      <c r="E68" s="104">
        <f t="shared" si="0"/>
        <v>41585</v>
      </c>
    </row>
    <row r="69" spans="1:5" x14ac:dyDescent="0.25">
      <c r="A69" s="8">
        <v>41554</v>
      </c>
      <c r="B69" s="4">
        <v>59032</v>
      </c>
      <c r="C69" s="57">
        <v>182.84</v>
      </c>
      <c r="D69" s="4" t="s">
        <v>1423</v>
      </c>
      <c r="E69" s="104">
        <f t="shared" si="0"/>
        <v>41585</v>
      </c>
    </row>
    <row r="70" spans="1:5" x14ac:dyDescent="0.25">
      <c r="A70" s="8">
        <v>41554</v>
      </c>
      <c r="B70" s="4">
        <v>59033</v>
      </c>
      <c r="C70" s="57">
        <v>327.64999999999998</v>
      </c>
      <c r="D70" s="4" t="s">
        <v>1423</v>
      </c>
      <c r="E70" s="104">
        <f t="shared" ref="E70:E133" si="1">EDATE(A70,1)</f>
        <v>41585</v>
      </c>
    </row>
    <row r="71" spans="1:5" x14ac:dyDescent="0.25">
      <c r="A71" s="8">
        <v>41554</v>
      </c>
      <c r="B71" s="4">
        <v>59034</v>
      </c>
      <c r="C71" s="57">
        <v>269.27</v>
      </c>
      <c r="D71" s="4" t="s">
        <v>1423</v>
      </c>
      <c r="E71" s="104">
        <f t="shared" si="1"/>
        <v>41585</v>
      </c>
    </row>
    <row r="72" spans="1:5" x14ac:dyDescent="0.25">
      <c r="A72" s="8">
        <v>41554</v>
      </c>
      <c r="B72" s="4">
        <v>59035</v>
      </c>
      <c r="C72" s="57">
        <v>92.39</v>
      </c>
      <c r="D72" s="4" t="s">
        <v>1423</v>
      </c>
      <c r="E72" s="104">
        <f t="shared" si="1"/>
        <v>41585</v>
      </c>
    </row>
    <row r="73" spans="1:5" x14ac:dyDescent="0.25">
      <c r="A73" s="8">
        <v>41554</v>
      </c>
      <c r="B73" s="4">
        <v>59036</v>
      </c>
      <c r="C73" s="57">
        <v>97.21</v>
      </c>
      <c r="D73" s="4" t="s">
        <v>1423</v>
      </c>
      <c r="E73" s="104">
        <f t="shared" si="1"/>
        <v>41585</v>
      </c>
    </row>
    <row r="74" spans="1:5" x14ac:dyDescent="0.25">
      <c r="A74" s="8">
        <v>41555</v>
      </c>
      <c r="B74" s="4">
        <v>59037</v>
      </c>
      <c r="C74" s="57">
        <v>97.59</v>
      </c>
      <c r="D74" s="4" t="s">
        <v>1423</v>
      </c>
      <c r="E74" s="104">
        <f t="shared" si="1"/>
        <v>41586</v>
      </c>
    </row>
    <row r="75" spans="1:5" x14ac:dyDescent="0.25">
      <c r="A75" s="8">
        <v>41555</v>
      </c>
      <c r="B75" s="4">
        <v>59038</v>
      </c>
      <c r="C75" s="57">
        <v>353.5</v>
      </c>
      <c r="D75" s="4" t="s">
        <v>1423</v>
      </c>
      <c r="E75" s="104">
        <f t="shared" si="1"/>
        <v>41586</v>
      </c>
    </row>
    <row r="76" spans="1:5" x14ac:dyDescent="0.25">
      <c r="A76" s="8">
        <v>41555</v>
      </c>
      <c r="B76" s="4">
        <v>59039</v>
      </c>
      <c r="C76" s="57">
        <v>130.79</v>
      </c>
      <c r="D76" s="4" t="s">
        <v>1423</v>
      </c>
      <c r="E76" s="104">
        <f t="shared" si="1"/>
        <v>41586</v>
      </c>
    </row>
    <row r="77" spans="1:5" x14ac:dyDescent="0.25">
      <c r="A77" s="8">
        <v>41555</v>
      </c>
      <c r="B77" s="4">
        <v>59040</v>
      </c>
      <c r="C77" s="57">
        <v>379.46</v>
      </c>
      <c r="D77" s="4" t="s">
        <v>1423</v>
      </c>
      <c r="E77" s="104">
        <f t="shared" si="1"/>
        <v>41586</v>
      </c>
    </row>
    <row r="78" spans="1:5" x14ac:dyDescent="0.25">
      <c r="A78" s="8">
        <v>41555</v>
      </c>
      <c r="B78" s="4">
        <v>59041</v>
      </c>
      <c r="C78" s="57">
        <v>143.1</v>
      </c>
      <c r="D78" s="4" t="s">
        <v>1423</v>
      </c>
      <c r="E78" s="104">
        <f t="shared" si="1"/>
        <v>41586</v>
      </c>
    </row>
    <row r="79" spans="1:5" x14ac:dyDescent="0.25">
      <c r="A79" s="8">
        <v>41555</v>
      </c>
      <c r="B79" s="4">
        <v>59042</v>
      </c>
      <c r="C79" s="57">
        <v>163.51</v>
      </c>
      <c r="D79" s="4" t="s">
        <v>1423</v>
      </c>
      <c r="E79" s="104">
        <f t="shared" si="1"/>
        <v>41586</v>
      </c>
    </row>
    <row r="80" spans="1:5" x14ac:dyDescent="0.25">
      <c r="A80" s="8">
        <v>41555</v>
      </c>
      <c r="B80" s="4">
        <v>59043</v>
      </c>
      <c r="C80" s="57">
        <v>131.96</v>
      </c>
      <c r="D80" s="4" t="s">
        <v>1423</v>
      </c>
      <c r="E80" s="104">
        <f t="shared" si="1"/>
        <v>41586</v>
      </c>
    </row>
    <row r="81" spans="1:5" x14ac:dyDescent="0.25">
      <c r="A81" s="8">
        <v>41555</v>
      </c>
      <c r="B81" s="4">
        <v>59044</v>
      </c>
      <c r="C81" s="57">
        <v>365.99</v>
      </c>
      <c r="D81" s="4" t="s">
        <v>1423</v>
      </c>
      <c r="E81" s="104">
        <f t="shared" si="1"/>
        <v>41586</v>
      </c>
    </row>
    <row r="82" spans="1:5" x14ac:dyDescent="0.25">
      <c r="A82" s="8">
        <v>41555</v>
      </c>
      <c r="B82" s="4">
        <v>59045</v>
      </c>
      <c r="C82" s="57">
        <v>311.20999999999998</v>
      </c>
      <c r="D82" s="4" t="s">
        <v>1423</v>
      </c>
      <c r="E82" s="104">
        <f t="shared" si="1"/>
        <v>41586</v>
      </c>
    </row>
    <row r="83" spans="1:5" x14ac:dyDescent="0.25">
      <c r="A83" s="8">
        <v>41555</v>
      </c>
      <c r="B83" s="4">
        <v>59046</v>
      </c>
      <c r="C83" s="57">
        <v>163.16999999999999</v>
      </c>
      <c r="D83" s="4" t="s">
        <v>1423</v>
      </c>
      <c r="E83" s="104">
        <f t="shared" si="1"/>
        <v>41586</v>
      </c>
    </row>
    <row r="84" spans="1:5" x14ac:dyDescent="0.25">
      <c r="A84" s="8">
        <v>41555</v>
      </c>
      <c r="B84" s="4">
        <v>59047</v>
      </c>
      <c r="C84" s="57">
        <v>68.66</v>
      </c>
      <c r="D84" s="4" t="s">
        <v>1423</v>
      </c>
      <c r="E84" s="104">
        <f t="shared" si="1"/>
        <v>41586</v>
      </c>
    </row>
    <row r="85" spans="1:5" x14ac:dyDescent="0.25">
      <c r="A85" s="8">
        <v>41555</v>
      </c>
      <c r="B85" s="4">
        <v>59048</v>
      </c>
      <c r="C85" s="57">
        <v>72.08</v>
      </c>
      <c r="D85" s="4" t="s">
        <v>1423</v>
      </c>
      <c r="E85" s="104">
        <f t="shared" si="1"/>
        <v>41586</v>
      </c>
    </row>
    <row r="86" spans="1:5" x14ac:dyDescent="0.25">
      <c r="A86" s="8">
        <v>41555</v>
      </c>
      <c r="B86" s="4">
        <v>59049</v>
      </c>
      <c r="C86" s="57">
        <v>363.6</v>
      </c>
      <c r="D86" s="4" t="s">
        <v>1423</v>
      </c>
      <c r="E86" s="104">
        <f t="shared" si="1"/>
        <v>41586</v>
      </c>
    </row>
    <row r="87" spans="1:5" x14ac:dyDescent="0.25">
      <c r="A87" s="8">
        <v>41555</v>
      </c>
      <c r="B87" s="4">
        <v>59050</v>
      </c>
      <c r="C87" s="57">
        <v>291.38</v>
      </c>
      <c r="D87" s="4" t="s">
        <v>1423</v>
      </c>
      <c r="E87" s="104">
        <f t="shared" si="1"/>
        <v>41586</v>
      </c>
    </row>
    <row r="88" spans="1:5" x14ac:dyDescent="0.25">
      <c r="A88" s="8">
        <v>41555</v>
      </c>
      <c r="B88" s="4">
        <v>59051</v>
      </c>
      <c r="C88" s="57">
        <v>317.54000000000002</v>
      </c>
      <c r="D88" s="4" t="s">
        <v>1423</v>
      </c>
      <c r="E88" s="104">
        <f t="shared" si="1"/>
        <v>41586</v>
      </c>
    </row>
    <row r="89" spans="1:5" x14ac:dyDescent="0.25">
      <c r="A89" s="8">
        <v>41555</v>
      </c>
      <c r="B89" s="4">
        <v>59052</v>
      </c>
      <c r="C89" s="57">
        <v>381.83</v>
      </c>
      <c r="D89" s="4" t="s">
        <v>1423</v>
      </c>
      <c r="E89" s="104">
        <f t="shared" si="1"/>
        <v>41586</v>
      </c>
    </row>
    <row r="90" spans="1:5" x14ac:dyDescent="0.25">
      <c r="A90" s="8">
        <v>41555</v>
      </c>
      <c r="B90" s="4">
        <v>59053</v>
      </c>
      <c r="C90" s="57">
        <v>199.1</v>
      </c>
      <c r="D90" s="4" t="s">
        <v>1423</v>
      </c>
      <c r="E90" s="104">
        <f t="shared" si="1"/>
        <v>41586</v>
      </c>
    </row>
    <row r="91" spans="1:5" x14ac:dyDescent="0.25">
      <c r="A91" s="8">
        <v>41555</v>
      </c>
      <c r="B91" s="4">
        <v>59054</v>
      </c>
      <c r="C91" s="57">
        <v>194.58</v>
      </c>
      <c r="D91" s="4" t="s">
        <v>1423</v>
      </c>
      <c r="E91" s="104">
        <f t="shared" si="1"/>
        <v>41586</v>
      </c>
    </row>
    <row r="92" spans="1:5" x14ac:dyDescent="0.25">
      <c r="A92" s="8">
        <v>41555</v>
      </c>
      <c r="B92" s="4">
        <v>59055</v>
      </c>
      <c r="C92" s="57">
        <v>84.63</v>
      </c>
      <c r="D92" s="4" t="s">
        <v>1423</v>
      </c>
      <c r="E92" s="104">
        <f t="shared" si="1"/>
        <v>41586</v>
      </c>
    </row>
    <row r="93" spans="1:5" x14ac:dyDescent="0.25">
      <c r="A93" s="8">
        <v>41555</v>
      </c>
      <c r="B93" s="4">
        <v>59056</v>
      </c>
      <c r="C93" s="57">
        <v>174.5</v>
      </c>
      <c r="D93" s="4" t="s">
        <v>1423</v>
      </c>
      <c r="E93" s="104">
        <f t="shared" si="1"/>
        <v>41586</v>
      </c>
    </row>
    <row r="94" spans="1:5" x14ac:dyDescent="0.25">
      <c r="A94" s="8">
        <v>41556</v>
      </c>
      <c r="B94" s="4">
        <v>59057</v>
      </c>
      <c r="C94" s="57">
        <v>70.510000000000005</v>
      </c>
      <c r="D94" s="4" t="s">
        <v>1423</v>
      </c>
      <c r="E94" s="104">
        <f t="shared" si="1"/>
        <v>41587</v>
      </c>
    </row>
    <row r="95" spans="1:5" x14ac:dyDescent="0.25">
      <c r="A95" s="8">
        <v>41556</v>
      </c>
      <c r="B95" s="4">
        <v>59058</v>
      </c>
      <c r="C95" s="57">
        <v>243.02</v>
      </c>
      <c r="D95" s="4" t="s">
        <v>1423</v>
      </c>
      <c r="E95" s="104">
        <f t="shared" si="1"/>
        <v>41587</v>
      </c>
    </row>
    <row r="96" spans="1:5" x14ac:dyDescent="0.25">
      <c r="A96" s="8">
        <v>41556</v>
      </c>
      <c r="B96" s="4">
        <v>59059</v>
      </c>
      <c r="C96" s="57">
        <v>185.32</v>
      </c>
      <c r="D96" s="4" t="s">
        <v>1423</v>
      </c>
      <c r="E96" s="104">
        <f t="shared" si="1"/>
        <v>41587</v>
      </c>
    </row>
    <row r="97" spans="1:5" x14ac:dyDescent="0.25">
      <c r="A97" s="8">
        <v>41556</v>
      </c>
      <c r="B97" s="4">
        <v>59060</v>
      </c>
      <c r="C97" s="57">
        <v>344.37</v>
      </c>
      <c r="D97" s="4" t="s">
        <v>1423</v>
      </c>
      <c r="E97" s="104">
        <f t="shared" si="1"/>
        <v>41587</v>
      </c>
    </row>
    <row r="98" spans="1:5" x14ac:dyDescent="0.25">
      <c r="A98" s="8">
        <v>41556</v>
      </c>
      <c r="B98" s="4">
        <v>59061</v>
      </c>
      <c r="C98" s="57">
        <v>192.89</v>
      </c>
      <c r="D98" s="4" t="s">
        <v>1423</v>
      </c>
      <c r="E98" s="104">
        <f t="shared" si="1"/>
        <v>41587</v>
      </c>
    </row>
    <row r="99" spans="1:5" x14ac:dyDescent="0.25">
      <c r="A99" s="8">
        <v>41556</v>
      </c>
      <c r="B99" s="4">
        <v>59062</v>
      </c>
      <c r="C99" s="57">
        <v>343.18</v>
      </c>
      <c r="D99" s="4" t="s">
        <v>1423</v>
      </c>
      <c r="E99" s="104">
        <f t="shared" si="1"/>
        <v>41587</v>
      </c>
    </row>
    <row r="100" spans="1:5" x14ac:dyDescent="0.25">
      <c r="A100" s="8">
        <v>41556</v>
      </c>
      <c r="B100" s="4">
        <v>59063</v>
      </c>
      <c r="C100" s="57">
        <v>233.61</v>
      </c>
      <c r="D100" s="4" t="s">
        <v>1423</v>
      </c>
      <c r="E100" s="104">
        <f t="shared" si="1"/>
        <v>41587</v>
      </c>
    </row>
    <row r="101" spans="1:5" x14ac:dyDescent="0.25">
      <c r="A101" s="8">
        <v>41556</v>
      </c>
      <c r="B101" s="4">
        <v>59064</v>
      </c>
      <c r="C101" s="57">
        <v>263.82</v>
      </c>
      <c r="D101" s="4" t="s">
        <v>1423</v>
      </c>
      <c r="E101" s="104">
        <f t="shared" si="1"/>
        <v>41587</v>
      </c>
    </row>
    <row r="102" spans="1:5" x14ac:dyDescent="0.25">
      <c r="A102" s="8">
        <v>41556</v>
      </c>
      <c r="B102" s="4">
        <v>59065</v>
      </c>
      <c r="C102" s="57">
        <v>42.16</v>
      </c>
      <c r="D102" s="4" t="s">
        <v>1423</v>
      </c>
      <c r="E102" s="104">
        <f t="shared" si="1"/>
        <v>41587</v>
      </c>
    </row>
    <row r="103" spans="1:5" x14ac:dyDescent="0.25">
      <c r="A103" s="8">
        <v>41556</v>
      </c>
      <c r="B103" s="4">
        <v>59066</v>
      </c>
      <c r="C103" s="57">
        <v>193.92</v>
      </c>
      <c r="D103" s="4" t="s">
        <v>1423</v>
      </c>
      <c r="E103" s="104">
        <f t="shared" si="1"/>
        <v>41587</v>
      </c>
    </row>
    <row r="104" spans="1:5" x14ac:dyDescent="0.25">
      <c r="A104" s="8">
        <v>41556</v>
      </c>
      <c r="B104" s="4">
        <v>59067</v>
      </c>
      <c r="C104" s="57">
        <v>263.2</v>
      </c>
      <c r="D104" s="4" t="s">
        <v>1423</v>
      </c>
      <c r="E104" s="104">
        <f t="shared" si="1"/>
        <v>41587</v>
      </c>
    </row>
    <row r="105" spans="1:5" x14ac:dyDescent="0.25">
      <c r="A105" s="8">
        <v>41556</v>
      </c>
      <c r="B105" s="4">
        <v>59068</v>
      </c>
      <c r="C105" s="57">
        <v>237.3</v>
      </c>
      <c r="D105" s="4" t="s">
        <v>1423</v>
      </c>
      <c r="E105" s="104">
        <f t="shared" si="1"/>
        <v>41587</v>
      </c>
    </row>
    <row r="106" spans="1:5" x14ac:dyDescent="0.25">
      <c r="A106" s="8">
        <v>41556</v>
      </c>
      <c r="B106" s="4">
        <v>59069</v>
      </c>
      <c r="C106" s="57">
        <v>335.98</v>
      </c>
      <c r="D106" s="4" t="s">
        <v>1423</v>
      </c>
      <c r="E106" s="104">
        <f t="shared" si="1"/>
        <v>41587</v>
      </c>
    </row>
    <row r="107" spans="1:5" x14ac:dyDescent="0.25">
      <c r="A107" s="8">
        <v>41556</v>
      </c>
      <c r="B107" s="4">
        <v>59070</v>
      </c>
      <c r="C107" s="57">
        <v>89.59</v>
      </c>
      <c r="D107" s="4" t="s">
        <v>1423</v>
      </c>
      <c r="E107" s="104">
        <f t="shared" si="1"/>
        <v>41587</v>
      </c>
    </row>
    <row r="108" spans="1:5" x14ac:dyDescent="0.25">
      <c r="A108" s="8">
        <v>41556</v>
      </c>
      <c r="B108" s="4">
        <v>59071</v>
      </c>
      <c r="C108" s="57">
        <v>273.16000000000003</v>
      </c>
      <c r="D108" s="4" t="s">
        <v>1423</v>
      </c>
      <c r="E108" s="104">
        <f t="shared" si="1"/>
        <v>41587</v>
      </c>
    </row>
    <row r="109" spans="1:5" x14ac:dyDescent="0.25">
      <c r="A109" s="8">
        <v>41556</v>
      </c>
      <c r="B109" s="4">
        <v>59072</v>
      </c>
      <c r="C109" s="57">
        <v>160.41</v>
      </c>
      <c r="D109" s="4" t="s">
        <v>1423</v>
      </c>
      <c r="E109" s="104">
        <f t="shared" si="1"/>
        <v>41587</v>
      </c>
    </row>
    <row r="110" spans="1:5" x14ac:dyDescent="0.25">
      <c r="A110" s="8">
        <v>41557</v>
      </c>
      <c r="B110" s="4">
        <v>59073</v>
      </c>
      <c r="C110" s="57">
        <v>111.8</v>
      </c>
      <c r="D110" s="4" t="s">
        <v>1423</v>
      </c>
      <c r="E110" s="104">
        <f t="shared" si="1"/>
        <v>41588</v>
      </c>
    </row>
    <row r="111" spans="1:5" x14ac:dyDescent="0.25">
      <c r="A111" s="8">
        <v>41557</v>
      </c>
      <c r="B111" s="4">
        <v>59074</v>
      </c>
      <c r="C111" s="57">
        <v>57.68</v>
      </c>
      <c r="D111" s="4" t="s">
        <v>1423</v>
      </c>
      <c r="E111" s="104">
        <f t="shared" si="1"/>
        <v>41588</v>
      </c>
    </row>
    <row r="112" spans="1:5" x14ac:dyDescent="0.25">
      <c r="A112" s="8">
        <v>41557</v>
      </c>
      <c r="B112" s="4">
        <v>59075</v>
      </c>
      <c r="C112" s="57">
        <v>172.57</v>
      </c>
      <c r="D112" s="4" t="s">
        <v>1423</v>
      </c>
      <c r="E112" s="104">
        <f t="shared" si="1"/>
        <v>41588</v>
      </c>
    </row>
    <row r="113" spans="1:5" x14ac:dyDescent="0.25">
      <c r="A113" s="8">
        <v>41557</v>
      </c>
      <c r="B113" s="4">
        <v>59076</v>
      </c>
      <c r="C113" s="57">
        <v>265.02999999999997</v>
      </c>
      <c r="D113" s="4" t="s">
        <v>1423</v>
      </c>
      <c r="E113" s="104">
        <f t="shared" si="1"/>
        <v>41588</v>
      </c>
    </row>
    <row r="114" spans="1:5" x14ac:dyDescent="0.25">
      <c r="A114" s="8">
        <v>41557</v>
      </c>
      <c r="B114" s="4">
        <v>59077</v>
      </c>
      <c r="C114" s="57">
        <v>253.47</v>
      </c>
      <c r="D114" s="4" t="s">
        <v>1423</v>
      </c>
      <c r="E114" s="104">
        <f t="shared" si="1"/>
        <v>41588</v>
      </c>
    </row>
    <row r="115" spans="1:5" x14ac:dyDescent="0.25">
      <c r="A115" s="8">
        <v>41557</v>
      </c>
      <c r="B115" s="4">
        <v>59078</v>
      </c>
      <c r="C115" s="57">
        <v>344.94</v>
      </c>
      <c r="D115" s="4" t="s">
        <v>1423</v>
      </c>
      <c r="E115" s="104">
        <f t="shared" si="1"/>
        <v>41588</v>
      </c>
    </row>
    <row r="116" spans="1:5" x14ac:dyDescent="0.25">
      <c r="A116" s="8">
        <v>41557</v>
      </c>
      <c r="B116" s="4">
        <v>59079</v>
      </c>
      <c r="C116" s="57">
        <v>159.99</v>
      </c>
      <c r="D116" s="4" t="s">
        <v>1423</v>
      </c>
      <c r="E116" s="104">
        <f t="shared" si="1"/>
        <v>41588</v>
      </c>
    </row>
    <row r="117" spans="1:5" x14ac:dyDescent="0.25">
      <c r="A117" s="8">
        <v>41557</v>
      </c>
      <c r="B117" s="4">
        <v>59080</v>
      </c>
      <c r="C117" s="57">
        <v>333.4</v>
      </c>
      <c r="D117" s="4" t="s">
        <v>1423</v>
      </c>
      <c r="E117" s="104">
        <f t="shared" si="1"/>
        <v>41588</v>
      </c>
    </row>
    <row r="118" spans="1:5" x14ac:dyDescent="0.25">
      <c r="A118" s="8">
        <v>41557</v>
      </c>
      <c r="B118" s="4">
        <v>59081</v>
      </c>
      <c r="C118" s="57">
        <v>107.94</v>
      </c>
      <c r="D118" s="4" t="s">
        <v>1423</v>
      </c>
      <c r="E118" s="104">
        <f t="shared" si="1"/>
        <v>41588</v>
      </c>
    </row>
    <row r="119" spans="1:5" x14ac:dyDescent="0.25">
      <c r="A119" s="8">
        <v>41557</v>
      </c>
      <c r="B119" s="4">
        <v>59082</v>
      </c>
      <c r="C119" s="57">
        <v>71.91</v>
      </c>
      <c r="D119" s="4" t="s">
        <v>1423</v>
      </c>
      <c r="E119" s="104">
        <f t="shared" si="1"/>
        <v>41588</v>
      </c>
    </row>
    <row r="120" spans="1:5" x14ac:dyDescent="0.25">
      <c r="A120" s="8">
        <v>41557</v>
      </c>
      <c r="B120" s="4">
        <v>59083</v>
      </c>
      <c r="C120" s="57">
        <v>72.510000000000005</v>
      </c>
      <c r="D120" s="4" t="s">
        <v>1423</v>
      </c>
      <c r="E120" s="104">
        <f t="shared" si="1"/>
        <v>41588</v>
      </c>
    </row>
    <row r="121" spans="1:5" x14ac:dyDescent="0.25">
      <c r="A121" s="8">
        <v>41557</v>
      </c>
      <c r="B121" s="4">
        <v>59084</v>
      </c>
      <c r="C121" s="57">
        <v>163.51</v>
      </c>
      <c r="D121" s="4" t="s">
        <v>1423</v>
      </c>
      <c r="E121" s="104">
        <f t="shared" si="1"/>
        <v>41588</v>
      </c>
    </row>
    <row r="122" spans="1:5" x14ac:dyDescent="0.25">
      <c r="A122" s="8">
        <v>41557</v>
      </c>
      <c r="B122" s="4">
        <v>59085</v>
      </c>
      <c r="C122" s="57">
        <v>83.31</v>
      </c>
      <c r="D122" s="4" t="s">
        <v>1423</v>
      </c>
      <c r="E122" s="104">
        <f t="shared" si="1"/>
        <v>41588</v>
      </c>
    </row>
    <row r="123" spans="1:5" x14ac:dyDescent="0.25">
      <c r="A123" s="8">
        <v>41557</v>
      </c>
      <c r="B123" s="4">
        <v>59086</v>
      </c>
      <c r="C123" s="57">
        <v>178.08</v>
      </c>
      <c r="D123" s="4" t="s">
        <v>1423</v>
      </c>
      <c r="E123" s="104">
        <f t="shared" si="1"/>
        <v>41588</v>
      </c>
    </row>
    <row r="124" spans="1:5" x14ac:dyDescent="0.25">
      <c r="A124" s="8">
        <v>41557</v>
      </c>
      <c r="B124" s="4">
        <v>59087</v>
      </c>
      <c r="C124" s="57">
        <v>133.58000000000001</v>
      </c>
      <c r="D124" s="4" t="s">
        <v>1423</v>
      </c>
      <c r="E124" s="104">
        <f t="shared" si="1"/>
        <v>41588</v>
      </c>
    </row>
    <row r="125" spans="1:5" x14ac:dyDescent="0.25">
      <c r="A125" s="8">
        <v>41557</v>
      </c>
      <c r="B125" s="4">
        <v>59088</v>
      </c>
      <c r="C125" s="57">
        <v>332.54</v>
      </c>
      <c r="D125" s="4" t="s">
        <v>1423</v>
      </c>
      <c r="E125" s="104">
        <f t="shared" si="1"/>
        <v>41588</v>
      </c>
    </row>
    <row r="126" spans="1:5" x14ac:dyDescent="0.25">
      <c r="A126" s="8">
        <v>41557</v>
      </c>
      <c r="B126" s="4">
        <v>59089</v>
      </c>
      <c r="C126" s="57">
        <v>170.48</v>
      </c>
      <c r="D126" s="4" t="s">
        <v>1423</v>
      </c>
      <c r="E126" s="104">
        <f t="shared" si="1"/>
        <v>41588</v>
      </c>
    </row>
    <row r="127" spans="1:5" x14ac:dyDescent="0.25">
      <c r="A127" s="8">
        <v>41557</v>
      </c>
      <c r="B127" s="4">
        <v>59090</v>
      </c>
      <c r="C127" s="57">
        <v>328.78</v>
      </c>
      <c r="D127" s="4" t="s">
        <v>1423</v>
      </c>
      <c r="E127" s="104">
        <f t="shared" si="1"/>
        <v>41588</v>
      </c>
    </row>
    <row r="128" spans="1:5" x14ac:dyDescent="0.25">
      <c r="A128" s="8">
        <v>41557</v>
      </c>
      <c r="B128" s="4">
        <v>59091</v>
      </c>
      <c r="C128" s="57">
        <v>200.31</v>
      </c>
      <c r="D128" s="4" t="s">
        <v>1423</v>
      </c>
      <c r="E128" s="104">
        <f t="shared" si="1"/>
        <v>41588</v>
      </c>
    </row>
    <row r="129" spans="1:5" x14ac:dyDescent="0.25">
      <c r="A129" s="8">
        <v>41557</v>
      </c>
      <c r="B129" s="4">
        <v>59092</v>
      </c>
      <c r="C129" s="57">
        <v>152.29</v>
      </c>
      <c r="D129" s="4" t="s">
        <v>1423</v>
      </c>
      <c r="E129" s="104">
        <f t="shared" si="1"/>
        <v>41588</v>
      </c>
    </row>
    <row r="130" spans="1:5" x14ac:dyDescent="0.25">
      <c r="A130" s="8">
        <v>41557</v>
      </c>
      <c r="B130" s="4">
        <v>59093</v>
      </c>
      <c r="C130" s="57">
        <v>304.70999999999998</v>
      </c>
      <c r="D130" s="4" t="s">
        <v>1423</v>
      </c>
      <c r="E130" s="104">
        <f t="shared" si="1"/>
        <v>41588</v>
      </c>
    </row>
    <row r="131" spans="1:5" x14ac:dyDescent="0.25">
      <c r="A131" s="8">
        <v>41557</v>
      </c>
      <c r="B131" s="4">
        <v>59094</v>
      </c>
      <c r="C131" s="57">
        <v>371.78</v>
      </c>
      <c r="D131" s="4" t="s">
        <v>1423</v>
      </c>
      <c r="E131" s="104">
        <f t="shared" si="1"/>
        <v>41588</v>
      </c>
    </row>
    <row r="132" spans="1:5" x14ac:dyDescent="0.25">
      <c r="A132" s="8">
        <v>41558</v>
      </c>
      <c r="B132" s="4">
        <v>59095</v>
      </c>
      <c r="C132" s="57">
        <v>204.74</v>
      </c>
      <c r="D132" s="4" t="s">
        <v>1423</v>
      </c>
      <c r="E132" s="104">
        <f t="shared" si="1"/>
        <v>41589</v>
      </c>
    </row>
    <row r="133" spans="1:5" x14ac:dyDescent="0.25">
      <c r="A133" s="8">
        <v>41558</v>
      </c>
      <c r="B133" s="4">
        <v>59096</v>
      </c>
      <c r="C133" s="57">
        <v>169.07</v>
      </c>
      <c r="D133" s="4" t="s">
        <v>1423</v>
      </c>
      <c r="E133" s="104">
        <f t="shared" si="1"/>
        <v>41589</v>
      </c>
    </row>
    <row r="134" spans="1:5" x14ac:dyDescent="0.25">
      <c r="A134" s="8">
        <v>41558</v>
      </c>
      <c r="B134" s="4">
        <v>59097</v>
      </c>
      <c r="C134" s="57">
        <v>321.23</v>
      </c>
      <c r="D134" s="4" t="s">
        <v>1423</v>
      </c>
      <c r="E134" s="104">
        <f t="shared" ref="E134:E197" si="2">EDATE(A134,1)</f>
        <v>41589</v>
      </c>
    </row>
    <row r="135" spans="1:5" x14ac:dyDescent="0.25">
      <c r="A135" s="8">
        <v>41558</v>
      </c>
      <c r="B135" s="4">
        <v>59098</v>
      </c>
      <c r="C135" s="57">
        <v>266.52999999999997</v>
      </c>
      <c r="D135" s="4" t="s">
        <v>1423</v>
      </c>
      <c r="E135" s="104">
        <f t="shared" si="2"/>
        <v>41589</v>
      </c>
    </row>
    <row r="136" spans="1:5" x14ac:dyDescent="0.25">
      <c r="A136" s="8">
        <v>41558</v>
      </c>
      <c r="B136" s="4">
        <v>59099</v>
      </c>
      <c r="C136" s="57">
        <v>262.87</v>
      </c>
      <c r="D136" s="4" t="s">
        <v>1423</v>
      </c>
      <c r="E136" s="104">
        <f t="shared" si="2"/>
        <v>41589</v>
      </c>
    </row>
    <row r="137" spans="1:5" x14ac:dyDescent="0.25">
      <c r="A137" s="8">
        <v>41558</v>
      </c>
      <c r="B137" s="4">
        <v>59100</v>
      </c>
      <c r="C137" s="57">
        <v>103.58</v>
      </c>
      <c r="D137" s="4" t="s">
        <v>1423</v>
      </c>
      <c r="E137" s="104">
        <f t="shared" si="2"/>
        <v>41589</v>
      </c>
    </row>
    <row r="138" spans="1:5" x14ac:dyDescent="0.25">
      <c r="A138" s="8">
        <v>41558</v>
      </c>
      <c r="B138" s="4">
        <v>59101</v>
      </c>
      <c r="C138" s="57">
        <v>218.88</v>
      </c>
      <c r="D138" s="4" t="s">
        <v>1423</v>
      </c>
      <c r="E138" s="104">
        <f t="shared" si="2"/>
        <v>41589</v>
      </c>
    </row>
    <row r="139" spans="1:5" x14ac:dyDescent="0.25">
      <c r="A139" s="8">
        <v>41558</v>
      </c>
      <c r="B139" s="4">
        <v>59102</v>
      </c>
      <c r="C139" s="57">
        <v>271.44</v>
      </c>
      <c r="D139" s="4" t="s">
        <v>1423</v>
      </c>
      <c r="E139" s="104">
        <f t="shared" si="2"/>
        <v>41589</v>
      </c>
    </row>
    <row r="140" spans="1:5" x14ac:dyDescent="0.25">
      <c r="A140" s="8">
        <v>41558</v>
      </c>
      <c r="B140" s="4">
        <v>59103</v>
      </c>
      <c r="C140" s="57">
        <v>309.05</v>
      </c>
      <c r="D140" s="4" t="s">
        <v>1423</v>
      </c>
      <c r="E140" s="104">
        <f t="shared" si="2"/>
        <v>41589</v>
      </c>
    </row>
    <row r="141" spans="1:5" x14ac:dyDescent="0.25">
      <c r="A141" s="8">
        <v>41558</v>
      </c>
      <c r="B141" s="4">
        <v>59104</v>
      </c>
      <c r="C141" s="57">
        <v>243.41</v>
      </c>
      <c r="D141" s="4" t="s">
        <v>1423</v>
      </c>
      <c r="E141" s="104">
        <f t="shared" si="2"/>
        <v>41589</v>
      </c>
    </row>
    <row r="142" spans="1:5" x14ac:dyDescent="0.25">
      <c r="A142" s="8">
        <v>41558</v>
      </c>
      <c r="B142" s="4">
        <v>59105</v>
      </c>
      <c r="C142" s="57">
        <v>43.12</v>
      </c>
      <c r="D142" s="4" t="s">
        <v>1423</v>
      </c>
      <c r="E142" s="104">
        <f t="shared" si="2"/>
        <v>41589</v>
      </c>
    </row>
    <row r="143" spans="1:5" x14ac:dyDescent="0.25">
      <c r="A143" s="8">
        <v>41558</v>
      </c>
      <c r="B143" s="4">
        <v>59106</v>
      </c>
      <c r="C143" s="57">
        <v>202.33</v>
      </c>
      <c r="D143" s="4" t="s">
        <v>1423</v>
      </c>
      <c r="E143" s="104">
        <f t="shared" si="2"/>
        <v>41589</v>
      </c>
    </row>
    <row r="144" spans="1:5" x14ac:dyDescent="0.25">
      <c r="A144" s="8">
        <v>41558</v>
      </c>
      <c r="B144" s="4">
        <v>59107</v>
      </c>
      <c r="C144" s="57">
        <v>77.84</v>
      </c>
      <c r="D144" s="4" t="s">
        <v>1423</v>
      </c>
      <c r="E144" s="104">
        <f t="shared" si="2"/>
        <v>41589</v>
      </c>
    </row>
    <row r="145" spans="1:5" x14ac:dyDescent="0.25">
      <c r="A145" s="8">
        <v>41558</v>
      </c>
      <c r="B145" s="4">
        <v>59108</v>
      </c>
      <c r="C145" s="57">
        <v>63</v>
      </c>
      <c r="D145" s="4" t="s">
        <v>1423</v>
      </c>
      <c r="E145" s="104">
        <f t="shared" si="2"/>
        <v>41589</v>
      </c>
    </row>
    <row r="146" spans="1:5" x14ac:dyDescent="0.25">
      <c r="A146" s="8">
        <v>41558</v>
      </c>
      <c r="B146" s="4">
        <v>59109</v>
      </c>
      <c r="C146" s="57">
        <v>157.47999999999999</v>
      </c>
      <c r="D146" s="4" t="s">
        <v>1423</v>
      </c>
      <c r="E146" s="104">
        <f t="shared" si="2"/>
        <v>41589</v>
      </c>
    </row>
    <row r="147" spans="1:5" x14ac:dyDescent="0.25">
      <c r="A147" s="8">
        <v>41558</v>
      </c>
      <c r="B147" s="4">
        <v>59110</v>
      </c>
      <c r="C147" s="57">
        <v>37.21</v>
      </c>
      <c r="D147" s="4" t="s">
        <v>1423</v>
      </c>
      <c r="E147" s="104">
        <f t="shared" si="2"/>
        <v>41589</v>
      </c>
    </row>
    <row r="148" spans="1:5" x14ac:dyDescent="0.25">
      <c r="A148" s="8">
        <v>41558</v>
      </c>
      <c r="B148" s="4">
        <v>59111</v>
      </c>
      <c r="C148" s="57">
        <v>259.35000000000002</v>
      </c>
      <c r="D148" s="4" t="s">
        <v>1423</v>
      </c>
      <c r="E148" s="104">
        <f t="shared" si="2"/>
        <v>41589</v>
      </c>
    </row>
    <row r="149" spans="1:5" x14ac:dyDescent="0.25">
      <c r="A149" s="8">
        <v>41558</v>
      </c>
      <c r="B149" s="4">
        <v>59112</v>
      </c>
      <c r="C149" s="57">
        <v>227.62</v>
      </c>
      <c r="D149" s="4" t="s">
        <v>1423</v>
      </c>
      <c r="E149" s="104">
        <f t="shared" si="2"/>
        <v>41589</v>
      </c>
    </row>
    <row r="150" spans="1:5" x14ac:dyDescent="0.25">
      <c r="A150" s="8">
        <v>41558</v>
      </c>
      <c r="B150" s="4">
        <v>59113</v>
      </c>
      <c r="C150" s="57">
        <v>40.020000000000003</v>
      </c>
      <c r="D150" s="4" t="s">
        <v>1423</v>
      </c>
      <c r="E150" s="104">
        <f t="shared" si="2"/>
        <v>41589</v>
      </c>
    </row>
    <row r="151" spans="1:5" x14ac:dyDescent="0.25">
      <c r="A151" s="8">
        <v>41558</v>
      </c>
      <c r="B151" s="4">
        <v>59114</v>
      </c>
      <c r="C151" s="57">
        <v>246.71</v>
      </c>
      <c r="D151" s="4" t="s">
        <v>1423</v>
      </c>
      <c r="E151" s="104">
        <f t="shared" si="2"/>
        <v>41589</v>
      </c>
    </row>
    <row r="152" spans="1:5" x14ac:dyDescent="0.25">
      <c r="A152" s="8">
        <v>41558</v>
      </c>
      <c r="B152" s="4">
        <v>59115</v>
      </c>
      <c r="C152" s="57">
        <v>120.66</v>
      </c>
      <c r="D152" s="4" t="s">
        <v>1423</v>
      </c>
      <c r="E152" s="104">
        <f t="shared" si="2"/>
        <v>41589</v>
      </c>
    </row>
    <row r="153" spans="1:5" x14ac:dyDescent="0.25">
      <c r="A153" s="8">
        <v>41558</v>
      </c>
      <c r="B153" s="4">
        <v>59116</v>
      </c>
      <c r="C153" s="57">
        <v>53.84</v>
      </c>
      <c r="D153" s="4" t="s">
        <v>1423</v>
      </c>
      <c r="E153" s="104">
        <f t="shared" si="2"/>
        <v>41589</v>
      </c>
    </row>
    <row r="154" spans="1:5" x14ac:dyDescent="0.25">
      <c r="A154" s="8">
        <v>41558</v>
      </c>
      <c r="B154" s="4">
        <v>59117</v>
      </c>
      <c r="C154" s="57">
        <v>90.75</v>
      </c>
      <c r="D154" s="4" t="s">
        <v>1423</v>
      </c>
      <c r="E154" s="104">
        <f t="shared" si="2"/>
        <v>41589</v>
      </c>
    </row>
    <row r="155" spans="1:5" x14ac:dyDescent="0.25">
      <c r="A155" s="8">
        <v>41558</v>
      </c>
      <c r="B155" s="4">
        <v>59118</v>
      </c>
      <c r="C155" s="57">
        <v>66.25</v>
      </c>
      <c r="D155" s="4" t="s">
        <v>1423</v>
      </c>
      <c r="E155" s="104">
        <f t="shared" si="2"/>
        <v>41589</v>
      </c>
    </row>
    <row r="156" spans="1:5" x14ac:dyDescent="0.25">
      <c r="A156" s="8">
        <v>41558</v>
      </c>
      <c r="B156" s="4">
        <v>59119</v>
      </c>
      <c r="C156" s="57">
        <v>329.61</v>
      </c>
      <c r="D156" s="4" t="s">
        <v>1423</v>
      </c>
      <c r="E156" s="104">
        <f t="shared" si="2"/>
        <v>41589</v>
      </c>
    </row>
    <row r="157" spans="1:5" x14ac:dyDescent="0.25">
      <c r="A157" s="8">
        <v>41558</v>
      </c>
      <c r="B157" s="4">
        <v>59120</v>
      </c>
      <c r="C157" s="57">
        <v>322.38</v>
      </c>
      <c r="D157" s="4" t="s">
        <v>1423</v>
      </c>
      <c r="E157" s="104">
        <f t="shared" si="2"/>
        <v>41589</v>
      </c>
    </row>
    <row r="158" spans="1:5" x14ac:dyDescent="0.25">
      <c r="A158" s="8">
        <v>41559</v>
      </c>
      <c r="B158" s="4">
        <v>59121</v>
      </c>
      <c r="C158" s="57">
        <v>325.39</v>
      </c>
      <c r="D158" s="4" t="s">
        <v>1423</v>
      </c>
      <c r="E158" s="104">
        <f t="shared" si="2"/>
        <v>41590</v>
      </c>
    </row>
    <row r="159" spans="1:5" x14ac:dyDescent="0.25">
      <c r="A159" s="8">
        <v>41559</v>
      </c>
      <c r="B159" s="4">
        <v>59122</v>
      </c>
      <c r="C159" s="57">
        <v>329.75</v>
      </c>
      <c r="D159" s="4" t="s">
        <v>1423</v>
      </c>
      <c r="E159" s="104">
        <f t="shared" si="2"/>
        <v>41590</v>
      </c>
    </row>
    <row r="160" spans="1:5" x14ac:dyDescent="0.25">
      <c r="A160" s="8">
        <v>41559</v>
      </c>
      <c r="B160" s="4">
        <v>59123</v>
      </c>
      <c r="C160" s="57">
        <v>47.73</v>
      </c>
      <c r="D160" s="4" t="s">
        <v>1423</v>
      </c>
      <c r="E160" s="104">
        <f t="shared" si="2"/>
        <v>41590</v>
      </c>
    </row>
    <row r="161" spans="1:5" x14ac:dyDescent="0.25">
      <c r="A161" s="8">
        <v>41559</v>
      </c>
      <c r="B161" s="4">
        <v>59124</v>
      </c>
      <c r="C161" s="57">
        <v>75.069999999999993</v>
      </c>
      <c r="D161" s="4" t="s">
        <v>1423</v>
      </c>
      <c r="E161" s="104">
        <f t="shared" si="2"/>
        <v>41590</v>
      </c>
    </row>
    <row r="162" spans="1:5" x14ac:dyDescent="0.25">
      <c r="A162" s="8">
        <v>41559</v>
      </c>
      <c r="B162" s="4">
        <v>59125</v>
      </c>
      <c r="C162" s="57">
        <v>152.38999999999999</v>
      </c>
      <c r="D162" s="4" t="s">
        <v>1423</v>
      </c>
      <c r="E162" s="104">
        <f t="shared" si="2"/>
        <v>41590</v>
      </c>
    </row>
    <row r="163" spans="1:5" x14ac:dyDescent="0.25">
      <c r="A163" s="8">
        <v>41559</v>
      </c>
      <c r="B163" s="4">
        <v>59126</v>
      </c>
      <c r="C163" s="57">
        <v>285.69</v>
      </c>
      <c r="D163" s="4" t="s">
        <v>1423</v>
      </c>
      <c r="E163" s="104">
        <f t="shared" si="2"/>
        <v>41590</v>
      </c>
    </row>
    <row r="164" spans="1:5" x14ac:dyDescent="0.25">
      <c r="A164" s="8">
        <v>41559</v>
      </c>
      <c r="B164" s="4">
        <v>59127</v>
      </c>
      <c r="C164" s="57">
        <v>284.08</v>
      </c>
      <c r="D164" s="4" t="s">
        <v>1423</v>
      </c>
      <c r="E164" s="104">
        <f t="shared" si="2"/>
        <v>41590</v>
      </c>
    </row>
    <row r="165" spans="1:5" x14ac:dyDescent="0.25">
      <c r="A165" s="8">
        <v>41559</v>
      </c>
      <c r="B165" s="4">
        <v>59128</v>
      </c>
      <c r="C165" s="57">
        <v>111.94</v>
      </c>
      <c r="D165" s="4" t="s">
        <v>1423</v>
      </c>
      <c r="E165" s="104">
        <f t="shared" si="2"/>
        <v>41590</v>
      </c>
    </row>
    <row r="166" spans="1:5" x14ac:dyDescent="0.25">
      <c r="A166" s="8">
        <v>41559</v>
      </c>
      <c r="B166" s="4">
        <v>59129</v>
      </c>
      <c r="C166" s="57">
        <v>58.69</v>
      </c>
      <c r="D166" s="4" t="s">
        <v>1423</v>
      </c>
      <c r="E166" s="104">
        <f t="shared" si="2"/>
        <v>41590</v>
      </c>
    </row>
    <row r="167" spans="1:5" x14ac:dyDescent="0.25">
      <c r="A167" s="8">
        <v>41559</v>
      </c>
      <c r="B167" s="4">
        <v>59130</v>
      </c>
      <c r="C167" s="57">
        <v>74.290000000000006</v>
      </c>
      <c r="D167" s="4" t="s">
        <v>1423</v>
      </c>
      <c r="E167" s="104">
        <f t="shared" si="2"/>
        <v>41590</v>
      </c>
    </row>
    <row r="168" spans="1:5" x14ac:dyDescent="0.25">
      <c r="A168" s="8">
        <v>41559</v>
      </c>
      <c r="B168" s="4">
        <v>59131</v>
      </c>
      <c r="C168" s="57">
        <v>230.41</v>
      </c>
      <c r="D168" s="4" t="s">
        <v>1423</v>
      </c>
      <c r="E168" s="104">
        <f t="shared" si="2"/>
        <v>41590</v>
      </c>
    </row>
    <row r="169" spans="1:5" x14ac:dyDescent="0.25">
      <c r="A169" s="8">
        <v>41559</v>
      </c>
      <c r="B169" s="4">
        <v>59132</v>
      </c>
      <c r="C169" s="57">
        <v>348.47</v>
      </c>
      <c r="D169" s="4" t="s">
        <v>1423</v>
      </c>
      <c r="E169" s="104">
        <f t="shared" si="2"/>
        <v>41590</v>
      </c>
    </row>
    <row r="170" spans="1:5" x14ac:dyDescent="0.25">
      <c r="A170" s="8">
        <v>41559</v>
      </c>
      <c r="B170" s="4">
        <v>59133</v>
      </c>
      <c r="C170" s="57">
        <v>357.34</v>
      </c>
      <c r="D170" s="4" t="s">
        <v>1423</v>
      </c>
      <c r="E170" s="104">
        <f t="shared" si="2"/>
        <v>41590</v>
      </c>
    </row>
    <row r="171" spans="1:5" x14ac:dyDescent="0.25">
      <c r="A171" s="8">
        <v>41559</v>
      </c>
      <c r="B171" s="4">
        <v>59134</v>
      </c>
      <c r="C171" s="57">
        <v>145.47</v>
      </c>
      <c r="D171" s="4" t="s">
        <v>1423</v>
      </c>
      <c r="E171" s="104">
        <f t="shared" si="2"/>
        <v>41590</v>
      </c>
    </row>
    <row r="172" spans="1:5" x14ac:dyDescent="0.25">
      <c r="A172" s="8">
        <v>41559</v>
      </c>
      <c r="B172" s="4">
        <v>59135</v>
      </c>
      <c r="C172" s="57">
        <v>48.37</v>
      </c>
      <c r="D172" s="4" t="s">
        <v>1423</v>
      </c>
      <c r="E172" s="104">
        <f t="shared" si="2"/>
        <v>41590</v>
      </c>
    </row>
    <row r="173" spans="1:5" x14ac:dyDescent="0.25">
      <c r="A173" s="8">
        <v>41559</v>
      </c>
      <c r="B173" s="4">
        <v>59136</v>
      </c>
      <c r="C173" s="57">
        <v>342.34</v>
      </c>
      <c r="D173" s="4" t="s">
        <v>1423</v>
      </c>
      <c r="E173" s="104">
        <f t="shared" si="2"/>
        <v>41590</v>
      </c>
    </row>
    <row r="174" spans="1:5" x14ac:dyDescent="0.25">
      <c r="A174" s="8">
        <v>41559</v>
      </c>
      <c r="B174" s="4">
        <v>59137</v>
      </c>
      <c r="C174" s="57">
        <v>278.18</v>
      </c>
      <c r="D174" s="4" t="s">
        <v>1423</v>
      </c>
      <c r="E174" s="104">
        <f t="shared" si="2"/>
        <v>41590</v>
      </c>
    </row>
    <row r="175" spans="1:5" x14ac:dyDescent="0.25">
      <c r="A175" s="8">
        <v>41559</v>
      </c>
      <c r="B175" s="4">
        <v>59138</v>
      </c>
      <c r="C175" s="57">
        <v>324.29000000000002</v>
      </c>
      <c r="D175" s="4" t="s">
        <v>1423</v>
      </c>
      <c r="E175" s="104">
        <f t="shared" si="2"/>
        <v>41590</v>
      </c>
    </row>
    <row r="176" spans="1:5" x14ac:dyDescent="0.25">
      <c r="A176" s="8">
        <v>41559</v>
      </c>
      <c r="B176" s="4">
        <v>59139</v>
      </c>
      <c r="C176" s="57">
        <v>76.45</v>
      </c>
      <c r="D176" s="4" t="s">
        <v>1423</v>
      </c>
      <c r="E176" s="104">
        <f t="shared" si="2"/>
        <v>41590</v>
      </c>
    </row>
    <row r="177" spans="1:5" x14ac:dyDescent="0.25">
      <c r="A177" s="8">
        <v>41559</v>
      </c>
      <c r="B177" s="4">
        <v>59140</v>
      </c>
      <c r="C177" s="57">
        <v>114.44</v>
      </c>
      <c r="D177" s="4" t="s">
        <v>1423</v>
      </c>
      <c r="E177" s="104">
        <f t="shared" si="2"/>
        <v>41590</v>
      </c>
    </row>
    <row r="178" spans="1:5" x14ac:dyDescent="0.25">
      <c r="A178" s="8">
        <v>41559</v>
      </c>
      <c r="B178" s="4">
        <v>59141</v>
      </c>
      <c r="C178" s="57">
        <v>125.72</v>
      </c>
      <c r="D178" s="4" t="s">
        <v>1423</v>
      </c>
      <c r="E178" s="104">
        <f t="shared" si="2"/>
        <v>41590</v>
      </c>
    </row>
    <row r="179" spans="1:5" x14ac:dyDescent="0.25">
      <c r="A179" s="8">
        <v>41560</v>
      </c>
      <c r="B179" s="4">
        <v>59142</v>
      </c>
      <c r="C179" s="57">
        <v>111.16</v>
      </c>
      <c r="D179" s="4" t="s">
        <v>1423</v>
      </c>
      <c r="E179" s="104">
        <f t="shared" si="2"/>
        <v>41591</v>
      </c>
    </row>
    <row r="180" spans="1:5" x14ac:dyDescent="0.25">
      <c r="A180" s="8">
        <v>41560</v>
      </c>
      <c r="B180" s="4">
        <v>59143</v>
      </c>
      <c r="C180" s="57">
        <v>46.82</v>
      </c>
      <c r="D180" s="4" t="s">
        <v>1423</v>
      </c>
      <c r="E180" s="104">
        <f t="shared" si="2"/>
        <v>41591</v>
      </c>
    </row>
    <row r="181" spans="1:5" x14ac:dyDescent="0.25">
      <c r="A181" s="8">
        <v>41560</v>
      </c>
      <c r="B181" s="4">
        <v>59144</v>
      </c>
      <c r="C181" s="57">
        <v>213.48</v>
      </c>
      <c r="D181" s="4" t="s">
        <v>1423</v>
      </c>
      <c r="E181" s="104">
        <f t="shared" si="2"/>
        <v>41591</v>
      </c>
    </row>
    <row r="182" spans="1:5" x14ac:dyDescent="0.25">
      <c r="A182" s="8">
        <v>41560</v>
      </c>
      <c r="B182" s="4">
        <v>59145</v>
      </c>
      <c r="C182" s="57">
        <v>128.81</v>
      </c>
      <c r="D182" s="4" t="s">
        <v>1423</v>
      </c>
      <c r="E182" s="104">
        <f t="shared" si="2"/>
        <v>41591</v>
      </c>
    </row>
    <row r="183" spans="1:5" x14ac:dyDescent="0.25">
      <c r="A183" s="8">
        <v>41560</v>
      </c>
      <c r="B183" s="4">
        <v>59146</v>
      </c>
      <c r="C183" s="57">
        <v>380.16</v>
      </c>
      <c r="D183" s="4" t="s">
        <v>1423</v>
      </c>
      <c r="E183" s="104">
        <f t="shared" si="2"/>
        <v>41591</v>
      </c>
    </row>
    <row r="184" spans="1:5" x14ac:dyDescent="0.25">
      <c r="A184" s="8">
        <v>41560</v>
      </c>
      <c r="B184" s="4">
        <v>59147</v>
      </c>
      <c r="C184" s="57">
        <v>71.739999999999995</v>
      </c>
      <c r="D184" s="4" t="s">
        <v>1423</v>
      </c>
      <c r="E184" s="104">
        <f t="shared" si="2"/>
        <v>41591</v>
      </c>
    </row>
    <row r="185" spans="1:5" x14ac:dyDescent="0.25">
      <c r="A185" s="8">
        <v>41560</v>
      </c>
      <c r="B185" s="4">
        <v>59148</v>
      </c>
      <c r="C185" s="57">
        <v>340.88</v>
      </c>
      <c r="D185" s="4" t="s">
        <v>1423</v>
      </c>
      <c r="E185" s="104">
        <f t="shared" si="2"/>
        <v>41591</v>
      </c>
    </row>
    <row r="186" spans="1:5" x14ac:dyDescent="0.25">
      <c r="A186" s="8">
        <v>41560</v>
      </c>
      <c r="B186" s="4">
        <v>59149</v>
      </c>
      <c r="C186" s="57">
        <v>182.63</v>
      </c>
      <c r="D186" s="4" t="s">
        <v>1423</v>
      </c>
      <c r="E186" s="104">
        <f t="shared" si="2"/>
        <v>41591</v>
      </c>
    </row>
    <row r="187" spans="1:5" x14ac:dyDescent="0.25">
      <c r="A187" s="8">
        <v>41560</v>
      </c>
      <c r="B187" s="4">
        <v>59150</v>
      </c>
      <c r="C187" s="57">
        <v>260.07</v>
      </c>
      <c r="D187" s="4" t="s">
        <v>1423</v>
      </c>
      <c r="E187" s="104">
        <f t="shared" si="2"/>
        <v>41591</v>
      </c>
    </row>
    <row r="188" spans="1:5" x14ac:dyDescent="0.25">
      <c r="A188" s="8">
        <v>41560</v>
      </c>
      <c r="B188" s="4">
        <v>59151</v>
      </c>
      <c r="C188" s="57">
        <v>314.39999999999998</v>
      </c>
      <c r="D188" s="4" t="s">
        <v>1423</v>
      </c>
      <c r="E188" s="104">
        <f t="shared" si="2"/>
        <v>41591</v>
      </c>
    </row>
    <row r="189" spans="1:5" x14ac:dyDescent="0.25">
      <c r="A189" s="8">
        <v>41560</v>
      </c>
      <c r="B189" s="4">
        <v>59152</v>
      </c>
      <c r="C189" s="57">
        <v>49.44</v>
      </c>
      <c r="D189" s="4" t="s">
        <v>1423</v>
      </c>
      <c r="E189" s="104">
        <f t="shared" si="2"/>
        <v>41591</v>
      </c>
    </row>
    <row r="190" spans="1:5" x14ac:dyDescent="0.25">
      <c r="A190" s="8">
        <v>41560</v>
      </c>
      <c r="B190" s="4">
        <v>59153</v>
      </c>
      <c r="C190" s="57">
        <v>39.53</v>
      </c>
      <c r="D190" s="4" t="s">
        <v>1423</v>
      </c>
      <c r="E190" s="104">
        <f t="shared" si="2"/>
        <v>41591</v>
      </c>
    </row>
    <row r="191" spans="1:5" x14ac:dyDescent="0.25">
      <c r="A191" s="8">
        <v>41560</v>
      </c>
      <c r="B191" s="4">
        <v>59154</v>
      </c>
      <c r="C191" s="57">
        <v>157.85</v>
      </c>
      <c r="D191" s="4" t="s">
        <v>1423</v>
      </c>
      <c r="E191" s="104">
        <f t="shared" si="2"/>
        <v>41591</v>
      </c>
    </row>
    <row r="192" spans="1:5" x14ac:dyDescent="0.25">
      <c r="A192" s="8">
        <v>41560</v>
      </c>
      <c r="B192" s="4">
        <v>59155</v>
      </c>
      <c r="C192" s="57">
        <v>99.53</v>
      </c>
      <c r="D192" s="4" t="s">
        <v>1423</v>
      </c>
      <c r="E192" s="104">
        <f t="shared" si="2"/>
        <v>41591</v>
      </c>
    </row>
    <row r="193" spans="1:5" x14ac:dyDescent="0.25">
      <c r="A193" s="8">
        <v>41560</v>
      </c>
      <c r="B193" s="4">
        <v>59156</v>
      </c>
      <c r="C193" s="57">
        <v>180.01</v>
      </c>
      <c r="D193" s="4" t="s">
        <v>1423</v>
      </c>
      <c r="E193" s="104">
        <f t="shared" si="2"/>
        <v>41591</v>
      </c>
    </row>
    <row r="194" spans="1:5" x14ac:dyDescent="0.25">
      <c r="A194" s="8">
        <v>41561</v>
      </c>
      <c r="B194" s="4">
        <v>59157</v>
      </c>
      <c r="C194" s="57">
        <v>168.56</v>
      </c>
      <c r="D194" s="4" t="s">
        <v>1423</v>
      </c>
      <c r="E194" s="104">
        <f t="shared" si="2"/>
        <v>41592</v>
      </c>
    </row>
    <row r="195" spans="1:5" x14ac:dyDescent="0.25">
      <c r="A195" s="8">
        <v>41561</v>
      </c>
      <c r="B195" s="4">
        <v>59158</v>
      </c>
      <c r="C195" s="57">
        <v>169.08</v>
      </c>
      <c r="D195" s="4" t="s">
        <v>1423</v>
      </c>
      <c r="E195" s="104">
        <f t="shared" si="2"/>
        <v>41592</v>
      </c>
    </row>
    <row r="196" spans="1:5" x14ac:dyDescent="0.25">
      <c r="A196" s="8">
        <v>41561</v>
      </c>
      <c r="B196" s="4">
        <v>59159</v>
      </c>
      <c r="C196" s="57">
        <v>39.119999999999997</v>
      </c>
      <c r="D196" s="4" t="s">
        <v>1423</v>
      </c>
      <c r="E196" s="104">
        <f t="shared" si="2"/>
        <v>41592</v>
      </c>
    </row>
    <row r="197" spans="1:5" x14ac:dyDescent="0.25">
      <c r="A197" s="8">
        <v>41561</v>
      </c>
      <c r="B197" s="4">
        <v>59160</v>
      </c>
      <c r="C197" s="57">
        <v>78.98</v>
      </c>
      <c r="D197" s="4" t="s">
        <v>1423</v>
      </c>
      <c r="E197" s="104">
        <f t="shared" si="2"/>
        <v>41592</v>
      </c>
    </row>
    <row r="198" spans="1:5" x14ac:dyDescent="0.25">
      <c r="A198" s="8">
        <v>41561</v>
      </c>
      <c r="B198" s="4">
        <v>59161</v>
      </c>
      <c r="C198" s="57">
        <v>195.01</v>
      </c>
      <c r="D198" s="4" t="s">
        <v>1423</v>
      </c>
      <c r="E198" s="104">
        <f t="shared" ref="E198:E261" si="3">EDATE(A198,1)</f>
        <v>41592</v>
      </c>
    </row>
    <row r="199" spans="1:5" x14ac:dyDescent="0.25">
      <c r="A199" s="8">
        <v>41561</v>
      </c>
      <c r="B199" s="4">
        <v>59162</v>
      </c>
      <c r="C199" s="57">
        <v>308.02</v>
      </c>
      <c r="D199" s="4" t="s">
        <v>1423</v>
      </c>
      <c r="E199" s="104">
        <f t="shared" si="3"/>
        <v>41592</v>
      </c>
    </row>
    <row r="200" spans="1:5" x14ac:dyDescent="0.25">
      <c r="A200" s="8">
        <v>41561</v>
      </c>
      <c r="B200" s="4">
        <v>59163</v>
      </c>
      <c r="C200" s="57">
        <v>331.5</v>
      </c>
      <c r="D200" s="4" t="s">
        <v>1423</v>
      </c>
      <c r="E200" s="104">
        <f t="shared" si="3"/>
        <v>41592</v>
      </c>
    </row>
    <row r="201" spans="1:5" x14ac:dyDescent="0.25">
      <c r="A201" s="8">
        <v>41561</v>
      </c>
      <c r="B201" s="4">
        <v>59164</v>
      </c>
      <c r="C201" s="57">
        <v>389.32</v>
      </c>
      <c r="D201" s="4" t="s">
        <v>1423</v>
      </c>
      <c r="E201" s="104">
        <f t="shared" si="3"/>
        <v>41592</v>
      </c>
    </row>
    <row r="202" spans="1:5" x14ac:dyDescent="0.25">
      <c r="A202" s="8">
        <v>41561</v>
      </c>
      <c r="B202" s="4">
        <v>59165</v>
      </c>
      <c r="C202" s="57">
        <v>78.14</v>
      </c>
      <c r="D202" s="4" t="s">
        <v>1423</v>
      </c>
      <c r="E202" s="104">
        <f t="shared" si="3"/>
        <v>41592</v>
      </c>
    </row>
    <row r="203" spans="1:5" x14ac:dyDescent="0.25">
      <c r="A203" s="8">
        <v>41561</v>
      </c>
      <c r="B203" s="4">
        <v>59166</v>
      </c>
      <c r="C203" s="57">
        <v>316.86</v>
      </c>
      <c r="D203" s="4" t="s">
        <v>1423</v>
      </c>
      <c r="E203" s="104">
        <f t="shared" si="3"/>
        <v>41592</v>
      </c>
    </row>
    <row r="204" spans="1:5" x14ac:dyDescent="0.25">
      <c r="A204" s="8">
        <v>41561</v>
      </c>
      <c r="B204" s="4">
        <v>59167</v>
      </c>
      <c r="C204" s="57">
        <v>113.45</v>
      </c>
      <c r="D204" s="4" t="s">
        <v>1423</v>
      </c>
      <c r="E204" s="104">
        <f t="shared" si="3"/>
        <v>41592</v>
      </c>
    </row>
    <row r="205" spans="1:5" x14ac:dyDescent="0.25">
      <c r="A205" s="8">
        <v>41561</v>
      </c>
      <c r="B205" s="4">
        <v>59168</v>
      </c>
      <c r="C205" s="57">
        <v>148</v>
      </c>
      <c r="D205" s="4" t="s">
        <v>1423</v>
      </c>
      <c r="E205" s="104">
        <f t="shared" si="3"/>
        <v>41592</v>
      </c>
    </row>
    <row r="206" spans="1:5" x14ac:dyDescent="0.25">
      <c r="A206" s="8">
        <v>41561</v>
      </c>
      <c r="B206" s="4">
        <v>59169</v>
      </c>
      <c r="C206" s="57">
        <v>76.87</v>
      </c>
      <c r="D206" s="4" t="s">
        <v>1423</v>
      </c>
      <c r="E206" s="104">
        <f t="shared" si="3"/>
        <v>41592</v>
      </c>
    </row>
    <row r="207" spans="1:5" x14ac:dyDescent="0.25">
      <c r="A207" s="8">
        <v>41561</v>
      </c>
      <c r="B207" s="4">
        <v>59170</v>
      </c>
      <c r="C207" s="57">
        <v>49.18</v>
      </c>
      <c r="D207" s="4" t="s">
        <v>1423</v>
      </c>
      <c r="E207" s="104">
        <f t="shared" si="3"/>
        <v>41592</v>
      </c>
    </row>
    <row r="208" spans="1:5" x14ac:dyDescent="0.25">
      <c r="A208" s="8">
        <v>41561</v>
      </c>
      <c r="B208" s="4">
        <v>59171</v>
      </c>
      <c r="C208" s="57">
        <v>263.62</v>
      </c>
      <c r="D208" s="4" t="s">
        <v>1423</v>
      </c>
      <c r="E208" s="104">
        <f t="shared" si="3"/>
        <v>41592</v>
      </c>
    </row>
    <row r="209" spans="1:5" x14ac:dyDescent="0.25">
      <c r="A209" s="8">
        <v>41561</v>
      </c>
      <c r="B209" s="4">
        <v>59172</v>
      </c>
      <c r="C209" s="57">
        <v>172.12</v>
      </c>
      <c r="D209" s="4" t="s">
        <v>1423</v>
      </c>
      <c r="E209" s="104">
        <f t="shared" si="3"/>
        <v>41592</v>
      </c>
    </row>
    <row r="210" spans="1:5" x14ac:dyDescent="0.25">
      <c r="A210" s="8">
        <v>41561</v>
      </c>
      <c r="B210" s="4">
        <v>59173</v>
      </c>
      <c r="C210" s="57">
        <v>371.9</v>
      </c>
      <c r="D210" s="4" t="s">
        <v>1423</v>
      </c>
      <c r="E210" s="104">
        <f t="shared" si="3"/>
        <v>41592</v>
      </c>
    </row>
    <row r="211" spans="1:5" x14ac:dyDescent="0.25">
      <c r="A211" s="8">
        <v>41561</v>
      </c>
      <c r="B211" s="4">
        <v>59174</v>
      </c>
      <c r="C211" s="57">
        <v>87.68</v>
      </c>
      <c r="D211" s="4" t="s">
        <v>1423</v>
      </c>
      <c r="E211" s="104">
        <f t="shared" si="3"/>
        <v>41592</v>
      </c>
    </row>
    <row r="212" spans="1:5" x14ac:dyDescent="0.25">
      <c r="A212" s="8">
        <v>41561</v>
      </c>
      <c r="B212" s="4">
        <v>59175</v>
      </c>
      <c r="C212" s="57">
        <v>186.71</v>
      </c>
      <c r="D212" s="4" t="s">
        <v>1423</v>
      </c>
      <c r="E212" s="104">
        <f t="shared" si="3"/>
        <v>41592</v>
      </c>
    </row>
    <row r="213" spans="1:5" x14ac:dyDescent="0.25">
      <c r="A213" s="8">
        <v>41561</v>
      </c>
      <c r="B213" s="4">
        <v>59176</v>
      </c>
      <c r="C213" s="57">
        <v>287.68</v>
      </c>
      <c r="D213" s="4" t="s">
        <v>1423</v>
      </c>
      <c r="E213" s="104">
        <f t="shared" si="3"/>
        <v>41592</v>
      </c>
    </row>
    <row r="214" spans="1:5" x14ac:dyDescent="0.25">
      <c r="A214" s="8">
        <v>41561</v>
      </c>
      <c r="B214" s="4">
        <v>59177</v>
      </c>
      <c r="C214" s="57">
        <v>164.03</v>
      </c>
      <c r="D214" s="4" t="s">
        <v>1423</v>
      </c>
      <c r="E214" s="104">
        <f t="shared" si="3"/>
        <v>41592</v>
      </c>
    </row>
    <row r="215" spans="1:5" x14ac:dyDescent="0.25">
      <c r="A215" s="8">
        <v>41561</v>
      </c>
      <c r="B215" s="4">
        <v>59178</v>
      </c>
      <c r="C215" s="57">
        <v>192.63</v>
      </c>
      <c r="D215" s="4" t="s">
        <v>1423</v>
      </c>
      <c r="E215" s="104">
        <f t="shared" si="3"/>
        <v>41592</v>
      </c>
    </row>
    <row r="216" spans="1:5" x14ac:dyDescent="0.25">
      <c r="A216" s="8">
        <v>41561</v>
      </c>
      <c r="B216" s="4">
        <v>59179</v>
      </c>
      <c r="C216" s="57">
        <v>373.88</v>
      </c>
      <c r="D216" s="4" t="s">
        <v>1423</v>
      </c>
      <c r="E216" s="104">
        <f t="shared" si="3"/>
        <v>41592</v>
      </c>
    </row>
    <row r="217" spans="1:5" x14ac:dyDescent="0.25">
      <c r="A217" s="8">
        <v>41561</v>
      </c>
      <c r="B217" s="4">
        <v>59180</v>
      </c>
      <c r="C217" s="57">
        <v>217.53</v>
      </c>
      <c r="D217" s="4" t="s">
        <v>1423</v>
      </c>
      <c r="E217" s="104">
        <f t="shared" si="3"/>
        <v>41592</v>
      </c>
    </row>
    <row r="218" spans="1:5" x14ac:dyDescent="0.25">
      <c r="A218" s="8">
        <v>41561</v>
      </c>
      <c r="B218" s="4">
        <v>59181</v>
      </c>
      <c r="C218" s="57">
        <v>210.51</v>
      </c>
      <c r="D218" s="4" t="s">
        <v>1423</v>
      </c>
      <c r="E218" s="104">
        <f t="shared" si="3"/>
        <v>41592</v>
      </c>
    </row>
    <row r="219" spans="1:5" x14ac:dyDescent="0.25">
      <c r="A219" s="8">
        <v>41561</v>
      </c>
      <c r="B219" s="4">
        <v>59182</v>
      </c>
      <c r="C219" s="57">
        <v>373.18</v>
      </c>
      <c r="D219" s="4" t="s">
        <v>1423</v>
      </c>
      <c r="E219" s="104">
        <f t="shared" si="3"/>
        <v>41592</v>
      </c>
    </row>
    <row r="220" spans="1:5" x14ac:dyDescent="0.25">
      <c r="A220" s="8">
        <v>41561</v>
      </c>
      <c r="B220" s="4">
        <v>59183</v>
      </c>
      <c r="C220" s="57">
        <v>193.14</v>
      </c>
      <c r="D220" s="4" t="s">
        <v>1423</v>
      </c>
      <c r="E220" s="104">
        <f t="shared" si="3"/>
        <v>41592</v>
      </c>
    </row>
    <row r="221" spans="1:5" x14ac:dyDescent="0.25">
      <c r="A221" s="8">
        <v>41561</v>
      </c>
      <c r="B221" s="4">
        <v>59184</v>
      </c>
      <c r="C221" s="57">
        <v>271.35000000000002</v>
      </c>
      <c r="D221" s="4" t="s">
        <v>1423</v>
      </c>
      <c r="E221" s="104">
        <f t="shared" si="3"/>
        <v>41592</v>
      </c>
    </row>
    <row r="222" spans="1:5" x14ac:dyDescent="0.25">
      <c r="A222" s="8">
        <v>41562</v>
      </c>
      <c r="B222" s="4">
        <v>59185</v>
      </c>
      <c r="C222" s="57">
        <v>328.5</v>
      </c>
      <c r="D222" s="4" t="s">
        <v>1423</v>
      </c>
      <c r="E222" s="104">
        <f t="shared" si="3"/>
        <v>41593</v>
      </c>
    </row>
    <row r="223" spans="1:5" x14ac:dyDescent="0.25">
      <c r="A223" s="8">
        <v>41562</v>
      </c>
      <c r="B223" s="4">
        <v>59186</v>
      </c>
      <c r="C223" s="57">
        <v>270.52999999999997</v>
      </c>
      <c r="D223" s="4" t="s">
        <v>1423</v>
      </c>
      <c r="E223" s="104">
        <f t="shared" si="3"/>
        <v>41593</v>
      </c>
    </row>
    <row r="224" spans="1:5" x14ac:dyDescent="0.25">
      <c r="A224" s="8">
        <v>41562</v>
      </c>
      <c r="B224" s="4">
        <v>59187</v>
      </c>
      <c r="C224" s="57">
        <v>228.41</v>
      </c>
      <c r="D224" s="4" t="s">
        <v>1423</v>
      </c>
      <c r="E224" s="104">
        <f t="shared" si="3"/>
        <v>41593</v>
      </c>
    </row>
    <row r="225" spans="1:5" x14ac:dyDescent="0.25">
      <c r="A225" s="8">
        <v>41562</v>
      </c>
      <c r="B225" s="4">
        <v>59188</v>
      </c>
      <c r="C225" s="57">
        <v>388.02</v>
      </c>
      <c r="D225" s="4" t="s">
        <v>1423</v>
      </c>
      <c r="E225" s="104">
        <f t="shared" si="3"/>
        <v>41593</v>
      </c>
    </row>
    <row r="226" spans="1:5" x14ac:dyDescent="0.25">
      <c r="A226" s="8">
        <v>41562</v>
      </c>
      <c r="B226" s="4">
        <v>59189</v>
      </c>
      <c r="C226" s="57">
        <v>350.5</v>
      </c>
      <c r="D226" s="4" t="s">
        <v>1423</v>
      </c>
      <c r="E226" s="104">
        <f t="shared" si="3"/>
        <v>41593</v>
      </c>
    </row>
    <row r="227" spans="1:5" x14ac:dyDescent="0.25">
      <c r="A227" s="8">
        <v>41562</v>
      </c>
      <c r="B227" s="4">
        <v>59190</v>
      </c>
      <c r="C227" s="57">
        <v>64.91</v>
      </c>
      <c r="D227" s="4" t="s">
        <v>1423</v>
      </c>
      <c r="E227" s="104">
        <f t="shared" si="3"/>
        <v>41593</v>
      </c>
    </row>
    <row r="228" spans="1:5" x14ac:dyDescent="0.25">
      <c r="A228" s="8">
        <v>41562</v>
      </c>
      <c r="B228" s="4">
        <v>59191</v>
      </c>
      <c r="C228" s="57">
        <v>332.68</v>
      </c>
      <c r="D228" s="4" t="s">
        <v>1423</v>
      </c>
      <c r="E228" s="104">
        <f t="shared" si="3"/>
        <v>41593</v>
      </c>
    </row>
    <row r="229" spans="1:5" x14ac:dyDescent="0.25">
      <c r="A229" s="8">
        <v>41562</v>
      </c>
      <c r="B229" s="4">
        <v>59192</v>
      </c>
      <c r="C229" s="57">
        <v>201.79</v>
      </c>
      <c r="D229" s="4" t="s">
        <v>1423</v>
      </c>
      <c r="E229" s="104">
        <f t="shared" si="3"/>
        <v>41593</v>
      </c>
    </row>
    <row r="230" spans="1:5" x14ac:dyDescent="0.25">
      <c r="A230" s="8">
        <v>41562</v>
      </c>
      <c r="B230" s="4">
        <v>59193</v>
      </c>
      <c r="C230" s="57">
        <v>175.06</v>
      </c>
      <c r="D230" s="4" t="s">
        <v>1423</v>
      </c>
      <c r="E230" s="104">
        <f t="shared" si="3"/>
        <v>41593</v>
      </c>
    </row>
    <row r="231" spans="1:5" x14ac:dyDescent="0.25">
      <c r="A231" s="8">
        <v>41562</v>
      </c>
      <c r="B231" s="4">
        <v>59194</v>
      </c>
      <c r="C231" s="57">
        <v>255.7</v>
      </c>
      <c r="D231" s="4" t="s">
        <v>1423</v>
      </c>
      <c r="E231" s="104">
        <f t="shared" si="3"/>
        <v>41593</v>
      </c>
    </row>
    <row r="232" spans="1:5" x14ac:dyDescent="0.25">
      <c r="A232" s="8">
        <v>41562</v>
      </c>
      <c r="B232" s="4">
        <v>59195</v>
      </c>
      <c r="C232" s="57">
        <v>320.83</v>
      </c>
      <c r="D232" s="4" t="s">
        <v>1423</v>
      </c>
      <c r="E232" s="104">
        <f t="shared" si="3"/>
        <v>41593</v>
      </c>
    </row>
    <row r="233" spans="1:5" x14ac:dyDescent="0.25">
      <c r="A233" s="8">
        <v>41562</v>
      </c>
      <c r="B233" s="4">
        <v>59196</v>
      </c>
      <c r="C233" s="57">
        <v>207.68</v>
      </c>
      <c r="D233" s="4" t="s">
        <v>1423</v>
      </c>
      <c r="E233" s="104">
        <f t="shared" si="3"/>
        <v>41593</v>
      </c>
    </row>
    <row r="234" spans="1:5" x14ac:dyDescent="0.25">
      <c r="A234" s="8">
        <v>41562</v>
      </c>
      <c r="B234" s="4">
        <v>59197</v>
      </c>
      <c r="C234" s="57">
        <v>187.72</v>
      </c>
      <c r="D234" s="4" t="s">
        <v>1423</v>
      </c>
      <c r="E234" s="104">
        <f t="shared" si="3"/>
        <v>41593</v>
      </c>
    </row>
    <row r="235" spans="1:5" x14ac:dyDescent="0.25">
      <c r="A235" s="8">
        <v>41562</v>
      </c>
      <c r="B235" s="4">
        <v>59198</v>
      </c>
      <c r="C235" s="57">
        <v>134.63</v>
      </c>
      <c r="D235" s="4" t="s">
        <v>1423</v>
      </c>
      <c r="E235" s="104">
        <f t="shared" si="3"/>
        <v>41593</v>
      </c>
    </row>
    <row r="236" spans="1:5" x14ac:dyDescent="0.25">
      <c r="A236" s="8">
        <v>41562</v>
      </c>
      <c r="B236" s="4">
        <v>59199</v>
      </c>
      <c r="C236" s="57">
        <v>200.39</v>
      </c>
      <c r="D236" s="4" t="s">
        <v>1423</v>
      </c>
      <c r="E236" s="104">
        <f t="shared" si="3"/>
        <v>41593</v>
      </c>
    </row>
    <row r="237" spans="1:5" x14ac:dyDescent="0.25">
      <c r="A237" s="8">
        <v>41562</v>
      </c>
      <c r="B237" s="4">
        <v>59200</v>
      </c>
      <c r="C237" s="57">
        <v>201.59</v>
      </c>
      <c r="D237" s="4" t="s">
        <v>1423</v>
      </c>
      <c r="E237" s="104">
        <f t="shared" si="3"/>
        <v>41593</v>
      </c>
    </row>
    <row r="238" spans="1:5" x14ac:dyDescent="0.25">
      <c r="A238" s="8">
        <v>41562</v>
      </c>
      <c r="B238" s="4">
        <v>59201</v>
      </c>
      <c r="C238" s="57">
        <v>124.65</v>
      </c>
      <c r="D238" s="4" t="s">
        <v>1423</v>
      </c>
      <c r="E238" s="104">
        <f t="shared" si="3"/>
        <v>41593</v>
      </c>
    </row>
    <row r="239" spans="1:5" x14ac:dyDescent="0.25">
      <c r="A239" s="8">
        <v>41562</v>
      </c>
      <c r="B239" s="4">
        <v>59202</v>
      </c>
      <c r="C239" s="57">
        <v>382.04</v>
      </c>
      <c r="D239" s="4" t="s">
        <v>1423</v>
      </c>
      <c r="E239" s="104">
        <f t="shared" si="3"/>
        <v>41593</v>
      </c>
    </row>
    <row r="240" spans="1:5" x14ac:dyDescent="0.25">
      <c r="A240" s="8">
        <v>41562</v>
      </c>
      <c r="B240" s="4">
        <v>59203</v>
      </c>
      <c r="C240" s="57">
        <v>41.3</v>
      </c>
      <c r="D240" s="4" t="s">
        <v>1423</v>
      </c>
      <c r="E240" s="104">
        <f t="shared" si="3"/>
        <v>41593</v>
      </c>
    </row>
    <row r="241" spans="1:5" x14ac:dyDescent="0.25">
      <c r="A241" s="8">
        <v>41562</v>
      </c>
      <c r="B241" s="4">
        <v>59204</v>
      </c>
      <c r="C241" s="57">
        <v>178.57</v>
      </c>
      <c r="D241" s="4" t="s">
        <v>1423</v>
      </c>
      <c r="E241" s="104">
        <f t="shared" si="3"/>
        <v>41593</v>
      </c>
    </row>
    <row r="242" spans="1:5" x14ac:dyDescent="0.25">
      <c r="A242" s="8">
        <v>41562</v>
      </c>
      <c r="B242" s="4">
        <v>59205</v>
      </c>
      <c r="C242" s="57">
        <v>124.98</v>
      </c>
      <c r="D242" s="4" t="s">
        <v>1423</v>
      </c>
      <c r="E242" s="104">
        <f t="shared" si="3"/>
        <v>41593</v>
      </c>
    </row>
    <row r="243" spans="1:5" x14ac:dyDescent="0.25">
      <c r="A243" s="8">
        <v>41562</v>
      </c>
      <c r="B243" s="4">
        <v>59206</v>
      </c>
      <c r="C243" s="57">
        <v>245.86</v>
      </c>
      <c r="D243" s="4" t="s">
        <v>1423</v>
      </c>
      <c r="E243" s="104">
        <f t="shared" si="3"/>
        <v>41593</v>
      </c>
    </row>
    <row r="244" spans="1:5" x14ac:dyDescent="0.25">
      <c r="A244" s="8">
        <v>41563</v>
      </c>
      <c r="B244" s="4">
        <v>59207</v>
      </c>
      <c r="C244" s="57">
        <v>133.22</v>
      </c>
      <c r="D244" s="4" t="s">
        <v>1423</v>
      </c>
      <c r="E244" s="104">
        <f t="shared" si="3"/>
        <v>41594</v>
      </c>
    </row>
    <row r="245" spans="1:5" x14ac:dyDescent="0.25">
      <c r="A245" s="8">
        <v>41563</v>
      </c>
      <c r="B245" s="4">
        <v>59208</v>
      </c>
      <c r="C245" s="57">
        <v>276.63</v>
      </c>
      <c r="D245" s="4" t="s">
        <v>1423</v>
      </c>
      <c r="E245" s="104">
        <f t="shared" si="3"/>
        <v>41594</v>
      </c>
    </row>
    <row r="246" spans="1:5" x14ac:dyDescent="0.25">
      <c r="A246" s="8">
        <v>41563</v>
      </c>
      <c r="B246" s="4">
        <v>59209</v>
      </c>
      <c r="C246" s="57">
        <v>383.59</v>
      </c>
      <c r="D246" s="4" t="s">
        <v>1423</v>
      </c>
      <c r="E246" s="104">
        <f t="shared" si="3"/>
        <v>41594</v>
      </c>
    </row>
    <row r="247" spans="1:5" x14ac:dyDescent="0.25">
      <c r="A247" s="8">
        <v>41563</v>
      </c>
      <c r="B247" s="4">
        <v>59210</v>
      </c>
      <c r="C247" s="57">
        <v>207.27</v>
      </c>
      <c r="D247" s="4" t="s">
        <v>1423</v>
      </c>
      <c r="E247" s="104">
        <f t="shared" si="3"/>
        <v>41594</v>
      </c>
    </row>
    <row r="248" spans="1:5" x14ac:dyDescent="0.25">
      <c r="A248" s="8">
        <v>41563</v>
      </c>
      <c r="B248" s="4">
        <v>59211</v>
      </c>
      <c r="C248" s="57">
        <v>347.27</v>
      </c>
      <c r="D248" s="4" t="s">
        <v>1423</v>
      </c>
      <c r="E248" s="104">
        <f t="shared" si="3"/>
        <v>41594</v>
      </c>
    </row>
    <row r="249" spans="1:5" x14ac:dyDescent="0.25">
      <c r="A249" s="8">
        <v>41563</v>
      </c>
      <c r="B249" s="4">
        <v>59212</v>
      </c>
      <c r="C249" s="57">
        <v>104.78</v>
      </c>
      <c r="D249" s="4" t="s">
        <v>1423</v>
      </c>
      <c r="E249" s="104">
        <f t="shared" si="3"/>
        <v>41594</v>
      </c>
    </row>
    <row r="250" spans="1:5" x14ac:dyDescent="0.25">
      <c r="A250" s="8">
        <v>41563</v>
      </c>
      <c r="B250" s="4">
        <v>59213</v>
      </c>
      <c r="C250" s="57">
        <v>340.75</v>
      </c>
      <c r="D250" s="4" t="s">
        <v>1423</v>
      </c>
      <c r="E250" s="104">
        <f t="shared" si="3"/>
        <v>41594</v>
      </c>
    </row>
    <row r="251" spans="1:5" x14ac:dyDescent="0.25">
      <c r="A251" s="8">
        <v>41563</v>
      </c>
      <c r="B251" s="4">
        <v>59214</v>
      </c>
      <c r="C251" s="57">
        <v>382.6</v>
      </c>
      <c r="D251" s="4" t="s">
        <v>1423</v>
      </c>
      <c r="E251" s="104">
        <f t="shared" si="3"/>
        <v>41594</v>
      </c>
    </row>
    <row r="252" spans="1:5" x14ac:dyDescent="0.25">
      <c r="A252" s="8">
        <v>41563</v>
      </c>
      <c r="B252" s="4">
        <v>59215</v>
      </c>
      <c r="C252" s="57">
        <v>301.58</v>
      </c>
      <c r="D252" s="4" t="s">
        <v>1423</v>
      </c>
      <c r="E252" s="104">
        <f t="shared" si="3"/>
        <v>41594</v>
      </c>
    </row>
    <row r="253" spans="1:5" x14ac:dyDescent="0.25">
      <c r="A253" s="8">
        <v>41563</v>
      </c>
      <c r="B253" s="4">
        <v>59216</v>
      </c>
      <c r="C253" s="57">
        <v>264.42</v>
      </c>
      <c r="D253" s="4" t="s">
        <v>1423</v>
      </c>
      <c r="E253" s="104">
        <f t="shared" si="3"/>
        <v>41594</v>
      </c>
    </row>
    <row r="254" spans="1:5" x14ac:dyDescent="0.25">
      <c r="A254" s="8">
        <v>41563</v>
      </c>
      <c r="B254" s="4">
        <v>59217</v>
      </c>
      <c r="C254" s="57">
        <v>50.81</v>
      </c>
      <c r="D254" s="4" t="s">
        <v>1423</v>
      </c>
      <c r="E254" s="104">
        <f t="shared" si="3"/>
        <v>41594</v>
      </c>
    </row>
    <row r="255" spans="1:5" x14ac:dyDescent="0.25">
      <c r="A255" s="8">
        <v>41563</v>
      </c>
      <c r="B255" s="4">
        <v>59218</v>
      </c>
      <c r="C255" s="57">
        <v>206.84</v>
      </c>
      <c r="D255" s="4" t="s">
        <v>1423</v>
      </c>
      <c r="E255" s="104">
        <f t="shared" si="3"/>
        <v>41594</v>
      </c>
    </row>
    <row r="256" spans="1:5" x14ac:dyDescent="0.25">
      <c r="A256" s="8">
        <v>41563</v>
      </c>
      <c r="B256" s="4">
        <v>59219</v>
      </c>
      <c r="C256" s="57">
        <v>269.23</v>
      </c>
      <c r="D256" s="4" t="s">
        <v>1423</v>
      </c>
      <c r="E256" s="104">
        <f t="shared" si="3"/>
        <v>41594</v>
      </c>
    </row>
    <row r="257" spans="1:5" x14ac:dyDescent="0.25">
      <c r="A257" s="8">
        <v>41563</v>
      </c>
      <c r="B257" s="4">
        <v>59220</v>
      </c>
      <c r="C257" s="57">
        <v>197.99</v>
      </c>
      <c r="D257" s="4" t="s">
        <v>1423</v>
      </c>
      <c r="E257" s="104">
        <f t="shared" si="3"/>
        <v>41594</v>
      </c>
    </row>
    <row r="258" spans="1:5" x14ac:dyDescent="0.25">
      <c r="A258" s="8">
        <v>41563</v>
      </c>
      <c r="B258" s="4">
        <v>59221</v>
      </c>
      <c r="C258" s="57">
        <v>145.43</v>
      </c>
      <c r="D258" s="4" t="s">
        <v>1423</v>
      </c>
      <c r="E258" s="104">
        <f t="shared" si="3"/>
        <v>41594</v>
      </c>
    </row>
    <row r="259" spans="1:5" x14ac:dyDescent="0.25">
      <c r="A259" s="8">
        <v>41563</v>
      </c>
      <c r="B259" s="4">
        <v>59222</v>
      </c>
      <c r="C259" s="57">
        <v>337.12</v>
      </c>
      <c r="D259" s="4" t="s">
        <v>1423</v>
      </c>
      <c r="E259" s="104">
        <f t="shared" si="3"/>
        <v>41594</v>
      </c>
    </row>
    <row r="260" spans="1:5" x14ac:dyDescent="0.25">
      <c r="A260" s="8">
        <v>41563</v>
      </c>
      <c r="B260" s="4">
        <v>59223</v>
      </c>
      <c r="C260" s="57">
        <v>246.37</v>
      </c>
      <c r="D260" s="4" t="s">
        <v>1423</v>
      </c>
      <c r="E260" s="104">
        <f t="shared" si="3"/>
        <v>41594</v>
      </c>
    </row>
    <row r="261" spans="1:5" x14ac:dyDescent="0.25">
      <c r="A261" s="8">
        <v>41563</v>
      </c>
      <c r="B261" s="4">
        <v>59224</v>
      </c>
      <c r="C261" s="57">
        <v>62.79</v>
      </c>
      <c r="D261" s="4" t="s">
        <v>1423</v>
      </c>
      <c r="E261" s="104">
        <f t="shared" si="3"/>
        <v>41594</v>
      </c>
    </row>
    <row r="262" spans="1:5" x14ac:dyDescent="0.25">
      <c r="A262" s="8">
        <v>41563</v>
      </c>
      <c r="B262" s="4">
        <v>59225</v>
      </c>
      <c r="C262" s="57">
        <v>299.95</v>
      </c>
      <c r="D262" s="4" t="s">
        <v>1423</v>
      </c>
      <c r="E262" s="104">
        <f t="shared" ref="E262:E325" si="4">EDATE(A262,1)</f>
        <v>41594</v>
      </c>
    </row>
    <row r="263" spans="1:5" x14ac:dyDescent="0.25">
      <c r="A263" s="8">
        <v>41563</v>
      </c>
      <c r="B263" s="4">
        <v>59226</v>
      </c>
      <c r="C263" s="57">
        <v>311.52</v>
      </c>
      <c r="D263" s="4" t="s">
        <v>1423</v>
      </c>
      <c r="E263" s="104">
        <f t="shared" si="4"/>
        <v>41594</v>
      </c>
    </row>
    <row r="264" spans="1:5" x14ac:dyDescent="0.25">
      <c r="A264" s="8">
        <v>41564</v>
      </c>
      <c r="B264" s="4">
        <v>59227</v>
      </c>
      <c r="C264" s="57">
        <v>389.38</v>
      </c>
      <c r="D264" s="4" t="s">
        <v>1423</v>
      </c>
      <c r="E264" s="104">
        <f t="shared" si="4"/>
        <v>41595</v>
      </c>
    </row>
    <row r="265" spans="1:5" x14ac:dyDescent="0.25">
      <c r="A265" s="8">
        <v>41564</v>
      </c>
      <c r="B265" s="4">
        <v>59228</v>
      </c>
      <c r="C265" s="57">
        <v>345.6</v>
      </c>
      <c r="D265" s="4" t="s">
        <v>1423</v>
      </c>
      <c r="E265" s="104">
        <f t="shared" si="4"/>
        <v>41595</v>
      </c>
    </row>
    <row r="266" spans="1:5" x14ac:dyDescent="0.25">
      <c r="A266" s="8">
        <v>41564</v>
      </c>
      <c r="B266" s="4">
        <v>59229</v>
      </c>
      <c r="C266" s="57">
        <v>317.47000000000003</v>
      </c>
      <c r="D266" s="4" t="s">
        <v>1423</v>
      </c>
      <c r="E266" s="104">
        <f t="shared" si="4"/>
        <v>41595</v>
      </c>
    </row>
    <row r="267" spans="1:5" x14ac:dyDescent="0.25">
      <c r="A267" s="8">
        <v>41564</v>
      </c>
      <c r="B267" s="4">
        <v>59230</v>
      </c>
      <c r="C267" s="57">
        <v>357.07</v>
      </c>
      <c r="D267" s="4" t="s">
        <v>1423</v>
      </c>
      <c r="E267" s="104">
        <f t="shared" si="4"/>
        <v>41595</v>
      </c>
    </row>
    <row r="268" spans="1:5" x14ac:dyDescent="0.25">
      <c r="A268" s="8">
        <v>41564</v>
      </c>
      <c r="B268" s="4">
        <v>59231</v>
      </c>
      <c r="C268" s="57">
        <v>161.04</v>
      </c>
      <c r="D268" s="4" t="s">
        <v>1423</v>
      </c>
      <c r="E268" s="104">
        <f t="shared" si="4"/>
        <v>41595</v>
      </c>
    </row>
    <row r="269" spans="1:5" x14ac:dyDescent="0.25">
      <c r="A269" s="8">
        <v>41564</v>
      </c>
      <c r="B269" s="4">
        <v>59232</v>
      </c>
      <c r="C269" s="57">
        <v>215.43</v>
      </c>
      <c r="D269" s="4" t="s">
        <v>1423</v>
      </c>
      <c r="E269" s="104">
        <f t="shared" si="4"/>
        <v>41595</v>
      </c>
    </row>
    <row r="270" spans="1:5" x14ac:dyDescent="0.25">
      <c r="A270" s="8">
        <v>41564</v>
      </c>
      <c r="B270" s="4">
        <v>59233</v>
      </c>
      <c r="C270" s="57">
        <v>124.14</v>
      </c>
      <c r="D270" s="4" t="s">
        <v>1423</v>
      </c>
      <c r="E270" s="104">
        <f t="shared" si="4"/>
        <v>41595</v>
      </c>
    </row>
    <row r="271" spans="1:5" x14ac:dyDescent="0.25">
      <c r="A271" s="8">
        <v>41564</v>
      </c>
      <c r="B271" s="4">
        <v>59234</v>
      </c>
      <c r="C271" s="57">
        <v>131.44999999999999</v>
      </c>
      <c r="D271" s="4" t="s">
        <v>1423</v>
      </c>
      <c r="E271" s="104">
        <f t="shared" si="4"/>
        <v>41595</v>
      </c>
    </row>
    <row r="272" spans="1:5" x14ac:dyDescent="0.25">
      <c r="A272" s="8">
        <v>41564</v>
      </c>
      <c r="B272" s="4">
        <v>59235</v>
      </c>
      <c r="C272" s="57">
        <v>45.08</v>
      </c>
      <c r="D272" s="4" t="s">
        <v>1423</v>
      </c>
      <c r="E272" s="104">
        <f t="shared" si="4"/>
        <v>41595</v>
      </c>
    </row>
    <row r="273" spans="1:5" x14ac:dyDescent="0.25">
      <c r="A273" s="8">
        <v>41564</v>
      </c>
      <c r="B273" s="4">
        <v>59236</v>
      </c>
      <c r="C273" s="57">
        <v>261.62</v>
      </c>
      <c r="D273" s="4" t="s">
        <v>1423</v>
      </c>
      <c r="E273" s="104">
        <f t="shared" si="4"/>
        <v>41595</v>
      </c>
    </row>
    <row r="274" spans="1:5" x14ac:dyDescent="0.25">
      <c r="A274" s="8">
        <v>41564</v>
      </c>
      <c r="B274" s="4">
        <v>59237</v>
      </c>
      <c r="C274" s="57">
        <v>355.97</v>
      </c>
      <c r="D274" s="4" t="s">
        <v>1423</v>
      </c>
      <c r="E274" s="104">
        <f t="shared" si="4"/>
        <v>41595</v>
      </c>
    </row>
    <row r="275" spans="1:5" x14ac:dyDescent="0.25">
      <c r="A275" s="8">
        <v>41564</v>
      </c>
      <c r="B275" s="4">
        <v>59238</v>
      </c>
      <c r="C275" s="57">
        <v>309.29000000000002</v>
      </c>
      <c r="D275" s="4" t="s">
        <v>1423</v>
      </c>
      <c r="E275" s="104">
        <f t="shared" si="4"/>
        <v>41595</v>
      </c>
    </row>
    <row r="276" spans="1:5" x14ac:dyDescent="0.25">
      <c r="A276" s="8">
        <v>41564</v>
      </c>
      <c r="B276" s="4">
        <v>59239</v>
      </c>
      <c r="C276" s="57">
        <v>327.49</v>
      </c>
      <c r="D276" s="4" t="s">
        <v>1423</v>
      </c>
      <c r="E276" s="104">
        <f t="shared" si="4"/>
        <v>41595</v>
      </c>
    </row>
    <row r="277" spans="1:5" x14ac:dyDescent="0.25">
      <c r="A277" s="8">
        <v>41564</v>
      </c>
      <c r="B277" s="4">
        <v>59240</v>
      </c>
      <c r="C277" s="57">
        <v>186.71</v>
      </c>
      <c r="D277" s="4" t="s">
        <v>1423</v>
      </c>
      <c r="E277" s="104">
        <f t="shared" si="4"/>
        <v>41595</v>
      </c>
    </row>
    <row r="278" spans="1:5" x14ac:dyDescent="0.25">
      <c r="A278" s="8">
        <v>41564</v>
      </c>
      <c r="B278" s="4">
        <v>59241</v>
      </c>
      <c r="C278" s="57">
        <v>92.15</v>
      </c>
      <c r="D278" s="4" t="s">
        <v>1423</v>
      </c>
      <c r="E278" s="104">
        <f t="shared" si="4"/>
        <v>41595</v>
      </c>
    </row>
    <row r="279" spans="1:5" x14ac:dyDescent="0.25">
      <c r="A279" s="8">
        <v>41564</v>
      </c>
      <c r="B279" s="4">
        <v>59242</v>
      </c>
      <c r="C279" s="57">
        <v>266.87</v>
      </c>
      <c r="D279" s="4" t="s">
        <v>1423</v>
      </c>
      <c r="E279" s="104">
        <f t="shared" si="4"/>
        <v>41595</v>
      </c>
    </row>
    <row r="280" spans="1:5" x14ac:dyDescent="0.25">
      <c r="A280" s="8">
        <v>41564</v>
      </c>
      <c r="B280" s="4">
        <v>59243</v>
      </c>
      <c r="C280" s="57">
        <v>112.5</v>
      </c>
      <c r="D280" s="4" t="s">
        <v>1423</v>
      </c>
      <c r="E280" s="104">
        <f t="shared" si="4"/>
        <v>41595</v>
      </c>
    </row>
    <row r="281" spans="1:5" x14ac:dyDescent="0.25">
      <c r="A281" s="8">
        <v>41564</v>
      </c>
      <c r="B281" s="4">
        <v>59244</v>
      </c>
      <c r="C281" s="57">
        <v>132.96</v>
      </c>
      <c r="D281" s="4" t="s">
        <v>1423</v>
      </c>
      <c r="E281" s="104">
        <f t="shared" si="4"/>
        <v>41595</v>
      </c>
    </row>
    <row r="282" spans="1:5" x14ac:dyDescent="0.25">
      <c r="A282" s="8">
        <v>41565</v>
      </c>
      <c r="B282" s="4">
        <v>59245</v>
      </c>
      <c r="C282" s="57">
        <v>246.3</v>
      </c>
      <c r="D282" s="4" t="s">
        <v>1423</v>
      </c>
      <c r="E282" s="104">
        <f t="shared" si="4"/>
        <v>41596</v>
      </c>
    </row>
    <row r="283" spans="1:5" x14ac:dyDescent="0.25">
      <c r="A283" s="8">
        <v>41565</v>
      </c>
      <c r="B283" s="4">
        <v>59246</v>
      </c>
      <c r="C283" s="57">
        <v>357.82</v>
      </c>
      <c r="D283" s="4" t="s">
        <v>1423</v>
      </c>
      <c r="E283" s="104">
        <f t="shared" si="4"/>
        <v>41596</v>
      </c>
    </row>
    <row r="284" spans="1:5" x14ac:dyDescent="0.25">
      <c r="A284" s="8">
        <v>41565</v>
      </c>
      <c r="B284" s="4">
        <v>59247</v>
      </c>
      <c r="C284" s="57">
        <v>36.590000000000003</v>
      </c>
      <c r="D284" s="4" t="s">
        <v>1423</v>
      </c>
      <c r="E284" s="104">
        <f t="shared" si="4"/>
        <v>41596</v>
      </c>
    </row>
    <row r="285" spans="1:5" x14ac:dyDescent="0.25">
      <c r="A285" s="8">
        <v>41565</v>
      </c>
      <c r="B285" s="4">
        <v>59248</v>
      </c>
      <c r="C285" s="57">
        <v>186.97</v>
      </c>
      <c r="D285" s="4" t="s">
        <v>1423</v>
      </c>
      <c r="E285" s="104">
        <f t="shared" si="4"/>
        <v>41596</v>
      </c>
    </row>
    <row r="286" spans="1:5" x14ac:dyDescent="0.25">
      <c r="A286" s="8">
        <v>41565</v>
      </c>
      <c r="B286" s="4">
        <v>59249</v>
      </c>
      <c r="C286" s="57">
        <v>67.75</v>
      </c>
      <c r="D286" s="4" t="s">
        <v>1423</v>
      </c>
      <c r="E286" s="104">
        <f t="shared" si="4"/>
        <v>41596</v>
      </c>
    </row>
    <row r="287" spans="1:5" x14ac:dyDescent="0.25">
      <c r="A287" s="8">
        <v>41565</v>
      </c>
      <c r="B287" s="4">
        <v>59250</v>
      </c>
      <c r="C287" s="57">
        <v>165.3</v>
      </c>
      <c r="D287" s="4" t="s">
        <v>1423</v>
      </c>
      <c r="E287" s="104">
        <f t="shared" si="4"/>
        <v>41596</v>
      </c>
    </row>
    <row r="288" spans="1:5" x14ac:dyDescent="0.25">
      <c r="A288" s="8">
        <v>41565</v>
      </c>
      <c r="B288" s="4">
        <v>59251</v>
      </c>
      <c r="C288" s="57">
        <v>131.80000000000001</v>
      </c>
      <c r="D288" s="4" t="s">
        <v>1423</v>
      </c>
      <c r="E288" s="104">
        <f t="shared" si="4"/>
        <v>41596</v>
      </c>
    </row>
    <row r="289" spans="1:5" x14ac:dyDescent="0.25">
      <c r="A289" s="8">
        <v>41565</v>
      </c>
      <c r="B289" s="4">
        <v>59252</v>
      </c>
      <c r="C289" s="57">
        <v>79.55</v>
      </c>
      <c r="D289" s="4" t="s">
        <v>1423</v>
      </c>
      <c r="E289" s="104">
        <f t="shared" si="4"/>
        <v>41596</v>
      </c>
    </row>
    <row r="290" spans="1:5" x14ac:dyDescent="0.25">
      <c r="A290" s="8">
        <v>41565</v>
      </c>
      <c r="B290" s="4">
        <v>59253</v>
      </c>
      <c r="C290" s="57">
        <v>165.41</v>
      </c>
      <c r="D290" s="4" t="s">
        <v>1423</v>
      </c>
      <c r="E290" s="104">
        <f t="shared" si="4"/>
        <v>41596</v>
      </c>
    </row>
    <row r="291" spans="1:5" x14ac:dyDescent="0.25">
      <c r="A291" s="8">
        <v>41565</v>
      </c>
      <c r="B291" s="4">
        <v>59254</v>
      </c>
      <c r="C291" s="57">
        <v>64.040000000000006</v>
      </c>
      <c r="D291" s="4" t="s">
        <v>1423</v>
      </c>
      <c r="E291" s="104">
        <f t="shared" si="4"/>
        <v>41596</v>
      </c>
    </row>
    <row r="292" spans="1:5" x14ac:dyDescent="0.25">
      <c r="A292" s="8">
        <v>41565</v>
      </c>
      <c r="B292" s="4">
        <v>59255</v>
      </c>
      <c r="C292" s="57">
        <v>85.57</v>
      </c>
      <c r="D292" s="4" t="s">
        <v>1423</v>
      </c>
      <c r="E292" s="104">
        <f t="shared" si="4"/>
        <v>41596</v>
      </c>
    </row>
    <row r="293" spans="1:5" x14ac:dyDescent="0.25">
      <c r="A293" s="8">
        <v>41565</v>
      </c>
      <c r="B293" s="4">
        <v>59256</v>
      </c>
      <c r="C293" s="57">
        <v>350.88</v>
      </c>
      <c r="D293" s="4" t="s">
        <v>1423</v>
      </c>
      <c r="E293" s="104">
        <f t="shared" si="4"/>
        <v>41596</v>
      </c>
    </row>
    <row r="294" spans="1:5" x14ac:dyDescent="0.25">
      <c r="A294" s="8">
        <v>41565</v>
      </c>
      <c r="B294" s="4">
        <v>59257</v>
      </c>
      <c r="C294" s="57">
        <v>269.77999999999997</v>
      </c>
      <c r="D294" s="4" t="s">
        <v>1423</v>
      </c>
      <c r="E294" s="104">
        <f t="shared" si="4"/>
        <v>41596</v>
      </c>
    </row>
    <row r="295" spans="1:5" x14ac:dyDescent="0.25">
      <c r="A295" s="8">
        <v>41565</v>
      </c>
      <c r="B295" s="4">
        <v>59258</v>
      </c>
      <c r="C295" s="57">
        <v>294.08999999999997</v>
      </c>
      <c r="D295" s="4" t="s">
        <v>1423</v>
      </c>
      <c r="E295" s="104">
        <f t="shared" si="4"/>
        <v>41596</v>
      </c>
    </row>
    <row r="296" spans="1:5" x14ac:dyDescent="0.25">
      <c r="A296" s="8">
        <v>41565</v>
      </c>
      <c r="B296" s="4">
        <v>59259</v>
      </c>
      <c r="C296" s="57">
        <v>150.68</v>
      </c>
      <c r="D296" s="4" t="s">
        <v>1423</v>
      </c>
      <c r="E296" s="104">
        <f t="shared" si="4"/>
        <v>41596</v>
      </c>
    </row>
    <row r="297" spans="1:5" x14ac:dyDescent="0.25">
      <c r="A297" s="8">
        <v>41565</v>
      </c>
      <c r="B297" s="4">
        <v>59260</v>
      </c>
      <c r="C297" s="57">
        <v>335.48</v>
      </c>
      <c r="D297" s="4" t="s">
        <v>1423</v>
      </c>
      <c r="E297" s="104">
        <f t="shared" si="4"/>
        <v>41596</v>
      </c>
    </row>
    <row r="298" spans="1:5" x14ac:dyDescent="0.25">
      <c r="A298" s="8">
        <v>41565</v>
      </c>
      <c r="B298" s="4">
        <v>59261</v>
      </c>
      <c r="C298" s="57">
        <v>80.23</v>
      </c>
      <c r="D298" s="4" t="s">
        <v>1423</v>
      </c>
      <c r="E298" s="104">
        <f t="shared" si="4"/>
        <v>41596</v>
      </c>
    </row>
    <row r="299" spans="1:5" x14ac:dyDescent="0.25">
      <c r="A299" s="8">
        <v>41565</v>
      </c>
      <c r="B299" s="4">
        <v>59262</v>
      </c>
      <c r="C299" s="57">
        <v>209.89</v>
      </c>
      <c r="D299" s="4" t="s">
        <v>1423</v>
      </c>
      <c r="E299" s="104">
        <f t="shared" si="4"/>
        <v>41596</v>
      </c>
    </row>
    <row r="300" spans="1:5" x14ac:dyDescent="0.25">
      <c r="A300" s="8">
        <v>41565</v>
      </c>
      <c r="B300" s="4">
        <v>59263</v>
      </c>
      <c r="C300" s="57">
        <v>58.4</v>
      </c>
      <c r="D300" s="4" t="s">
        <v>1423</v>
      </c>
      <c r="E300" s="104">
        <f t="shared" si="4"/>
        <v>41596</v>
      </c>
    </row>
    <row r="301" spans="1:5" x14ac:dyDescent="0.25">
      <c r="A301" s="8">
        <v>41565</v>
      </c>
      <c r="B301" s="4">
        <v>59264</v>
      </c>
      <c r="C301" s="57">
        <v>363.92</v>
      </c>
      <c r="D301" s="4" t="s">
        <v>1423</v>
      </c>
      <c r="E301" s="104">
        <f t="shared" si="4"/>
        <v>41596</v>
      </c>
    </row>
    <row r="302" spans="1:5" x14ac:dyDescent="0.25">
      <c r="A302" s="8">
        <v>41565</v>
      </c>
      <c r="B302" s="4">
        <v>59265</v>
      </c>
      <c r="C302" s="57">
        <v>109.95</v>
      </c>
      <c r="D302" s="4" t="s">
        <v>1423</v>
      </c>
      <c r="E302" s="104">
        <f t="shared" si="4"/>
        <v>41596</v>
      </c>
    </row>
    <row r="303" spans="1:5" x14ac:dyDescent="0.25">
      <c r="A303" s="8">
        <v>41566</v>
      </c>
      <c r="B303" s="4">
        <v>59266</v>
      </c>
      <c r="C303" s="57">
        <v>144.82</v>
      </c>
      <c r="D303" s="4" t="s">
        <v>1423</v>
      </c>
      <c r="E303" s="104">
        <f t="shared" si="4"/>
        <v>41597</v>
      </c>
    </row>
    <row r="304" spans="1:5" x14ac:dyDescent="0.25">
      <c r="A304" s="8">
        <v>41566</v>
      </c>
      <c r="B304" s="4">
        <v>59267</v>
      </c>
      <c r="C304" s="57">
        <v>194.87</v>
      </c>
      <c r="D304" s="4" t="s">
        <v>1423</v>
      </c>
      <c r="E304" s="104">
        <f t="shared" si="4"/>
        <v>41597</v>
      </c>
    </row>
    <row r="305" spans="1:5" x14ac:dyDescent="0.25">
      <c r="A305" s="8">
        <v>41566</v>
      </c>
      <c r="B305" s="4">
        <v>59268</v>
      </c>
      <c r="C305" s="57">
        <v>389.76</v>
      </c>
      <c r="D305" s="4" t="s">
        <v>1423</v>
      </c>
      <c r="E305" s="104">
        <f t="shared" si="4"/>
        <v>41597</v>
      </c>
    </row>
    <row r="306" spans="1:5" x14ac:dyDescent="0.25">
      <c r="A306" s="8">
        <v>41566</v>
      </c>
      <c r="B306" s="4">
        <v>59269</v>
      </c>
      <c r="C306" s="57">
        <v>79.66</v>
      </c>
      <c r="D306" s="4" t="s">
        <v>1423</v>
      </c>
      <c r="E306" s="104">
        <f t="shared" si="4"/>
        <v>41597</v>
      </c>
    </row>
    <row r="307" spans="1:5" x14ac:dyDescent="0.25">
      <c r="A307" s="8">
        <v>41566</v>
      </c>
      <c r="B307" s="4">
        <v>59270</v>
      </c>
      <c r="C307" s="57">
        <v>303.92</v>
      </c>
      <c r="D307" s="4" t="s">
        <v>1423</v>
      </c>
      <c r="E307" s="104">
        <f t="shared" si="4"/>
        <v>41597</v>
      </c>
    </row>
    <row r="308" spans="1:5" x14ac:dyDescent="0.25">
      <c r="A308" s="8">
        <v>41566</v>
      </c>
      <c r="B308" s="4">
        <v>59271</v>
      </c>
      <c r="C308" s="57">
        <v>97.62</v>
      </c>
      <c r="D308" s="4" t="s">
        <v>1423</v>
      </c>
      <c r="E308" s="104">
        <f t="shared" si="4"/>
        <v>41597</v>
      </c>
    </row>
    <row r="309" spans="1:5" x14ac:dyDescent="0.25">
      <c r="A309" s="8">
        <v>41566</v>
      </c>
      <c r="B309" s="4">
        <v>59272</v>
      </c>
      <c r="C309" s="57">
        <v>300.57</v>
      </c>
      <c r="D309" s="4" t="s">
        <v>1423</v>
      </c>
      <c r="E309" s="104">
        <f t="shared" si="4"/>
        <v>41597</v>
      </c>
    </row>
    <row r="310" spans="1:5" x14ac:dyDescent="0.25">
      <c r="A310" s="8">
        <v>41566</v>
      </c>
      <c r="B310" s="4">
        <v>59273</v>
      </c>
      <c r="C310" s="57">
        <v>86.22</v>
      </c>
      <c r="D310" s="4" t="s">
        <v>1423</v>
      </c>
      <c r="E310" s="104">
        <f t="shared" si="4"/>
        <v>41597</v>
      </c>
    </row>
    <row r="311" spans="1:5" x14ac:dyDescent="0.25">
      <c r="A311" s="8">
        <v>41566</v>
      </c>
      <c r="B311" s="4">
        <v>59274</v>
      </c>
      <c r="C311" s="57">
        <v>286.69</v>
      </c>
      <c r="D311" s="4" t="s">
        <v>1423</v>
      </c>
      <c r="E311" s="104">
        <f t="shared" si="4"/>
        <v>41597</v>
      </c>
    </row>
    <row r="312" spans="1:5" x14ac:dyDescent="0.25">
      <c r="A312" s="8">
        <v>41566</v>
      </c>
      <c r="B312" s="4">
        <v>59275</v>
      </c>
      <c r="C312" s="57">
        <v>351.91</v>
      </c>
      <c r="D312" s="4" t="s">
        <v>1423</v>
      </c>
      <c r="E312" s="104">
        <f t="shared" si="4"/>
        <v>41597</v>
      </c>
    </row>
    <row r="313" spans="1:5" x14ac:dyDescent="0.25">
      <c r="A313" s="8">
        <v>41566</v>
      </c>
      <c r="B313" s="4">
        <v>59276</v>
      </c>
      <c r="C313" s="57">
        <v>219.56</v>
      </c>
      <c r="D313" s="4" t="s">
        <v>1423</v>
      </c>
      <c r="E313" s="104">
        <f t="shared" si="4"/>
        <v>41597</v>
      </c>
    </row>
    <row r="314" spans="1:5" x14ac:dyDescent="0.25">
      <c r="A314" s="8">
        <v>41566</v>
      </c>
      <c r="B314" s="4">
        <v>59277</v>
      </c>
      <c r="C314" s="57">
        <v>309.63</v>
      </c>
      <c r="D314" s="4" t="s">
        <v>1423</v>
      </c>
      <c r="E314" s="104">
        <f t="shared" si="4"/>
        <v>41597</v>
      </c>
    </row>
    <row r="315" spans="1:5" x14ac:dyDescent="0.25">
      <c r="A315" s="8">
        <v>41566</v>
      </c>
      <c r="B315" s="4">
        <v>59278</v>
      </c>
      <c r="C315" s="57">
        <v>369.27</v>
      </c>
      <c r="D315" s="4" t="s">
        <v>1423</v>
      </c>
      <c r="E315" s="104">
        <f t="shared" si="4"/>
        <v>41597</v>
      </c>
    </row>
    <row r="316" spans="1:5" x14ac:dyDescent="0.25">
      <c r="A316" s="8">
        <v>41566</v>
      </c>
      <c r="B316" s="4">
        <v>59279</v>
      </c>
      <c r="C316" s="57">
        <v>319.87</v>
      </c>
      <c r="D316" s="4" t="s">
        <v>1423</v>
      </c>
      <c r="E316" s="104">
        <f t="shared" si="4"/>
        <v>41597</v>
      </c>
    </row>
    <row r="317" spans="1:5" x14ac:dyDescent="0.25">
      <c r="A317" s="8">
        <v>41566</v>
      </c>
      <c r="B317" s="4">
        <v>59280</v>
      </c>
      <c r="C317" s="57">
        <v>65.010000000000005</v>
      </c>
      <c r="D317" s="4" t="s">
        <v>1423</v>
      </c>
      <c r="E317" s="104">
        <f t="shared" si="4"/>
        <v>41597</v>
      </c>
    </row>
    <row r="318" spans="1:5" x14ac:dyDescent="0.25">
      <c r="A318" s="8">
        <v>41566</v>
      </c>
      <c r="B318" s="4">
        <v>59281</v>
      </c>
      <c r="C318" s="57">
        <v>188.54</v>
      </c>
      <c r="D318" s="4" t="s">
        <v>1423</v>
      </c>
      <c r="E318" s="104">
        <f t="shared" si="4"/>
        <v>41597</v>
      </c>
    </row>
    <row r="319" spans="1:5" x14ac:dyDescent="0.25">
      <c r="A319" s="8">
        <v>41566</v>
      </c>
      <c r="B319" s="4">
        <v>59282</v>
      </c>
      <c r="C319" s="57">
        <v>205.69</v>
      </c>
      <c r="D319" s="4" t="s">
        <v>1423</v>
      </c>
      <c r="E319" s="104">
        <f t="shared" si="4"/>
        <v>41597</v>
      </c>
    </row>
    <row r="320" spans="1:5" x14ac:dyDescent="0.25">
      <c r="A320" s="8">
        <v>41566</v>
      </c>
      <c r="B320" s="4">
        <v>59283</v>
      </c>
      <c r="C320" s="57">
        <v>301.66000000000003</v>
      </c>
      <c r="D320" s="4" t="s">
        <v>1423</v>
      </c>
      <c r="E320" s="104">
        <f t="shared" si="4"/>
        <v>41597</v>
      </c>
    </row>
    <row r="321" spans="1:5" x14ac:dyDescent="0.25">
      <c r="A321" s="8">
        <v>41566</v>
      </c>
      <c r="B321" s="4">
        <v>59284</v>
      </c>
      <c r="C321" s="57">
        <v>355.56</v>
      </c>
      <c r="D321" s="4" t="s">
        <v>1423</v>
      </c>
      <c r="E321" s="104">
        <f t="shared" si="4"/>
        <v>41597</v>
      </c>
    </row>
    <row r="322" spans="1:5" x14ac:dyDescent="0.25">
      <c r="A322" s="8">
        <v>41566</v>
      </c>
      <c r="B322" s="4">
        <v>59285</v>
      </c>
      <c r="C322" s="57">
        <v>289.93</v>
      </c>
      <c r="D322" s="4" t="s">
        <v>1423</v>
      </c>
      <c r="E322" s="104">
        <f t="shared" si="4"/>
        <v>41597</v>
      </c>
    </row>
    <row r="323" spans="1:5" x14ac:dyDescent="0.25">
      <c r="A323" s="8">
        <v>41567</v>
      </c>
      <c r="B323" s="4">
        <v>59286</v>
      </c>
      <c r="C323" s="57">
        <v>344.92</v>
      </c>
      <c r="D323" s="4" t="s">
        <v>1423</v>
      </c>
      <c r="E323" s="104">
        <f t="shared" si="4"/>
        <v>41598</v>
      </c>
    </row>
    <row r="324" spans="1:5" x14ac:dyDescent="0.25">
      <c r="A324" s="8">
        <v>41567</v>
      </c>
      <c r="B324" s="4">
        <v>59287</v>
      </c>
      <c r="C324" s="57">
        <v>180.67</v>
      </c>
      <c r="D324" s="4" t="s">
        <v>1423</v>
      </c>
      <c r="E324" s="104">
        <f t="shared" si="4"/>
        <v>41598</v>
      </c>
    </row>
    <row r="325" spans="1:5" x14ac:dyDescent="0.25">
      <c r="A325" s="8">
        <v>41567</v>
      </c>
      <c r="B325" s="4">
        <v>59288</v>
      </c>
      <c r="C325" s="57">
        <v>189.6</v>
      </c>
      <c r="D325" s="4" t="s">
        <v>1423</v>
      </c>
      <c r="E325" s="104">
        <f t="shared" si="4"/>
        <v>41598</v>
      </c>
    </row>
    <row r="326" spans="1:5" x14ac:dyDescent="0.25">
      <c r="A326" s="8">
        <v>41567</v>
      </c>
      <c r="B326" s="4">
        <v>59289</v>
      </c>
      <c r="C326" s="57">
        <v>172.01</v>
      </c>
      <c r="D326" s="4" t="s">
        <v>1423</v>
      </c>
      <c r="E326" s="104">
        <f t="shared" ref="E326:E389" si="5">EDATE(A326,1)</f>
        <v>41598</v>
      </c>
    </row>
    <row r="327" spans="1:5" x14ac:dyDescent="0.25">
      <c r="A327" s="8">
        <v>41567</v>
      </c>
      <c r="B327" s="4">
        <v>59290</v>
      </c>
      <c r="C327" s="57">
        <v>115.57</v>
      </c>
      <c r="D327" s="4" t="s">
        <v>1423</v>
      </c>
      <c r="E327" s="104">
        <f t="shared" si="5"/>
        <v>41598</v>
      </c>
    </row>
    <row r="328" spans="1:5" x14ac:dyDescent="0.25">
      <c r="A328" s="8">
        <v>41567</v>
      </c>
      <c r="B328" s="4">
        <v>59291</v>
      </c>
      <c r="C328" s="57">
        <v>369.38</v>
      </c>
      <c r="D328" s="4" t="s">
        <v>1423</v>
      </c>
      <c r="E328" s="104">
        <f t="shared" si="5"/>
        <v>41598</v>
      </c>
    </row>
    <row r="329" spans="1:5" x14ac:dyDescent="0.25">
      <c r="A329" s="8">
        <v>41567</v>
      </c>
      <c r="B329" s="4">
        <v>59292</v>
      </c>
      <c r="C329" s="57">
        <v>311.51</v>
      </c>
      <c r="D329" s="4" t="s">
        <v>1423</v>
      </c>
      <c r="E329" s="104">
        <f t="shared" si="5"/>
        <v>41598</v>
      </c>
    </row>
    <row r="330" spans="1:5" x14ac:dyDescent="0.25">
      <c r="A330" s="8">
        <v>41567</v>
      </c>
      <c r="B330" s="4">
        <v>59293</v>
      </c>
      <c r="C330" s="57">
        <v>130.91</v>
      </c>
      <c r="D330" s="4" t="s">
        <v>1423</v>
      </c>
      <c r="E330" s="104">
        <f t="shared" si="5"/>
        <v>41598</v>
      </c>
    </row>
    <row r="331" spans="1:5" x14ac:dyDescent="0.25">
      <c r="A331" s="8">
        <v>41567</v>
      </c>
      <c r="B331" s="4">
        <v>59294</v>
      </c>
      <c r="C331" s="57">
        <v>334.71</v>
      </c>
      <c r="D331" s="4" t="s">
        <v>1423</v>
      </c>
      <c r="E331" s="104">
        <f t="shared" si="5"/>
        <v>41598</v>
      </c>
    </row>
    <row r="332" spans="1:5" x14ac:dyDescent="0.25">
      <c r="A332" s="8">
        <v>41567</v>
      </c>
      <c r="B332" s="4">
        <v>59295</v>
      </c>
      <c r="C332" s="57">
        <v>110.29</v>
      </c>
      <c r="D332" s="4" t="s">
        <v>1423</v>
      </c>
      <c r="E332" s="104">
        <f t="shared" si="5"/>
        <v>41598</v>
      </c>
    </row>
    <row r="333" spans="1:5" x14ac:dyDescent="0.25">
      <c r="A333" s="8">
        <v>41567</v>
      </c>
      <c r="B333" s="4">
        <v>59296</v>
      </c>
      <c r="C333" s="57">
        <v>160.38999999999999</v>
      </c>
      <c r="D333" s="4" t="s">
        <v>1423</v>
      </c>
      <c r="E333" s="104">
        <f t="shared" si="5"/>
        <v>41598</v>
      </c>
    </row>
    <row r="334" spans="1:5" x14ac:dyDescent="0.25">
      <c r="A334" s="8">
        <v>41567</v>
      </c>
      <c r="B334" s="4">
        <v>59297</v>
      </c>
      <c r="C334" s="57">
        <v>77.59</v>
      </c>
      <c r="D334" s="4" t="s">
        <v>1423</v>
      </c>
      <c r="E334" s="104">
        <f t="shared" si="5"/>
        <v>41598</v>
      </c>
    </row>
    <row r="335" spans="1:5" x14ac:dyDescent="0.25">
      <c r="A335" s="8">
        <v>41567</v>
      </c>
      <c r="B335" s="4">
        <v>59298</v>
      </c>
      <c r="C335" s="57">
        <v>234.43</v>
      </c>
      <c r="D335" s="4" t="s">
        <v>1423</v>
      </c>
      <c r="E335" s="104">
        <f t="shared" si="5"/>
        <v>41598</v>
      </c>
    </row>
    <row r="336" spans="1:5" x14ac:dyDescent="0.25">
      <c r="A336" s="8">
        <v>41568</v>
      </c>
      <c r="B336" s="4">
        <v>59299</v>
      </c>
      <c r="C336" s="57">
        <v>296.64999999999998</v>
      </c>
      <c r="D336" s="4" t="s">
        <v>1423</v>
      </c>
      <c r="E336" s="104">
        <f t="shared" si="5"/>
        <v>41599</v>
      </c>
    </row>
    <row r="337" spans="1:5" x14ac:dyDescent="0.25">
      <c r="A337" s="8">
        <v>41568</v>
      </c>
      <c r="B337" s="4">
        <v>59300</v>
      </c>
      <c r="C337" s="57">
        <v>122.66</v>
      </c>
      <c r="D337" s="4" t="s">
        <v>1423</v>
      </c>
      <c r="E337" s="104">
        <f t="shared" si="5"/>
        <v>41599</v>
      </c>
    </row>
    <row r="338" spans="1:5" x14ac:dyDescent="0.25">
      <c r="A338" s="8">
        <v>41568</v>
      </c>
      <c r="B338" s="4">
        <v>59301</v>
      </c>
      <c r="C338" s="57">
        <v>139.07</v>
      </c>
      <c r="D338" s="4" t="s">
        <v>1423</v>
      </c>
      <c r="E338" s="104">
        <f t="shared" si="5"/>
        <v>41599</v>
      </c>
    </row>
    <row r="339" spans="1:5" x14ac:dyDescent="0.25">
      <c r="A339" s="8">
        <v>41568</v>
      </c>
      <c r="B339" s="4">
        <v>59302</v>
      </c>
      <c r="C339" s="57">
        <v>266.02999999999997</v>
      </c>
      <c r="D339" s="4" t="s">
        <v>1423</v>
      </c>
      <c r="E339" s="104">
        <f t="shared" si="5"/>
        <v>41599</v>
      </c>
    </row>
    <row r="340" spans="1:5" x14ac:dyDescent="0.25">
      <c r="A340" s="8">
        <v>41568</v>
      </c>
      <c r="B340" s="4">
        <v>59303</v>
      </c>
      <c r="C340" s="57">
        <v>217.73</v>
      </c>
      <c r="D340" s="4" t="s">
        <v>1423</v>
      </c>
      <c r="E340" s="104">
        <f t="shared" si="5"/>
        <v>41599</v>
      </c>
    </row>
    <row r="341" spans="1:5" x14ac:dyDescent="0.25">
      <c r="A341" s="8">
        <v>41568</v>
      </c>
      <c r="B341" s="4">
        <v>59304</v>
      </c>
      <c r="C341" s="57">
        <v>85.16</v>
      </c>
      <c r="D341" s="4" t="s">
        <v>1423</v>
      </c>
      <c r="E341" s="104">
        <f t="shared" si="5"/>
        <v>41599</v>
      </c>
    </row>
    <row r="342" spans="1:5" x14ac:dyDescent="0.25">
      <c r="A342" s="8">
        <v>41568</v>
      </c>
      <c r="B342" s="4">
        <v>59305</v>
      </c>
      <c r="C342" s="57">
        <v>173.62</v>
      </c>
      <c r="D342" s="4" t="s">
        <v>1423</v>
      </c>
      <c r="E342" s="104">
        <f t="shared" si="5"/>
        <v>41599</v>
      </c>
    </row>
    <row r="343" spans="1:5" x14ac:dyDescent="0.25">
      <c r="A343" s="8">
        <v>41568</v>
      </c>
      <c r="B343" s="4">
        <v>59306</v>
      </c>
      <c r="C343" s="57">
        <v>60.2</v>
      </c>
      <c r="D343" s="4" t="s">
        <v>1423</v>
      </c>
      <c r="E343" s="104">
        <f t="shared" si="5"/>
        <v>41599</v>
      </c>
    </row>
    <row r="344" spans="1:5" x14ac:dyDescent="0.25">
      <c r="A344" s="8">
        <v>41568</v>
      </c>
      <c r="B344" s="4">
        <v>59307</v>
      </c>
      <c r="C344" s="57">
        <v>358.84</v>
      </c>
      <c r="D344" s="4" t="s">
        <v>1423</v>
      </c>
      <c r="E344" s="104">
        <f t="shared" si="5"/>
        <v>41599</v>
      </c>
    </row>
    <row r="345" spans="1:5" x14ac:dyDescent="0.25">
      <c r="A345" s="8">
        <v>41568</v>
      </c>
      <c r="B345" s="4">
        <v>59308</v>
      </c>
      <c r="C345" s="57">
        <v>362.58</v>
      </c>
      <c r="D345" s="4" t="s">
        <v>1423</v>
      </c>
      <c r="E345" s="104">
        <f t="shared" si="5"/>
        <v>41599</v>
      </c>
    </row>
    <row r="346" spans="1:5" x14ac:dyDescent="0.25">
      <c r="A346" s="8">
        <v>41568</v>
      </c>
      <c r="B346" s="4">
        <v>59309</v>
      </c>
      <c r="C346" s="57">
        <v>104.01</v>
      </c>
      <c r="D346" s="4" t="s">
        <v>1423</v>
      </c>
      <c r="E346" s="104">
        <f t="shared" si="5"/>
        <v>41599</v>
      </c>
    </row>
    <row r="347" spans="1:5" x14ac:dyDescent="0.25">
      <c r="A347" s="8">
        <v>41568</v>
      </c>
      <c r="B347" s="4">
        <v>59310</v>
      </c>
      <c r="C347" s="57">
        <v>342.57</v>
      </c>
      <c r="D347" s="4" t="s">
        <v>1423</v>
      </c>
      <c r="E347" s="104">
        <f t="shared" si="5"/>
        <v>41599</v>
      </c>
    </row>
    <row r="348" spans="1:5" x14ac:dyDescent="0.25">
      <c r="A348" s="8">
        <v>41568</v>
      </c>
      <c r="B348" s="4">
        <v>59311</v>
      </c>
      <c r="C348" s="57">
        <v>155.13</v>
      </c>
      <c r="D348" s="4" t="s">
        <v>1423</v>
      </c>
      <c r="E348" s="104">
        <f t="shared" si="5"/>
        <v>41599</v>
      </c>
    </row>
    <row r="349" spans="1:5" x14ac:dyDescent="0.25">
      <c r="A349" s="8">
        <v>41569</v>
      </c>
      <c r="B349" s="4">
        <v>59312</v>
      </c>
      <c r="C349" s="57">
        <v>218.18</v>
      </c>
      <c r="D349" s="4" t="s">
        <v>1423</v>
      </c>
      <c r="E349" s="104">
        <f t="shared" si="5"/>
        <v>41600</v>
      </c>
    </row>
    <row r="350" spans="1:5" x14ac:dyDescent="0.25">
      <c r="A350" s="8">
        <v>41569</v>
      </c>
      <c r="B350" s="4">
        <v>59313</v>
      </c>
      <c r="C350" s="57">
        <v>248.48</v>
      </c>
      <c r="D350" s="4" t="s">
        <v>1423</v>
      </c>
      <c r="E350" s="104">
        <f t="shared" si="5"/>
        <v>41600</v>
      </c>
    </row>
    <row r="351" spans="1:5" x14ac:dyDescent="0.25">
      <c r="A351" s="8">
        <v>41569</v>
      </c>
      <c r="B351" s="4">
        <v>59314</v>
      </c>
      <c r="C351" s="57">
        <v>207.69</v>
      </c>
      <c r="D351" s="4" t="s">
        <v>1423</v>
      </c>
      <c r="E351" s="104">
        <f t="shared" si="5"/>
        <v>41600</v>
      </c>
    </row>
    <row r="352" spans="1:5" x14ac:dyDescent="0.25">
      <c r="A352" s="8">
        <v>41569</v>
      </c>
      <c r="B352" s="4">
        <v>59315</v>
      </c>
      <c r="C352" s="57">
        <v>147.53</v>
      </c>
      <c r="D352" s="4" t="s">
        <v>1423</v>
      </c>
      <c r="E352" s="104">
        <f t="shared" si="5"/>
        <v>41600</v>
      </c>
    </row>
    <row r="353" spans="1:5" x14ac:dyDescent="0.25">
      <c r="A353" s="8">
        <v>41569</v>
      </c>
      <c r="B353" s="4">
        <v>59316</v>
      </c>
      <c r="C353" s="57">
        <v>356.08</v>
      </c>
      <c r="D353" s="4" t="s">
        <v>1423</v>
      </c>
      <c r="E353" s="104">
        <f t="shared" si="5"/>
        <v>41600</v>
      </c>
    </row>
    <row r="354" spans="1:5" x14ac:dyDescent="0.25">
      <c r="A354" s="8">
        <v>41569</v>
      </c>
      <c r="B354" s="4">
        <v>59317</v>
      </c>
      <c r="C354" s="57">
        <v>276.2</v>
      </c>
      <c r="D354" s="4" t="s">
        <v>1423</v>
      </c>
      <c r="E354" s="104">
        <f t="shared" si="5"/>
        <v>41600</v>
      </c>
    </row>
    <row r="355" spans="1:5" x14ac:dyDescent="0.25">
      <c r="A355" s="8">
        <v>41569</v>
      </c>
      <c r="B355" s="4">
        <v>59318</v>
      </c>
      <c r="C355" s="57">
        <v>350</v>
      </c>
      <c r="D355" s="4" t="s">
        <v>1423</v>
      </c>
      <c r="E355" s="104">
        <f t="shared" si="5"/>
        <v>41600</v>
      </c>
    </row>
    <row r="356" spans="1:5" x14ac:dyDescent="0.25">
      <c r="A356" s="8">
        <v>41569</v>
      </c>
      <c r="B356" s="4">
        <v>59319</v>
      </c>
      <c r="C356" s="57">
        <v>232.3</v>
      </c>
      <c r="D356" s="4" t="s">
        <v>1423</v>
      </c>
      <c r="E356" s="104">
        <f t="shared" si="5"/>
        <v>41600</v>
      </c>
    </row>
    <row r="357" spans="1:5" x14ac:dyDescent="0.25">
      <c r="A357" s="8">
        <v>41569</v>
      </c>
      <c r="B357" s="4">
        <v>59320</v>
      </c>
      <c r="C357" s="57">
        <v>364.81</v>
      </c>
      <c r="D357" s="4" t="s">
        <v>1423</v>
      </c>
      <c r="E357" s="104">
        <f t="shared" si="5"/>
        <v>41600</v>
      </c>
    </row>
    <row r="358" spans="1:5" x14ac:dyDescent="0.25">
      <c r="A358" s="8">
        <v>41569</v>
      </c>
      <c r="B358" s="4">
        <v>59321</v>
      </c>
      <c r="C358" s="57">
        <v>307.27</v>
      </c>
      <c r="D358" s="4" t="s">
        <v>1423</v>
      </c>
      <c r="E358" s="104">
        <f t="shared" si="5"/>
        <v>41600</v>
      </c>
    </row>
    <row r="359" spans="1:5" x14ac:dyDescent="0.25">
      <c r="A359" s="8">
        <v>41569</v>
      </c>
      <c r="B359" s="4">
        <v>59322</v>
      </c>
      <c r="C359" s="57">
        <v>377.42</v>
      </c>
      <c r="D359" s="4" t="s">
        <v>1423</v>
      </c>
      <c r="E359" s="104">
        <f t="shared" si="5"/>
        <v>41600</v>
      </c>
    </row>
    <row r="360" spans="1:5" x14ac:dyDescent="0.25">
      <c r="A360" s="8">
        <v>41569</v>
      </c>
      <c r="B360" s="4">
        <v>59323</v>
      </c>
      <c r="C360" s="57">
        <v>218.34</v>
      </c>
      <c r="D360" s="4" t="s">
        <v>1423</v>
      </c>
      <c r="E360" s="104">
        <f t="shared" si="5"/>
        <v>41600</v>
      </c>
    </row>
    <row r="361" spans="1:5" x14ac:dyDescent="0.25">
      <c r="A361" s="8">
        <v>41569</v>
      </c>
      <c r="B361" s="4">
        <v>59324</v>
      </c>
      <c r="C361" s="57">
        <v>296.11</v>
      </c>
      <c r="D361" s="4" t="s">
        <v>1423</v>
      </c>
      <c r="E361" s="104">
        <f t="shared" si="5"/>
        <v>41600</v>
      </c>
    </row>
    <row r="362" spans="1:5" x14ac:dyDescent="0.25">
      <c r="A362" s="8">
        <v>41570</v>
      </c>
      <c r="B362" s="4">
        <v>59325</v>
      </c>
      <c r="C362" s="57">
        <v>289.73</v>
      </c>
      <c r="D362" s="4" t="s">
        <v>1423</v>
      </c>
      <c r="E362" s="104">
        <f t="shared" si="5"/>
        <v>41601</v>
      </c>
    </row>
    <row r="363" spans="1:5" x14ac:dyDescent="0.25">
      <c r="A363" s="8">
        <v>41570</v>
      </c>
      <c r="B363" s="4">
        <v>59326</v>
      </c>
      <c r="C363" s="57">
        <v>45.43</v>
      </c>
      <c r="D363" s="4" t="s">
        <v>1423</v>
      </c>
      <c r="E363" s="104">
        <f t="shared" si="5"/>
        <v>41601</v>
      </c>
    </row>
    <row r="364" spans="1:5" x14ac:dyDescent="0.25">
      <c r="A364" s="8">
        <v>41570</v>
      </c>
      <c r="B364" s="4">
        <v>59327</v>
      </c>
      <c r="C364" s="57">
        <v>288.60000000000002</v>
      </c>
      <c r="D364" s="4" t="s">
        <v>1423</v>
      </c>
      <c r="E364" s="104">
        <f t="shared" si="5"/>
        <v>41601</v>
      </c>
    </row>
    <row r="365" spans="1:5" x14ac:dyDescent="0.25">
      <c r="A365" s="8">
        <v>41570</v>
      </c>
      <c r="B365" s="4">
        <v>59328</v>
      </c>
      <c r="C365" s="57">
        <v>273.41000000000003</v>
      </c>
      <c r="D365" s="4" t="s">
        <v>1423</v>
      </c>
      <c r="E365" s="104">
        <f t="shared" si="5"/>
        <v>41601</v>
      </c>
    </row>
    <row r="366" spans="1:5" x14ac:dyDescent="0.25">
      <c r="A366" s="8">
        <v>41570</v>
      </c>
      <c r="B366" s="4">
        <v>59329</v>
      </c>
      <c r="C366" s="57">
        <v>282.18</v>
      </c>
      <c r="D366" s="4" t="s">
        <v>1423</v>
      </c>
      <c r="E366" s="104">
        <f t="shared" si="5"/>
        <v>41601</v>
      </c>
    </row>
    <row r="367" spans="1:5" x14ac:dyDescent="0.25">
      <c r="A367" s="8">
        <v>41570</v>
      </c>
      <c r="B367" s="4">
        <v>59330</v>
      </c>
      <c r="C367" s="57">
        <v>278.48</v>
      </c>
      <c r="D367" s="4" t="s">
        <v>1423</v>
      </c>
      <c r="E367" s="104">
        <f t="shared" si="5"/>
        <v>41601</v>
      </c>
    </row>
    <row r="368" spans="1:5" x14ac:dyDescent="0.25">
      <c r="A368" s="8">
        <v>41570</v>
      </c>
      <c r="B368" s="4">
        <v>59331</v>
      </c>
      <c r="C368" s="57">
        <v>381.07</v>
      </c>
      <c r="D368" s="4" t="s">
        <v>1423</v>
      </c>
      <c r="E368" s="104">
        <f t="shared" si="5"/>
        <v>41601</v>
      </c>
    </row>
    <row r="369" spans="1:5" x14ac:dyDescent="0.25">
      <c r="A369" s="8">
        <v>41570</v>
      </c>
      <c r="B369" s="4">
        <v>59332</v>
      </c>
      <c r="C369" s="57">
        <v>332.98</v>
      </c>
      <c r="D369" s="4" t="s">
        <v>1423</v>
      </c>
      <c r="E369" s="104">
        <f t="shared" si="5"/>
        <v>41601</v>
      </c>
    </row>
    <row r="370" spans="1:5" x14ac:dyDescent="0.25">
      <c r="A370" s="8">
        <v>41570</v>
      </c>
      <c r="B370" s="4">
        <v>59333</v>
      </c>
      <c r="C370" s="57">
        <v>142.49</v>
      </c>
      <c r="D370" s="4" t="s">
        <v>1423</v>
      </c>
      <c r="E370" s="104">
        <f t="shared" si="5"/>
        <v>41601</v>
      </c>
    </row>
    <row r="371" spans="1:5" x14ac:dyDescent="0.25">
      <c r="A371" s="8">
        <v>41570</v>
      </c>
      <c r="B371" s="4">
        <v>59334</v>
      </c>
      <c r="C371" s="57">
        <v>85.06</v>
      </c>
      <c r="D371" s="4" t="s">
        <v>1423</v>
      </c>
      <c r="E371" s="104">
        <f t="shared" si="5"/>
        <v>41601</v>
      </c>
    </row>
    <row r="372" spans="1:5" x14ac:dyDescent="0.25">
      <c r="A372" s="8">
        <v>41570</v>
      </c>
      <c r="B372" s="4">
        <v>59335</v>
      </c>
      <c r="C372" s="57">
        <v>203.88</v>
      </c>
      <c r="D372" s="4" t="s">
        <v>1423</v>
      </c>
      <c r="E372" s="104">
        <f t="shared" si="5"/>
        <v>41601</v>
      </c>
    </row>
    <row r="373" spans="1:5" x14ac:dyDescent="0.25">
      <c r="A373" s="8">
        <v>41570</v>
      </c>
      <c r="B373" s="4">
        <v>59336</v>
      </c>
      <c r="C373" s="57">
        <v>371.79</v>
      </c>
      <c r="D373" s="4" t="s">
        <v>1423</v>
      </c>
      <c r="E373" s="104">
        <f t="shared" si="5"/>
        <v>41601</v>
      </c>
    </row>
    <row r="374" spans="1:5" x14ac:dyDescent="0.25">
      <c r="A374" s="8">
        <v>41570</v>
      </c>
      <c r="B374" s="4">
        <v>59337</v>
      </c>
      <c r="C374" s="57">
        <v>266.83999999999997</v>
      </c>
      <c r="D374" s="4" t="s">
        <v>1423</v>
      </c>
      <c r="E374" s="104">
        <f t="shared" si="5"/>
        <v>41601</v>
      </c>
    </row>
    <row r="375" spans="1:5" x14ac:dyDescent="0.25">
      <c r="A375" s="8">
        <v>41570</v>
      </c>
      <c r="B375" s="4">
        <v>59338</v>
      </c>
      <c r="C375" s="57">
        <v>85.41</v>
      </c>
      <c r="D375" s="4" t="s">
        <v>1423</v>
      </c>
      <c r="E375" s="104">
        <f t="shared" si="5"/>
        <v>41601</v>
      </c>
    </row>
    <row r="376" spans="1:5" x14ac:dyDescent="0.25">
      <c r="A376" s="8">
        <v>41571</v>
      </c>
      <c r="B376" s="4">
        <v>59339</v>
      </c>
      <c r="C376" s="57">
        <v>37.520000000000003</v>
      </c>
      <c r="D376" s="4" t="s">
        <v>1423</v>
      </c>
      <c r="E376" s="104">
        <f t="shared" si="5"/>
        <v>41602</v>
      </c>
    </row>
    <row r="377" spans="1:5" x14ac:dyDescent="0.25">
      <c r="A377" s="8">
        <v>41571</v>
      </c>
      <c r="B377" s="4">
        <v>59340</v>
      </c>
      <c r="C377" s="57">
        <v>278.62</v>
      </c>
      <c r="D377" s="4" t="s">
        <v>1423</v>
      </c>
      <c r="E377" s="104">
        <f t="shared" si="5"/>
        <v>41602</v>
      </c>
    </row>
    <row r="378" spans="1:5" x14ac:dyDescent="0.25">
      <c r="A378" s="8">
        <v>41571</v>
      </c>
      <c r="B378" s="4">
        <v>59341</v>
      </c>
      <c r="C378" s="57">
        <v>314.97000000000003</v>
      </c>
      <c r="D378" s="4" t="s">
        <v>1423</v>
      </c>
      <c r="E378" s="104">
        <f t="shared" si="5"/>
        <v>41602</v>
      </c>
    </row>
    <row r="379" spans="1:5" x14ac:dyDescent="0.25">
      <c r="A379" s="8">
        <v>41571</v>
      </c>
      <c r="B379" s="4">
        <v>59342</v>
      </c>
      <c r="C379" s="57">
        <v>74.430000000000007</v>
      </c>
      <c r="D379" s="4" t="s">
        <v>1423</v>
      </c>
      <c r="E379" s="104">
        <f t="shared" si="5"/>
        <v>41602</v>
      </c>
    </row>
    <row r="380" spans="1:5" x14ac:dyDescent="0.25">
      <c r="A380" s="8">
        <v>41571</v>
      </c>
      <c r="B380" s="4">
        <v>59343</v>
      </c>
      <c r="C380" s="57">
        <v>190.74</v>
      </c>
      <c r="D380" s="4" t="s">
        <v>1423</v>
      </c>
      <c r="E380" s="104">
        <f t="shared" si="5"/>
        <v>41602</v>
      </c>
    </row>
    <row r="381" spans="1:5" x14ac:dyDescent="0.25">
      <c r="A381" s="8">
        <v>41571</v>
      </c>
      <c r="B381" s="4">
        <v>59344</v>
      </c>
      <c r="C381" s="57">
        <v>263.36</v>
      </c>
      <c r="D381" s="4" t="s">
        <v>1423</v>
      </c>
      <c r="E381" s="104">
        <f t="shared" si="5"/>
        <v>41602</v>
      </c>
    </row>
    <row r="382" spans="1:5" x14ac:dyDescent="0.25">
      <c r="A382" s="8">
        <v>41571</v>
      </c>
      <c r="B382" s="4">
        <v>59345</v>
      </c>
      <c r="C382" s="57">
        <v>66.19</v>
      </c>
      <c r="D382" s="4" t="s">
        <v>1423</v>
      </c>
      <c r="E382" s="104">
        <f t="shared" si="5"/>
        <v>41602</v>
      </c>
    </row>
    <row r="383" spans="1:5" x14ac:dyDescent="0.25">
      <c r="A383" s="8">
        <v>41571</v>
      </c>
      <c r="B383" s="4">
        <v>59346</v>
      </c>
      <c r="C383" s="57">
        <v>233.47</v>
      </c>
      <c r="D383" s="4" t="s">
        <v>1423</v>
      </c>
      <c r="E383" s="104">
        <f t="shared" si="5"/>
        <v>41602</v>
      </c>
    </row>
    <row r="384" spans="1:5" x14ac:dyDescent="0.25">
      <c r="A384" s="8">
        <v>41571</v>
      </c>
      <c r="B384" s="4">
        <v>59347</v>
      </c>
      <c r="C384" s="57">
        <v>298.95999999999998</v>
      </c>
      <c r="D384" s="4" t="s">
        <v>1423</v>
      </c>
      <c r="E384" s="104">
        <f t="shared" si="5"/>
        <v>41602</v>
      </c>
    </row>
    <row r="385" spans="1:5" x14ac:dyDescent="0.25">
      <c r="A385" s="8">
        <v>41571</v>
      </c>
      <c r="B385" s="4">
        <v>59348</v>
      </c>
      <c r="C385" s="57">
        <v>250.18</v>
      </c>
      <c r="D385" s="4" t="s">
        <v>1423</v>
      </c>
      <c r="E385" s="104">
        <f t="shared" si="5"/>
        <v>41602</v>
      </c>
    </row>
    <row r="386" spans="1:5" x14ac:dyDescent="0.25">
      <c r="A386" s="8">
        <v>41571</v>
      </c>
      <c r="B386" s="4">
        <v>59349</v>
      </c>
      <c r="C386" s="57">
        <v>241.52</v>
      </c>
      <c r="D386" s="4" t="s">
        <v>1423</v>
      </c>
      <c r="E386" s="104">
        <f t="shared" si="5"/>
        <v>41602</v>
      </c>
    </row>
    <row r="387" spans="1:5" x14ac:dyDescent="0.25">
      <c r="A387" s="8">
        <v>41571</v>
      </c>
      <c r="B387" s="4">
        <v>59350</v>
      </c>
      <c r="C387" s="57">
        <v>359.59</v>
      </c>
      <c r="D387" s="4" t="s">
        <v>1423</v>
      </c>
      <c r="E387" s="104">
        <f t="shared" si="5"/>
        <v>41602</v>
      </c>
    </row>
    <row r="388" spans="1:5" x14ac:dyDescent="0.25">
      <c r="A388" s="8">
        <v>41571</v>
      </c>
      <c r="B388" s="4">
        <v>59351</v>
      </c>
      <c r="C388" s="57">
        <v>211.22</v>
      </c>
      <c r="D388" s="4" t="s">
        <v>1423</v>
      </c>
      <c r="E388" s="104">
        <f t="shared" si="5"/>
        <v>41602</v>
      </c>
    </row>
    <row r="389" spans="1:5" x14ac:dyDescent="0.25">
      <c r="A389" s="8">
        <v>41571</v>
      </c>
      <c r="B389" s="4">
        <v>59352</v>
      </c>
      <c r="C389" s="57">
        <v>148.49</v>
      </c>
      <c r="D389" s="4" t="s">
        <v>1423</v>
      </c>
      <c r="E389" s="104">
        <f t="shared" si="5"/>
        <v>41602</v>
      </c>
    </row>
    <row r="390" spans="1:5" x14ac:dyDescent="0.25">
      <c r="A390" s="8">
        <v>41571</v>
      </c>
      <c r="B390" s="4">
        <v>59353</v>
      </c>
      <c r="C390" s="57">
        <v>260.04000000000002</v>
      </c>
      <c r="D390" s="4" t="s">
        <v>1423</v>
      </c>
      <c r="E390" s="104">
        <f t="shared" ref="E390:E453" si="6">EDATE(A390,1)</f>
        <v>41602</v>
      </c>
    </row>
    <row r="391" spans="1:5" x14ac:dyDescent="0.25">
      <c r="A391" s="8">
        <v>41571</v>
      </c>
      <c r="B391" s="4">
        <v>59354</v>
      </c>
      <c r="C391" s="57">
        <v>330.04</v>
      </c>
      <c r="D391" s="4" t="s">
        <v>1423</v>
      </c>
      <c r="E391" s="104">
        <f t="shared" si="6"/>
        <v>41602</v>
      </c>
    </row>
    <row r="392" spans="1:5" x14ac:dyDescent="0.25">
      <c r="A392" s="8">
        <v>41571</v>
      </c>
      <c r="B392" s="4">
        <v>59355</v>
      </c>
      <c r="C392" s="57">
        <v>68.209999999999994</v>
      </c>
      <c r="D392" s="4" t="s">
        <v>1423</v>
      </c>
      <c r="E392" s="104">
        <f t="shared" si="6"/>
        <v>41602</v>
      </c>
    </row>
    <row r="393" spans="1:5" x14ac:dyDescent="0.25">
      <c r="A393" s="8">
        <v>41571</v>
      </c>
      <c r="B393" s="4">
        <v>59356</v>
      </c>
      <c r="C393" s="57">
        <v>263.42</v>
      </c>
      <c r="D393" s="4" t="s">
        <v>1423</v>
      </c>
      <c r="E393" s="104">
        <f t="shared" si="6"/>
        <v>41602</v>
      </c>
    </row>
    <row r="394" spans="1:5" x14ac:dyDescent="0.25">
      <c r="A394" s="8">
        <v>41571</v>
      </c>
      <c r="B394" s="4">
        <v>59357</v>
      </c>
      <c r="C394" s="57">
        <v>377.89</v>
      </c>
      <c r="D394" s="4" t="s">
        <v>1423</v>
      </c>
      <c r="E394" s="104">
        <f t="shared" si="6"/>
        <v>41602</v>
      </c>
    </row>
    <row r="395" spans="1:5" x14ac:dyDescent="0.25">
      <c r="A395" s="8">
        <v>41571</v>
      </c>
      <c r="B395" s="4">
        <v>59358</v>
      </c>
      <c r="C395" s="57">
        <v>288.32</v>
      </c>
      <c r="D395" s="4" t="s">
        <v>1423</v>
      </c>
      <c r="E395" s="104">
        <f t="shared" si="6"/>
        <v>41602</v>
      </c>
    </row>
    <row r="396" spans="1:5" x14ac:dyDescent="0.25">
      <c r="A396" s="8">
        <v>41571</v>
      </c>
      <c r="B396" s="4">
        <v>59359</v>
      </c>
      <c r="C396" s="57">
        <v>291.08</v>
      </c>
      <c r="D396" s="4" t="s">
        <v>1423</v>
      </c>
      <c r="E396" s="104">
        <f t="shared" si="6"/>
        <v>41602</v>
      </c>
    </row>
    <row r="397" spans="1:5" x14ac:dyDescent="0.25">
      <c r="A397" s="8">
        <v>41572</v>
      </c>
      <c r="B397" s="4">
        <v>59360</v>
      </c>
      <c r="C397" s="57">
        <v>177.81</v>
      </c>
      <c r="D397" s="4" t="s">
        <v>1423</v>
      </c>
      <c r="E397" s="104">
        <f t="shared" si="6"/>
        <v>41603</v>
      </c>
    </row>
    <row r="398" spans="1:5" x14ac:dyDescent="0.25">
      <c r="A398" s="8">
        <v>41572</v>
      </c>
      <c r="B398" s="4">
        <v>59361</v>
      </c>
      <c r="C398" s="57">
        <v>77</v>
      </c>
      <c r="D398" s="4" t="s">
        <v>1423</v>
      </c>
      <c r="E398" s="104">
        <f t="shared" si="6"/>
        <v>41603</v>
      </c>
    </row>
    <row r="399" spans="1:5" x14ac:dyDescent="0.25">
      <c r="A399" s="8">
        <v>41572</v>
      </c>
      <c r="B399" s="4">
        <v>59362</v>
      </c>
      <c r="C399" s="57">
        <v>111.64</v>
      </c>
      <c r="D399" s="4" t="s">
        <v>1423</v>
      </c>
      <c r="E399" s="104">
        <f t="shared" si="6"/>
        <v>41603</v>
      </c>
    </row>
    <row r="400" spans="1:5" x14ac:dyDescent="0.25">
      <c r="A400" s="8">
        <v>41572</v>
      </c>
      <c r="B400" s="4">
        <v>59363</v>
      </c>
      <c r="C400" s="57">
        <v>278.05</v>
      </c>
      <c r="D400" s="4" t="s">
        <v>1423</v>
      </c>
      <c r="E400" s="104">
        <f t="shared" si="6"/>
        <v>41603</v>
      </c>
    </row>
    <row r="401" spans="1:5" x14ac:dyDescent="0.25">
      <c r="A401" s="8">
        <v>41572</v>
      </c>
      <c r="B401" s="4">
        <v>59364</v>
      </c>
      <c r="C401" s="57">
        <v>276.39999999999998</v>
      </c>
      <c r="D401" s="4" t="s">
        <v>1423</v>
      </c>
      <c r="E401" s="104">
        <f t="shared" si="6"/>
        <v>41603</v>
      </c>
    </row>
    <row r="402" spans="1:5" x14ac:dyDescent="0.25">
      <c r="A402" s="8">
        <v>41572</v>
      </c>
      <c r="B402" s="4">
        <v>59365</v>
      </c>
      <c r="C402" s="57">
        <v>307.06</v>
      </c>
      <c r="D402" s="4" t="s">
        <v>1423</v>
      </c>
      <c r="E402" s="104">
        <f t="shared" si="6"/>
        <v>41603</v>
      </c>
    </row>
    <row r="403" spans="1:5" x14ac:dyDescent="0.25">
      <c r="A403" s="8">
        <v>41572</v>
      </c>
      <c r="B403" s="4">
        <v>59366</v>
      </c>
      <c r="C403" s="57">
        <v>73.959999999999994</v>
      </c>
      <c r="D403" s="4" t="s">
        <v>1423</v>
      </c>
      <c r="E403" s="104">
        <f t="shared" si="6"/>
        <v>41603</v>
      </c>
    </row>
    <row r="404" spans="1:5" x14ac:dyDescent="0.25">
      <c r="A404" s="8">
        <v>41572</v>
      </c>
      <c r="B404" s="4">
        <v>59367</v>
      </c>
      <c r="C404" s="57">
        <v>316.89</v>
      </c>
      <c r="D404" s="4" t="s">
        <v>1423</v>
      </c>
      <c r="E404" s="104">
        <f t="shared" si="6"/>
        <v>41603</v>
      </c>
    </row>
    <row r="405" spans="1:5" x14ac:dyDescent="0.25">
      <c r="A405" s="8">
        <v>41572</v>
      </c>
      <c r="B405" s="4">
        <v>59368</v>
      </c>
      <c r="C405" s="57">
        <v>224.97</v>
      </c>
      <c r="D405" s="4" t="s">
        <v>1423</v>
      </c>
      <c r="E405" s="104">
        <f t="shared" si="6"/>
        <v>41603</v>
      </c>
    </row>
    <row r="406" spans="1:5" x14ac:dyDescent="0.25">
      <c r="A406" s="8">
        <v>41572</v>
      </c>
      <c r="B406" s="4">
        <v>59369</v>
      </c>
      <c r="C406" s="57">
        <v>189.31</v>
      </c>
      <c r="D406" s="4" t="s">
        <v>1423</v>
      </c>
      <c r="E406" s="104">
        <f t="shared" si="6"/>
        <v>41603</v>
      </c>
    </row>
    <row r="407" spans="1:5" x14ac:dyDescent="0.25">
      <c r="A407" s="8">
        <v>41572</v>
      </c>
      <c r="B407" s="4">
        <v>59370</v>
      </c>
      <c r="C407" s="57">
        <v>113.93</v>
      </c>
      <c r="D407" s="4" t="s">
        <v>1423</v>
      </c>
      <c r="E407" s="104">
        <f t="shared" si="6"/>
        <v>41603</v>
      </c>
    </row>
    <row r="408" spans="1:5" x14ac:dyDescent="0.25">
      <c r="A408" s="8">
        <v>41572</v>
      </c>
      <c r="B408" s="4">
        <v>59371</v>
      </c>
      <c r="C408" s="57">
        <v>213.9</v>
      </c>
      <c r="D408" s="4" t="s">
        <v>1423</v>
      </c>
      <c r="E408" s="104">
        <f t="shared" si="6"/>
        <v>41603</v>
      </c>
    </row>
    <row r="409" spans="1:5" x14ac:dyDescent="0.25">
      <c r="A409" s="8">
        <v>41572</v>
      </c>
      <c r="B409" s="4">
        <v>59372</v>
      </c>
      <c r="C409" s="57">
        <v>257.81</v>
      </c>
      <c r="D409" s="4" t="s">
        <v>1423</v>
      </c>
      <c r="E409" s="104">
        <f t="shared" si="6"/>
        <v>41603</v>
      </c>
    </row>
    <row r="410" spans="1:5" x14ac:dyDescent="0.25">
      <c r="A410" s="8">
        <v>41572</v>
      </c>
      <c r="B410" s="4">
        <v>59373</v>
      </c>
      <c r="C410" s="57">
        <v>370.91</v>
      </c>
      <c r="D410" s="4" t="s">
        <v>1423</v>
      </c>
      <c r="E410" s="104">
        <f t="shared" si="6"/>
        <v>41603</v>
      </c>
    </row>
    <row r="411" spans="1:5" x14ac:dyDescent="0.25">
      <c r="A411" s="8">
        <v>41572</v>
      </c>
      <c r="B411" s="4">
        <v>59374</v>
      </c>
      <c r="C411" s="57">
        <v>277.77</v>
      </c>
      <c r="D411" s="4" t="s">
        <v>1423</v>
      </c>
      <c r="E411" s="104">
        <f t="shared" si="6"/>
        <v>41603</v>
      </c>
    </row>
    <row r="412" spans="1:5" x14ac:dyDescent="0.25">
      <c r="A412" s="8">
        <v>41572</v>
      </c>
      <c r="B412" s="4">
        <v>59375</v>
      </c>
      <c r="C412" s="57">
        <v>219.95</v>
      </c>
      <c r="D412" s="4" t="s">
        <v>1423</v>
      </c>
      <c r="E412" s="104">
        <f t="shared" si="6"/>
        <v>41603</v>
      </c>
    </row>
    <row r="413" spans="1:5" x14ac:dyDescent="0.25">
      <c r="A413" s="8">
        <v>41573</v>
      </c>
      <c r="B413" s="4">
        <v>59376</v>
      </c>
      <c r="C413" s="57">
        <v>318.58999999999997</v>
      </c>
      <c r="D413" s="4" t="s">
        <v>1423</v>
      </c>
      <c r="E413" s="104">
        <f t="shared" si="6"/>
        <v>41604</v>
      </c>
    </row>
    <row r="414" spans="1:5" x14ac:dyDescent="0.25">
      <c r="A414" s="8">
        <v>41573</v>
      </c>
      <c r="B414" s="4">
        <v>59377</v>
      </c>
      <c r="C414" s="57">
        <v>211.71</v>
      </c>
      <c r="D414" s="4" t="s">
        <v>1423</v>
      </c>
      <c r="E414" s="104">
        <f t="shared" si="6"/>
        <v>41604</v>
      </c>
    </row>
    <row r="415" spans="1:5" x14ac:dyDescent="0.25">
      <c r="A415" s="8">
        <v>41573</v>
      </c>
      <c r="B415" s="4">
        <v>59378</v>
      </c>
      <c r="C415" s="57">
        <v>309.19</v>
      </c>
      <c r="D415" s="4" t="s">
        <v>1423</v>
      </c>
      <c r="E415" s="104">
        <f t="shared" si="6"/>
        <v>41604</v>
      </c>
    </row>
    <row r="416" spans="1:5" x14ac:dyDescent="0.25">
      <c r="A416" s="8">
        <v>41573</v>
      </c>
      <c r="B416" s="4">
        <v>59379</v>
      </c>
      <c r="C416" s="57">
        <v>140.55000000000001</v>
      </c>
      <c r="D416" s="4" t="s">
        <v>1423</v>
      </c>
      <c r="E416" s="104">
        <f t="shared" si="6"/>
        <v>41604</v>
      </c>
    </row>
    <row r="417" spans="1:5" x14ac:dyDescent="0.25">
      <c r="A417" s="8">
        <v>41573</v>
      </c>
      <c r="B417" s="4">
        <v>59380</v>
      </c>
      <c r="C417" s="57">
        <v>130.9</v>
      </c>
      <c r="D417" s="4" t="s">
        <v>1423</v>
      </c>
      <c r="E417" s="104">
        <f t="shared" si="6"/>
        <v>41604</v>
      </c>
    </row>
    <row r="418" spans="1:5" x14ac:dyDescent="0.25">
      <c r="A418" s="8">
        <v>41573</v>
      </c>
      <c r="B418" s="4">
        <v>59381</v>
      </c>
      <c r="C418" s="57">
        <v>110.71</v>
      </c>
      <c r="D418" s="4" t="s">
        <v>1423</v>
      </c>
      <c r="E418" s="104">
        <f t="shared" si="6"/>
        <v>41604</v>
      </c>
    </row>
    <row r="419" spans="1:5" x14ac:dyDescent="0.25">
      <c r="A419" s="8">
        <v>41573</v>
      </c>
      <c r="B419" s="4">
        <v>59382</v>
      </c>
      <c r="C419" s="57">
        <v>299.55</v>
      </c>
      <c r="D419" s="4" t="s">
        <v>1423</v>
      </c>
      <c r="E419" s="104">
        <f t="shared" si="6"/>
        <v>41604</v>
      </c>
    </row>
    <row r="420" spans="1:5" x14ac:dyDescent="0.25">
      <c r="A420" s="8">
        <v>41573</v>
      </c>
      <c r="B420" s="4">
        <v>59383</v>
      </c>
      <c r="C420" s="57">
        <v>187.88</v>
      </c>
      <c r="D420" s="4" t="s">
        <v>1423</v>
      </c>
      <c r="E420" s="104">
        <f t="shared" si="6"/>
        <v>41604</v>
      </c>
    </row>
    <row r="421" spans="1:5" x14ac:dyDescent="0.25">
      <c r="A421" s="8">
        <v>41573</v>
      </c>
      <c r="B421" s="4">
        <v>59384</v>
      </c>
      <c r="C421" s="57">
        <v>225.97</v>
      </c>
      <c r="D421" s="4" t="s">
        <v>1423</v>
      </c>
      <c r="E421" s="104">
        <f t="shared" si="6"/>
        <v>41604</v>
      </c>
    </row>
    <row r="422" spans="1:5" x14ac:dyDescent="0.25">
      <c r="A422" s="8">
        <v>41573</v>
      </c>
      <c r="B422" s="4">
        <v>59385</v>
      </c>
      <c r="C422" s="57">
        <v>196.22</v>
      </c>
      <c r="D422" s="4" t="s">
        <v>1423</v>
      </c>
      <c r="E422" s="104">
        <f t="shared" si="6"/>
        <v>41604</v>
      </c>
    </row>
    <row r="423" spans="1:5" x14ac:dyDescent="0.25">
      <c r="A423" s="8">
        <v>41573</v>
      </c>
      <c r="B423" s="4">
        <v>59386</v>
      </c>
      <c r="C423" s="57">
        <v>61.71</v>
      </c>
      <c r="D423" s="4" t="s">
        <v>1423</v>
      </c>
      <c r="E423" s="104">
        <f t="shared" si="6"/>
        <v>41604</v>
      </c>
    </row>
    <row r="424" spans="1:5" x14ac:dyDescent="0.25">
      <c r="A424" s="8">
        <v>41573</v>
      </c>
      <c r="B424" s="4">
        <v>59387</v>
      </c>
      <c r="C424" s="57">
        <v>85.95</v>
      </c>
      <c r="D424" s="4" t="s">
        <v>1423</v>
      </c>
      <c r="E424" s="104">
        <f t="shared" si="6"/>
        <v>41604</v>
      </c>
    </row>
    <row r="425" spans="1:5" x14ac:dyDescent="0.25">
      <c r="A425" s="8">
        <v>41573</v>
      </c>
      <c r="B425" s="4">
        <v>59388</v>
      </c>
      <c r="C425" s="57">
        <v>332.24</v>
      </c>
      <c r="D425" s="4" t="s">
        <v>1423</v>
      </c>
      <c r="E425" s="104">
        <f t="shared" si="6"/>
        <v>41604</v>
      </c>
    </row>
    <row r="426" spans="1:5" x14ac:dyDescent="0.25">
      <c r="A426" s="8">
        <v>41573</v>
      </c>
      <c r="B426" s="4">
        <v>59389</v>
      </c>
      <c r="C426" s="57">
        <v>192.54</v>
      </c>
      <c r="D426" s="4" t="s">
        <v>1423</v>
      </c>
      <c r="E426" s="104">
        <f t="shared" si="6"/>
        <v>41604</v>
      </c>
    </row>
    <row r="427" spans="1:5" x14ac:dyDescent="0.25">
      <c r="A427" s="8">
        <v>41573</v>
      </c>
      <c r="B427" s="4">
        <v>59390</v>
      </c>
      <c r="C427" s="57">
        <v>333.95</v>
      </c>
      <c r="D427" s="4" t="s">
        <v>1423</v>
      </c>
      <c r="E427" s="104">
        <f t="shared" si="6"/>
        <v>41604</v>
      </c>
    </row>
    <row r="428" spans="1:5" x14ac:dyDescent="0.25">
      <c r="A428" s="8">
        <v>41573</v>
      </c>
      <c r="B428" s="4">
        <v>59391</v>
      </c>
      <c r="C428" s="57">
        <v>259.44</v>
      </c>
      <c r="D428" s="4" t="s">
        <v>1423</v>
      </c>
      <c r="E428" s="104">
        <f t="shared" si="6"/>
        <v>41604</v>
      </c>
    </row>
    <row r="429" spans="1:5" x14ac:dyDescent="0.25">
      <c r="A429" s="8">
        <v>41573</v>
      </c>
      <c r="B429" s="4">
        <v>59392</v>
      </c>
      <c r="C429" s="57">
        <v>91.71</v>
      </c>
      <c r="D429" s="4" t="s">
        <v>1423</v>
      </c>
      <c r="E429" s="104">
        <f t="shared" si="6"/>
        <v>41604</v>
      </c>
    </row>
    <row r="430" spans="1:5" x14ac:dyDescent="0.25">
      <c r="A430" s="8">
        <v>41574</v>
      </c>
      <c r="B430" s="4">
        <v>59393</v>
      </c>
      <c r="C430" s="57">
        <v>110.18</v>
      </c>
      <c r="D430" s="4" t="s">
        <v>1423</v>
      </c>
      <c r="E430" s="104">
        <f t="shared" si="6"/>
        <v>41605</v>
      </c>
    </row>
    <row r="431" spans="1:5" x14ac:dyDescent="0.25">
      <c r="A431" s="8">
        <v>41574</v>
      </c>
      <c r="B431" s="4">
        <v>59394</v>
      </c>
      <c r="C431" s="57">
        <v>196.23</v>
      </c>
      <c r="D431" s="4" t="s">
        <v>1423</v>
      </c>
      <c r="E431" s="104">
        <f t="shared" si="6"/>
        <v>41605</v>
      </c>
    </row>
    <row r="432" spans="1:5" x14ac:dyDescent="0.25">
      <c r="A432" s="8">
        <v>41574</v>
      </c>
      <c r="B432" s="4">
        <v>59395</v>
      </c>
      <c r="C432" s="57">
        <v>43.36</v>
      </c>
      <c r="D432" s="4" t="s">
        <v>1423</v>
      </c>
      <c r="E432" s="104">
        <f t="shared" si="6"/>
        <v>41605</v>
      </c>
    </row>
    <row r="433" spans="1:5" x14ac:dyDescent="0.25">
      <c r="A433" s="8">
        <v>41574</v>
      </c>
      <c r="B433" s="4">
        <v>59396</v>
      </c>
      <c r="C433" s="57">
        <v>281.57</v>
      </c>
      <c r="D433" s="4" t="s">
        <v>1423</v>
      </c>
      <c r="E433" s="104">
        <f t="shared" si="6"/>
        <v>41605</v>
      </c>
    </row>
    <row r="434" spans="1:5" x14ac:dyDescent="0.25">
      <c r="A434" s="8">
        <v>41574</v>
      </c>
      <c r="B434" s="4">
        <v>59397</v>
      </c>
      <c r="C434" s="57">
        <v>353.41</v>
      </c>
      <c r="D434" s="4" t="s">
        <v>1423</v>
      </c>
      <c r="E434" s="104">
        <f t="shared" si="6"/>
        <v>41605</v>
      </c>
    </row>
    <row r="435" spans="1:5" x14ac:dyDescent="0.25">
      <c r="A435" s="8">
        <v>41574</v>
      </c>
      <c r="B435" s="4">
        <v>59398</v>
      </c>
      <c r="C435" s="57">
        <v>45.37</v>
      </c>
      <c r="D435" s="4" t="s">
        <v>1423</v>
      </c>
      <c r="E435" s="104">
        <f t="shared" si="6"/>
        <v>41605</v>
      </c>
    </row>
    <row r="436" spans="1:5" x14ac:dyDescent="0.25">
      <c r="A436" s="8">
        <v>41574</v>
      </c>
      <c r="B436" s="4">
        <v>59399</v>
      </c>
      <c r="C436" s="57">
        <v>186.27</v>
      </c>
      <c r="D436" s="4" t="s">
        <v>1423</v>
      </c>
      <c r="E436" s="104">
        <f t="shared" si="6"/>
        <v>41605</v>
      </c>
    </row>
    <row r="437" spans="1:5" x14ac:dyDescent="0.25">
      <c r="A437" s="8">
        <v>41574</v>
      </c>
      <c r="B437" s="4">
        <v>59400</v>
      </c>
      <c r="C437" s="57">
        <v>183.08</v>
      </c>
      <c r="D437" s="4" t="s">
        <v>1423</v>
      </c>
      <c r="E437" s="104">
        <f t="shared" si="6"/>
        <v>41605</v>
      </c>
    </row>
    <row r="438" spans="1:5" x14ac:dyDescent="0.25">
      <c r="A438" s="8">
        <v>41574</v>
      </c>
      <c r="B438" s="4">
        <v>59401</v>
      </c>
      <c r="C438" s="57">
        <v>236.97</v>
      </c>
      <c r="D438" s="4" t="s">
        <v>1423</v>
      </c>
      <c r="E438" s="104">
        <f t="shared" si="6"/>
        <v>41605</v>
      </c>
    </row>
    <row r="439" spans="1:5" x14ac:dyDescent="0.25">
      <c r="A439" s="8">
        <v>41574</v>
      </c>
      <c r="B439" s="4">
        <v>59402</v>
      </c>
      <c r="C439" s="57">
        <v>252.81</v>
      </c>
      <c r="D439" s="4" t="s">
        <v>1423</v>
      </c>
      <c r="E439" s="104">
        <f t="shared" si="6"/>
        <v>41605</v>
      </c>
    </row>
    <row r="440" spans="1:5" x14ac:dyDescent="0.25">
      <c r="A440" s="8">
        <v>41574</v>
      </c>
      <c r="B440" s="4">
        <v>59403</v>
      </c>
      <c r="C440" s="57">
        <v>78.09</v>
      </c>
      <c r="D440" s="4" t="s">
        <v>1423</v>
      </c>
      <c r="E440" s="104">
        <f t="shared" si="6"/>
        <v>41605</v>
      </c>
    </row>
    <row r="441" spans="1:5" x14ac:dyDescent="0.25">
      <c r="A441" s="8">
        <v>41574</v>
      </c>
      <c r="B441" s="4">
        <v>59404</v>
      </c>
      <c r="C441" s="57">
        <v>122.24</v>
      </c>
      <c r="D441" s="4" t="s">
        <v>1423</v>
      </c>
      <c r="E441" s="104">
        <f t="shared" si="6"/>
        <v>41605</v>
      </c>
    </row>
    <row r="442" spans="1:5" x14ac:dyDescent="0.25">
      <c r="A442" s="8">
        <v>41574</v>
      </c>
      <c r="B442" s="4">
        <v>59405</v>
      </c>
      <c r="C442" s="57">
        <v>346.97</v>
      </c>
      <c r="D442" s="4" t="s">
        <v>1423</v>
      </c>
      <c r="E442" s="104">
        <f t="shared" si="6"/>
        <v>41605</v>
      </c>
    </row>
    <row r="443" spans="1:5" x14ac:dyDescent="0.25">
      <c r="A443" s="8">
        <v>41574</v>
      </c>
      <c r="B443" s="4">
        <v>59406</v>
      </c>
      <c r="C443" s="57">
        <v>217.76</v>
      </c>
      <c r="D443" s="4" t="s">
        <v>1423</v>
      </c>
      <c r="E443" s="104">
        <f t="shared" si="6"/>
        <v>41605</v>
      </c>
    </row>
    <row r="444" spans="1:5" x14ac:dyDescent="0.25">
      <c r="A444" s="8">
        <v>41574</v>
      </c>
      <c r="B444" s="4">
        <v>59407</v>
      </c>
      <c r="C444" s="57">
        <v>150.05000000000001</v>
      </c>
      <c r="D444" s="4" t="s">
        <v>1423</v>
      </c>
      <c r="E444" s="104">
        <f t="shared" si="6"/>
        <v>41605</v>
      </c>
    </row>
    <row r="445" spans="1:5" x14ac:dyDescent="0.25">
      <c r="A445" s="8">
        <v>41574</v>
      </c>
      <c r="B445" s="4">
        <v>59408</v>
      </c>
      <c r="C445" s="57">
        <v>350.83</v>
      </c>
      <c r="D445" s="4" t="s">
        <v>1423</v>
      </c>
      <c r="E445" s="104">
        <f t="shared" si="6"/>
        <v>41605</v>
      </c>
    </row>
    <row r="446" spans="1:5" x14ac:dyDescent="0.25">
      <c r="A446" s="8">
        <v>41574</v>
      </c>
      <c r="B446" s="4">
        <v>59409</v>
      </c>
      <c r="C446" s="57">
        <v>81.650000000000006</v>
      </c>
      <c r="D446" s="4" t="s">
        <v>1423</v>
      </c>
      <c r="E446" s="104">
        <f t="shared" si="6"/>
        <v>41605</v>
      </c>
    </row>
    <row r="447" spans="1:5" x14ac:dyDescent="0.25">
      <c r="A447" s="8">
        <v>41574</v>
      </c>
      <c r="B447" s="4">
        <v>59410</v>
      </c>
      <c r="C447" s="57">
        <v>56.29</v>
      </c>
      <c r="D447" s="4" t="s">
        <v>1423</v>
      </c>
      <c r="E447" s="104">
        <f t="shared" si="6"/>
        <v>41605</v>
      </c>
    </row>
    <row r="448" spans="1:5" x14ac:dyDescent="0.25">
      <c r="A448" s="8">
        <v>41574</v>
      </c>
      <c r="B448" s="4">
        <v>59411</v>
      </c>
      <c r="C448" s="57">
        <v>105.36</v>
      </c>
      <c r="D448" s="4" t="s">
        <v>1423</v>
      </c>
      <c r="E448" s="104">
        <f t="shared" si="6"/>
        <v>41605</v>
      </c>
    </row>
    <row r="449" spans="1:5" x14ac:dyDescent="0.25">
      <c r="A449" s="8">
        <v>41574</v>
      </c>
      <c r="B449" s="4">
        <v>59412</v>
      </c>
      <c r="C449" s="57">
        <v>142.54</v>
      </c>
      <c r="D449" s="4" t="s">
        <v>1423</v>
      </c>
      <c r="E449" s="104">
        <f t="shared" si="6"/>
        <v>41605</v>
      </c>
    </row>
    <row r="450" spans="1:5" x14ac:dyDescent="0.25">
      <c r="A450" s="8">
        <v>41574</v>
      </c>
      <c r="B450" s="4">
        <v>59413</v>
      </c>
      <c r="C450" s="57">
        <v>207.18</v>
      </c>
      <c r="D450" s="4" t="s">
        <v>1423</v>
      </c>
      <c r="E450" s="104">
        <f t="shared" si="6"/>
        <v>41605</v>
      </c>
    </row>
    <row r="451" spans="1:5" x14ac:dyDescent="0.25">
      <c r="A451" s="8">
        <v>41574</v>
      </c>
      <c r="B451" s="4">
        <v>59414</v>
      </c>
      <c r="C451" s="57">
        <v>368.45</v>
      </c>
      <c r="D451" s="4" t="s">
        <v>1423</v>
      </c>
      <c r="E451" s="104">
        <f t="shared" si="6"/>
        <v>41605</v>
      </c>
    </row>
    <row r="452" spans="1:5" x14ac:dyDescent="0.25">
      <c r="A452" s="8">
        <v>41574</v>
      </c>
      <c r="B452" s="4">
        <v>59415</v>
      </c>
      <c r="C452" s="57">
        <v>329.03</v>
      </c>
      <c r="D452" s="4" t="s">
        <v>1423</v>
      </c>
      <c r="E452" s="104">
        <f t="shared" si="6"/>
        <v>41605</v>
      </c>
    </row>
    <row r="453" spans="1:5" x14ac:dyDescent="0.25">
      <c r="A453" s="8">
        <v>41574</v>
      </c>
      <c r="B453" s="4">
        <v>59416</v>
      </c>
      <c r="C453" s="57">
        <v>128.97999999999999</v>
      </c>
      <c r="D453" s="4" t="s">
        <v>1423</v>
      </c>
      <c r="E453" s="104">
        <f t="shared" si="6"/>
        <v>41605</v>
      </c>
    </row>
    <row r="454" spans="1:5" x14ac:dyDescent="0.25">
      <c r="A454" s="8">
        <v>41574</v>
      </c>
      <c r="B454" s="4">
        <v>59417</v>
      </c>
      <c r="C454" s="57">
        <v>42.15</v>
      </c>
      <c r="D454" s="4" t="s">
        <v>1423</v>
      </c>
      <c r="E454" s="104">
        <f t="shared" ref="E454:E517" si="7">EDATE(A454,1)</f>
        <v>41605</v>
      </c>
    </row>
    <row r="455" spans="1:5" x14ac:dyDescent="0.25">
      <c r="A455" s="8">
        <v>41574</v>
      </c>
      <c r="B455" s="4">
        <v>59418</v>
      </c>
      <c r="C455" s="57">
        <v>271.10000000000002</v>
      </c>
      <c r="D455" s="4" t="s">
        <v>1423</v>
      </c>
      <c r="E455" s="104">
        <f t="shared" si="7"/>
        <v>41605</v>
      </c>
    </row>
    <row r="456" spans="1:5" x14ac:dyDescent="0.25">
      <c r="A456" s="8">
        <v>41574</v>
      </c>
      <c r="B456" s="4">
        <v>59419</v>
      </c>
      <c r="C456" s="57">
        <v>176.72</v>
      </c>
      <c r="D456" s="4" t="s">
        <v>1423</v>
      </c>
      <c r="E456" s="104">
        <f t="shared" si="7"/>
        <v>41605</v>
      </c>
    </row>
    <row r="457" spans="1:5" x14ac:dyDescent="0.25">
      <c r="A457" s="8">
        <v>41575</v>
      </c>
      <c r="B457" s="4">
        <v>59420</v>
      </c>
      <c r="C457" s="57">
        <v>177.77</v>
      </c>
      <c r="D457" s="4" t="s">
        <v>1423</v>
      </c>
      <c r="E457" s="104">
        <f t="shared" si="7"/>
        <v>41606</v>
      </c>
    </row>
    <row r="458" spans="1:5" x14ac:dyDescent="0.25">
      <c r="A458" s="8">
        <v>41575</v>
      </c>
      <c r="B458" s="4">
        <v>59421</v>
      </c>
      <c r="C458" s="57">
        <v>381.81</v>
      </c>
      <c r="D458" s="4" t="s">
        <v>1423</v>
      </c>
      <c r="E458" s="104">
        <f t="shared" si="7"/>
        <v>41606</v>
      </c>
    </row>
    <row r="459" spans="1:5" x14ac:dyDescent="0.25">
      <c r="A459" s="8">
        <v>41575</v>
      </c>
      <c r="B459" s="4">
        <v>59422</v>
      </c>
      <c r="C459" s="57">
        <v>42.82</v>
      </c>
      <c r="D459" s="4" t="s">
        <v>1423</v>
      </c>
      <c r="E459" s="104">
        <f t="shared" si="7"/>
        <v>41606</v>
      </c>
    </row>
    <row r="460" spans="1:5" x14ac:dyDescent="0.25">
      <c r="A460" s="8">
        <v>41575</v>
      </c>
      <c r="B460" s="4">
        <v>59423</v>
      </c>
      <c r="C460" s="57">
        <v>130.19</v>
      </c>
      <c r="D460" s="4" t="s">
        <v>1423</v>
      </c>
      <c r="E460" s="104">
        <f t="shared" si="7"/>
        <v>41606</v>
      </c>
    </row>
    <row r="461" spans="1:5" x14ac:dyDescent="0.25">
      <c r="A461" s="8">
        <v>41575</v>
      </c>
      <c r="B461" s="4">
        <v>59424</v>
      </c>
      <c r="C461" s="57">
        <v>123.64</v>
      </c>
      <c r="D461" s="4" t="s">
        <v>1423</v>
      </c>
      <c r="E461" s="104">
        <f t="shared" si="7"/>
        <v>41606</v>
      </c>
    </row>
    <row r="462" spans="1:5" x14ac:dyDescent="0.25">
      <c r="A462" s="8">
        <v>41575</v>
      </c>
      <c r="B462" s="4">
        <v>59425</v>
      </c>
      <c r="C462" s="57">
        <v>327</v>
      </c>
      <c r="D462" s="4" t="s">
        <v>1423</v>
      </c>
      <c r="E462" s="104">
        <f t="shared" si="7"/>
        <v>41606</v>
      </c>
    </row>
    <row r="463" spans="1:5" x14ac:dyDescent="0.25">
      <c r="A463" s="8">
        <v>41575</v>
      </c>
      <c r="B463" s="4">
        <v>59426</v>
      </c>
      <c r="C463" s="57">
        <v>388.07</v>
      </c>
      <c r="D463" s="4" t="s">
        <v>1423</v>
      </c>
      <c r="E463" s="104">
        <f t="shared" si="7"/>
        <v>41606</v>
      </c>
    </row>
    <row r="464" spans="1:5" x14ac:dyDescent="0.25">
      <c r="A464" s="8">
        <v>41575</v>
      </c>
      <c r="B464" s="4">
        <v>59427</v>
      </c>
      <c r="C464" s="57">
        <v>64.92</v>
      </c>
      <c r="D464" s="4" t="s">
        <v>1423</v>
      </c>
      <c r="E464" s="104">
        <f t="shared" si="7"/>
        <v>41606</v>
      </c>
    </row>
    <row r="465" spans="1:5" x14ac:dyDescent="0.25">
      <c r="A465" s="8">
        <v>41575</v>
      </c>
      <c r="B465" s="4">
        <v>59428</v>
      </c>
      <c r="C465" s="57">
        <v>289.25</v>
      </c>
      <c r="D465" s="4" t="s">
        <v>1423</v>
      </c>
      <c r="E465" s="104">
        <f t="shared" si="7"/>
        <v>41606</v>
      </c>
    </row>
    <row r="466" spans="1:5" x14ac:dyDescent="0.25">
      <c r="A466" s="8">
        <v>41575</v>
      </c>
      <c r="B466" s="4">
        <v>59429</v>
      </c>
      <c r="C466" s="57">
        <v>384.69</v>
      </c>
      <c r="D466" s="4" t="s">
        <v>1423</v>
      </c>
      <c r="E466" s="104">
        <f t="shared" si="7"/>
        <v>41606</v>
      </c>
    </row>
    <row r="467" spans="1:5" x14ac:dyDescent="0.25">
      <c r="A467" s="8">
        <v>41575</v>
      </c>
      <c r="B467" s="4">
        <v>59430</v>
      </c>
      <c r="C467" s="57">
        <v>228.27</v>
      </c>
      <c r="D467" s="4" t="s">
        <v>1423</v>
      </c>
      <c r="E467" s="104">
        <f t="shared" si="7"/>
        <v>41606</v>
      </c>
    </row>
    <row r="468" spans="1:5" x14ac:dyDescent="0.25">
      <c r="A468" s="8">
        <v>41575</v>
      </c>
      <c r="B468" s="4">
        <v>59431</v>
      </c>
      <c r="C468" s="57">
        <v>101.11</v>
      </c>
      <c r="D468" s="4" t="s">
        <v>1423</v>
      </c>
      <c r="E468" s="104">
        <f t="shared" si="7"/>
        <v>41606</v>
      </c>
    </row>
    <row r="469" spans="1:5" x14ac:dyDescent="0.25">
      <c r="A469" s="8">
        <v>41575</v>
      </c>
      <c r="B469" s="4">
        <v>59432</v>
      </c>
      <c r="C469" s="57">
        <v>366.63</v>
      </c>
      <c r="D469" s="4" t="s">
        <v>1423</v>
      </c>
      <c r="E469" s="104">
        <f t="shared" si="7"/>
        <v>41606</v>
      </c>
    </row>
    <row r="470" spans="1:5" x14ac:dyDescent="0.25">
      <c r="A470" s="8">
        <v>41575</v>
      </c>
      <c r="B470" s="4">
        <v>59433</v>
      </c>
      <c r="C470" s="57">
        <v>48.07</v>
      </c>
      <c r="D470" s="4" t="s">
        <v>1423</v>
      </c>
      <c r="E470" s="104">
        <f t="shared" si="7"/>
        <v>41606</v>
      </c>
    </row>
    <row r="471" spans="1:5" x14ac:dyDescent="0.25">
      <c r="A471" s="8">
        <v>41575</v>
      </c>
      <c r="B471" s="4">
        <v>59434</v>
      </c>
      <c r="C471" s="57">
        <v>82.5</v>
      </c>
      <c r="D471" s="4" t="s">
        <v>1423</v>
      </c>
      <c r="E471" s="104">
        <f t="shared" si="7"/>
        <v>41606</v>
      </c>
    </row>
    <row r="472" spans="1:5" x14ac:dyDescent="0.25">
      <c r="A472" s="8">
        <v>41575</v>
      </c>
      <c r="B472" s="4">
        <v>59435</v>
      </c>
      <c r="C472" s="57">
        <v>108.81</v>
      </c>
      <c r="D472" s="4" t="s">
        <v>1423</v>
      </c>
      <c r="E472" s="104">
        <f t="shared" si="7"/>
        <v>41606</v>
      </c>
    </row>
    <row r="473" spans="1:5" x14ac:dyDescent="0.25">
      <c r="A473" s="8">
        <v>41576</v>
      </c>
      <c r="B473" s="4">
        <v>59436</v>
      </c>
      <c r="C473" s="57">
        <v>240.5</v>
      </c>
      <c r="D473" s="4" t="s">
        <v>1423</v>
      </c>
      <c r="E473" s="104">
        <f t="shared" si="7"/>
        <v>41607</v>
      </c>
    </row>
    <row r="474" spans="1:5" x14ac:dyDescent="0.25">
      <c r="A474" s="8">
        <v>41576</v>
      </c>
      <c r="B474" s="4">
        <v>59437</v>
      </c>
      <c r="C474" s="57">
        <v>376.38</v>
      </c>
      <c r="D474" s="4" t="s">
        <v>1423</v>
      </c>
      <c r="E474" s="104">
        <f t="shared" si="7"/>
        <v>41607</v>
      </c>
    </row>
    <row r="475" spans="1:5" x14ac:dyDescent="0.25">
      <c r="A475" s="8">
        <v>41576</v>
      </c>
      <c r="B475" s="4">
        <v>59438</v>
      </c>
      <c r="C475" s="57">
        <v>186.61</v>
      </c>
      <c r="D475" s="4" t="s">
        <v>1423</v>
      </c>
      <c r="E475" s="104">
        <f t="shared" si="7"/>
        <v>41607</v>
      </c>
    </row>
    <row r="476" spans="1:5" x14ac:dyDescent="0.25">
      <c r="A476" s="8">
        <v>41576</v>
      </c>
      <c r="B476" s="4">
        <v>59439</v>
      </c>
      <c r="C476" s="57">
        <v>317.88</v>
      </c>
      <c r="D476" s="4" t="s">
        <v>1423</v>
      </c>
      <c r="E476" s="104">
        <f t="shared" si="7"/>
        <v>41607</v>
      </c>
    </row>
    <row r="477" spans="1:5" x14ac:dyDescent="0.25">
      <c r="A477" s="8">
        <v>41576</v>
      </c>
      <c r="B477" s="4">
        <v>59440</v>
      </c>
      <c r="C477" s="57">
        <v>137.52000000000001</v>
      </c>
      <c r="D477" s="4" t="s">
        <v>1423</v>
      </c>
      <c r="E477" s="104">
        <f t="shared" si="7"/>
        <v>41607</v>
      </c>
    </row>
    <row r="478" spans="1:5" x14ac:dyDescent="0.25">
      <c r="A478" s="8">
        <v>41576</v>
      </c>
      <c r="B478" s="4">
        <v>59441</v>
      </c>
      <c r="C478" s="57">
        <v>198.13</v>
      </c>
      <c r="D478" s="4" t="s">
        <v>1423</v>
      </c>
      <c r="E478" s="104">
        <f t="shared" si="7"/>
        <v>41607</v>
      </c>
    </row>
    <row r="479" spans="1:5" x14ac:dyDescent="0.25">
      <c r="A479" s="8">
        <v>41576</v>
      </c>
      <c r="B479" s="4">
        <v>59442</v>
      </c>
      <c r="C479" s="57">
        <v>50.82</v>
      </c>
      <c r="D479" s="4" t="s">
        <v>1423</v>
      </c>
      <c r="E479" s="104">
        <f t="shared" si="7"/>
        <v>41607</v>
      </c>
    </row>
    <row r="480" spans="1:5" x14ac:dyDescent="0.25">
      <c r="A480" s="8">
        <v>41576</v>
      </c>
      <c r="B480" s="4">
        <v>59443</v>
      </c>
      <c r="C480" s="57">
        <v>312.32</v>
      </c>
      <c r="D480" s="4" t="s">
        <v>1423</v>
      </c>
      <c r="E480" s="104">
        <f t="shared" si="7"/>
        <v>41607</v>
      </c>
    </row>
    <row r="481" spans="1:5" x14ac:dyDescent="0.25">
      <c r="A481" s="8">
        <v>41576</v>
      </c>
      <c r="B481" s="4">
        <v>59444</v>
      </c>
      <c r="C481" s="57">
        <v>66.89</v>
      </c>
      <c r="D481" s="4" t="s">
        <v>1423</v>
      </c>
      <c r="E481" s="104">
        <f t="shared" si="7"/>
        <v>41607</v>
      </c>
    </row>
    <row r="482" spans="1:5" x14ac:dyDescent="0.25">
      <c r="A482" s="8">
        <v>41576</v>
      </c>
      <c r="B482" s="4">
        <v>59445</v>
      </c>
      <c r="C482" s="57">
        <v>38.200000000000003</v>
      </c>
      <c r="D482" s="4" t="s">
        <v>1423</v>
      </c>
      <c r="E482" s="104">
        <f t="shared" si="7"/>
        <v>41607</v>
      </c>
    </row>
    <row r="483" spans="1:5" x14ac:dyDescent="0.25">
      <c r="A483" s="8">
        <v>41576</v>
      </c>
      <c r="B483" s="4">
        <v>59446</v>
      </c>
      <c r="C483" s="57">
        <v>365.01</v>
      </c>
      <c r="D483" s="4" t="s">
        <v>1423</v>
      </c>
      <c r="E483" s="104">
        <f t="shared" si="7"/>
        <v>41607</v>
      </c>
    </row>
    <row r="484" spans="1:5" x14ac:dyDescent="0.25">
      <c r="A484" s="8">
        <v>41576</v>
      </c>
      <c r="B484" s="4">
        <v>59447</v>
      </c>
      <c r="C484" s="57">
        <v>351.64</v>
      </c>
      <c r="D484" s="4" t="s">
        <v>1423</v>
      </c>
      <c r="E484" s="104">
        <f t="shared" si="7"/>
        <v>41607</v>
      </c>
    </row>
    <row r="485" spans="1:5" x14ac:dyDescent="0.25">
      <c r="A485" s="8">
        <v>41576</v>
      </c>
      <c r="B485" s="4">
        <v>59448</v>
      </c>
      <c r="C485" s="57">
        <v>370.4</v>
      </c>
      <c r="D485" s="4" t="s">
        <v>1423</v>
      </c>
      <c r="E485" s="104">
        <f t="shared" si="7"/>
        <v>41607</v>
      </c>
    </row>
    <row r="486" spans="1:5" x14ac:dyDescent="0.25">
      <c r="A486" s="8">
        <v>41576</v>
      </c>
      <c r="B486" s="4">
        <v>59449</v>
      </c>
      <c r="C486" s="57">
        <v>270.39</v>
      </c>
      <c r="D486" s="4" t="s">
        <v>1423</v>
      </c>
      <c r="E486" s="104">
        <f t="shared" si="7"/>
        <v>41607</v>
      </c>
    </row>
    <row r="487" spans="1:5" x14ac:dyDescent="0.25">
      <c r="A487" s="8">
        <v>41576</v>
      </c>
      <c r="B487" s="4">
        <v>59450</v>
      </c>
      <c r="C487" s="57">
        <v>75.55</v>
      </c>
      <c r="D487" s="4" t="s">
        <v>1423</v>
      </c>
      <c r="E487" s="104">
        <f t="shared" si="7"/>
        <v>41607</v>
      </c>
    </row>
    <row r="488" spans="1:5" x14ac:dyDescent="0.25">
      <c r="A488" s="8">
        <v>41576</v>
      </c>
      <c r="B488" s="4">
        <v>59451</v>
      </c>
      <c r="C488" s="57">
        <v>211.01</v>
      </c>
      <c r="D488" s="4" t="s">
        <v>1423</v>
      </c>
      <c r="E488" s="104">
        <f t="shared" si="7"/>
        <v>41607</v>
      </c>
    </row>
    <row r="489" spans="1:5" x14ac:dyDescent="0.25">
      <c r="A489" s="8">
        <v>41576</v>
      </c>
      <c r="B489" s="4">
        <v>59452</v>
      </c>
      <c r="C489" s="57">
        <v>214.08</v>
      </c>
      <c r="D489" s="4" t="s">
        <v>1423</v>
      </c>
      <c r="E489" s="104">
        <f t="shared" si="7"/>
        <v>41607</v>
      </c>
    </row>
    <row r="490" spans="1:5" x14ac:dyDescent="0.25">
      <c r="A490" s="8">
        <v>41576</v>
      </c>
      <c r="B490" s="4">
        <v>59453</v>
      </c>
      <c r="C490" s="57">
        <v>168.15</v>
      </c>
      <c r="D490" s="4" t="s">
        <v>1423</v>
      </c>
      <c r="E490" s="104">
        <f t="shared" si="7"/>
        <v>41607</v>
      </c>
    </row>
    <row r="491" spans="1:5" x14ac:dyDescent="0.25">
      <c r="A491" s="8">
        <v>41576</v>
      </c>
      <c r="B491" s="4">
        <v>59454</v>
      </c>
      <c r="C491" s="57">
        <v>212.1</v>
      </c>
      <c r="D491" s="4" t="s">
        <v>1423</v>
      </c>
      <c r="E491" s="104">
        <f t="shared" si="7"/>
        <v>41607</v>
      </c>
    </row>
    <row r="492" spans="1:5" x14ac:dyDescent="0.25">
      <c r="A492" s="8">
        <v>41576</v>
      </c>
      <c r="B492" s="4">
        <v>59455</v>
      </c>
      <c r="C492" s="57">
        <v>243.27</v>
      </c>
      <c r="D492" s="4" t="s">
        <v>1423</v>
      </c>
      <c r="E492" s="104">
        <f t="shared" si="7"/>
        <v>41607</v>
      </c>
    </row>
    <row r="493" spans="1:5" x14ac:dyDescent="0.25">
      <c r="A493" s="8">
        <v>41577</v>
      </c>
      <c r="B493" s="4">
        <v>59456</v>
      </c>
      <c r="C493" s="57">
        <v>118.22</v>
      </c>
      <c r="D493" s="4" t="s">
        <v>1423</v>
      </c>
      <c r="E493" s="104">
        <f t="shared" si="7"/>
        <v>41608</v>
      </c>
    </row>
    <row r="494" spans="1:5" x14ac:dyDescent="0.25">
      <c r="A494" s="8">
        <v>41577</v>
      </c>
      <c r="B494" s="4">
        <v>59457</v>
      </c>
      <c r="C494" s="57">
        <v>301.37</v>
      </c>
      <c r="D494" s="4" t="s">
        <v>1423</v>
      </c>
      <c r="E494" s="104">
        <f t="shared" si="7"/>
        <v>41608</v>
      </c>
    </row>
    <row r="495" spans="1:5" x14ac:dyDescent="0.25">
      <c r="A495" s="8">
        <v>41577</v>
      </c>
      <c r="B495" s="4">
        <v>59458</v>
      </c>
      <c r="C495" s="57">
        <v>106.08</v>
      </c>
      <c r="D495" s="4" t="s">
        <v>1423</v>
      </c>
      <c r="E495" s="104">
        <f t="shared" si="7"/>
        <v>41608</v>
      </c>
    </row>
    <row r="496" spans="1:5" x14ac:dyDescent="0.25">
      <c r="A496" s="8">
        <v>41577</v>
      </c>
      <c r="B496" s="4">
        <v>59459</v>
      </c>
      <c r="C496" s="57">
        <v>224.36</v>
      </c>
      <c r="D496" s="4" t="s">
        <v>1423</v>
      </c>
      <c r="E496" s="104">
        <f t="shared" si="7"/>
        <v>41608</v>
      </c>
    </row>
    <row r="497" spans="1:5" x14ac:dyDescent="0.25">
      <c r="A497" s="8">
        <v>41577</v>
      </c>
      <c r="B497" s="4">
        <v>59460</v>
      </c>
      <c r="C497" s="57">
        <v>151.16</v>
      </c>
      <c r="D497" s="4" t="s">
        <v>1423</v>
      </c>
      <c r="E497" s="104">
        <f t="shared" si="7"/>
        <v>41608</v>
      </c>
    </row>
    <row r="498" spans="1:5" x14ac:dyDescent="0.25">
      <c r="A498" s="8">
        <v>41577</v>
      </c>
      <c r="B498" s="4">
        <v>59461</v>
      </c>
      <c r="C498" s="57">
        <v>258.17</v>
      </c>
      <c r="D498" s="4" t="s">
        <v>1423</v>
      </c>
      <c r="E498" s="104">
        <f t="shared" si="7"/>
        <v>41608</v>
      </c>
    </row>
    <row r="499" spans="1:5" x14ac:dyDescent="0.25">
      <c r="A499" s="8">
        <v>41577</v>
      </c>
      <c r="B499" s="4">
        <v>59462</v>
      </c>
      <c r="C499" s="57">
        <v>312.19</v>
      </c>
      <c r="D499" s="4" t="s">
        <v>1423</v>
      </c>
      <c r="E499" s="104">
        <f t="shared" si="7"/>
        <v>41608</v>
      </c>
    </row>
    <row r="500" spans="1:5" x14ac:dyDescent="0.25">
      <c r="A500" s="8">
        <v>41577</v>
      </c>
      <c r="B500" s="4">
        <v>59463</v>
      </c>
      <c r="C500" s="57">
        <v>236.59</v>
      </c>
      <c r="D500" s="4" t="s">
        <v>1423</v>
      </c>
      <c r="E500" s="104">
        <f t="shared" si="7"/>
        <v>41608</v>
      </c>
    </row>
    <row r="501" spans="1:5" x14ac:dyDescent="0.25">
      <c r="A501" s="8">
        <v>41577</v>
      </c>
      <c r="B501" s="4">
        <v>59464</v>
      </c>
      <c r="C501" s="57">
        <v>190.59</v>
      </c>
      <c r="D501" s="4" t="s">
        <v>1423</v>
      </c>
      <c r="E501" s="104">
        <f t="shared" si="7"/>
        <v>41608</v>
      </c>
    </row>
    <row r="502" spans="1:5" x14ac:dyDescent="0.25">
      <c r="A502" s="8">
        <v>41577</v>
      </c>
      <c r="B502" s="4">
        <v>59465</v>
      </c>
      <c r="C502" s="57">
        <v>377.43</v>
      </c>
      <c r="D502" s="4" t="s">
        <v>1423</v>
      </c>
      <c r="E502" s="104">
        <f t="shared" si="7"/>
        <v>41608</v>
      </c>
    </row>
    <row r="503" spans="1:5" x14ac:dyDescent="0.25">
      <c r="A503" s="8">
        <v>41577</v>
      </c>
      <c r="B503" s="4">
        <v>59466</v>
      </c>
      <c r="C503" s="57">
        <v>371.73</v>
      </c>
      <c r="D503" s="4" t="s">
        <v>1423</v>
      </c>
      <c r="E503" s="104">
        <f t="shared" si="7"/>
        <v>41608</v>
      </c>
    </row>
    <row r="504" spans="1:5" x14ac:dyDescent="0.25">
      <c r="A504" s="8">
        <v>41577</v>
      </c>
      <c r="B504" s="4">
        <v>59467</v>
      </c>
      <c r="C504" s="57">
        <v>73.87</v>
      </c>
      <c r="D504" s="4" t="s">
        <v>1423</v>
      </c>
      <c r="E504" s="104">
        <f t="shared" si="7"/>
        <v>41608</v>
      </c>
    </row>
    <row r="505" spans="1:5" x14ac:dyDescent="0.25">
      <c r="A505" s="8">
        <v>41577</v>
      </c>
      <c r="B505" s="4">
        <v>59468</v>
      </c>
      <c r="C505" s="57">
        <v>309.99</v>
      </c>
      <c r="D505" s="4" t="s">
        <v>1423</v>
      </c>
      <c r="E505" s="104">
        <f t="shared" si="7"/>
        <v>41608</v>
      </c>
    </row>
    <row r="506" spans="1:5" x14ac:dyDescent="0.25">
      <c r="A506" s="8">
        <v>41578</v>
      </c>
      <c r="B506" s="4">
        <v>59469</v>
      </c>
      <c r="C506" s="57">
        <v>76.099999999999994</v>
      </c>
      <c r="D506" s="4" t="s">
        <v>1423</v>
      </c>
      <c r="E506" s="104">
        <f t="shared" si="7"/>
        <v>41608</v>
      </c>
    </row>
    <row r="507" spans="1:5" x14ac:dyDescent="0.25">
      <c r="A507" s="8">
        <v>41578</v>
      </c>
      <c r="B507" s="4">
        <v>59470</v>
      </c>
      <c r="C507" s="57">
        <v>166.77</v>
      </c>
      <c r="D507" s="4" t="s">
        <v>1423</v>
      </c>
      <c r="E507" s="104">
        <f t="shared" si="7"/>
        <v>41608</v>
      </c>
    </row>
    <row r="508" spans="1:5" x14ac:dyDescent="0.25">
      <c r="A508" s="8">
        <v>41578</v>
      </c>
      <c r="B508" s="4">
        <v>59471</v>
      </c>
      <c r="C508" s="57">
        <v>281.33999999999997</v>
      </c>
      <c r="D508" s="4" t="s">
        <v>1423</v>
      </c>
      <c r="E508" s="104">
        <f t="shared" si="7"/>
        <v>41608</v>
      </c>
    </row>
    <row r="509" spans="1:5" x14ac:dyDescent="0.25">
      <c r="A509" s="8">
        <v>41578</v>
      </c>
      <c r="B509" s="4">
        <v>59472</v>
      </c>
      <c r="C509" s="57">
        <v>313.36</v>
      </c>
      <c r="D509" s="4" t="s">
        <v>1423</v>
      </c>
      <c r="E509" s="104">
        <f t="shared" si="7"/>
        <v>41608</v>
      </c>
    </row>
    <row r="510" spans="1:5" x14ac:dyDescent="0.25">
      <c r="A510" s="8">
        <v>41578</v>
      </c>
      <c r="B510" s="4">
        <v>59473</v>
      </c>
      <c r="C510" s="57">
        <v>75.06</v>
      </c>
      <c r="D510" s="4" t="s">
        <v>1423</v>
      </c>
      <c r="E510" s="104">
        <f t="shared" si="7"/>
        <v>41608</v>
      </c>
    </row>
    <row r="511" spans="1:5" x14ac:dyDescent="0.25">
      <c r="A511" s="8">
        <v>41578</v>
      </c>
      <c r="B511" s="4">
        <v>59474</v>
      </c>
      <c r="C511" s="57">
        <v>173.69</v>
      </c>
      <c r="D511" s="4" t="s">
        <v>1423</v>
      </c>
      <c r="E511" s="104">
        <f t="shared" si="7"/>
        <v>41608</v>
      </c>
    </row>
    <row r="512" spans="1:5" x14ac:dyDescent="0.25">
      <c r="A512" s="8">
        <v>41578</v>
      </c>
      <c r="B512" s="4">
        <v>59475</v>
      </c>
      <c r="C512" s="57">
        <v>185.36</v>
      </c>
      <c r="D512" s="4" t="s">
        <v>1423</v>
      </c>
      <c r="E512" s="104">
        <f t="shared" si="7"/>
        <v>41608</v>
      </c>
    </row>
    <row r="513" spans="1:5" x14ac:dyDescent="0.25">
      <c r="A513" s="8">
        <v>41578</v>
      </c>
      <c r="B513" s="4">
        <v>59476</v>
      </c>
      <c r="C513" s="57">
        <v>339.26</v>
      </c>
      <c r="D513" s="4" t="s">
        <v>1423</v>
      </c>
      <c r="E513" s="104">
        <f t="shared" si="7"/>
        <v>41608</v>
      </c>
    </row>
    <row r="514" spans="1:5" x14ac:dyDescent="0.25">
      <c r="A514" s="8">
        <v>41578</v>
      </c>
      <c r="B514" s="4">
        <v>59477</v>
      </c>
      <c r="C514" s="57">
        <v>261.49</v>
      </c>
      <c r="D514" s="4" t="s">
        <v>1423</v>
      </c>
      <c r="E514" s="104">
        <f t="shared" si="7"/>
        <v>41608</v>
      </c>
    </row>
    <row r="515" spans="1:5" x14ac:dyDescent="0.25">
      <c r="A515" s="8">
        <v>41578</v>
      </c>
      <c r="B515" s="4">
        <v>59478</v>
      </c>
      <c r="C515" s="57">
        <v>114.09</v>
      </c>
      <c r="D515" s="4" t="s">
        <v>1423</v>
      </c>
      <c r="E515" s="104">
        <f t="shared" si="7"/>
        <v>41608</v>
      </c>
    </row>
    <row r="516" spans="1:5" x14ac:dyDescent="0.25">
      <c r="A516" s="8">
        <v>41578</v>
      </c>
      <c r="B516" s="4">
        <v>59479</v>
      </c>
      <c r="C516" s="57">
        <v>166.49</v>
      </c>
      <c r="D516" s="4" t="s">
        <v>1423</v>
      </c>
      <c r="E516" s="104">
        <f t="shared" si="7"/>
        <v>41608</v>
      </c>
    </row>
    <row r="517" spans="1:5" x14ac:dyDescent="0.25">
      <c r="A517" s="8">
        <v>41578</v>
      </c>
      <c r="B517" s="4">
        <v>59480</v>
      </c>
      <c r="C517" s="57">
        <v>95.1</v>
      </c>
      <c r="D517" s="4" t="s">
        <v>1423</v>
      </c>
      <c r="E517" s="104">
        <f t="shared" si="7"/>
        <v>41608</v>
      </c>
    </row>
    <row r="518" spans="1:5" x14ac:dyDescent="0.25">
      <c r="A518" s="8">
        <v>41578</v>
      </c>
      <c r="B518" s="4">
        <v>59481</v>
      </c>
      <c r="C518" s="57">
        <v>109.95</v>
      </c>
      <c r="D518" s="4" t="s">
        <v>1423</v>
      </c>
      <c r="E518" s="104">
        <f t="shared" ref="E518:E581" si="8">EDATE(A518,1)</f>
        <v>41608</v>
      </c>
    </row>
    <row r="519" spans="1:5" x14ac:dyDescent="0.25">
      <c r="A519" s="8">
        <v>41578</v>
      </c>
      <c r="B519" s="4">
        <v>59482</v>
      </c>
      <c r="C519" s="57">
        <v>290.08999999999997</v>
      </c>
      <c r="D519" s="4" t="s">
        <v>1423</v>
      </c>
      <c r="E519" s="104">
        <f t="shared" si="8"/>
        <v>41608</v>
      </c>
    </row>
    <row r="520" spans="1:5" x14ac:dyDescent="0.25">
      <c r="A520" s="8">
        <v>41578</v>
      </c>
      <c r="B520" s="4">
        <v>59483</v>
      </c>
      <c r="C520" s="57">
        <v>297.85000000000002</v>
      </c>
      <c r="D520" s="4" t="s">
        <v>1423</v>
      </c>
      <c r="E520" s="104">
        <f t="shared" si="8"/>
        <v>41608</v>
      </c>
    </row>
    <row r="521" spans="1:5" x14ac:dyDescent="0.25">
      <c r="A521" s="8">
        <v>41578</v>
      </c>
      <c r="B521" s="4">
        <v>59484</v>
      </c>
      <c r="C521" s="57">
        <v>331.36</v>
      </c>
      <c r="D521" s="4" t="s">
        <v>1423</v>
      </c>
      <c r="E521" s="104">
        <f t="shared" si="8"/>
        <v>41608</v>
      </c>
    </row>
    <row r="522" spans="1:5" x14ac:dyDescent="0.25">
      <c r="A522" s="8">
        <v>41578</v>
      </c>
      <c r="B522" s="4">
        <v>59485</v>
      </c>
      <c r="C522" s="57">
        <v>104.21</v>
      </c>
      <c r="D522" s="4" t="s">
        <v>1423</v>
      </c>
      <c r="E522" s="104">
        <f t="shared" si="8"/>
        <v>41608</v>
      </c>
    </row>
    <row r="523" spans="1:5" x14ac:dyDescent="0.25">
      <c r="A523" s="8">
        <v>41578</v>
      </c>
      <c r="B523" s="4">
        <v>59486</v>
      </c>
      <c r="C523" s="57">
        <v>136.32</v>
      </c>
      <c r="D523" s="4" t="s">
        <v>1423</v>
      </c>
      <c r="E523" s="104">
        <f t="shared" si="8"/>
        <v>41608</v>
      </c>
    </row>
    <row r="524" spans="1:5" x14ac:dyDescent="0.25">
      <c r="A524" s="8">
        <v>41578</v>
      </c>
      <c r="B524" s="4">
        <v>59487</v>
      </c>
      <c r="C524" s="57">
        <v>228.75</v>
      </c>
      <c r="D524" s="4" t="s">
        <v>1423</v>
      </c>
      <c r="E524" s="104">
        <f t="shared" si="8"/>
        <v>41608</v>
      </c>
    </row>
    <row r="525" spans="1:5" x14ac:dyDescent="0.25">
      <c r="A525" s="8">
        <v>41578</v>
      </c>
      <c r="B525" s="4">
        <v>59488</v>
      </c>
      <c r="C525" s="57">
        <v>370.83</v>
      </c>
      <c r="D525" s="4" t="s">
        <v>1423</v>
      </c>
      <c r="E525" s="104">
        <f t="shared" si="8"/>
        <v>41608</v>
      </c>
    </row>
    <row r="526" spans="1:5" x14ac:dyDescent="0.25">
      <c r="A526" s="8">
        <v>41579</v>
      </c>
      <c r="B526" s="4">
        <v>59489</v>
      </c>
      <c r="C526" s="57">
        <v>42.44</v>
      </c>
      <c r="D526" s="4" t="s">
        <v>1423</v>
      </c>
      <c r="E526" s="104">
        <f t="shared" si="8"/>
        <v>41609</v>
      </c>
    </row>
    <row r="527" spans="1:5" x14ac:dyDescent="0.25">
      <c r="A527" s="8">
        <v>41579</v>
      </c>
      <c r="B527" s="4">
        <v>59490</v>
      </c>
      <c r="C527" s="57">
        <v>208.22</v>
      </c>
      <c r="D527" s="4" t="s">
        <v>1423</v>
      </c>
      <c r="E527" s="104">
        <f t="shared" si="8"/>
        <v>41609</v>
      </c>
    </row>
    <row r="528" spans="1:5" x14ac:dyDescent="0.25">
      <c r="A528" s="8">
        <v>41579</v>
      </c>
      <c r="B528" s="4">
        <v>59491</v>
      </c>
      <c r="C528" s="57">
        <v>152.13</v>
      </c>
      <c r="D528" s="4" t="s">
        <v>1423</v>
      </c>
      <c r="E528" s="104">
        <f t="shared" si="8"/>
        <v>41609</v>
      </c>
    </row>
    <row r="529" spans="1:5" x14ac:dyDescent="0.25">
      <c r="A529" s="8">
        <v>41579</v>
      </c>
      <c r="B529" s="4">
        <v>59492</v>
      </c>
      <c r="C529" s="57">
        <v>35.090000000000003</v>
      </c>
      <c r="D529" s="4" t="s">
        <v>1423</v>
      </c>
      <c r="E529" s="104">
        <f t="shared" si="8"/>
        <v>41609</v>
      </c>
    </row>
    <row r="530" spans="1:5" x14ac:dyDescent="0.25">
      <c r="A530" s="8">
        <v>41579</v>
      </c>
      <c r="B530" s="4">
        <v>59493</v>
      </c>
      <c r="C530" s="57">
        <v>226.73</v>
      </c>
      <c r="D530" s="4" t="s">
        <v>1423</v>
      </c>
      <c r="E530" s="104">
        <f t="shared" si="8"/>
        <v>41609</v>
      </c>
    </row>
    <row r="531" spans="1:5" x14ac:dyDescent="0.25">
      <c r="A531" s="8">
        <v>41579</v>
      </c>
      <c r="B531" s="4">
        <v>59494</v>
      </c>
      <c r="C531" s="57">
        <v>230.33</v>
      </c>
      <c r="D531" s="4" t="s">
        <v>1423</v>
      </c>
      <c r="E531" s="104">
        <f t="shared" si="8"/>
        <v>41609</v>
      </c>
    </row>
    <row r="532" spans="1:5" x14ac:dyDescent="0.25">
      <c r="A532" s="8">
        <v>41579</v>
      </c>
      <c r="B532" s="4">
        <v>59495</v>
      </c>
      <c r="C532" s="57">
        <v>122.14</v>
      </c>
      <c r="D532" s="4" t="s">
        <v>1423</v>
      </c>
      <c r="E532" s="104">
        <f t="shared" si="8"/>
        <v>41609</v>
      </c>
    </row>
    <row r="533" spans="1:5" x14ac:dyDescent="0.25">
      <c r="A533" s="8">
        <v>41579</v>
      </c>
      <c r="B533" s="4">
        <v>59496</v>
      </c>
      <c r="C533" s="57">
        <v>375.41</v>
      </c>
      <c r="D533" s="4" t="s">
        <v>1423</v>
      </c>
      <c r="E533" s="104">
        <f t="shared" si="8"/>
        <v>41609</v>
      </c>
    </row>
    <row r="534" spans="1:5" x14ac:dyDescent="0.25">
      <c r="A534" s="8">
        <v>41579</v>
      </c>
      <c r="B534" s="4">
        <v>59497</v>
      </c>
      <c r="C534" s="57">
        <v>38.65</v>
      </c>
      <c r="D534" s="4" t="s">
        <v>1423</v>
      </c>
      <c r="E534" s="104">
        <f t="shared" si="8"/>
        <v>41609</v>
      </c>
    </row>
    <row r="535" spans="1:5" x14ac:dyDescent="0.25">
      <c r="A535" s="8">
        <v>41579</v>
      </c>
      <c r="B535" s="4">
        <v>59498</v>
      </c>
      <c r="C535" s="57">
        <v>129.86000000000001</v>
      </c>
      <c r="D535" s="4" t="s">
        <v>1423</v>
      </c>
      <c r="E535" s="104">
        <f t="shared" si="8"/>
        <v>41609</v>
      </c>
    </row>
    <row r="536" spans="1:5" x14ac:dyDescent="0.25">
      <c r="A536" s="8">
        <v>41579</v>
      </c>
      <c r="B536" s="4">
        <v>59499</v>
      </c>
      <c r="C536" s="57">
        <v>306.52</v>
      </c>
      <c r="D536" s="4" t="s">
        <v>1423</v>
      </c>
      <c r="E536" s="104">
        <f t="shared" si="8"/>
        <v>41609</v>
      </c>
    </row>
    <row r="537" spans="1:5" x14ac:dyDescent="0.25">
      <c r="A537" s="8">
        <v>41579</v>
      </c>
      <c r="B537" s="4">
        <v>59500</v>
      </c>
      <c r="C537" s="57">
        <v>264.52</v>
      </c>
      <c r="D537" s="4" t="s">
        <v>1423</v>
      </c>
      <c r="E537" s="104">
        <f t="shared" si="8"/>
        <v>41609</v>
      </c>
    </row>
    <row r="538" spans="1:5" x14ac:dyDescent="0.25">
      <c r="A538" s="8">
        <v>41579</v>
      </c>
      <c r="B538" s="4">
        <v>59501</v>
      </c>
      <c r="C538" s="57">
        <v>144.53</v>
      </c>
      <c r="D538" s="4" t="s">
        <v>1423</v>
      </c>
      <c r="E538" s="104">
        <f t="shared" si="8"/>
        <v>41609</v>
      </c>
    </row>
    <row r="539" spans="1:5" x14ac:dyDescent="0.25">
      <c r="A539" s="8">
        <v>41579</v>
      </c>
      <c r="B539" s="4">
        <v>59502</v>
      </c>
      <c r="C539" s="57">
        <v>198.64</v>
      </c>
      <c r="D539" s="4" t="s">
        <v>1423</v>
      </c>
      <c r="E539" s="104">
        <f t="shared" si="8"/>
        <v>41609</v>
      </c>
    </row>
    <row r="540" spans="1:5" x14ac:dyDescent="0.25">
      <c r="A540" s="8">
        <v>41579</v>
      </c>
      <c r="B540" s="4">
        <v>59503</v>
      </c>
      <c r="C540" s="57">
        <v>298.51</v>
      </c>
      <c r="D540" s="4" t="s">
        <v>1423</v>
      </c>
      <c r="E540" s="104">
        <f t="shared" si="8"/>
        <v>41609</v>
      </c>
    </row>
    <row r="541" spans="1:5" x14ac:dyDescent="0.25">
      <c r="A541" s="8">
        <v>41579</v>
      </c>
      <c r="B541" s="4">
        <v>59504</v>
      </c>
      <c r="C541" s="57">
        <v>314.27999999999997</v>
      </c>
      <c r="D541" s="4" t="s">
        <v>1423</v>
      </c>
      <c r="E541" s="104">
        <f t="shared" si="8"/>
        <v>41609</v>
      </c>
    </row>
    <row r="542" spans="1:5" x14ac:dyDescent="0.25">
      <c r="A542" s="8">
        <v>41579</v>
      </c>
      <c r="B542" s="4">
        <v>59505</v>
      </c>
      <c r="C542" s="57">
        <v>234.39</v>
      </c>
      <c r="D542" s="4" t="s">
        <v>1423</v>
      </c>
      <c r="E542" s="104">
        <f t="shared" si="8"/>
        <v>41609</v>
      </c>
    </row>
    <row r="543" spans="1:5" x14ac:dyDescent="0.25">
      <c r="A543" s="8">
        <v>41579</v>
      </c>
      <c r="B543" s="4">
        <v>59506</v>
      </c>
      <c r="C543" s="57">
        <v>250.87</v>
      </c>
      <c r="D543" s="4" t="s">
        <v>1423</v>
      </c>
      <c r="E543" s="104">
        <f t="shared" si="8"/>
        <v>41609</v>
      </c>
    </row>
    <row r="544" spans="1:5" x14ac:dyDescent="0.25">
      <c r="A544" s="8">
        <v>41580</v>
      </c>
      <c r="B544" s="4">
        <v>59507</v>
      </c>
      <c r="C544" s="57">
        <v>198.9</v>
      </c>
      <c r="D544" s="4" t="s">
        <v>1423</v>
      </c>
      <c r="E544" s="104">
        <f t="shared" si="8"/>
        <v>41610</v>
      </c>
    </row>
    <row r="545" spans="1:5" x14ac:dyDescent="0.25">
      <c r="A545" s="8">
        <v>41580</v>
      </c>
      <c r="B545" s="4">
        <v>59508</v>
      </c>
      <c r="C545" s="57">
        <v>197.89</v>
      </c>
      <c r="D545" s="4" t="s">
        <v>1423</v>
      </c>
      <c r="E545" s="104">
        <f t="shared" si="8"/>
        <v>41610</v>
      </c>
    </row>
    <row r="546" spans="1:5" x14ac:dyDescent="0.25">
      <c r="A546" s="8">
        <v>41580</v>
      </c>
      <c r="B546" s="4">
        <v>59509</v>
      </c>
      <c r="C546" s="57">
        <v>269.07</v>
      </c>
      <c r="D546" s="4" t="s">
        <v>1423</v>
      </c>
      <c r="E546" s="104">
        <f t="shared" si="8"/>
        <v>41610</v>
      </c>
    </row>
    <row r="547" spans="1:5" x14ac:dyDescent="0.25">
      <c r="A547" s="8">
        <v>41580</v>
      </c>
      <c r="B547" s="4">
        <v>59510</v>
      </c>
      <c r="C547" s="57">
        <v>323.58999999999997</v>
      </c>
      <c r="D547" s="4" t="s">
        <v>1423</v>
      </c>
      <c r="E547" s="104">
        <f t="shared" si="8"/>
        <v>41610</v>
      </c>
    </row>
    <row r="548" spans="1:5" x14ac:dyDescent="0.25">
      <c r="A548" s="8">
        <v>41580</v>
      </c>
      <c r="B548" s="4">
        <v>59511</v>
      </c>
      <c r="C548" s="57">
        <v>330.16</v>
      </c>
      <c r="D548" s="4" t="s">
        <v>1423</v>
      </c>
      <c r="E548" s="104">
        <f t="shared" si="8"/>
        <v>41610</v>
      </c>
    </row>
    <row r="549" spans="1:5" x14ac:dyDescent="0.25">
      <c r="A549" s="8">
        <v>41580</v>
      </c>
      <c r="B549" s="4">
        <v>59512</v>
      </c>
      <c r="C549" s="57">
        <v>306.01</v>
      </c>
      <c r="D549" s="4" t="s">
        <v>1423</v>
      </c>
      <c r="E549" s="104">
        <f t="shared" si="8"/>
        <v>41610</v>
      </c>
    </row>
    <row r="550" spans="1:5" x14ac:dyDescent="0.25">
      <c r="A550" s="8">
        <v>41580</v>
      </c>
      <c r="B550" s="4">
        <v>59513</v>
      </c>
      <c r="C550" s="57">
        <v>159.76</v>
      </c>
      <c r="D550" s="4" t="s">
        <v>1423</v>
      </c>
      <c r="E550" s="104">
        <f t="shared" si="8"/>
        <v>41610</v>
      </c>
    </row>
    <row r="551" spans="1:5" x14ac:dyDescent="0.25">
      <c r="A551" s="8">
        <v>41580</v>
      </c>
      <c r="B551" s="4">
        <v>59514</v>
      </c>
      <c r="C551" s="57">
        <v>56.38</v>
      </c>
      <c r="D551" s="4" t="s">
        <v>1423</v>
      </c>
      <c r="E551" s="104">
        <f t="shared" si="8"/>
        <v>41610</v>
      </c>
    </row>
    <row r="552" spans="1:5" x14ac:dyDescent="0.25">
      <c r="A552" s="8">
        <v>41580</v>
      </c>
      <c r="B552" s="4">
        <v>59515</v>
      </c>
      <c r="C552" s="57">
        <v>257.33</v>
      </c>
      <c r="D552" s="4" t="s">
        <v>1423</v>
      </c>
      <c r="E552" s="104">
        <f t="shared" si="8"/>
        <v>41610</v>
      </c>
    </row>
    <row r="553" spans="1:5" x14ac:dyDescent="0.25">
      <c r="A553" s="8">
        <v>41580</v>
      </c>
      <c r="B553" s="4">
        <v>59516</v>
      </c>
      <c r="C553" s="57">
        <v>225.88</v>
      </c>
      <c r="D553" s="4" t="s">
        <v>1423</v>
      </c>
      <c r="E553" s="104">
        <f t="shared" si="8"/>
        <v>41610</v>
      </c>
    </row>
    <row r="554" spans="1:5" x14ac:dyDescent="0.25">
      <c r="A554" s="8">
        <v>41580</v>
      </c>
      <c r="B554" s="4">
        <v>59517</v>
      </c>
      <c r="C554" s="57">
        <v>252.19</v>
      </c>
      <c r="D554" s="4" t="s">
        <v>1423</v>
      </c>
      <c r="E554" s="104">
        <f t="shared" si="8"/>
        <v>41610</v>
      </c>
    </row>
    <row r="555" spans="1:5" x14ac:dyDescent="0.25">
      <c r="A555" s="8">
        <v>41580</v>
      </c>
      <c r="B555" s="4">
        <v>59518</v>
      </c>
      <c r="C555" s="57">
        <v>207.84</v>
      </c>
      <c r="D555" s="4" t="s">
        <v>1423</v>
      </c>
      <c r="E555" s="104">
        <f t="shared" si="8"/>
        <v>41610</v>
      </c>
    </row>
    <row r="556" spans="1:5" x14ac:dyDescent="0.25">
      <c r="A556" s="8">
        <v>41580</v>
      </c>
      <c r="B556" s="4">
        <v>59519</v>
      </c>
      <c r="C556" s="57">
        <v>361.07</v>
      </c>
      <c r="D556" s="4" t="s">
        <v>1423</v>
      </c>
      <c r="E556" s="104">
        <f t="shared" si="8"/>
        <v>41610</v>
      </c>
    </row>
    <row r="557" spans="1:5" x14ac:dyDescent="0.25">
      <c r="A557" s="8">
        <v>41580</v>
      </c>
      <c r="B557" s="4">
        <v>59520</v>
      </c>
      <c r="C557" s="57">
        <v>125.04</v>
      </c>
      <c r="D557" s="4" t="s">
        <v>1423</v>
      </c>
      <c r="E557" s="104">
        <f t="shared" si="8"/>
        <v>41610</v>
      </c>
    </row>
    <row r="558" spans="1:5" x14ac:dyDescent="0.25">
      <c r="A558" s="8">
        <v>41580</v>
      </c>
      <c r="B558" s="4">
        <v>59521</v>
      </c>
      <c r="C558" s="57">
        <v>302.86</v>
      </c>
      <c r="D558" s="4" t="s">
        <v>1423</v>
      </c>
      <c r="E558" s="104">
        <f t="shared" si="8"/>
        <v>41610</v>
      </c>
    </row>
    <row r="559" spans="1:5" x14ac:dyDescent="0.25">
      <c r="A559" s="8">
        <v>41580</v>
      </c>
      <c r="B559" s="4">
        <v>59522</v>
      </c>
      <c r="C559" s="57">
        <v>113.55</v>
      </c>
      <c r="D559" s="4" t="s">
        <v>1423</v>
      </c>
      <c r="E559" s="104">
        <f t="shared" si="8"/>
        <v>41610</v>
      </c>
    </row>
    <row r="560" spans="1:5" x14ac:dyDescent="0.25">
      <c r="A560" s="8">
        <v>41580</v>
      </c>
      <c r="B560" s="4">
        <v>59523</v>
      </c>
      <c r="C560" s="57">
        <v>205.97</v>
      </c>
      <c r="D560" s="4" t="s">
        <v>1423</v>
      </c>
      <c r="E560" s="104">
        <f t="shared" si="8"/>
        <v>41610</v>
      </c>
    </row>
    <row r="561" spans="1:5" x14ac:dyDescent="0.25">
      <c r="A561" s="8">
        <v>41580</v>
      </c>
      <c r="B561" s="4">
        <v>59524</v>
      </c>
      <c r="C561" s="57">
        <v>313.77</v>
      </c>
      <c r="D561" s="4" t="s">
        <v>1423</v>
      </c>
      <c r="E561" s="104">
        <f t="shared" si="8"/>
        <v>41610</v>
      </c>
    </row>
    <row r="562" spans="1:5" x14ac:dyDescent="0.25">
      <c r="A562" s="8">
        <v>41580</v>
      </c>
      <c r="B562" s="4">
        <v>59525</v>
      </c>
      <c r="C562" s="57">
        <v>131.78</v>
      </c>
      <c r="D562" s="4" t="s">
        <v>1423</v>
      </c>
      <c r="E562" s="104">
        <f t="shared" si="8"/>
        <v>41610</v>
      </c>
    </row>
    <row r="563" spans="1:5" x14ac:dyDescent="0.25">
      <c r="A563" s="8">
        <v>41580</v>
      </c>
      <c r="B563" s="4">
        <v>59526</v>
      </c>
      <c r="C563" s="57">
        <v>128.65</v>
      </c>
      <c r="D563" s="4" t="s">
        <v>1423</v>
      </c>
      <c r="E563" s="104">
        <f t="shared" si="8"/>
        <v>41610</v>
      </c>
    </row>
    <row r="564" spans="1:5" x14ac:dyDescent="0.25">
      <c r="A564" s="8">
        <v>41580</v>
      </c>
      <c r="B564" s="4">
        <v>59527</v>
      </c>
      <c r="C564" s="57">
        <v>286.83</v>
      </c>
      <c r="D564" s="4" t="s">
        <v>1423</v>
      </c>
      <c r="E564" s="104">
        <f t="shared" si="8"/>
        <v>41610</v>
      </c>
    </row>
    <row r="565" spans="1:5" x14ac:dyDescent="0.25">
      <c r="A565" s="8">
        <v>41581</v>
      </c>
      <c r="B565" s="4">
        <v>59528</v>
      </c>
      <c r="C565" s="57">
        <v>184.58</v>
      </c>
      <c r="D565" s="4" t="s">
        <v>1423</v>
      </c>
      <c r="E565" s="104">
        <f t="shared" si="8"/>
        <v>41611</v>
      </c>
    </row>
    <row r="566" spans="1:5" x14ac:dyDescent="0.25">
      <c r="A566" s="8">
        <v>41581</v>
      </c>
      <c r="B566" s="4">
        <v>59529</v>
      </c>
      <c r="C566" s="57">
        <v>191.32</v>
      </c>
      <c r="D566" s="4" t="s">
        <v>1423</v>
      </c>
      <c r="E566" s="104">
        <f t="shared" si="8"/>
        <v>41611</v>
      </c>
    </row>
    <row r="567" spans="1:5" x14ac:dyDescent="0.25">
      <c r="A567" s="8">
        <v>41581</v>
      </c>
      <c r="B567" s="4">
        <v>59530</v>
      </c>
      <c r="C567" s="57">
        <v>239.69</v>
      </c>
      <c r="D567" s="4" t="s">
        <v>1423</v>
      </c>
      <c r="E567" s="104">
        <f t="shared" si="8"/>
        <v>41611</v>
      </c>
    </row>
    <row r="568" spans="1:5" x14ac:dyDescent="0.25">
      <c r="A568" s="8">
        <v>41581</v>
      </c>
      <c r="B568" s="4">
        <v>59531</v>
      </c>
      <c r="C568" s="57">
        <v>174.84</v>
      </c>
      <c r="D568" s="4" t="s">
        <v>1423</v>
      </c>
      <c r="E568" s="104">
        <f t="shared" si="8"/>
        <v>41611</v>
      </c>
    </row>
    <row r="569" spans="1:5" x14ac:dyDescent="0.25">
      <c r="A569" s="8">
        <v>41581</v>
      </c>
      <c r="B569" s="4">
        <v>59532</v>
      </c>
      <c r="C569" s="57">
        <v>229.17</v>
      </c>
      <c r="D569" s="4" t="s">
        <v>1423</v>
      </c>
      <c r="E569" s="104">
        <f t="shared" si="8"/>
        <v>41611</v>
      </c>
    </row>
    <row r="570" spans="1:5" x14ac:dyDescent="0.25">
      <c r="A570" s="8">
        <v>41581</v>
      </c>
      <c r="B570" s="4">
        <v>59533</v>
      </c>
      <c r="C570" s="57">
        <v>271.29000000000002</v>
      </c>
      <c r="D570" s="4" t="s">
        <v>1423</v>
      </c>
      <c r="E570" s="104">
        <f t="shared" si="8"/>
        <v>41611</v>
      </c>
    </row>
    <row r="571" spans="1:5" x14ac:dyDescent="0.25">
      <c r="A571" s="8">
        <v>41581</v>
      </c>
      <c r="B571" s="4">
        <v>59534</v>
      </c>
      <c r="C571" s="57">
        <v>88.86</v>
      </c>
      <c r="D571" s="4" t="s">
        <v>1423</v>
      </c>
      <c r="E571" s="104">
        <f t="shared" si="8"/>
        <v>41611</v>
      </c>
    </row>
    <row r="572" spans="1:5" x14ac:dyDescent="0.25">
      <c r="A572" s="8">
        <v>41581</v>
      </c>
      <c r="B572" s="4">
        <v>59535</v>
      </c>
      <c r="C572" s="57">
        <v>99.75</v>
      </c>
      <c r="D572" s="4" t="s">
        <v>1423</v>
      </c>
      <c r="E572" s="104">
        <f t="shared" si="8"/>
        <v>41611</v>
      </c>
    </row>
    <row r="573" spans="1:5" x14ac:dyDescent="0.25">
      <c r="A573" s="8">
        <v>41581</v>
      </c>
      <c r="B573" s="4">
        <v>59536</v>
      </c>
      <c r="C573" s="57">
        <v>57.05</v>
      </c>
      <c r="D573" s="4" t="s">
        <v>1423</v>
      </c>
      <c r="E573" s="104">
        <f t="shared" si="8"/>
        <v>41611</v>
      </c>
    </row>
    <row r="574" spans="1:5" x14ac:dyDescent="0.25">
      <c r="A574" s="8">
        <v>41581</v>
      </c>
      <c r="B574" s="4">
        <v>59537</v>
      </c>
      <c r="C574" s="57">
        <v>370.57</v>
      </c>
      <c r="D574" s="4" t="s">
        <v>1423</v>
      </c>
      <c r="E574" s="104">
        <f t="shared" si="8"/>
        <v>41611</v>
      </c>
    </row>
    <row r="575" spans="1:5" x14ac:dyDescent="0.25">
      <c r="A575" s="8">
        <v>41581</v>
      </c>
      <c r="B575" s="4">
        <v>59538</v>
      </c>
      <c r="C575" s="57">
        <v>65.66</v>
      </c>
      <c r="D575" s="4" t="s">
        <v>1423</v>
      </c>
      <c r="E575" s="104">
        <f t="shared" si="8"/>
        <v>41611</v>
      </c>
    </row>
    <row r="576" spans="1:5" x14ac:dyDescent="0.25">
      <c r="A576" s="8">
        <v>41581</v>
      </c>
      <c r="B576" s="4">
        <v>59539</v>
      </c>
      <c r="C576" s="57">
        <v>86.83</v>
      </c>
      <c r="D576" s="4" t="s">
        <v>1423</v>
      </c>
      <c r="E576" s="104">
        <f t="shared" si="8"/>
        <v>41611</v>
      </c>
    </row>
    <row r="577" spans="1:5" x14ac:dyDescent="0.25">
      <c r="A577" s="8">
        <v>41581</v>
      </c>
      <c r="B577" s="4">
        <v>59540</v>
      </c>
      <c r="C577" s="57">
        <v>268.2</v>
      </c>
      <c r="D577" s="4" t="s">
        <v>1423</v>
      </c>
      <c r="E577" s="104">
        <f t="shared" si="8"/>
        <v>41611</v>
      </c>
    </row>
    <row r="578" spans="1:5" x14ac:dyDescent="0.25">
      <c r="A578" s="8">
        <v>41581</v>
      </c>
      <c r="B578" s="4">
        <v>59541</v>
      </c>
      <c r="C578" s="57">
        <v>256.89999999999998</v>
      </c>
      <c r="D578" s="4" t="s">
        <v>1423</v>
      </c>
      <c r="E578" s="104">
        <f t="shared" si="8"/>
        <v>41611</v>
      </c>
    </row>
    <row r="579" spans="1:5" x14ac:dyDescent="0.25">
      <c r="A579" s="8">
        <v>41581</v>
      </c>
      <c r="B579" s="4">
        <v>59542</v>
      </c>
      <c r="C579" s="57">
        <v>104.25</v>
      </c>
      <c r="D579" s="4" t="s">
        <v>1423</v>
      </c>
      <c r="E579" s="104">
        <f t="shared" si="8"/>
        <v>41611</v>
      </c>
    </row>
    <row r="580" spans="1:5" x14ac:dyDescent="0.25">
      <c r="A580" s="8">
        <v>41581</v>
      </c>
      <c r="B580" s="4">
        <v>59543</v>
      </c>
      <c r="C580" s="57">
        <v>154.52000000000001</v>
      </c>
      <c r="D580" s="4" t="s">
        <v>1423</v>
      </c>
      <c r="E580" s="104">
        <f t="shared" si="8"/>
        <v>41611</v>
      </c>
    </row>
    <row r="581" spans="1:5" x14ac:dyDescent="0.25">
      <c r="A581" s="8">
        <v>41581</v>
      </c>
      <c r="B581" s="4">
        <v>59544</v>
      </c>
      <c r="C581" s="57">
        <v>308.67</v>
      </c>
      <c r="D581" s="4" t="s">
        <v>1423</v>
      </c>
      <c r="E581" s="104">
        <f t="shared" si="8"/>
        <v>41611</v>
      </c>
    </row>
    <row r="582" spans="1:5" x14ac:dyDescent="0.25">
      <c r="A582" s="8">
        <v>41581</v>
      </c>
      <c r="B582" s="4">
        <v>59545</v>
      </c>
      <c r="C582" s="57">
        <v>132.1</v>
      </c>
      <c r="D582" s="4" t="s">
        <v>1423</v>
      </c>
      <c r="E582" s="104">
        <f t="shared" ref="E582:E645" si="9">EDATE(A582,1)</f>
        <v>41611</v>
      </c>
    </row>
    <row r="583" spans="1:5" x14ac:dyDescent="0.25">
      <c r="A583" s="8">
        <v>41582</v>
      </c>
      <c r="B583" s="4">
        <v>59546</v>
      </c>
      <c r="C583" s="57">
        <v>112.68</v>
      </c>
      <c r="D583" s="4" t="s">
        <v>1423</v>
      </c>
      <c r="E583" s="104">
        <f t="shared" si="9"/>
        <v>41612</v>
      </c>
    </row>
    <row r="584" spans="1:5" x14ac:dyDescent="0.25">
      <c r="A584" s="8">
        <v>41582</v>
      </c>
      <c r="B584" s="4">
        <v>59547</v>
      </c>
      <c r="C584" s="57">
        <v>77.59</v>
      </c>
      <c r="D584" s="4" t="s">
        <v>1423</v>
      </c>
      <c r="E584" s="104">
        <f t="shared" si="9"/>
        <v>41612</v>
      </c>
    </row>
    <row r="585" spans="1:5" x14ac:dyDescent="0.25">
      <c r="A585" s="8">
        <v>41582</v>
      </c>
      <c r="B585" s="4">
        <v>59548</v>
      </c>
      <c r="C585" s="57">
        <v>299.49</v>
      </c>
      <c r="D585" s="4" t="s">
        <v>1423</v>
      </c>
      <c r="E585" s="104">
        <f t="shared" si="9"/>
        <v>41612</v>
      </c>
    </row>
    <row r="586" spans="1:5" x14ac:dyDescent="0.25">
      <c r="A586" s="8">
        <v>41582</v>
      </c>
      <c r="B586" s="4">
        <v>59549</v>
      </c>
      <c r="C586" s="57">
        <v>370.28</v>
      </c>
      <c r="D586" s="4" t="s">
        <v>1423</v>
      </c>
      <c r="E586" s="104">
        <f t="shared" si="9"/>
        <v>41612</v>
      </c>
    </row>
    <row r="587" spans="1:5" x14ac:dyDescent="0.25">
      <c r="A587" s="8">
        <v>41582</v>
      </c>
      <c r="B587" s="4">
        <v>59550</v>
      </c>
      <c r="C587" s="57">
        <v>39.869999999999997</v>
      </c>
      <c r="D587" s="4" t="s">
        <v>1423</v>
      </c>
      <c r="E587" s="104">
        <f t="shared" si="9"/>
        <v>41612</v>
      </c>
    </row>
    <row r="588" spans="1:5" x14ac:dyDescent="0.25">
      <c r="A588" s="8">
        <v>41582</v>
      </c>
      <c r="B588" s="4">
        <v>59551</v>
      </c>
      <c r="C588" s="57">
        <v>292.36</v>
      </c>
      <c r="D588" s="4" t="s">
        <v>1423</v>
      </c>
      <c r="E588" s="104">
        <f t="shared" si="9"/>
        <v>41612</v>
      </c>
    </row>
    <row r="589" spans="1:5" x14ac:dyDescent="0.25">
      <c r="A589" s="8">
        <v>41582</v>
      </c>
      <c r="B589" s="4">
        <v>59552</v>
      </c>
      <c r="C589" s="57">
        <v>273.2</v>
      </c>
      <c r="D589" s="4" t="s">
        <v>1423</v>
      </c>
      <c r="E589" s="104">
        <f t="shared" si="9"/>
        <v>41612</v>
      </c>
    </row>
    <row r="590" spans="1:5" x14ac:dyDescent="0.25">
      <c r="A590" s="8">
        <v>41582</v>
      </c>
      <c r="B590" s="4">
        <v>59553</v>
      </c>
      <c r="C590" s="57">
        <v>128.47999999999999</v>
      </c>
      <c r="D590" s="4" t="s">
        <v>1423</v>
      </c>
      <c r="E590" s="104">
        <f t="shared" si="9"/>
        <v>41612</v>
      </c>
    </row>
    <row r="591" spans="1:5" x14ac:dyDescent="0.25">
      <c r="A591" s="8">
        <v>41582</v>
      </c>
      <c r="B591" s="4">
        <v>59554</v>
      </c>
      <c r="C591" s="57">
        <v>187.38</v>
      </c>
      <c r="D591" s="4" t="s">
        <v>1423</v>
      </c>
      <c r="E591" s="104">
        <f t="shared" si="9"/>
        <v>41612</v>
      </c>
    </row>
    <row r="592" spans="1:5" x14ac:dyDescent="0.25">
      <c r="A592" s="8">
        <v>41582</v>
      </c>
      <c r="B592" s="4">
        <v>59555</v>
      </c>
      <c r="C592" s="57">
        <v>237.8</v>
      </c>
      <c r="D592" s="4" t="s">
        <v>1423</v>
      </c>
      <c r="E592" s="104">
        <f t="shared" si="9"/>
        <v>41612</v>
      </c>
    </row>
    <row r="593" spans="1:5" x14ac:dyDescent="0.25">
      <c r="A593" s="8">
        <v>41582</v>
      </c>
      <c r="B593" s="4">
        <v>59556</v>
      </c>
      <c r="C593" s="57">
        <v>262.93</v>
      </c>
      <c r="D593" s="4" t="s">
        <v>1423</v>
      </c>
      <c r="E593" s="104">
        <f t="shared" si="9"/>
        <v>41612</v>
      </c>
    </row>
    <row r="594" spans="1:5" x14ac:dyDescent="0.25">
      <c r="A594" s="8">
        <v>41582</v>
      </c>
      <c r="B594" s="4">
        <v>59557</v>
      </c>
      <c r="C594" s="57">
        <v>247.58</v>
      </c>
      <c r="D594" s="4" t="s">
        <v>1423</v>
      </c>
      <c r="E594" s="104">
        <f t="shared" si="9"/>
        <v>41612</v>
      </c>
    </row>
    <row r="595" spans="1:5" x14ac:dyDescent="0.25">
      <c r="A595" s="8">
        <v>41582</v>
      </c>
      <c r="B595" s="4">
        <v>59558</v>
      </c>
      <c r="C595" s="57">
        <v>213.83</v>
      </c>
      <c r="D595" s="4" t="s">
        <v>1423</v>
      </c>
      <c r="E595" s="104">
        <f t="shared" si="9"/>
        <v>41612</v>
      </c>
    </row>
    <row r="596" spans="1:5" x14ac:dyDescent="0.25">
      <c r="A596" s="8">
        <v>41582</v>
      </c>
      <c r="B596" s="4">
        <v>59559</v>
      </c>
      <c r="C596" s="57">
        <v>371.78</v>
      </c>
      <c r="D596" s="4" t="s">
        <v>1423</v>
      </c>
      <c r="E596" s="104">
        <f t="shared" si="9"/>
        <v>41612</v>
      </c>
    </row>
    <row r="597" spans="1:5" x14ac:dyDescent="0.25">
      <c r="A597" s="8">
        <v>41582</v>
      </c>
      <c r="B597" s="4">
        <v>59560</v>
      </c>
      <c r="C597" s="57">
        <v>305.64999999999998</v>
      </c>
      <c r="D597" s="4" t="s">
        <v>1423</v>
      </c>
      <c r="E597" s="104">
        <f t="shared" si="9"/>
        <v>41612</v>
      </c>
    </row>
    <row r="598" spans="1:5" x14ac:dyDescent="0.25">
      <c r="A598" s="8">
        <v>41582</v>
      </c>
      <c r="B598" s="4">
        <v>59561</v>
      </c>
      <c r="C598" s="57">
        <v>266.76</v>
      </c>
      <c r="D598" s="4" t="s">
        <v>1423</v>
      </c>
      <c r="E598" s="104">
        <f t="shared" si="9"/>
        <v>41612</v>
      </c>
    </row>
    <row r="599" spans="1:5" x14ac:dyDescent="0.25">
      <c r="A599" s="8">
        <v>41582</v>
      </c>
      <c r="B599" s="4">
        <v>59562</v>
      </c>
      <c r="C599" s="57">
        <v>55.89</v>
      </c>
      <c r="D599" s="4" t="s">
        <v>1423</v>
      </c>
      <c r="E599" s="104">
        <f t="shared" si="9"/>
        <v>41612</v>
      </c>
    </row>
    <row r="600" spans="1:5" x14ac:dyDescent="0.25">
      <c r="A600" s="8">
        <v>41582</v>
      </c>
      <c r="B600" s="4">
        <v>59563</v>
      </c>
      <c r="C600" s="57">
        <v>349.79</v>
      </c>
      <c r="D600" s="4" t="s">
        <v>1423</v>
      </c>
      <c r="E600" s="104">
        <f t="shared" si="9"/>
        <v>41612</v>
      </c>
    </row>
    <row r="601" spans="1:5" x14ac:dyDescent="0.25">
      <c r="A601" s="8">
        <v>41582</v>
      </c>
      <c r="B601" s="4">
        <v>59564</v>
      </c>
      <c r="C601" s="57">
        <v>331.79</v>
      </c>
      <c r="D601" s="4" t="s">
        <v>1423</v>
      </c>
      <c r="E601" s="104">
        <f t="shared" si="9"/>
        <v>41612</v>
      </c>
    </row>
    <row r="602" spans="1:5" x14ac:dyDescent="0.25">
      <c r="A602" s="8">
        <v>41583</v>
      </c>
      <c r="B602" s="4">
        <v>59565</v>
      </c>
      <c r="C602" s="57">
        <v>121.38</v>
      </c>
      <c r="D602" s="4" t="s">
        <v>1423</v>
      </c>
      <c r="E602" s="104">
        <f t="shared" si="9"/>
        <v>41613</v>
      </c>
    </row>
    <row r="603" spans="1:5" x14ac:dyDescent="0.25">
      <c r="A603" s="8">
        <v>41583</v>
      </c>
      <c r="B603" s="4">
        <v>59566</v>
      </c>
      <c r="C603" s="57">
        <v>289.72000000000003</v>
      </c>
      <c r="D603" s="4" t="s">
        <v>1423</v>
      </c>
      <c r="E603" s="104">
        <f t="shared" si="9"/>
        <v>41613</v>
      </c>
    </row>
    <row r="604" spans="1:5" x14ac:dyDescent="0.25">
      <c r="A604" s="8">
        <v>41583</v>
      </c>
      <c r="B604" s="4">
        <v>59567</v>
      </c>
      <c r="C604" s="57">
        <v>103.8</v>
      </c>
      <c r="D604" s="4" t="s">
        <v>1423</v>
      </c>
      <c r="E604" s="104">
        <f t="shared" si="9"/>
        <v>41613</v>
      </c>
    </row>
    <row r="605" spans="1:5" x14ac:dyDescent="0.25">
      <c r="A605" s="8">
        <v>41583</v>
      </c>
      <c r="B605" s="4">
        <v>59568</v>
      </c>
      <c r="C605" s="57">
        <v>332.61</v>
      </c>
      <c r="D605" s="4" t="s">
        <v>1423</v>
      </c>
      <c r="E605" s="104">
        <f t="shared" si="9"/>
        <v>41613</v>
      </c>
    </row>
    <row r="606" spans="1:5" x14ac:dyDescent="0.25">
      <c r="A606" s="8">
        <v>41583</v>
      </c>
      <c r="B606" s="4">
        <v>59569</v>
      </c>
      <c r="C606" s="57">
        <v>39.96</v>
      </c>
      <c r="D606" s="4" t="s">
        <v>1423</v>
      </c>
      <c r="E606" s="104">
        <f t="shared" si="9"/>
        <v>41613</v>
      </c>
    </row>
    <row r="607" spans="1:5" x14ac:dyDescent="0.25">
      <c r="A607" s="8">
        <v>41583</v>
      </c>
      <c r="B607" s="4">
        <v>59570</v>
      </c>
      <c r="C607" s="57">
        <v>119.58</v>
      </c>
      <c r="D607" s="4" t="s">
        <v>1423</v>
      </c>
      <c r="E607" s="104">
        <f t="shared" si="9"/>
        <v>41613</v>
      </c>
    </row>
    <row r="608" spans="1:5" x14ac:dyDescent="0.25">
      <c r="A608" s="8">
        <v>41583</v>
      </c>
      <c r="B608" s="4">
        <v>59571</v>
      </c>
      <c r="C608" s="57">
        <v>252.3</v>
      </c>
      <c r="D608" s="4" t="s">
        <v>1423</v>
      </c>
      <c r="E608" s="104">
        <f t="shared" si="9"/>
        <v>41613</v>
      </c>
    </row>
    <row r="609" spans="1:5" x14ac:dyDescent="0.25">
      <c r="A609" s="8">
        <v>41583</v>
      </c>
      <c r="B609" s="4">
        <v>59572</v>
      </c>
      <c r="C609" s="57">
        <v>160.78</v>
      </c>
      <c r="D609" s="4" t="s">
        <v>1423</v>
      </c>
      <c r="E609" s="104">
        <f t="shared" si="9"/>
        <v>41613</v>
      </c>
    </row>
    <row r="610" spans="1:5" x14ac:dyDescent="0.25">
      <c r="A610" s="8">
        <v>41583</v>
      </c>
      <c r="B610" s="4">
        <v>59573</v>
      </c>
      <c r="C610" s="57">
        <v>354.26</v>
      </c>
      <c r="D610" s="4" t="s">
        <v>1423</v>
      </c>
      <c r="E610" s="104">
        <f t="shared" si="9"/>
        <v>41613</v>
      </c>
    </row>
    <row r="611" spans="1:5" x14ac:dyDescent="0.25">
      <c r="A611" s="8">
        <v>41583</v>
      </c>
      <c r="B611" s="4">
        <v>59574</v>
      </c>
      <c r="C611" s="57">
        <v>231.99</v>
      </c>
      <c r="D611" s="4" t="s">
        <v>1423</v>
      </c>
      <c r="E611" s="104">
        <f t="shared" si="9"/>
        <v>41613</v>
      </c>
    </row>
    <row r="612" spans="1:5" x14ac:dyDescent="0.25">
      <c r="A612" s="8">
        <v>41583</v>
      </c>
      <c r="B612" s="4">
        <v>59575</v>
      </c>
      <c r="C612" s="57">
        <v>160.72</v>
      </c>
      <c r="D612" s="4" t="s">
        <v>1423</v>
      </c>
      <c r="E612" s="104">
        <f t="shared" si="9"/>
        <v>41613</v>
      </c>
    </row>
    <row r="613" spans="1:5" x14ac:dyDescent="0.25">
      <c r="A613" s="8">
        <v>41583</v>
      </c>
      <c r="B613" s="4">
        <v>59576</v>
      </c>
      <c r="C613" s="57">
        <v>226.1</v>
      </c>
      <c r="D613" s="4" t="s">
        <v>1423</v>
      </c>
      <c r="E613" s="104">
        <f t="shared" si="9"/>
        <v>41613</v>
      </c>
    </row>
    <row r="614" spans="1:5" x14ac:dyDescent="0.25">
      <c r="A614" s="8">
        <v>41583</v>
      </c>
      <c r="B614" s="4">
        <v>59577</v>
      </c>
      <c r="C614" s="57">
        <v>311.95</v>
      </c>
      <c r="D614" s="4" t="s">
        <v>1423</v>
      </c>
      <c r="E614" s="104">
        <f t="shared" si="9"/>
        <v>41613</v>
      </c>
    </row>
    <row r="615" spans="1:5" x14ac:dyDescent="0.25">
      <c r="A615" s="8">
        <v>41583</v>
      </c>
      <c r="B615" s="4">
        <v>59578</v>
      </c>
      <c r="C615" s="57">
        <v>126.87</v>
      </c>
      <c r="D615" s="4" t="s">
        <v>1423</v>
      </c>
      <c r="E615" s="104">
        <f t="shared" si="9"/>
        <v>41613</v>
      </c>
    </row>
    <row r="616" spans="1:5" x14ac:dyDescent="0.25">
      <c r="A616" s="8">
        <v>41583</v>
      </c>
      <c r="B616" s="4">
        <v>59579</v>
      </c>
      <c r="C616" s="57">
        <v>180.1</v>
      </c>
      <c r="D616" s="4" t="s">
        <v>1423</v>
      </c>
      <c r="E616" s="104">
        <f t="shared" si="9"/>
        <v>41613</v>
      </c>
    </row>
    <row r="617" spans="1:5" x14ac:dyDescent="0.25">
      <c r="A617" s="8">
        <v>41583</v>
      </c>
      <c r="B617" s="4">
        <v>59580</v>
      </c>
      <c r="C617" s="57">
        <v>142.63</v>
      </c>
      <c r="D617" s="4" t="s">
        <v>1423</v>
      </c>
      <c r="E617" s="104">
        <f t="shared" si="9"/>
        <v>41613</v>
      </c>
    </row>
    <row r="618" spans="1:5" x14ac:dyDescent="0.25">
      <c r="A618" s="8">
        <v>41583</v>
      </c>
      <c r="B618" s="4">
        <v>59581</v>
      </c>
      <c r="C618" s="57">
        <v>199.15</v>
      </c>
      <c r="D618" s="4" t="s">
        <v>1423</v>
      </c>
      <c r="E618" s="104">
        <f t="shared" si="9"/>
        <v>41613</v>
      </c>
    </row>
    <row r="619" spans="1:5" x14ac:dyDescent="0.25">
      <c r="A619" s="8">
        <v>41584</v>
      </c>
      <c r="B619" s="4">
        <v>59582</v>
      </c>
      <c r="C619" s="57">
        <v>51.96</v>
      </c>
      <c r="D619" s="4" t="s">
        <v>1423</v>
      </c>
      <c r="E619" s="104">
        <f t="shared" si="9"/>
        <v>41614</v>
      </c>
    </row>
    <row r="620" spans="1:5" x14ac:dyDescent="0.25">
      <c r="A620" s="8">
        <v>41584</v>
      </c>
      <c r="B620" s="4">
        <v>59583</v>
      </c>
      <c r="C620" s="57">
        <v>117.75</v>
      </c>
      <c r="D620" s="4" t="s">
        <v>1423</v>
      </c>
      <c r="E620" s="104">
        <f t="shared" si="9"/>
        <v>41614</v>
      </c>
    </row>
    <row r="621" spans="1:5" x14ac:dyDescent="0.25">
      <c r="A621" s="8">
        <v>41584</v>
      </c>
      <c r="B621" s="4">
        <v>59584</v>
      </c>
      <c r="C621" s="57">
        <v>314.08999999999997</v>
      </c>
      <c r="D621" s="4" t="s">
        <v>1423</v>
      </c>
      <c r="E621" s="104">
        <f t="shared" si="9"/>
        <v>41614</v>
      </c>
    </row>
    <row r="622" spans="1:5" x14ac:dyDescent="0.25">
      <c r="A622" s="8">
        <v>41584</v>
      </c>
      <c r="B622" s="4">
        <v>59585</v>
      </c>
      <c r="C622" s="57">
        <v>114.02</v>
      </c>
      <c r="D622" s="4" t="s">
        <v>1423</v>
      </c>
      <c r="E622" s="104">
        <f t="shared" si="9"/>
        <v>41614</v>
      </c>
    </row>
    <row r="623" spans="1:5" x14ac:dyDescent="0.25">
      <c r="A623" s="8">
        <v>41584</v>
      </c>
      <c r="B623" s="4">
        <v>59586</v>
      </c>
      <c r="C623" s="57">
        <v>137.59</v>
      </c>
      <c r="D623" s="4" t="s">
        <v>1423</v>
      </c>
      <c r="E623" s="104">
        <f t="shared" si="9"/>
        <v>41614</v>
      </c>
    </row>
    <row r="624" spans="1:5" x14ac:dyDescent="0.25">
      <c r="A624" s="8">
        <v>41584</v>
      </c>
      <c r="B624" s="4">
        <v>59587</v>
      </c>
      <c r="C624" s="57">
        <v>196.36</v>
      </c>
      <c r="D624" s="4" t="s">
        <v>1423</v>
      </c>
      <c r="E624" s="104">
        <f t="shared" si="9"/>
        <v>41614</v>
      </c>
    </row>
    <row r="625" spans="1:5" x14ac:dyDescent="0.25">
      <c r="A625" s="8">
        <v>41584</v>
      </c>
      <c r="B625" s="4">
        <v>59588</v>
      </c>
      <c r="C625" s="57">
        <v>295.97000000000003</v>
      </c>
      <c r="D625" s="4" t="s">
        <v>1423</v>
      </c>
      <c r="E625" s="104">
        <f t="shared" si="9"/>
        <v>41614</v>
      </c>
    </row>
    <row r="626" spans="1:5" x14ac:dyDescent="0.25">
      <c r="A626" s="8">
        <v>41584</v>
      </c>
      <c r="B626" s="4">
        <v>59589</v>
      </c>
      <c r="C626" s="57">
        <v>69.09</v>
      </c>
      <c r="D626" s="4" t="s">
        <v>1423</v>
      </c>
      <c r="E626" s="104">
        <f t="shared" si="9"/>
        <v>41614</v>
      </c>
    </row>
    <row r="627" spans="1:5" x14ac:dyDescent="0.25">
      <c r="A627" s="8">
        <v>41584</v>
      </c>
      <c r="B627" s="4">
        <v>59590</v>
      </c>
      <c r="C627" s="57">
        <v>163.38</v>
      </c>
      <c r="D627" s="4" t="s">
        <v>1423</v>
      </c>
      <c r="E627" s="104">
        <f t="shared" si="9"/>
        <v>41614</v>
      </c>
    </row>
    <row r="628" spans="1:5" x14ac:dyDescent="0.25">
      <c r="A628" s="8">
        <v>41584</v>
      </c>
      <c r="B628" s="4">
        <v>59591</v>
      </c>
      <c r="C628" s="57">
        <v>338.13</v>
      </c>
      <c r="D628" s="4" t="s">
        <v>1423</v>
      </c>
      <c r="E628" s="104">
        <f t="shared" si="9"/>
        <v>41614</v>
      </c>
    </row>
    <row r="629" spans="1:5" x14ac:dyDescent="0.25">
      <c r="A629" s="8">
        <v>41584</v>
      </c>
      <c r="B629" s="4">
        <v>59592</v>
      </c>
      <c r="C629" s="57">
        <v>189.16</v>
      </c>
      <c r="D629" s="4" t="s">
        <v>1423</v>
      </c>
      <c r="E629" s="104">
        <f t="shared" si="9"/>
        <v>41614</v>
      </c>
    </row>
    <row r="630" spans="1:5" x14ac:dyDescent="0.25">
      <c r="A630" s="8">
        <v>41584</v>
      </c>
      <c r="B630" s="4">
        <v>59593</v>
      </c>
      <c r="C630" s="57">
        <v>89.41</v>
      </c>
      <c r="D630" s="4" t="s">
        <v>1423</v>
      </c>
      <c r="E630" s="104">
        <f t="shared" si="9"/>
        <v>41614</v>
      </c>
    </row>
    <row r="631" spans="1:5" x14ac:dyDescent="0.25">
      <c r="A631" s="8">
        <v>41584</v>
      </c>
      <c r="B631" s="4">
        <v>59594</v>
      </c>
      <c r="C631" s="57">
        <v>386.62</v>
      </c>
      <c r="D631" s="4" t="s">
        <v>1423</v>
      </c>
      <c r="E631" s="104">
        <f t="shared" si="9"/>
        <v>41614</v>
      </c>
    </row>
    <row r="632" spans="1:5" x14ac:dyDescent="0.25">
      <c r="A632" s="8">
        <v>41584</v>
      </c>
      <c r="B632" s="4">
        <v>59595</v>
      </c>
      <c r="C632" s="57">
        <v>345.51</v>
      </c>
      <c r="D632" s="4" t="s">
        <v>1423</v>
      </c>
      <c r="E632" s="104">
        <f t="shared" si="9"/>
        <v>41614</v>
      </c>
    </row>
    <row r="633" spans="1:5" x14ac:dyDescent="0.25">
      <c r="A633" s="8">
        <v>41584</v>
      </c>
      <c r="B633" s="4">
        <v>59596</v>
      </c>
      <c r="C633" s="57">
        <v>217.68</v>
      </c>
      <c r="D633" s="4" t="s">
        <v>1423</v>
      </c>
      <c r="E633" s="104">
        <f t="shared" si="9"/>
        <v>41614</v>
      </c>
    </row>
    <row r="634" spans="1:5" x14ac:dyDescent="0.25">
      <c r="A634" s="8">
        <v>41584</v>
      </c>
      <c r="B634" s="4">
        <v>59597</v>
      </c>
      <c r="C634" s="57">
        <v>278.47000000000003</v>
      </c>
      <c r="D634" s="4" t="s">
        <v>1423</v>
      </c>
      <c r="E634" s="104">
        <f t="shared" si="9"/>
        <v>41614</v>
      </c>
    </row>
    <row r="635" spans="1:5" x14ac:dyDescent="0.25">
      <c r="A635" s="8">
        <v>41585</v>
      </c>
      <c r="B635" s="4">
        <v>59598</v>
      </c>
      <c r="C635" s="57">
        <v>265.13</v>
      </c>
      <c r="D635" s="4" t="s">
        <v>1423</v>
      </c>
      <c r="E635" s="104">
        <f t="shared" si="9"/>
        <v>41615</v>
      </c>
    </row>
    <row r="636" spans="1:5" x14ac:dyDescent="0.25">
      <c r="A636" s="8">
        <v>41585</v>
      </c>
      <c r="B636" s="4">
        <v>59599</v>
      </c>
      <c r="C636" s="57">
        <v>302.02999999999997</v>
      </c>
      <c r="D636" s="4" t="s">
        <v>1423</v>
      </c>
      <c r="E636" s="104">
        <f t="shared" si="9"/>
        <v>41615</v>
      </c>
    </row>
    <row r="637" spans="1:5" x14ac:dyDescent="0.25">
      <c r="A637" s="8">
        <v>41585</v>
      </c>
      <c r="B637" s="4">
        <v>59600</v>
      </c>
      <c r="C637" s="57">
        <v>334.55</v>
      </c>
      <c r="D637" s="4" t="s">
        <v>1423</v>
      </c>
      <c r="E637" s="104">
        <f t="shared" si="9"/>
        <v>41615</v>
      </c>
    </row>
    <row r="638" spans="1:5" x14ac:dyDescent="0.25">
      <c r="A638" s="8">
        <v>41585</v>
      </c>
      <c r="B638" s="4">
        <v>59601</v>
      </c>
      <c r="C638" s="57">
        <v>305.52999999999997</v>
      </c>
      <c r="D638" s="4" t="s">
        <v>1423</v>
      </c>
      <c r="E638" s="104">
        <f t="shared" si="9"/>
        <v>41615</v>
      </c>
    </row>
    <row r="639" spans="1:5" x14ac:dyDescent="0.25">
      <c r="A639" s="8">
        <v>41585</v>
      </c>
      <c r="B639" s="4">
        <v>59602</v>
      </c>
      <c r="C639" s="57">
        <v>212.99</v>
      </c>
      <c r="D639" s="4" t="s">
        <v>1423</v>
      </c>
      <c r="E639" s="104">
        <f t="shared" si="9"/>
        <v>41615</v>
      </c>
    </row>
    <row r="640" spans="1:5" x14ac:dyDescent="0.25">
      <c r="A640" s="8">
        <v>41585</v>
      </c>
      <c r="B640" s="4">
        <v>59603</v>
      </c>
      <c r="C640" s="57">
        <v>312.42</v>
      </c>
      <c r="D640" s="4" t="s">
        <v>1423</v>
      </c>
      <c r="E640" s="104">
        <f t="shared" si="9"/>
        <v>41615</v>
      </c>
    </row>
    <row r="641" spans="1:5" x14ac:dyDescent="0.25">
      <c r="A641" s="8">
        <v>41585</v>
      </c>
      <c r="B641" s="4">
        <v>59604</v>
      </c>
      <c r="C641" s="57">
        <v>238.55</v>
      </c>
      <c r="D641" s="4" t="s">
        <v>1423</v>
      </c>
      <c r="E641" s="104">
        <f t="shared" si="9"/>
        <v>41615</v>
      </c>
    </row>
    <row r="642" spans="1:5" x14ac:dyDescent="0.25">
      <c r="A642" s="8">
        <v>41585</v>
      </c>
      <c r="B642" s="4">
        <v>59605</v>
      </c>
      <c r="C642" s="57">
        <v>279.61</v>
      </c>
      <c r="D642" s="4" t="s">
        <v>1423</v>
      </c>
      <c r="E642" s="104">
        <f t="shared" si="9"/>
        <v>41615</v>
      </c>
    </row>
    <row r="643" spans="1:5" x14ac:dyDescent="0.25">
      <c r="A643" s="8">
        <v>41585</v>
      </c>
      <c r="B643" s="4">
        <v>59606</v>
      </c>
      <c r="C643" s="57">
        <v>183.24</v>
      </c>
      <c r="D643" s="4" t="s">
        <v>1423</v>
      </c>
      <c r="E643" s="104">
        <f t="shared" si="9"/>
        <v>41615</v>
      </c>
    </row>
    <row r="644" spans="1:5" x14ac:dyDescent="0.25">
      <c r="A644" s="8">
        <v>41585</v>
      </c>
      <c r="B644" s="4">
        <v>59607</v>
      </c>
      <c r="C644" s="57">
        <v>269.95</v>
      </c>
      <c r="D644" s="4" t="s">
        <v>1423</v>
      </c>
      <c r="E644" s="104">
        <f t="shared" si="9"/>
        <v>41615</v>
      </c>
    </row>
    <row r="645" spans="1:5" x14ac:dyDescent="0.25">
      <c r="A645" s="8">
        <v>41585</v>
      </c>
      <c r="B645" s="4">
        <v>59608</v>
      </c>
      <c r="C645" s="57">
        <v>49.01</v>
      </c>
      <c r="D645" s="4" t="s">
        <v>1423</v>
      </c>
      <c r="E645" s="104">
        <f t="shared" si="9"/>
        <v>41615</v>
      </c>
    </row>
    <row r="646" spans="1:5" x14ac:dyDescent="0.25">
      <c r="A646" s="8">
        <v>41585</v>
      </c>
      <c r="B646" s="4">
        <v>59609</v>
      </c>
      <c r="C646" s="57">
        <v>185.58</v>
      </c>
      <c r="D646" s="4" t="s">
        <v>1423</v>
      </c>
      <c r="E646" s="104">
        <f t="shared" ref="E646:E709" si="10">EDATE(A646,1)</f>
        <v>41615</v>
      </c>
    </row>
    <row r="647" spans="1:5" x14ac:dyDescent="0.25">
      <c r="A647" s="8">
        <v>41585</v>
      </c>
      <c r="B647" s="4">
        <v>59610</v>
      </c>
      <c r="C647" s="57">
        <v>123.72</v>
      </c>
      <c r="D647" s="4" t="s">
        <v>1423</v>
      </c>
      <c r="E647" s="104">
        <f t="shared" si="10"/>
        <v>41615</v>
      </c>
    </row>
    <row r="648" spans="1:5" x14ac:dyDescent="0.25">
      <c r="A648" s="8">
        <v>41585</v>
      </c>
      <c r="B648" s="4">
        <v>59611</v>
      </c>
      <c r="C648" s="57">
        <v>46.16</v>
      </c>
      <c r="D648" s="4" t="s">
        <v>1423</v>
      </c>
      <c r="E648" s="104">
        <f t="shared" si="10"/>
        <v>41615</v>
      </c>
    </row>
    <row r="649" spans="1:5" x14ac:dyDescent="0.25">
      <c r="A649" s="8">
        <v>41585</v>
      </c>
      <c r="B649" s="4">
        <v>59612</v>
      </c>
      <c r="C649" s="57">
        <v>313.41000000000003</v>
      </c>
      <c r="D649" s="4" t="s">
        <v>1423</v>
      </c>
      <c r="E649" s="104">
        <f t="shared" si="10"/>
        <v>41615</v>
      </c>
    </row>
    <row r="650" spans="1:5" x14ac:dyDescent="0.25">
      <c r="A650" s="8">
        <v>41585</v>
      </c>
      <c r="B650" s="4">
        <v>59613</v>
      </c>
      <c r="C650" s="57">
        <v>81.03</v>
      </c>
      <c r="D650" s="4" t="s">
        <v>1423</v>
      </c>
      <c r="E650" s="104">
        <f t="shared" si="10"/>
        <v>41615</v>
      </c>
    </row>
    <row r="651" spans="1:5" x14ac:dyDescent="0.25">
      <c r="A651" s="8">
        <v>41585</v>
      </c>
      <c r="B651" s="4">
        <v>59614</v>
      </c>
      <c r="C651" s="57">
        <v>362.07</v>
      </c>
      <c r="D651" s="4" t="s">
        <v>1423</v>
      </c>
      <c r="E651" s="104">
        <f t="shared" si="10"/>
        <v>41615</v>
      </c>
    </row>
    <row r="652" spans="1:5" x14ac:dyDescent="0.25">
      <c r="A652" s="8">
        <v>41585</v>
      </c>
      <c r="B652" s="4">
        <v>59615</v>
      </c>
      <c r="C652" s="57">
        <v>342.32</v>
      </c>
      <c r="D652" s="4" t="s">
        <v>1423</v>
      </c>
      <c r="E652" s="104">
        <f t="shared" si="10"/>
        <v>41615</v>
      </c>
    </row>
    <row r="653" spans="1:5" x14ac:dyDescent="0.25">
      <c r="A653" s="8">
        <v>41585</v>
      </c>
      <c r="B653" s="4">
        <v>59616</v>
      </c>
      <c r="C653" s="57">
        <v>84.8</v>
      </c>
      <c r="D653" s="4" t="s">
        <v>1423</v>
      </c>
      <c r="E653" s="104">
        <f t="shared" si="10"/>
        <v>41615</v>
      </c>
    </row>
    <row r="654" spans="1:5" x14ac:dyDescent="0.25">
      <c r="A654" s="8">
        <v>41585</v>
      </c>
      <c r="B654" s="4">
        <v>59617</v>
      </c>
      <c r="C654" s="57">
        <v>361.98</v>
      </c>
      <c r="D654" s="4" t="s">
        <v>1423</v>
      </c>
      <c r="E654" s="104">
        <f t="shared" si="10"/>
        <v>41615</v>
      </c>
    </row>
    <row r="655" spans="1:5" x14ac:dyDescent="0.25">
      <c r="A655" s="8">
        <v>41585</v>
      </c>
      <c r="B655" s="4">
        <v>59618</v>
      </c>
      <c r="C655" s="57">
        <v>79.989999999999995</v>
      </c>
      <c r="D655" s="4" t="s">
        <v>1423</v>
      </c>
      <c r="E655" s="104">
        <f t="shared" si="10"/>
        <v>41615</v>
      </c>
    </row>
    <row r="656" spans="1:5" x14ac:dyDescent="0.25">
      <c r="A656" s="8">
        <v>41585</v>
      </c>
      <c r="B656" s="4">
        <v>59619</v>
      </c>
      <c r="C656" s="57">
        <v>184.95</v>
      </c>
      <c r="D656" s="4" t="s">
        <v>1423</v>
      </c>
      <c r="E656" s="104">
        <f t="shared" si="10"/>
        <v>41615</v>
      </c>
    </row>
    <row r="657" spans="1:5" x14ac:dyDescent="0.25">
      <c r="A657" s="8">
        <v>41585</v>
      </c>
      <c r="B657" s="4">
        <v>59620</v>
      </c>
      <c r="C657" s="57">
        <v>81.12</v>
      </c>
      <c r="D657" s="4" t="s">
        <v>1423</v>
      </c>
      <c r="E657" s="104">
        <f t="shared" si="10"/>
        <v>41615</v>
      </c>
    </row>
    <row r="658" spans="1:5" x14ac:dyDescent="0.25">
      <c r="A658" s="8">
        <v>41586</v>
      </c>
      <c r="B658" s="4">
        <v>59621</v>
      </c>
      <c r="C658" s="57">
        <v>157.56</v>
      </c>
      <c r="D658" s="4" t="s">
        <v>1423</v>
      </c>
      <c r="E658" s="104">
        <f t="shared" si="10"/>
        <v>41616</v>
      </c>
    </row>
    <row r="659" spans="1:5" x14ac:dyDescent="0.25">
      <c r="A659" s="8">
        <v>41586</v>
      </c>
      <c r="B659" s="4">
        <v>59622</v>
      </c>
      <c r="C659" s="57">
        <v>204.43</v>
      </c>
      <c r="D659" s="4" t="s">
        <v>1423</v>
      </c>
      <c r="E659" s="104">
        <f t="shared" si="10"/>
        <v>41616</v>
      </c>
    </row>
    <row r="660" spans="1:5" x14ac:dyDescent="0.25">
      <c r="A660" s="8">
        <v>41586</v>
      </c>
      <c r="B660" s="4">
        <v>59623</v>
      </c>
      <c r="C660" s="57">
        <v>248.36</v>
      </c>
      <c r="D660" s="4" t="s">
        <v>1423</v>
      </c>
      <c r="E660" s="104">
        <f t="shared" si="10"/>
        <v>41616</v>
      </c>
    </row>
    <row r="661" spans="1:5" x14ac:dyDescent="0.25">
      <c r="A661" s="8">
        <v>41586</v>
      </c>
      <c r="B661" s="4">
        <v>59624</v>
      </c>
      <c r="C661" s="57">
        <v>350.77</v>
      </c>
      <c r="D661" s="4" t="s">
        <v>1423</v>
      </c>
      <c r="E661" s="104">
        <f t="shared" si="10"/>
        <v>41616</v>
      </c>
    </row>
    <row r="662" spans="1:5" x14ac:dyDescent="0.25">
      <c r="A662" s="8">
        <v>41586</v>
      </c>
      <c r="B662" s="4">
        <v>59625</v>
      </c>
      <c r="C662" s="57">
        <v>57.13</v>
      </c>
      <c r="D662" s="4" t="s">
        <v>1423</v>
      </c>
      <c r="E662" s="104">
        <f t="shared" si="10"/>
        <v>41616</v>
      </c>
    </row>
    <row r="663" spans="1:5" x14ac:dyDescent="0.25">
      <c r="A663" s="8">
        <v>41586</v>
      </c>
      <c r="B663" s="4">
        <v>59626</v>
      </c>
      <c r="C663" s="57">
        <v>125.32</v>
      </c>
      <c r="D663" s="4" t="s">
        <v>1423</v>
      </c>
      <c r="E663" s="104">
        <f t="shared" si="10"/>
        <v>41616</v>
      </c>
    </row>
    <row r="664" spans="1:5" x14ac:dyDescent="0.25">
      <c r="A664" s="8">
        <v>41586</v>
      </c>
      <c r="B664" s="4">
        <v>59627</v>
      </c>
      <c r="C664" s="57">
        <v>107.93</v>
      </c>
      <c r="D664" s="4" t="s">
        <v>1423</v>
      </c>
      <c r="E664" s="104">
        <f t="shared" si="10"/>
        <v>41616</v>
      </c>
    </row>
    <row r="665" spans="1:5" x14ac:dyDescent="0.25">
      <c r="A665" s="8">
        <v>41586</v>
      </c>
      <c r="B665" s="4">
        <v>59628</v>
      </c>
      <c r="C665" s="57">
        <v>208.18</v>
      </c>
      <c r="D665" s="4" t="s">
        <v>1423</v>
      </c>
      <c r="E665" s="104">
        <f t="shared" si="10"/>
        <v>41616</v>
      </c>
    </row>
    <row r="666" spans="1:5" x14ac:dyDescent="0.25">
      <c r="A666" s="8">
        <v>41586</v>
      </c>
      <c r="B666" s="4">
        <v>59629</v>
      </c>
      <c r="C666" s="57">
        <v>47.44</v>
      </c>
      <c r="D666" s="4" t="s">
        <v>1423</v>
      </c>
      <c r="E666" s="104">
        <f t="shared" si="10"/>
        <v>41616</v>
      </c>
    </row>
    <row r="667" spans="1:5" x14ac:dyDescent="0.25">
      <c r="A667" s="8">
        <v>41586</v>
      </c>
      <c r="B667" s="4">
        <v>59630</v>
      </c>
      <c r="C667" s="57">
        <v>89.51</v>
      </c>
      <c r="D667" s="4" t="s">
        <v>1423</v>
      </c>
      <c r="E667" s="104">
        <f t="shared" si="10"/>
        <v>41616</v>
      </c>
    </row>
    <row r="668" spans="1:5" x14ac:dyDescent="0.25">
      <c r="A668" s="8">
        <v>41586</v>
      </c>
      <c r="B668" s="4">
        <v>59631</v>
      </c>
      <c r="C668" s="57">
        <v>68.22</v>
      </c>
      <c r="D668" s="4" t="s">
        <v>1423</v>
      </c>
      <c r="E668" s="104">
        <f t="shared" si="10"/>
        <v>41616</v>
      </c>
    </row>
    <row r="669" spans="1:5" x14ac:dyDescent="0.25">
      <c r="A669" s="8">
        <v>41586</v>
      </c>
      <c r="B669" s="4">
        <v>59632</v>
      </c>
      <c r="C669" s="57">
        <v>206.4</v>
      </c>
      <c r="D669" s="4" t="s">
        <v>1423</v>
      </c>
      <c r="E669" s="104">
        <f t="shared" si="10"/>
        <v>41616</v>
      </c>
    </row>
    <row r="670" spans="1:5" x14ac:dyDescent="0.25">
      <c r="A670" s="8">
        <v>41586</v>
      </c>
      <c r="B670" s="4">
        <v>59633</v>
      </c>
      <c r="C670" s="57">
        <v>336.27</v>
      </c>
      <c r="D670" s="4" t="s">
        <v>1423</v>
      </c>
      <c r="E670" s="104">
        <f t="shared" si="10"/>
        <v>41616</v>
      </c>
    </row>
    <row r="671" spans="1:5" x14ac:dyDescent="0.25">
      <c r="A671" s="8">
        <v>41587</v>
      </c>
      <c r="B671" s="4">
        <v>59634</v>
      </c>
      <c r="C671" s="57">
        <v>90.59</v>
      </c>
      <c r="D671" s="4" t="s">
        <v>1423</v>
      </c>
      <c r="E671" s="104">
        <f t="shared" si="10"/>
        <v>41617</v>
      </c>
    </row>
    <row r="672" spans="1:5" x14ac:dyDescent="0.25">
      <c r="A672" s="8">
        <v>41587</v>
      </c>
      <c r="B672" s="4">
        <v>59635</v>
      </c>
      <c r="C672" s="57">
        <v>187.88</v>
      </c>
      <c r="D672" s="4" t="s">
        <v>1423</v>
      </c>
      <c r="E672" s="104">
        <f t="shared" si="10"/>
        <v>41617</v>
      </c>
    </row>
    <row r="673" spans="1:5" x14ac:dyDescent="0.25">
      <c r="A673" s="8">
        <v>41587</v>
      </c>
      <c r="B673" s="4">
        <v>59636</v>
      </c>
      <c r="C673" s="57">
        <v>122.01</v>
      </c>
      <c r="D673" s="4" t="s">
        <v>1423</v>
      </c>
      <c r="E673" s="104">
        <f t="shared" si="10"/>
        <v>41617</v>
      </c>
    </row>
    <row r="674" spans="1:5" x14ac:dyDescent="0.25">
      <c r="A674" s="8">
        <v>41587</v>
      </c>
      <c r="B674" s="4">
        <v>59637</v>
      </c>
      <c r="C674" s="57">
        <v>202.11</v>
      </c>
      <c r="D674" s="4" t="s">
        <v>1423</v>
      </c>
      <c r="E674" s="104">
        <f t="shared" si="10"/>
        <v>41617</v>
      </c>
    </row>
    <row r="675" spans="1:5" x14ac:dyDescent="0.25">
      <c r="A675" s="8">
        <v>41587</v>
      </c>
      <c r="B675" s="4">
        <v>59638</v>
      </c>
      <c r="C675" s="57">
        <v>43.78</v>
      </c>
      <c r="D675" s="4" t="s">
        <v>1423</v>
      </c>
      <c r="E675" s="104">
        <f t="shared" si="10"/>
        <v>41617</v>
      </c>
    </row>
    <row r="676" spans="1:5" x14ac:dyDescent="0.25">
      <c r="A676" s="8">
        <v>41587</v>
      </c>
      <c r="B676" s="4">
        <v>59639</v>
      </c>
      <c r="C676" s="57">
        <v>136.88</v>
      </c>
      <c r="D676" s="4" t="s">
        <v>1423</v>
      </c>
      <c r="E676" s="104">
        <f t="shared" si="10"/>
        <v>41617</v>
      </c>
    </row>
    <row r="677" spans="1:5" x14ac:dyDescent="0.25">
      <c r="A677" s="8">
        <v>41587</v>
      </c>
      <c r="B677" s="4">
        <v>59640</v>
      </c>
      <c r="C677" s="57">
        <v>73.92</v>
      </c>
      <c r="D677" s="4" t="s">
        <v>1423</v>
      </c>
      <c r="E677" s="104">
        <f t="shared" si="10"/>
        <v>41617</v>
      </c>
    </row>
    <row r="678" spans="1:5" x14ac:dyDescent="0.25">
      <c r="A678" s="8">
        <v>41587</v>
      </c>
      <c r="B678" s="4">
        <v>59641</v>
      </c>
      <c r="C678" s="57">
        <v>166.45</v>
      </c>
      <c r="D678" s="4" t="s">
        <v>1423</v>
      </c>
      <c r="E678" s="104">
        <f t="shared" si="10"/>
        <v>41617</v>
      </c>
    </row>
    <row r="679" spans="1:5" x14ac:dyDescent="0.25">
      <c r="A679" s="8">
        <v>41587</v>
      </c>
      <c r="B679" s="4">
        <v>59642</v>
      </c>
      <c r="C679" s="57">
        <v>214.87</v>
      </c>
      <c r="D679" s="4" t="s">
        <v>1423</v>
      </c>
      <c r="E679" s="104">
        <f t="shared" si="10"/>
        <v>41617</v>
      </c>
    </row>
    <row r="680" spans="1:5" x14ac:dyDescent="0.25">
      <c r="A680" s="8">
        <v>41587</v>
      </c>
      <c r="B680" s="4">
        <v>59643</v>
      </c>
      <c r="C680" s="57">
        <v>119.85</v>
      </c>
      <c r="D680" s="4" t="s">
        <v>1423</v>
      </c>
      <c r="E680" s="104">
        <f t="shared" si="10"/>
        <v>41617</v>
      </c>
    </row>
    <row r="681" spans="1:5" x14ac:dyDescent="0.25">
      <c r="A681" s="8">
        <v>41587</v>
      </c>
      <c r="B681" s="4">
        <v>59644</v>
      </c>
      <c r="C681" s="57">
        <v>67.56</v>
      </c>
      <c r="D681" s="4" t="s">
        <v>1423</v>
      </c>
      <c r="E681" s="104">
        <f t="shared" si="10"/>
        <v>41617</v>
      </c>
    </row>
    <row r="682" spans="1:5" x14ac:dyDescent="0.25">
      <c r="A682" s="8">
        <v>41587</v>
      </c>
      <c r="B682" s="4">
        <v>59645</v>
      </c>
      <c r="C682" s="57">
        <v>368.51</v>
      </c>
      <c r="D682" s="4" t="s">
        <v>1423</v>
      </c>
      <c r="E682" s="104">
        <f t="shared" si="10"/>
        <v>41617</v>
      </c>
    </row>
    <row r="683" spans="1:5" x14ac:dyDescent="0.25">
      <c r="A683" s="8">
        <v>41587</v>
      </c>
      <c r="B683" s="4">
        <v>59646</v>
      </c>
      <c r="C683" s="57">
        <v>51.49</v>
      </c>
      <c r="D683" s="4" t="s">
        <v>1423</v>
      </c>
      <c r="E683" s="104">
        <f t="shared" si="10"/>
        <v>41617</v>
      </c>
    </row>
    <row r="684" spans="1:5" x14ac:dyDescent="0.25">
      <c r="A684" s="8">
        <v>41587</v>
      </c>
      <c r="B684" s="4">
        <v>59647</v>
      </c>
      <c r="C684" s="57">
        <v>261.58</v>
      </c>
      <c r="D684" s="4" t="s">
        <v>1423</v>
      </c>
      <c r="E684" s="104">
        <f t="shared" si="10"/>
        <v>41617</v>
      </c>
    </row>
    <row r="685" spans="1:5" x14ac:dyDescent="0.25">
      <c r="A685" s="8">
        <v>41588</v>
      </c>
      <c r="B685" s="4">
        <v>59648</v>
      </c>
      <c r="C685" s="57">
        <v>126.61</v>
      </c>
      <c r="D685" s="4" t="s">
        <v>1423</v>
      </c>
      <c r="E685" s="104">
        <f t="shared" si="10"/>
        <v>41618</v>
      </c>
    </row>
    <row r="686" spans="1:5" x14ac:dyDescent="0.25">
      <c r="A686" s="8">
        <v>41588</v>
      </c>
      <c r="B686" s="4">
        <v>59649</v>
      </c>
      <c r="C686" s="57">
        <v>304.48</v>
      </c>
      <c r="D686" s="4" t="s">
        <v>1423</v>
      </c>
      <c r="E686" s="104">
        <f t="shared" si="10"/>
        <v>41618</v>
      </c>
    </row>
    <row r="687" spans="1:5" x14ac:dyDescent="0.25">
      <c r="A687" s="8">
        <v>41588</v>
      </c>
      <c r="B687" s="4">
        <v>59650</v>
      </c>
      <c r="C687" s="57">
        <v>96.5</v>
      </c>
      <c r="D687" s="4" t="s">
        <v>1423</v>
      </c>
      <c r="E687" s="104">
        <f t="shared" si="10"/>
        <v>41618</v>
      </c>
    </row>
    <row r="688" spans="1:5" x14ac:dyDescent="0.25">
      <c r="A688" s="8">
        <v>41588</v>
      </c>
      <c r="B688" s="4">
        <v>59651</v>
      </c>
      <c r="C688" s="57">
        <v>123.14</v>
      </c>
      <c r="D688" s="4" t="s">
        <v>1423</v>
      </c>
      <c r="E688" s="104">
        <f t="shared" si="10"/>
        <v>41618</v>
      </c>
    </row>
    <row r="689" spans="1:5" x14ac:dyDescent="0.25">
      <c r="A689" s="8">
        <v>41588</v>
      </c>
      <c r="B689" s="4">
        <v>59652</v>
      </c>
      <c r="C689" s="57">
        <v>157.99</v>
      </c>
      <c r="D689" s="4" t="s">
        <v>1423</v>
      </c>
      <c r="E689" s="104">
        <f t="shared" si="10"/>
        <v>41618</v>
      </c>
    </row>
    <row r="690" spans="1:5" x14ac:dyDescent="0.25">
      <c r="A690" s="8">
        <v>41588</v>
      </c>
      <c r="B690" s="4">
        <v>59653</v>
      </c>
      <c r="C690" s="57">
        <v>229.05</v>
      </c>
      <c r="D690" s="4" t="s">
        <v>1423</v>
      </c>
      <c r="E690" s="104">
        <f t="shared" si="10"/>
        <v>41618</v>
      </c>
    </row>
    <row r="691" spans="1:5" x14ac:dyDescent="0.25">
      <c r="A691" s="8">
        <v>41588</v>
      </c>
      <c r="B691" s="4">
        <v>59654</v>
      </c>
      <c r="C691" s="57">
        <v>229.8</v>
      </c>
      <c r="D691" s="4" t="s">
        <v>1423</v>
      </c>
      <c r="E691" s="104">
        <f t="shared" si="10"/>
        <v>41618</v>
      </c>
    </row>
    <row r="692" spans="1:5" x14ac:dyDescent="0.25">
      <c r="A692" s="8">
        <v>41588</v>
      </c>
      <c r="B692" s="4">
        <v>59655</v>
      </c>
      <c r="C692" s="57">
        <v>322.58999999999997</v>
      </c>
      <c r="D692" s="4" t="s">
        <v>1423</v>
      </c>
      <c r="E692" s="104">
        <f t="shared" si="10"/>
        <v>41618</v>
      </c>
    </row>
    <row r="693" spans="1:5" x14ac:dyDescent="0.25">
      <c r="A693" s="8">
        <v>41588</v>
      </c>
      <c r="B693" s="4">
        <v>59656</v>
      </c>
      <c r="C693" s="57">
        <v>244.16</v>
      </c>
      <c r="D693" s="4" t="s">
        <v>1423</v>
      </c>
      <c r="E693" s="104">
        <f t="shared" si="10"/>
        <v>41618</v>
      </c>
    </row>
    <row r="694" spans="1:5" x14ac:dyDescent="0.25">
      <c r="A694" s="8">
        <v>41588</v>
      </c>
      <c r="B694" s="4">
        <v>59657</v>
      </c>
      <c r="C694" s="57">
        <v>277.33</v>
      </c>
      <c r="D694" s="4" t="s">
        <v>1423</v>
      </c>
      <c r="E694" s="104">
        <f t="shared" si="10"/>
        <v>41618</v>
      </c>
    </row>
    <row r="695" spans="1:5" x14ac:dyDescent="0.25">
      <c r="A695" s="8">
        <v>41588</v>
      </c>
      <c r="B695" s="4">
        <v>59658</v>
      </c>
      <c r="C695" s="57">
        <v>99.39</v>
      </c>
      <c r="D695" s="4" t="s">
        <v>1423</v>
      </c>
      <c r="E695" s="104">
        <f t="shared" si="10"/>
        <v>41618</v>
      </c>
    </row>
    <row r="696" spans="1:5" x14ac:dyDescent="0.25">
      <c r="A696" s="8">
        <v>41588</v>
      </c>
      <c r="B696" s="4">
        <v>59659</v>
      </c>
      <c r="C696" s="57">
        <v>295.95999999999998</v>
      </c>
      <c r="D696" s="4" t="s">
        <v>1423</v>
      </c>
      <c r="E696" s="104">
        <f t="shared" si="10"/>
        <v>41618</v>
      </c>
    </row>
    <row r="697" spans="1:5" x14ac:dyDescent="0.25">
      <c r="A697" s="8">
        <v>41588</v>
      </c>
      <c r="B697" s="4">
        <v>59660</v>
      </c>
      <c r="C697" s="57">
        <v>310.51</v>
      </c>
      <c r="D697" s="4" t="s">
        <v>1423</v>
      </c>
      <c r="E697" s="104">
        <f t="shared" si="10"/>
        <v>41618</v>
      </c>
    </row>
    <row r="698" spans="1:5" x14ac:dyDescent="0.25">
      <c r="A698" s="8">
        <v>41588</v>
      </c>
      <c r="B698" s="4">
        <v>59661</v>
      </c>
      <c r="C698" s="57">
        <v>94.44</v>
      </c>
      <c r="D698" s="4" t="s">
        <v>1423</v>
      </c>
      <c r="E698" s="104">
        <f t="shared" si="10"/>
        <v>41618</v>
      </c>
    </row>
    <row r="699" spans="1:5" x14ac:dyDescent="0.25">
      <c r="A699" s="8">
        <v>41588</v>
      </c>
      <c r="B699" s="4">
        <v>59662</v>
      </c>
      <c r="C699" s="57">
        <v>147</v>
      </c>
      <c r="D699" s="4" t="s">
        <v>1423</v>
      </c>
      <c r="E699" s="104">
        <f t="shared" si="10"/>
        <v>41618</v>
      </c>
    </row>
    <row r="700" spans="1:5" x14ac:dyDescent="0.25">
      <c r="A700" s="8">
        <v>41588</v>
      </c>
      <c r="B700" s="4">
        <v>59663</v>
      </c>
      <c r="C700" s="57">
        <v>108.48</v>
      </c>
      <c r="D700" s="4" t="s">
        <v>1423</v>
      </c>
      <c r="E700" s="104">
        <f t="shared" si="10"/>
        <v>41618</v>
      </c>
    </row>
    <row r="701" spans="1:5" x14ac:dyDescent="0.25">
      <c r="A701" s="8">
        <v>41588</v>
      </c>
      <c r="B701" s="4">
        <v>59664</v>
      </c>
      <c r="C701" s="57">
        <v>156.03</v>
      </c>
      <c r="D701" s="4" t="s">
        <v>1423</v>
      </c>
      <c r="E701" s="104">
        <f t="shared" si="10"/>
        <v>41618</v>
      </c>
    </row>
    <row r="702" spans="1:5" x14ac:dyDescent="0.25">
      <c r="A702" s="8">
        <v>41588</v>
      </c>
      <c r="B702" s="4">
        <v>59665</v>
      </c>
      <c r="C702" s="57">
        <v>45.15</v>
      </c>
      <c r="D702" s="4" t="s">
        <v>1423</v>
      </c>
      <c r="E702" s="104">
        <f t="shared" si="10"/>
        <v>41618</v>
      </c>
    </row>
    <row r="703" spans="1:5" x14ac:dyDescent="0.25">
      <c r="A703" s="8">
        <v>41588</v>
      </c>
      <c r="B703" s="4">
        <v>59666</v>
      </c>
      <c r="C703" s="57">
        <v>192.48</v>
      </c>
      <c r="D703" s="4" t="s">
        <v>1423</v>
      </c>
      <c r="E703" s="104">
        <f t="shared" si="10"/>
        <v>41618</v>
      </c>
    </row>
    <row r="704" spans="1:5" x14ac:dyDescent="0.25">
      <c r="A704" s="8">
        <v>41588</v>
      </c>
      <c r="B704" s="4">
        <v>59667</v>
      </c>
      <c r="C704" s="57">
        <v>43.34</v>
      </c>
      <c r="D704" s="4" t="s">
        <v>1423</v>
      </c>
      <c r="E704" s="104">
        <f t="shared" si="10"/>
        <v>41618</v>
      </c>
    </row>
    <row r="705" spans="1:5" x14ac:dyDescent="0.25">
      <c r="A705" s="8">
        <v>41588</v>
      </c>
      <c r="B705" s="4">
        <v>59668</v>
      </c>
      <c r="C705" s="57">
        <v>169.85</v>
      </c>
      <c r="D705" s="4" t="s">
        <v>1423</v>
      </c>
      <c r="E705" s="104">
        <f t="shared" si="10"/>
        <v>41618</v>
      </c>
    </row>
    <row r="706" spans="1:5" x14ac:dyDescent="0.25">
      <c r="A706" s="8">
        <v>41588</v>
      </c>
      <c r="B706" s="4">
        <v>59669</v>
      </c>
      <c r="C706" s="57">
        <v>280.01</v>
      </c>
      <c r="D706" s="4" t="s">
        <v>1423</v>
      </c>
      <c r="E706" s="104">
        <f t="shared" si="10"/>
        <v>41618</v>
      </c>
    </row>
    <row r="707" spans="1:5" x14ac:dyDescent="0.25">
      <c r="A707" s="8">
        <v>41588</v>
      </c>
      <c r="B707" s="4">
        <v>59670</v>
      </c>
      <c r="C707" s="57">
        <v>377.44</v>
      </c>
      <c r="D707" s="4" t="s">
        <v>1423</v>
      </c>
      <c r="E707" s="104">
        <f t="shared" si="10"/>
        <v>41618</v>
      </c>
    </row>
    <row r="708" spans="1:5" x14ac:dyDescent="0.25">
      <c r="A708" s="8">
        <v>41588</v>
      </c>
      <c r="B708" s="4">
        <v>59671</v>
      </c>
      <c r="C708" s="57">
        <v>345.72</v>
      </c>
      <c r="D708" s="4" t="s">
        <v>1423</v>
      </c>
      <c r="E708" s="104">
        <f t="shared" si="10"/>
        <v>41618</v>
      </c>
    </row>
    <row r="709" spans="1:5" x14ac:dyDescent="0.25">
      <c r="A709" s="8">
        <v>41589</v>
      </c>
      <c r="B709" s="4">
        <v>59672</v>
      </c>
      <c r="C709" s="57">
        <v>151.81</v>
      </c>
      <c r="D709" s="4" t="s">
        <v>1423</v>
      </c>
      <c r="E709" s="104">
        <f t="shared" si="10"/>
        <v>41619</v>
      </c>
    </row>
    <row r="710" spans="1:5" x14ac:dyDescent="0.25">
      <c r="A710" s="8">
        <v>41589</v>
      </c>
      <c r="B710" s="4">
        <v>59673</v>
      </c>
      <c r="C710" s="57">
        <v>96.52</v>
      </c>
      <c r="D710" s="4" t="s">
        <v>1423</v>
      </c>
      <c r="E710" s="104">
        <f t="shared" ref="E710:E773" si="11">EDATE(A710,1)</f>
        <v>41619</v>
      </c>
    </row>
    <row r="711" spans="1:5" x14ac:dyDescent="0.25">
      <c r="A711" s="8">
        <v>41589</v>
      </c>
      <c r="B711" s="4">
        <v>59674</v>
      </c>
      <c r="C711" s="57">
        <v>185.18</v>
      </c>
      <c r="D711" s="4" t="s">
        <v>1423</v>
      </c>
      <c r="E711" s="104">
        <f t="shared" si="11"/>
        <v>41619</v>
      </c>
    </row>
    <row r="712" spans="1:5" x14ac:dyDescent="0.25">
      <c r="A712" s="8">
        <v>41589</v>
      </c>
      <c r="B712" s="4">
        <v>59675</v>
      </c>
      <c r="C712" s="57">
        <v>115.43</v>
      </c>
      <c r="D712" s="4" t="s">
        <v>1423</v>
      </c>
      <c r="E712" s="104">
        <f t="shared" si="11"/>
        <v>41619</v>
      </c>
    </row>
    <row r="713" spans="1:5" x14ac:dyDescent="0.25">
      <c r="A713" s="8">
        <v>41589</v>
      </c>
      <c r="B713" s="4">
        <v>59676</v>
      </c>
      <c r="C713" s="57">
        <v>289.58999999999997</v>
      </c>
      <c r="D713" s="4" t="s">
        <v>1423</v>
      </c>
      <c r="E713" s="104">
        <f t="shared" si="11"/>
        <v>41619</v>
      </c>
    </row>
    <row r="714" spans="1:5" x14ac:dyDescent="0.25">
      <c r="A714" s="8">
        <v>41589</v>
      </c>
      <c r="B714" s="4">
        <v>59677</v>
      </c>
      <c r="C714" s="57">
        <v>68.97</v>
      </c>
      <c r="D714" s="4" t="s">
        <v>1423</v>
      </c>
      <c r="E714" s="104">
        <f t="shared" si="11"/>
        <v>41619</v>
      </c>
    </row>
    <row r="715" spans="1:5" x14ac:dyDescent="0.25">
      <c r="A715" s="8">
        <v>41589</v>
      </c>
      <c r="B715" s="4">
        <v>59678</v>
      </c>
      <c r="C715" s="57">
        <v>99.07</v>
      </c>
      <c r="D715" s="4" t="s">
        <v>1423</v>
      </c>
      <c r="E715" s="104">
        <f t="shared" si="11"/>
        <v>41619</v>
      </c>
    </row>
    <row r="716" spans="1:5" x14ac:dyDescent="0.25">
      <c r="A716" s="8">
        <v>41589</v>
      </c>
      <c r="B716" s="4">
        <v>59679</v>
      </c>
      <c r="C716" s="57">
        <v>154.46</v>
      </c>
      <c r="D716" s="4" t="s">
        <v>1423</v>
      </c>
      <c r="E716" s="104">
        <f t="shared" si="11"/>
        <v>41619</v>
      </c>
    </row>
    <row r="717" spans="1:5" x14ac:dyDescent="0.25">
      <c r="A717" s="8">
        <v>41589</v>
      </c>
      <c r="B717" s="4">
        <v>59680</v>
      </c>
      <c r="C717" s="57">
        <v>229.51</v>
      </c>
      <c r="D717" s="4" t="s">
        <v>1423</v>
      </c>
      <c r="E717" s="104">
        <f t="shared" si="11"/>
        <v>41619</v>
      </c>
    </row>
    <row r="718" spans="1:5" x14ac:dyDescent="0.25">
      <c r="A718" s="8">
        <v>41589</v>
      </c>
      <c r="B718" s="4">
        <v>59681</v>
      </c>
      <c r="C718" s="57">
        <v>189.82</v>
      </c>
      <c r="D718" s="4" t="s">
        <v>1423</v>
      </c>
      <c r="E718" s="104">
        <f t="shared" si="11"/>
        <v>41619</v>
      </c>
    </row>
    <row r="719" spans="1:5" x14ac:dyDescent="0.25">
      <c r="A719" s="8">
        <v>41589</v>
      </c>
      <c r="B719" s="4">
        <v>59682</v>
      </c>
      <c r="C719" s="57">
        <v>119.18</v>
      </c>
      <c r="D719" s="4" t="s">
        <v>1423</v>
      </c>
      <c r="E719" s="104">
        <f t="shared" si="11"/>
        <v>41619</v>
      </c>
    </row>
    <row r="720" spans="1:5" x14ac:dyDescent="0.25">
      <c r="A720" s="8">
        <v>41589</v>
      </c>
      <c r="B720" s="4">
        <v>59683</v>
      </c>
      <c r="C720" s="57">
        <v>104.63</v>
      </c>
      <c r="D720" s="4" t="s">
        <v>1423</v>
      </c>
      <c r="E720" s="104">
        <f t="shared" si="11"/>
        <v>41619</v>
      </c>
    </row>
    <row r="721" spans="1:5" x14ac:dyDescent="0.25">
      <c r="A721" s="8">
        <v>41589</v>
      </c>
      <c r="B721" s="4">
        <v>59684</v>
      </c>
      <c r="C721" s="57">
        <v>378.81</v>
      </c>
      <c r="D721" s="4" t="s">
        <v>1423</v>
      </c>
      <c r="E721" s="104">
        <f t="shared" si="11"/>
        <v>41619</v>
      </c>
    </row>
    <row r="722" spans="1:5" x14ac:dyDescent="0.25">
      <c r="A722" s="8">
        <v>41589</v>
      </c>
      <c r="B722" s="4">
        <v>59685</v>
      </c>
      <c r="C722" s="57">
        <v>245.55</v>
      </c>
      <c r="D722" s="4" t="s">
        <v>1423</v>
      </c>
      <c r="E722" s="104">
        <f t="shared" si="11"/>
        <v>41619</v>
      </c>
    </row>
    <row r="723" spans="1:5" x14ac:dyDescent="0.25">
      <c r="A723" s="8">
        <v>41589</v>
      </c>
      <c r="B723" s="4">
        <v>59686</v>
      </c>
      <c r="C723" s="57">
        <v>94.6</v>
      </c>
      <c r="D723" s="4" t="s">
        <v>1423</v>
      </c>
      <c r="E723" s="104">
        <f t="shared" si="11"/>
        <v>41619</v>
      </c>
    </row>
    <row r="724" spans="1:5" x14ac:dyDescent="0.25">
      <c r="A724" s="8">
        <v>41590</v>
      </c>
      <c r="B724" s="4">
        <v>59687</v>
      </c>
      <c r="C724" s="57">
        <v>195.05</v>
      </c>
      <c r="D724" s="4" t="s">
        <v>1423</v>
      </c>
      <c r="E724" s="104">
        <f t="shared" si="11"/>
        <v>41620</v>
      </c>
    </row>
    <row r="725" spans="1:5" x14ac:dyDescent="0.25">
      <c r="A725" s="8">
        <v>41590</v>
      </c>
      <c r="B725" s="4">
        <v>59688</v>
      </c>
      <c r="C725" s="57">
        <v>353.03</v>
      </c>
      <c r="D725" s="4" t="s">
        <v>1423</v>
      </c>
      <c r="E725" s="104">
        <f t="shared" si="11"/>
        <v>41620</v>
      </c>
    </row>
    <row r="726" spans="1:5" x14ac:dyDescent="0.25">
      <c r="A726" s="8">
        <v>41590</v>
      </c>
      <c r="B726" s="4">
        <v>59689</v>
      </c>
      <c r="C726" s="57">
        <v>277.45999999999998</v>
      </c>
      <c r="D726" s="4" t="s">
        <v>1423</v>
      </c>
      <c r="E726" s="104">
        <f t="shared" si="11"/>
        <v>41620</v>
      </c>
    </row>
    <row r="727" spans="1:5" x14ac:dyDescent="0.25">
      <c r="A727" s="8">
        <v>41590</v>
      </c>
      <c r="B727" s="4">
        <v>59690</v>
      </c>
      <c r="C727" s="57">
        <v>236.52</v>
      </c>
      <c r="D727" s="4" t="s">
        <v>1423</v>
      </c>
      <c r="E727" s="104">
        <f t="shared" si="11"/>
        <v>41620</v>
      </c>
    </row>
    <row r="728" spans="1:5" x14ac:dyDescent="0.25">
      <c r="A728" s="8">
        <v>41590</v>
      </c>
      <c r="B728" s="4">
        <v>59691</v>
      </c>
      <c r="C728" s="57">
        <v>265.38</v>
      </c>
      <c r="D728" s="4" t="s">
        <v>1423</v>
      </c>
      <c r="E728" s="104">
        <f t="shared" si="11"/>
        <v>41620</v>
      </c>
    </row>
    <row r="729" spans="1:5" x14ac:dyDescent="0.25">
      <c r="A729" s="8">
        <v>41590</v>
      </c>
      <c r="B729" s="4">
        <v>59692</v>
      </c>
      <c r="C729" s="57">
        <v>294.17</v>
      </c>
      <c r="D729" s="4" t="s">
        <v>1423</v>
      </c>
      <c r="E729" s="104">
        <f t="shared" si="11"/>
        <v>41620</v>
      </c>
    </row>
    <row r="730" spans="1:5" x14ac:dyDescent="0.25">
      <c r="A730" s="8">
        <v>41590</v>
      </c>
      <c r="B730" s="4">
        <v>59693</v>
      </c>
      <c r="C730" s="57">
        <v>245.73</v>
      </c>
      <c r="D730" s="4" t="s">
        <v>1423</v>
      </c>
      <c r="E730" s="104">
        <f t="shared" si="11"/>
        <v>41620</v>
      </c>
    </row>
    <row r="731" spans="1:5" x14ac:dyDescent="0.25">
      <c r="A731" s="8">
        <v>41590</v>
      </c>
      <c r="B731" s="4">
        <v>59694</v>
      </c>
      <c r="C731" s="57">
        <v>242.94</v>
      </c>
      <c r="D731" s="4" t="s">
        <v>1423</v>
      </c>
      <c r="E731" s="104">
        <f t="shared" si="11"/>
        <v>41620</v>
      </c>
    </row>
    <row r="732" spans="1:5" x14ac:dyDescent="0.25">
      <c r="A732" s="8">
        <v>41590</v>
      </c>
      <c r="B732" s="4">
        <v>59695</v>
      </c>
      <c r="C732" s="57">
        <v>56.78</v>
      </c>
      <c r="D732" s="4" t="s">
        <v>1423</v>
      </c>
      <c r="E732" s="104">
        <f t="shared" si="11"/>
        <v>41620</v>
      </c>
    </row>
    <row r="733" spans="1:5" x14ac:dyDescent="0.25">
      <c r="A733" s="8">
        <v>41590</v>
      </c>
      <c r="B733" s="4">
        <v>59696</v>
      </c>
      <c r="C733" s="57">
        <v>199.23</v>
      </c>
      <c r="D733" s="4" t="s">
        <v>1423</v>
      </c>
      <c r="E733" s="104">
        <f t="shared" si="11"/>
        <v>41620</v>
      </c>
    </row>
    <row r="734" spans="1:5" x14ac:dyDescent="0.25">
      <c r="A734" s="8">
        <v>41590</v>
      </c>
      <c r="B734" s="4">
        <v>59697</v>
      </c>
      <c r="C734" s="57">
        <v>37.520000000000003</v>
      </c>
      <c r="D734" s="4" t="s">
        <v>1423</v>
      </c>
      <c r="E734" s="104">
        <f t="shared" si="11"/>
        <v>41620</v>
      </c>
    </row>
    <row r="735" spans="1:5" x14ac:dyDescent="0.25">
      <c r="A735" s="8">
        <v>41590</v>
      </c>
      <c r="B735" s="4">
        <v>59698</v>
      </c>
      <c r="C735" s="57">
        <v>96.26</v>
      </c>
      <c r="D735" s="4" t="s">
        <v>1423</v>
      </c>
      <c r="E735" s="104">
        <f t="shared" si="11"/>
        <v>41620</v>
      </c>
    </row>
    <row r="736" spans="1:5" x14ac:dyDescent="0.25">
      <c r="A736" s="8">
        <v>41590</v>
      </c>
      <c r="B736" s="4">
        <v>59699</v>
      </c>
      <c r="C736" s="57">
        <v>164.62</v>
      </c>
      <c r="D736" s="4" t="s">
        <v>1423</v>
      </c>
      <c r="E736" s="104">
        <f t="shared" si="11"/>
        <v>41620</v>
      </c>
    </row>
    <row r="737" spans="1:5" x14ac:dyDescent="0.25">
      <c r="A737" s="8">
        <v>41590</v>
      </c>
      <c r="B737" s="4">
        <v>59700</v>
      </c>
      <c r="C737" s="57">
        <v>164.22</v>
      </c>
      <c r="D737" s="4" t="s">
        <v>1423</v>
      </c>
      <c r="E737" s="104">
        <f t="shared" si="11"/>
        <v>41620</v>
      </c>
    </row>
    <row r="738" spans="1:5" x14ac:dyDescent="0.25">
      <c r="A738" s="8">
        <v>41590</v>
      </c>
      <c r="B738" s="4">
        <v>59701</v>
      </c>
      <c r="C738" s="57">
        <v>169.44</v>
      </c>
      <c r="D738" s="4" t="s">
        <v>1423</v>
      </c>
      <c r="E738" s="104">
        <f t="shared" si="11"/>
        <v>41620</v>
      </c>
    </row>
    <row r="739" spans="1:5" x14ac:dyDescent="0.25">
      <c r="A739" s="8">
        <v>41590</v>
      </c>
      <c r="B739" s="4">
        <v>59702</v>
      </c>
      <c r="C739" s="57">
        <v>278.86</v>
      </c>
      <c r="D739" s="4" t="s">
        <v>1423</v>
      </c>
      <c r="E739" s="104">
        <f t="shared" si="11"/>
        <v>41620</v>
      </c>
    </row>
    <row r="740" spans="1:5" x14ac:dyDescent="0.25">
      <c r="A740" s="8">
        <v>41591</v>
      </c>
      <c r="B740" s="4">
        <v>59703</v>
      </c>
      <c r="C740" s="57">
        <v>97.98</v>
      </c>
      <c r="D740" s="4" t="s">
        <v>1423</v>
      </c>
      <c r="E740" s="104">
        <f t="shared" si="11"/>
        <v>41621</v>
      </c>
    </row>
    <row r="741" spans="1:5" x14ac:dyDescent="0.25">
      <c r="A741" s="8">
        <v>41591</v>
      </c>
      <c r="B741" s="4">
        <v>59704</v>
      </c>
      <c r="C741" s="57">
        <v>56.11</v>
      </c>
      <c r="D741" s="4" t="s">
        <v>1423</v>
      </c>
      <c r="E741" s="104">
        <f t="shared" si="11"/>
        <v>41621</v>
      </c>
    </row>
    <row r="742" spans="1:5" x14ac:dyDescent="0.25">
      <c r="A742" s="8">
        <v>41591</v>
      </c>
      <c r="B742" s="4">
        <v>59705</v>
      </c>
      <c r="C742" s="57">
        <v>54.86</v>
      </c>
      <c r="D742" s="4" t="s">
        <v>1423</v>
      </c>
      <c r="E742" s="104">
        <f t="shared" si="11"/>
        <v>41621</v>
      </c>
    </row>
    <row r="743" spans="1:5" x14ac:dyDescent="0.25">
      <c r="A743" s="8">
        <v>41591</v>
      </c>
      <c r="B743" s="4">
        <v>59706</v>
      </c>
      <c r="C743" s="57">
        <v>78.06</v>
      </c>
      <c r="D743" s="4" t="s">
        <v>1423</v>
      </c>
      <c r="E743" s="104">
        <f t="shared" si="11"/>
        <v>41621</v>
      </c>
    </row>
    <row r="744" spans="1:5" x14ac:dyDescent="0.25">
      <c r="A744" s="8">
        <v>41591</v>
      </c>
      <c r="B744" s="4">
        <v>59707</v>
      </c>
      <c r="C744" s="57">
        <v>55.38</v>
      </c>
      <c r="D744" s="4" t="s">
        <v>1423</v>
      </c>
      <c r="E744" s="104">
        <f t="shared" si="11"/>
        <v>41621</v>
      </c>
    </row>
    <row r="745" spans="1:5" x14ac:dyDescent="0.25">
      <c r="A745" s="8">
        <v>41591</v>
      </c>
      <c r="B745" s="4">
        <v>59708</v>
      </c>
      <c r="C745" s="57">
        <v>95.66</v>
      </c>
      <c r="D745" s="4" t="s">
        <v>1423</v>
      </c>
      <c r="E745" s="104">
        <f t="shared" si="11"/>
        <v>41621</v>
      </c>
    </row>
    <row r="746" spans="1:5" x14ac:dyDescent="0.25">
      <c r="A746" s="8">
        <v>41591</v>
      </c>
      <c r="B746" s="4">
        <v>59709</v>
      </c>
      <c r="C746" s="57">
        <v>159.21</v>
      </c>
      <c r="D746" s="4" t="s">
        <v>1423</v>
      </c>
      <c r="E746" s="104">
        <f t="shared" si="11"/>
        <v>41621</v>
      </c>
    </row>
    <row r="747" spans="1:5" x14ac:dyDescent="0.25">
      <c r="A747" s="8">
        <v>41591</v>
      </c>
      <c r="B747" s="4">
        <v>59710</v>
      </c>
      <c r="C747" s="57">
        <v>64.09</v>
      </c>
      <c r="D747" s="4" t="s">
        <v>1423</v>
      </c>
      <c r="E747" s="104">
        <f t="shared" si="11"/>
        <v>41621</v>
      </c>
    </row>
    <row r="748" spans="1:5" x14ac:dyDescent="0.25">
      <c r="A748" s="8">
        <v>41591</v>
      </c>
      <c r="B748" s="4">
        <v>59711</v>
      </c>
      <c r="C748" s="57">
        <v>326.10000000000002</v>
      </c>
      <c r="D748" s="4" t="s">
        <v>1423</v>
      </c>
      <c r="E748" s="104">
        <f t="shared" si="11"/>
        <v>41621</v>
      </c>
    </row>
    <row r="749" spans="1:5" x14ac:dyDescent="0.25">
      <c r="A749" s="8">
        <v>41591</v>
      </c>
      <c r="B749" s="4">
        <v>59712</v>
      </c>
      <c r="C749" s="57">
        <v>193.39</v>
      </c>
      <c r="D749" s="4" t="s">
        <v>1423</v>
      </c>
      <c r="E749" s="104">
        <f t="shared" si="11"/>
        <v>41621</v>
      </c>
    </row>
    <row r="750" spans="1:5" x14ac:dyDescent="0.25">
      <c r="A750" s="8">
        <v>41591</v>
      </c>
      <c r="B750" s="4">
        <v>59713</v>
      </c>
      <c r="C750" s="57">
        <v>317.72000000000003</v>
      </c>
      <c r="D750" s="4" t="s">
        <v>1423</v>
      </c>
      <c r="E750" s="104">
        <f t="shared" si="11"/>
        <v>41621</v>
      </c>
    </row>
    <row r="751" spans="1:5" x14ac:dyDescent="0.25">
      <c r="A751" s="8">
        <v>41591</v>
      </c>
      <c r="B751" s="4">
        <v>59714</v>
      </c>
      <c r="C751" s="57">
        <v>48.07</v>
      </c>
      <c r="D751" s="4" t="s">
        <v>1423</v>
      </c>
      <c r="E751" s="104">
        <f t="shared" si="11"/>
        <v>41621</v>
      </c>
    </row>
    <row r="752" spans="1:5" x14ac:dyDescent="0.25">
      <c r="A752" s="8">
        <v>41591</v>
      </c>
      <c r="B752" s="4">
        <v>59715</v>
      </c>
      <c r="C752" s="57">
        <v>193.25</v>
      </c>
      <c r="D752" s="4" t="s">
        <v>1423</v>
      </c>
      <c r="E752" s="104">
        <f t="shared" si="11"/>
        <v>41621</v>
      </c>
    </row>
    <row r="753" spans="1:5" x14ac:dyDescent="0.25">
      <c r="A753" s="8">
        <v>41591</v>
      </c>
      <c r="B753" s="4">
        <v>59716</v>
      </c>
      <c r="C753" s="57">
        <v>294.49</v>
      </c>
      <c r="D753" s="4" t="s">
        <v>1423</v>
      </c>
      <c r="E753" s="104">
        <f t="shared" si="11"/>
        <v>41621</v>
      </c>
    </row>
    <row r="754" spans="1:5" x14ac:dyDescent="0.25">
      <c r="A754" s="8">
        <v>41591</v>
      </c>
      <c r="B754" s="4">
        <v>59717</v>
      </c>
      <c r="C754" s="57">
        <v>217</v>
      </c>
      <c r="D754" s="4" t="s">
        <v>1423</v>
      </c>
      <c r="E754" s="104">
        <f t="shared" si="11"/>
        <v>41621</v>
      </c>
    </row>
    <row r="755" spans="1:5" x14ac:dyDescent="0.25">
      <c r="A755" s="8">
        <v>41591</v>
      </c>
      <c r="B755" s="4">
        <v>59718</v>
      </c>
      <c r="C755" s="57">
        <v>104.04</v>
      </c>
      <c r="D755" s="4" t="s">
        <v>1423</v>
      </c>
      <c r="E755" s="104">
        <f t="shared" si="11"/>
        <v>41621</v>
      </c>
    </row>
    <row r="756" spans="1:5" x14ac:dyDescent="0.25">
      <c r="A756" s="8">
        <v>41591</v>
      </c>
      <c r="B756" s="4">
        <v>59719</v>
      </c>
      <c r="C756" s="57">
        <v>153.94999999999999</v>
      </c>
      <c r="D756" s="4" t="s">
        <v>1423</v>
      </c>
      <c r="E756" s="104">
        <f t="shared" si="11"/>
        <v>41621</v>
      </c>
    </row>
    <row r="757" spans="1:5" x14ac:dyDescent="0.25">
      <c r="A757" s="8">
        <v>41591</v>
      </c>
      <c r="B757" s="4">
        <v>59720</v>
      </c>
      <c r="C757" s="57">
        <v>79.61</v>
      </c>
      <c r="D757" s="4" t="s">
        <v>1423</v>
      </c>
      <c r="E757" s="104">
        <f t="shared" si="11"/>
        <v>41621</v>
      </c>
    </row>
    <row r="758" spans="1:5" x14ac:dyDescent="0.25">
      <c r="A758" s="8">
        <v>41592</v>
      </c>
      <c r="B758" s="4">
        <v>59721</v>
      </c>
      <c r="C758" s="57">
        <v>58.5</v>
      </c>
      <c r="D758" s="4" t="s">
        <v>1423</v>
      </c>
      <c r="E758" s="104">
        <f t="shared" si="11"/>
        <v>41622</v>
      </c>
    </row>
    <row r="759" spans="1:5" x14ac:dyDescent="0.25">
      <c r="A759" s="8">
        <v>41592</v>
      </c>
      <c r="B759" s="4">
        <v>59722</v>
      </c>
      <c r="C759" s="57">
        <v>203.04</v>
      </c>
      <c r="D759" s="4" t="s">
        <v>1423</v>
      </c>
      <c r="E759" s="104">
        <f t="shared" si="11"/>
        <v>41622</v>
      </c>
    </row>
    <row r="760" spans="1:5" x14ac:dyDescent="0.25">
      <c r="A760" s="8">
        <v>41592</v>
      </c>
      <c r="B760" s="4">
        <v>59723</v>
      </c>
      <c r="C760" s="57">
        <v>244.87</v>
      </c>
      <c r="D760" s="4" t="s">
        <v>1423</v>
      </c>
      <c r="E760" s="104">
        <f t="shared" si="11"/>
        <v>41622</v>
      </c>
    </row>
    <row r="761" spans="1:5" x14ac:dyDescent="0.25">
      <c r="A761" s="8">
        <v>41592</v>
      </c>
      <c r="B761" s="4">
        <v>59724</v>
      </c>
      <c r="C761" s="57">
        <v>234.89</v>
      </c>
      <c r="D761" s="4" t="s">
        <v>1423</v>
      </c>
      <c r="E761" s="104">
        <f t="shared" si="11"/>
        <v>41622</v>
      </c>
    </row>
    <row r="762" spans="1:5" x14ac:dyDescent="0.25">
      <c r="A762" s="8">
        <v>41592</v>
      </c>
      <c r="B762" s="4">
        <v>59725</v>
      </c>
      <c r="C762" s="57">
        <v>166.17</v>
      </c>
      <c r="D762" s="4" t="s">
        <v>1423</v>
      </c>
      <c r="E762" s="104">
        <f t="shared" si="11"/>
        <v>41622</v>
      </c>
    </row>
    <row r="763" spans="1:5" x14ac:dyDescent="0.25">
      <c r="A763" s="8">
        <v>41592</v>
      </c>
      <c r="B763" s="4">
        <v>59726</v>
      </c>
      <c r="C763" s="57">
        <v>279.49</v>
      </c>
      <c r="D763" s="4" t="s">
        <v>1423</v>
      </c>
      <c r="E763" s="104">
        <f t="shared" si="11"/>
        <v>41622</v>
      </c>
    </row>
    <row r="764" spans="1:5" x14ac:dyDescent="0.25">
      <c r="A764" s="8">
        <v>41592</v>
      </c>
      <c r="B764" s="4">
        <v>59727</v>
      </c>
      <c r="C764" s="57">
        <v>188.78</v>
      </c>
      <c r="D764" s="4" t="s">
        <v>1423</v>
      </c>
      <c r="E764" s="104">
        <f t="shared" si="11"/>
        <v>41622</v>
      </c>
    </row>
    <row r="765" spans="1:5" x14ac:dyDescent="0.25">
      <c r="A765" s="8">
        <v>41592</v>
      </c>
      <c r="B765" s="4">
        <v>59728</v>
      </c>
      <c r="C765" s="57">
        <v>94.41</v>
      </c>
      <c r="D765" s="4" t="s">
        <v>1423</v>
      </c>
      <c r="E765" s="104">
        <f t="shared" si="11"/>
        <v>41622</v>
      </c>
    </row>
    <row r="766" spans="1:5" x14ac:dyDescent="0.25">
      <c r="A766" s="8">
        <v>41592</v>
      </c>
      <c r="B766" s="4">
        <v>59729</v>
      </c>
      <c r="C766" s="57">
        <v>170.09</v>
      </c>
      <c r="D766" s="4" t="s">
        <v>1423</v>
      </c>
      <c r="E766" s="104">
        <f t="shared" si="11"/>
        <v>41622</v>
      </c>
    </row>
    <row r="767" spans="1:5" x14ac:dyDescent="0.25">
      <c r="A767" s="8">
        <v>41592</v>
      </c>
      <c r="B767" s="4">
        <v>59730</v>
      </c>
      <c r="C767" s="57">
        <v>316.27999999999997</v>
      </c>
      <c r="D767" s="4" t="s">
        <v>1423</v>
      </c>
      <c r="E767" s="104">
        <f t="shared" si="11"/>
        <v>41622</v>
      </c>
    </row>
    <row r="768" spans="1:5" x14ac:dyDescent="0.25">
      <c r="A768" s="8">
        <v>41592</v>
      </c>
      <c r="B768" s="4">
        <v>59731</v>
      </c>
      <c r="C768" s="57">
        <v>227.8</v>
      </c>
      <c r="D768" s="4" t="s">
        <v>1423</v>
      </c>
      <c r="E768" s="104">
        <f t="shared" si="11"/>
        <v>41622</v>
      </c>
    </row>
    <row r="769" spans="1:5" x14ac:dyDescent="0.25">
      <c r="A769" s="8">
        <v>41592</v>
      </c>
      <c r="B769" s="4">
        <v>59732</v>
      </c>
      <c r="C769" s="57">
        <v>215.52</v>
      </c>
      <c r="D769" s="4" t="s">
        <v>1423</v>
      </c>
      <c r="E769" s="104">
        <f t="shared" si="11"/>
        <v>41622</v>
      </c>
    </row>
    <row r="770" spans="1:5" x14ac:dyDescent="0.25">
      <c r="A770" s="8">
        <v>41592</v>
      </c>
      <c r="B770" s="4">
        <v>59733</v>
      </c>
      <c r="C770" s="57">
        <v>51.98</v>
      </c>
      <c r="D770" s="4" t="s">
        <v>1423</v>
      </c>
      <c r="E770" s="104">
        <f t="shared" si="11"/>
        <v>41622</v>
      </c>
    </row>
    <row r="771" spans="1:5" x14ac:dyDescent="0.25">
      <c r="A771" s="8">
        <v>41592</v>
      </c>
      <c r="B771" s="4">
        <v>59734</v>
      </c>
      <c r="C771" s="57">
        <v>304.61</v>
      </c>
      <c r="D771" s="4" t="s">
        <v>1423</v>
      </c>
      <c r="E771" s="104">
        <f t="shared" si="11"/>
        <v>41622</v>
      </c>
    </row>
    <row r="772" spans="1:5" x14ac:dyDescent="0.25">
      <c r="A772" s="8">
        <v>41592</v>
      </c>
      <c r="B772" s="4">
        <v>59735</v>
      </c>
      <c r="C772" s="57">
        <v>264.08</v>
      </c>
      <c r="D772" s="4" t="s">
        <v>1423</v>
      </c>
      <c r="E772" s="104">
        <f t="shared" si="11"/>
        <v>41622</v>
      </c>
    </row>
    <row r="773" spans="1:5" x14ac:dyDescent="0.25">
      <c r="A773" s="8">
        <v>41592</v>
      </c>
      <c r="B773" s="4">
        <v>59736</v>
      </c>
      <c r="C773" s="57">
        <v>174.42</v>
      </c>
      <c r="D773" s="4" t="s">
        <v>1423</v>
      </c>
      <c r="E773" s="104">
        <f t="shared" si="11"/>
        <v>41622</v>
      </c>
    </row>
    <row r="774" spans="1:5" x14ac:dyDescent="0.25">
      <c r="A774" s="8">
        <v>41592</v>
      </c>
      <c r="B774" s="4">
        <v>59737</v>
      </c>
      <c r="C774" s="57">
        <v>98.78</v>
      </c>
      <c r="D774" s="4" t="s">
        <v>1423</v>
      </c>
      <c r="E774" s="104">
        <f t="shared" ref="E774:E806" si="12">EDATE(A774,1)</f>
        <v>41622</v>
      </c>
    </row>
    <row r="775" spans="1:5" x14ac:dyDescent="0.25">
      <c r="A775" s="8">
        <v>41592</v>
      </c>
      <c r="B775" s="4">
        <v>59738</v>
      </c>
      <c r="C775" s="57">
        <v>52.73</v>
      </c>
      <c r="D775" s="4" t="s">
        <v>1423</v>
      </c>
      <c r="E775" s="104">
        <f t="shared" si="12"/>
        <v>41622</v>
      </c>
    </row>
    <row r="776" spans="1:5" x14ac:dyDescent="0.25">
      <c r="A776" s="8">
        <v>41592</v>
      </c>
      <c r="B776" s="4">
        <v>59739</v>
      </c>
      <c r="C776" s="57">
        <v>161.49</v>
      </c>
      <c r="D776" s="4" t="s">
        <v>1423</v>
      </c>
      <c r="E776" s="104">
        <f t="shared" si="12"/>
        <v>41622</v>
      </c>
    </row>
    <row r="777" spans="1:5" x14ac:dyDescent="0.25">
      <c r="A777" s="8">
        <v>41592</v>
      </c>
      <c r="B777" s="4">
        <v>59740</v>
      </c>
      <c r="C777" s="57">
        <v>68.02</v>
      </c>
      <c r="D777" s="4" t="s">
        <v>1423</v>
      </c>
      <c r="E777" s="104">
        <f t="shared" si="12"/>
        <v>41622</v>
      </c>
    </row>
    <row r="778" spans="1:5" x14ac:dyDescent="0.25">
      <c r="A778" s="8">
        <v>41592</v>
      </c>
      <c r="B778" s="4">
        <v>59741</v>
      </c>
      <c r="C778" s="57">
        <v>242.04</v>
      </c>
      <c r="D778" s="4" t="s">
        <v>1423</v>
      </c>
      <c r="E778" s="104">
        <f t="shared" si="12"/>
        <v>41622</v>
      </c>
    </row>
    <row r="779" spans="1:5" x14ac:dyDescent="0.25">
      <c r="A779" s="8">
        <v>41592</v>
      </c>
      <c r="B779" s="4">
        <v>59742</v>
      </c>
      <c r="C779" s="57">
        <v>140.72</v>
      </c>
      <c r="D779" s="4" t="s">
        <v>1423</v>
      </c>
      <c r="E779" s="104">
        <f t="shared" si="12"/>
        <v>41622</v>
      </c>
    </row>
    <row r="780" spans="1:5" x14ac:dyDescent="0.25">
      <c r="A780" s="8">
        <v>41592</v>
      </c>
      <c r="B780" s="4">
        <v>59743</v>
      </c>
      <c r="C780" s="57">
        <v>103.89</v>
      </c>
      <c r="D780" s="4" t="s">
        <v>1423</v>
      </c>
      <c r="E780" s="104">
        <f t="shared" si="12"/>
        <v>41622</v>
      </c>
    </row>
    <row r="781" spans="1:5" x14ac:dyDescent="0.25">
      <c r="A781" s="8">
        <v>41592</v>
      </c>
      <c r="B781" s="4">
        <v>59744</v>
      </c>
      <c r="C781" s="57">
        <v>105.2</v>
      </c>
      <c r="D781" s="4" t="s">
        <v>1423</v>
      </c>
      <c r="E781" s="104">
        <f t="shared" si="12"/>
        <v>41622</v>
      </c>
    </row>
    <row r="782" spans="1:5" x14ac:dyDescent="0.25">
      <c r="A782" s="8">
        <v>41592</v>
      </c>
      <c r="B782" s="4">
        <v>59745</v>
      </c>
      <c r="C782" s="57">
        <v>35.979999999999997</v>
      </c>
      <c r="D782" s="4" t="s">
        <v>1423</v>
      </c>
      <c r="E782" s="104">
        <f t="shared" si="12"/>
        <v>41622</v>
      </c>
    </row>
    <row r="783" spans="1:5" x14ac:dyDescent="0.25">
      <c r="A783" s="8">
        <v>41593</v>
      </c>
      <c r="B783" s="4">
        <v>59746</v>
      </c>
      <c r="C783" s="57">
        <v>79.75</v>
      </c>
      <c r="D783" s="4" t="s">
        <v>1423</v>
      </c>
      <c r="E783" s="104">
        <f t="shared" si="12"/>
        <v>41623</v>
      </c>
    </row>
    <row r="784" spans="1:5" x14ac:dyDescent="0.25">
      <c r="A784" s="8">
        <v>41593</v>
      </c>
      <c r="B784" s="4">
        <v>59747</v>
      </c>
      <c r="C784" s="57">
        <v>211.91</v>
      </c>
      <c r="D784" s="4" t="s">
        <v>1423</v>
      </c>
      <c r="E784" s="104">
        <f t="shared" si="12"/>
        <v>41623</v>
      </c>
    </row>
    <row r="785" spans="1:5" x14ac:dyDescent="0.25">
      <c r="A785" s="8">
        <v>41593</v>
      </c>
      <c r="B785" s="4">
        <v>59748</v>
      </c>
      <c r="C785" s="57">
        <v>235.98</v>
      </c>
      <c r="D785" s="4" t="s">
        <v>1423</v>
      </c>
      <c r="E785" s="104">
        <f t="shared" si="12"/>
        <v>41623</v>
      </c>
    </row>
    <row r="786" spans="1:5" x14ac:dyDescent="0.25">
      <c r="A786" s="8">
        <v>41593</v>
      </c>
      <c r="B786" s="4">
        <v>59749</v>
      </c>
      <c r="C786" s="57">
        <v>38.92</v>
      </c>
      <c r="D786" s="4" t="s">
        <v>1423</v>
      </c>
      <c r="E786" s="104">
        <f t="shared" si="12"/>
        <v>41623</v>
      </c>
    </row>
    <row r="787" spans="1:5" x14ac:dyDescent="0.25">
      <c r="A787" s="8">
        <v>41593</v>
      </c>
      <c r="B787" s="4">
        <v>59750</v>
      </c>
      <c r="C787" s="57">
        <v>237.26</v>
      </c>
      <c r="D787" s="4" t="s">
        <v>1423</v>
      </c>
      <c r="E787" s="104">
        <f t="shared" si="12"/>
        <v>41623</v>
      </c>
    </row>
    <row r="788" spans="1:5" x14ac:dyDescent="0.25">
      <c r="A788" s="8">
        <v>41593</v>
      </c>
      <c r="B788" s="4">
        <v>59751</v>
      </c>
      <c r="C788" s="57">
        <v>335.56</v>
      </c>
      <c r="D788" s="4" t="s">
        <v>1423</v>
      </c>
      <c r="E788" s="104">
        <f t="shared" si="12"/>
        <v>41623</v>
      </c>
    </row>
    <row r="789" spans="1:5" x14ac:dyDescent="0.25">
      <c r="A789" s="8">
        <v>41593</v>
      </c>
      <c r="B789" s="4">
        <v>59752</v>
      </c>
      <c r="C789" s="57">
        <v>328.54</v>
      </c>
      <c r="D789" s="4" t="s">
        <v>1423</v>
      </c>
      <c r="E789" s="104">
        <f t="shared" si="12"/>
        <v>41623</v>
      </c>
    </row>
    <row r="790" spans="1:5" x14ac:dyDescent="0.25">
      <c r="A790" s="8">
        <v>41593</v>
      </c>
      <c r="B790" s="4">
        <v>59753</v>
      </c>
      <c r="C790" s="57">
        <v>247.91</v>
      </c>
      <c r="D790" s="4" t="s">
        <v>1423</v>
      </c>
      <c r="E790" s="104">
        <f t="shared" si="12"/>
        <v>41623</v>
      </c>
    </row>
    <row r="791" spans="1:5" x14ac:dyDescent="0.25">
      <c r="A791" s="8">
        <v>41593</v>
      </c>
      <c r="B791" s="4">
        <v>59754</v>
      </c>
      <c r="C791" s="57">
        <v>222.26</v>
      </c>
      <c r="D791" s="4" t="s">
        <v>1423</v>
      </c>
      <c r="E791" s="104">
        <f t="shared" si="12"/>
        <v>41623</v>
      </c>
    </row>
    <row r="792" spans="1:5" x14ac:dyDescent="0.25">
      <c r="A792" s="8">
        <v>41593</v>
      </c>
      <c r="B792" s="4">
        <v>59755</v>
      </c>
      <c r="C792" s="57">
        <v>214.01</v>
      </c>
      <c r="D792" s="4" t="s">
        <v>1423</v>
      </c>
      <c r="E792" s="104">
        <f t="shared" si="12"/>
        <v>41623</v>
      </c>
    </row>
    <row r="793" spans="1:5" x14ac:dyDescent="0.25">
      <c r="A793" s="8">
        <v>41593</v>
      </c>
      <c r="B793" s="4">
        <v>59756</v>
      </c>
      <c r="C793" s="57">
        <v>98.23</v>
      </c>
      <c r="D793" s="4" t="s">
        <v>1423</v>
      </c>
      <c r="E793" s="104">
        <f t="shared" si="12"/>
        <v>41623</v>
      </c>
    </row>
    <row r="794" spans="1:5" x14ac:dyDescent="0.25">
      <c r="A794" s="8">
        <v>41593</v>
      </c>
      <c r="B794" s="4">
        <v>59757</v>
      </c>
      <c r="C794" s="57">
        <v>143.38999999999999</v>
      </c>
      <c r="D794" s="4" t="s">
        <v>1423</v>
      </c>
      <c r="E794" s="104">
        <f t="shared" si="12"/>
        <v>41623</v>
      </c>
    </row>
    <row r="795" spans="1:5" x14ac:dyDescent="0.25">
      <c r="A795" s="8">
        <v>41593</v>
      </c>
      <c r="B795" s="4">
        <v>59758</v>
      </c>
      <c r="C795" s="57">
        <v>327.13</v>
      </c>
      <c r="D795" s="4" t="s">
        <v>1423</v>
      </c>
      <c r="E795" s="104">
        <f t="shared" si="12"/>
        <v>41623</v>
      </c>
    </row>
    <row r="796" spans="1:5" x14ac:dyDescent="0.25">
      <c r="A796" s="8">
        <v>41593</v>
      </c>
      <c r="B796" s="4">
        <v>59759</v>
      </c>
      <c r="C796" s="57">
        <v>364.84</v>
      </c>
      <c r="D796" s="4" t="s">
        <v>1423</v>
      </c>
      <c r="E796" s="104">
        <f t="shared" si="12"/>
        <v>41623</v>
      </c>
    </row>
    <row r="797" spans="1:5" x14ac:dyDescent="0.25">
      <c r="A797" s="8">
        <v>41593</v>
      </c>
      <c r="B797" s="4">
        <v>59760</v>
      </c>
      <c r="C797" s="57">
        <v>195.28</v>
      </c>
      <c r="D797" s="4" t="s">
        <v>1423</v>
      </c>
      <c r="E797" s="104">
        <f t="shared" si="12"/>
        <v>41623</v>
      </c>
    </row>
    <row r="798" spans="1:5" x14ac:dyDescent="0.25">
      <c r="A798" s="8">
        <v>41593</v>
      </c>
      <c r="B798" s="4">
        <v>59761</v>
      </c>
      <c r="C798" s="57">
        <v>35.08</v>
      </c>
      <c r="D798" s="4" t="s">
        <v>1423</v>
      </c>
      <c r="E798" s="104">
        <f t="shared" si="12"/>
        <v>41623</v>
      </c>
    </row>
    <row r="799" spans="1:5" x14ac:dyDescent="0.25">
      <c r="A799" s="8">
        <v>41593</v>
      </c>
      <c r="B799" s="4">
        <v>59762</v>
      </c>
      <c r="C799" s="57">
        <v>88.7</v>
      </c>
      <c r="D799" s="4" t="s">
        <v>1423</v>
      </c>
      <c r="E799" s="104">
        <f t="shared" si="12"/>
        <v>41623</v>
      </c>
    </row>
    <row r="800" spans="1:5" x14ac:dyDescent="0.25">
      <c r="A800" s="8">
        <v>41593</v>
      </c>
      <c r="B800" s="4">
        <v>59763</v>
      </c>
      <c r="C800" s="57">
        <v>98.44</v>
      </c>
      <c r="D800" s="4" t="s">
        <v>1423</v>
      </c>
      <c r="E800" s="104">
        <f t="shared" si="12"/>
        <v>41623</v>
      </c>
    </row>
    <row r="801" spans="1:5" x14ac:dyDescent="0.25">
      <c r="A801" s="8">
        <v>41593</v>
      </c>
      <c r="B801" s="4">
        <v>59764</v>
      </c>
      <c r="C801" s="57">
        <v>344.86</v>
      </c>
      <c r="D801" s="4" t="s">
        <v>1423</v>
      </c>
      <c r="E801" s="104">
        <f t="shared" si="12"/>
        <v>41623</v>
      </c>
    </row>
    <row r="802" spans="1:5" x14ac:dyDescent="0.25">
      <c r="A802" s="8">
        <v>41593</v>
      </c>
      <c r="B802" s="4">
        <v>59765</v>
      </c>
      <c r="C802" s="57">
        <v>38.42</v>
      </c>
      <c r="D802" s="4" t="s">
        <v>1423</v>
      </c>
      <c r="E802" s="104">
        <f t="shared" si="12"/>
        <v>41623</v>
      </c>
    </row>
    <row r="803" spans="1:5" x14ac:dyDescent="0.25">
      <c r="A803" s="8">
        <v>41593</v>
      </c>
      <c r="B803" s="4">
        <v>59766</v>
      </c>
      <c r="C803" s="57">
        <v>183.44</v>
      </c>
      <c r="D803" s="4" t="s">
        <v>1423</v>
      </c>
      <c r="E803" s="104">
        <f t="shared" si="12"/>
        <v>41623</v>
      </c>
    </row>
    <row r="804" spans="1:5" x14ac:dyDescent="0.25">
      <c r="A804" s="8">
        <v>41593</v>
      </c>
      <c r="B804" s="4">
        <v>59767</v>
      </c>
      <c r="C804" s="57">
        <v>227.2</v>
      </c>
      <c r="D804" s="4" t="s">
        <v>1423</v>
      </c>
      <c r="E804" s="104">
        <f t="shared" si="12"/>
        <v>41623</v>
      </c>
    </row>
    <row r="805" spans="1:5" x14ac:dyDescent="0.25">
      <c r="A805" s="8">
        <v>41593</v>
      </c>
      <c r="B805" s="4">
        <v>59768</v>
      </c>
      <c r="C805" s="57">
        <v>365.95</v>
      </c>
      <c r="D805" s="4" t="s">
        <v>1423</v>
      </c>
      <c r="E805" s="104">
        <f t="shared" si="12"/>
        <v>41623</v>
      </c>
    </row>
    <row r="806" spans="1:5" x14ac:dyDescent="0.25">
      <c r="A806" s="8">
        <v>41593</v>
      </c>
      <c r="B806" s="4">
        <v>59769</v>
      </c>
      <c r="C806" s="57">
        <v>129.94999999999999</v>
      </c>
      <c r="D806" s="4" t="s">
        <v>1423</v>
      </c>
      <c r="E806" s="104">
        <f t="shared" si="12"/>
        <v>41623</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K806"/>
  <sheetViews>
    <sheetView zoomScale="115" zoomScaleNormal="115" workbookViewId="0">
      <selection activeCell="A5" sqref="A5"/>
    </sheetView>
  </sheetViews>
  <sheetFormatPr defaultRowHeight="15" x14ac:dyDescent="0.25"/>
  <cols>
    <col min="1" max="1" width="17.7109375" customWidth="1"/>
    <col min="2" max="2" width="13" customWidth="1"/>
    <col min="3" max="3" width="9.85546875" bestFit="1" customWidth="1"/>
    <col min="4" max="4" width="25.7109375" bestFit="1" customWidth="1"/>
    <col min="5" max="5" width="12.28515625" customWidth="1"/>
    <col min="6" max="6" width="1.85546875" customWidth="1"/>
    <col min="8" max="8" width="1.85546875" customWidth="1"/>
    <col min="9" max="9" width="11.140625" bestFit="1" customWidth="1"/>
  </cols>
  <sheetData>
    <row r="1" spans="1:11" x14ac:dyDescent="0.25">
      <c r="A1" s="63" t="s">
        <v>1425</v>
      </c>
      <c r="B1" s="64"/>
      <c r="C1" s="65"/>
      <c r="D1" s="64"/>
      <c r="E1" s="64"/>
      <c r="F1" s="64"/>
      <c r="G1" s="64"/>
      <c r="H1" s="64"/>
      <c r="I1" s="64"/>
      <c r="J1" s="64"/>
      <c r="K1" s="65"/>
    </row>
    <row r="4" spans="1:11" ht="26.25" x14ac:dyDescent="0.25">
      <c r="A4" s="11" t="s">
        <v>42</v>
      </c>
      <c r="B4" s="11" t="s">
        <v>1414</v>
      </c>
      <c r="C4" s="11" t="s">
        <v>1415</v>
      </c>
    </row>
    <row r="5" spans="1:11" x14ac:dyDescent="0.25">
      <c r="A5" s="8">
        <v>41550</v>
      </c>
      <c r="B5" s="4">
        <v>58968</v>
      </c>
      <c r="C5" s="57">
        <v>320.98</v>
      </c>
    </row>
    <row r="6" spans="1:11" x14ac:dyDescent="0.25">
      <c r="A6" s="8">
        <v>41550</v>
      </c>
      <c r="B6" s="4">
        <v>58969</v>
      </c>
      <c r="C6" s="57">
        <v>92.25</v>
      </c>
    </row>
    <row r="7" spans="1:11" x14ac:dyDescent="0.25">
      <c r="A7" s="8">
        <v>41550</v>
      </c>
      <c r="B7" s="4">
        <v>58970</v>
      </c>
      <c r="C7" s="57">
        <v>47.54</v>
      </c>
    </row>
    <row r="8" spans="1:11" x14ac:dyDescent="0.25">
      <c r="A8" s="8">
        <v>41550</v>
      </c>
      <c r="B8" s="4">
        <v>58971</v>
      </c>
      <c r="C8" s="57">
        <v>385.71</v>
      </c>
    </row>
    <row r="9" spans="1:11" x14ac:dyDescent="0.25">
      <c r="A9" s="8">
        <v>41550</v>
      </c>
      <c r="B9" s="4">
        <v>58972</v>
      </c>
      <c r="C9" s="57">
        <v>216.01</v>
      </c>
    </row>
    <row r="10" spans="1:11" x14ac:dyDescent="0.25">
      <c r="A10" s="8">
        <v>41550</v>
      </c>
      <c r="B10" s="4">
        <v>58973</v>
      </c>
      <c r="C10" s="57">
        <v>236.64</v>
      </c>
    </row>
    <row r="11" spans="1:11" x14ac:dyDescent="0.25">
      <c r="A11" s="8">
        <v>41550</v>
      </c>
      <c r="B11" s="4">
        <v>58974</v>
      </c>
      <c r="C11" s="57">
        <v>107.74</v>
      </c>
    </row>
    <row r="12" spans="1:11" x14ac:dyDescent="0.25">
      <c r="A12" s="8">
        <v>41550</v>
      </c>
      <c r="B12" s="4">
        <v>58975</v>
      </c>
      <c r="C12" s="57">
        <v>258.29000000000002</v>
      </c>
    </row>
    <row r="13" spans="1:11" x14ac:dyDescent="0.25">
      <c r="A13" s="8">
        <v>41550</v>
      </c>
      <c r="B13" s="4">
        <v>58976</v>
      </c>
      <c r="C13" s="57">
        <v>87.58</v>
      </c>
    </row>
    <row r="14" spans="1:11" x14ac:dyDescent="0.25">
      <c r="A14" s="8">
        <v>41550</v>
      </c>
      <c r="B14" s="4">
        <v>58977</v>
      </c>
      <c r="C14" s="57">
        <v>122.03</v>
      </c>
    </row>
    <row r="15" spans="1:11" x14ac:dyDescent="0.25">
      <c r="A15" s="8">
        <v>41550</v>
      </c>
      <c r="B15" s="4">
        <v>58978</v>
      </c>
      <c r="C15" s="57">
        <v>88.41</v>
      </c>
    </row>
    <row r="16" spans="1:11" x14ac:dyDescent="0.25">
      <c r="A16" s="8">
        <v>41551</v>
      </c>
      <c r="B16" s="4">
        <v>58979</v>
      </c>
      <c r="C16" s="57">
        <v>286.39999999999998</v>
      </c>
    </row>
    <row r="17" spans="1:3" x14ac:dyDescent="0.25">
      <c r="A17" s="8">
        <v>41551</v>
      </c>
      <c r="B17" s="4">
        <v>58980</v>
      </c>
      <c r="C17" s="57">
        <v>277.08999999999997</v>
      </c>
    </row>
    <row r="18" spans="1:3" x14ac:dyDescent="0.25">
      <c r="A18" s="8">
        <v>41551</v>
      </c>
      <c r="B18" s="4">
        <v>58981</v>
      </c>
      <c r="C18" s="57">
        <v>212.03</v>
      </c>
    </row>
    <row r="19" spans="1:3" x14ac:dyDescent="0.25">
      <c r="A19" s="8">
        <v>41551</v>
      </c>
      <c r="B19" s="4">
        <v>58982</v>
      </c>
      <c r="C19" s="57">
        <v>130.04</v>
      </c>
    </row>
    <row r="20" spans="1:3" x14ac:dyDescent="0.25">
      <c r="A20" s="8">
        <v>41551</v>
      </c>
      <c r="B20" s="4">
        <v>58983</v>
      </c>
      <c r="C20" s="57">
        <v>272.83</v>
      </c>
    </row>
    <row r="21" spans="1:3" x14ac:dyDescent="0.25">
      <c r="A21" s="8">
        <v>41551</v>
      </c>
      <c r="B21" s="4">
        <v>58984</v>
      </c>
      <c r="C21" s="57">
        <v>68.44</v>
      </c>
    </row>
    <row r="22" spans="1:3" x14ac:dyDescent="0.25">
      <c r="A22" s="8">
        <v>41551</v>
      </c>
      <c r="B22" s="4">
        <v>58985</v>
      </c>
      <c r="C22" s="57">
        <v>63.62</v>
      </c>
    </row>
    <row r="23" spans="1:3" x14ac:dyDescent="0.25">
      <c r="A23" s="8">
        <v>41551</v>
      </c>
      <c r="B23" s="4">
        <v>58986</v>
      </c>
      <c r="C23" s="57">
        <v>245.92</v>
      </c>
    </row>
    <row r="24" spans="1:3" x14ac:dyDescent="0.25">
      <c r="A24" s="8">
        <v>41551</v>
      </c>
      <c r="B24" s="4">
        <v>58987</v>
      </c>
      <c r="C24" s="57">
        <v>285.31</v>
      </c>
    </row>
    <row r="25" spans="1:3" x14ac:dyDescent="0.25">
      <c r="A25" s="8">
        <v>41551</v>
      </c>
      <c r="B25" s="4">
        <v>58988</v>
      </c>
      <c r="C25" s="57">
        <v>256.69</v>
      </c>
    </row>
    <row r="26" spans="1:3" x14ac:dyDescent="0.25">
      <c r="A26" s="8">
        <v>41551</v>
      </c>
      <c r="B26" s="4">
        <v>58989</v>
      </c>
      <c r="C26" s="57">
        <v>329.98</v>
      </c>
    </row>
    <row r="27" spans="1:3" x14ac:dyDescent="0.25">
      <c r="A27" s="8">
        <v>41551</v>
      </c>
      <c r="B27" s="4">
        <v>58990</v>
      </c>
      <c r="C27" s="57">
        <v>293.24</v>
      </c>
    </row>
    <row r="28" spans="1:3" x14ac:dyDescent="0.25">
      <c r="A28" s="8">
        <v>41552</v>
      </c>
      <c r="B28" s="4">
        <v>58991</v>
      </c>
      <c r="C28" s="57">
        <v>269.52</v>
      </c>
    </row>
    <row r="29" spans="1:3" x14ac:dyDescent="0.25">
      <c r="A29" s="8">
        <v>41552</v>
      </c>
      <c r="B29" s="4">
        <v>58992</v>
      </c>
      <c r="C29" s="57">
        <v>46.21</v>
      </c>
    </row>
    <row r="30" spans="1:3" x14ac:dyDescent="0.25">
      <c r="A30" s="8">
        <v>41552</v>
      </c>
      <c r="B30" s="4">
        <v>58993</v>
      </c>
      <c r="C30" s="57">
        <v>193.27</v>
      </c>
    </row>
    <row r="31" spans="1:3" x14ac:dyDescent="0.25">
      <c r="A31" s="8">
        <v>41552</v>
      </c>
      <c r="B31" s="4">
        <v>58994</v>
      </c>
      <c r="C31" s="57">
        <v>323.79000000000002</v>
      </c>
    </row>
    <row r="32" spans="1:3" x14ac:dyDescent="0.25">
      <c r="A32" s="8">
        <v>41552</v>
      </c>
      <c r="B32" s="4">
        <v>58995</v>
      </c>
      <c r="C32" s="57">
        <v>130.78</v>
      </c>
    </row>
    <row r="33" spans="1:3" x14ac:dyDescent="0.25">
      <c r="A33" s="8">
        <v>41552</v>
      </c>
      <c r="B33" s="4">
        <v>58996</v>
      </c>
      <c r="C33" s="57">
        <v>222.56</v>
      </c>
    </row>
    <row r="34" spans="1:3" x14ac:dyDescent="0.25">
      <c r="A34" s="8">
        <v>41552</v>
      </c>
      <c r="B34" s="4">
        <v>58997</v>
      </c>
      <c r="C34" s="57">
        <v>263.54000000000002</v>
      </c>
    </row>
    <row r="35" spans="1:3" x14ac:dyDescent="0.25">
      <c r="A35" s="8">
        <v>41552</v>
      </c>
      <c r="B35" s="4">
        <v>58998</v>
      </c>
      <c r="C35" s="57">
        <v>209.94</v>
      </c>
    </row>
    <row r="36" spans="1:3" x14ac:dyDescent="0.25">
      <c r="A36" s="8">
        <v>41552</v>
      </c>
      <c r="B36" s="4">
        <v>58999</v>
      </c>
      <c r="C36" s="57">
        <v>105.09</v>
      </c>
    </row>
    <row r="37" spans="1:3" x14ac:dyDescent="0.25">
      <c r="A37" s="8">
        <v>41552</v>
      </c>
      <c r="B37" s="4">
        <v>59000</v>
      </c>
      <c r="C37" s="57">
        <v>173.68</v>
      </c>
    </row>
    <row r="38" spans="1:3" x14ac:dyDescent="0.25">
      <c r="A38" s="8">
        <v>41552</v>
      </c>
      <c r="B38" s="4">
        <v>59001</v>
      </c>
      <c r="C38" s="57">
        <v>307.77</v>
      </c>
    </row>
    <row r="39" spans="1:3" x14ac:dyDescent="0.25">
      <c r="A39" s="8">
        <v>41552</v>
      </c>
      <c r="B39" s="4">
        <v>59002</v>
      </c>
      <c r="C39" s="57">
        <v>149.06</v>
      </c>
    </row>
    <row r="40" spans="1:3" x14ac:dyDescent="0.25">
      <c r="A40" s="8">
        <v>41553</v>
      </c>
      <c r="B40" s="4">
        <v>59003</v>
      </c>
      <c r="C40" s="57">
        <v>248.51</v>
      </c>
    </row>
    <row r="41" spans="1:3" x14ac:dyDescent="0.25">
      <c r="A41" s="8">
        <v>41553</v>
      </c>
      <c r="B41" s="4">
        <v>59004</v>
      </c>
      <c r="C41" s="57">
        <v>231.73</v>
      </c>
    </row>
    <row r="42" spans="1:3" x14ac:dyDescent="0.25">
      <c r="A42" s="8">
        <v>41553</v>
      </c>
      <c r="B42" s="4">
        <v>59005</v>
      </c>
      <c r="C42" s="57">
        <v>324.43</v>
      </c>
    </row>
    <row r="43" spans="1:3" x14ac:dyDescent="0.25">
      <c r="A43" s="8">
        <v>41553</v>
      </c>
      <c r="B43" s="4">
        <v>59006</v>
      </c>
      <c r="C43" s="57">
        <v>249.58</v>
      </c>
    </row>
    <row r="44" spans="1:3" x14ac:dyDescent="0.25">
      <c r="A44" s="8">
        <v>41553</v>
      </c>
      <c r="B44" s="4">
        <v>59007</v>
      </c>
      <c r="C44" s="57">
        <v>161.94</v>
      </c>
    </row>
    <row r="45" spans="1:3" x14ac:dyDescent="0.25">
      <c r="A45" s="8">
        <v>41553</v>
      </c>
      <c r="B45" s="4">
        <v>59008</v>
      </c>
      <c r="C45" s="57">
        <v>247.87</v>
      </c>
    </row>
    <row r="46" spans="1:3" x14ac:dyDescent="0.25">
      <c r="A46" s="8">
        <v>41553</v>
      </c>
      <c r="B46" s="4">
        <v>59009</v>
      </c>
      <c r="C46" s="57">
        <v>248.86</v>
      </c>
    </row>
    <row r="47" spans="1:3" x14ac:dyDescent="0.25">
      <c r="A47" s="8">
        <v>41553</v>
      </c>
      <c r="B47" s="4">
        <v>59010</v>
      </c>
      <c r="C47" s="57">
        <v>235.98</v>
      </c>
    </row>
    <row r="48" spans="1:3" x14ac:dyDescent="0.25">
      <c r="A48" s="8">
        <v>41553</v>
      </c>
      <c r="B48" s="4">
        <v>59011</v>
      </c>
      <c r="C48" s="57">
        <v>224.49</v>
      </c>
    </row>
    <row r="49" spans="1:3" x14ac:dyDescent="0.25">
      <c r="A49" s="8">
        <v>41553</v>
      </c>
      <c r="B49" s="4">
        <v>59012</v>
      </c>
      <c r="C49" s="57">
        <v>256.42</v>
      </c>
    </row>
    <row r="50" spans="1:3" x14ac:dyDescent="0.25">
      <c r="A50" s="8">
        <v>41553</v>
      </c>
      <c r="B50" s="4">
        <v>59013</v>
      </c>
      <c r="C50" s="57">
        <v>233.01</v>
      </c>
    </row>
    <row r="51" spans="1:3" x14ac:dyDescent="0.25">
      <c r="A51" s="8">
        <v>41553</v>
      </c>
      <c r="B51" s="4">
        <v>59014</v>
      </c>
      <c r="C51" s="57">
        <v>379.98</v>
      </c>
    </row>
    <row r="52" spans="1:3" x14ac:dyDescent="0.25">
      <c r="A52" s="8">
        <v>41553</v>
      </c>
      <c r="B52" s="4">
        <v>59015</v>
      </c>
      <c r="C52" s="57">
        <v>219.3</v>
      </c>
    </row>
    <row r="53" spans="1:3" x14ac:dyDescent="0.25">
      <c r="A53" s="8">
        <v>41553</v>
      </c>
      <c r="B53" s="4">
        <v>59016</v>
      </c>
      <c r="C53" s="57">
        <v>371.22</v>
      </c>
    </row>
    <row r="54" spans="1:3" x14ac:dyDescent="0.25">
      <c r="A54" s="8">
        <v>41553</v>
      </c>
      <c r="B54" s="4">
        <v>59017</v>
      </c>
      <c r="C54" s="57">
        <v>385.88</v>
      </c>
    </row>
    <row r="55" spans="1:3" x14ac:dyDescent="0.25">
      <c r="A55" s="8">
        <v>41553</v>
      </c>
      <c r="B55" s="4">
        <v>59018</v>
      </c>
      <c r="C55" s="57">
        <v>155.65</v>
      </c>
    </row>
    <row r="56" spans="1:3" x14ac:dyDescent="0.25">
      <c r="A56" s="8">
        <v>41554</v>
      </c>
      <c r="B56" s="4">
        <v>59019</v>
      </c>
      <c r="C56" s="57">
        <v>325.83</v>
      </c>
    </row>
    <row r="57" spans="1:3" x14ac:dyDescent="0.25">
      <c r="A57" s="8">
        <v>41554</v>
      </c>
      <c r="B57" s="4">
        <v>59020</v>
      </c>
      <c r="C57" s="57">
        <v>101.09</v>
      </c>
    </row>
    <row r="58" spans="1:3" x14ac:dyDescent="0.25">
      <c r="A58" s="8">
        <v>41554</v>
      </c>
      <c r="B58" s="4">
        <v>59021</v>
      </c>
      <c r="C58" s="57">
        <v>259.24</v>
      </c>
    </row>
    <row r="59" spans="1:3" x14ac:dyDescent="0.25">
      <c r="A59" s="8">
        <v>41554</v>
      </c>
      <c r="B59" s="4">
        <v>59022</v>
      </c>
      <c r="C59" s="57">
        <v>188.54</v>
      </c>
    </row>
    <row r="60" spans="1:3" x14ac:dyDescent="0.25">
      <c r="A60" s="8">
        <v>41554</v>
      </c>
      <c r="B60" s="4">
        <v>59023</v>
      </c>
      <c r="C60" s="57">
        <v>56.87</v>
      </c>
    </row>
    <row r="61" spans="1:3" x14ac:dyDescent="0.25">
      <c r="A61" s="8">
        <v>41554</v>
      </c>
      <c r="B61" s="4">
        <v>59024</v>
      </c>
      <c r="C61" s="57">
        <v>241.46</v>
      </c>
    </row>
    <row r="62" spans="1:3" x14ac:dyDescent="0.25">
      <c r="A62" s="8">
        <v>41554</v>
      </c>
      <c r="B62" s="4">
        <v>59025</v>
      </c>
      <c r="C62" s="57">
        <v>99.87</v>
      </c>
    </row>
    <row r="63" spans="1:3" x14ac:dyDescent="0.25">
      <c r="A63" s="8">
        <v>41554</v>
      </c>
      <c r="B63" s="4">
        <v>59026</v>
      </c>
      <c r="C63" s="57">
        <v>52.75</v>
      </c>
    </row>
    <row r="64" spans="1:3" x14ac:dyDescent="0.25">
      <c r="A64" s="8">
        <v>41554</v>
      </c>
      <c r="B64" s="4">
        <v>59027</v>
      </c>
      <c r="C64" s="57">
        <v>67.819999999999993</v>
      </c>
    </row>
    <row r="65" spans="1:3" x14ac:dyDescent="0.25">
      <c r="A65" s="8">
        <v>41554</v>
      </c>
      <c r="B65" s="4">
        <v>59028</v>
      </c>
      <c r="C65" s="57">
        <v>114.91</v>
      </c>
    </row>
    <row r="66" spans="1:3" x14ac:dyDescent="0.25">
      <c r="A66" s="8">
        <v>41554</v>
      </c>
      <c r="B66" s="4">
        <v>59029</v>
      </c>
      <c r="C66" s="57">
        <v>189.99</v>
      </c>
    </row>
    <row r="67" spans="1:3" x14ac:dyDescent="0.25">
      <c r="A67" s="8">
        <v>41554</v>
      </c>
      <c r="B67" s="4">
        <v>59030</v>
      </c>
      <c r="C67" s="57">
        <v>280.49</v>
      </c>
    </row>
    <row r="68" spans="1:3" x14ac:dyDescent="0.25">
      <c r="A68" s="8">
        <v>41554</v>
      </c>
      <c r="B68" s="4">
        <v>59031</v>
      </c>
      <c r="C68" s="57">
        <v>137.1</v>
      </c>
    </row>
    <row r="69" spans="1:3" x14ac:dyDescent="0.25">
      <c r="A69" s="8">
        <v>41554</v>
      </c>
      <c r="B69" s="4">
        <v>59032</v>
      </c>
      <c r="C69" s="57">
        <v>182.84</v>
      </c>
    </row>
    <row r="70" spans="1:3" x14ac:dyDescent="0.25">
      <c r="A70" s="8">
        <v>41554</v>
      </c>
      <c r="B70" s="4">
        <v>59033</v>
      </c>
      <c r="C70" s="57">
        <v>327.64999999999998</v>
      </c>
    </row>
    <row r="71" spans="1:3" x14ac:dyDescent="0.25">
      <c r="A71" s="8">
        <v>41554</v>
      </c>
      <c r="B71" s="4">
        <v>59034</v>
      </c>
      <c r="C71" s="57">
        <v>269.27</v>
      </c>
    </row>
    <row r="72" spans="1:3" x14ac:dyDescent="0.25">
      <c r="A72" s="8">
        <v>41554</v>
      </c>
      <c r="B72" s="4">
        <v>59035</v>
      </c>
      <c r="C72" s="57">
        <v>92.39</v>
      </c>
    </row>
    <row r="73" spans="1:3" x14ac:dyDescent="0.25">
      <c r="A73" s="8">
        <v>41554</v>
      </c>
      <c r="B73" s="4">
        <v>59036</v>
      </c>
      <c r="C73" s="57">
        <v>97.21</v>
      </c>
    </row>
    <row r="74" spans="1:3" x14ac:dyDescent="0.25">
      <c r="A74" s="8">
        <v>41555</v>
      </c>
      <c r="B74" s="4">
        <v>59037</v>
      </c>
      <c r="C74" s="57">
        <v>97.59</v>
      </c>
    </row>
    <row r="75" spans="1:3" x14ac:dyDescent="0.25">
      <c r="A75" s="8">
        <v>41555</v>
      </c>
      <c r="B75" s="4">
        <v>59038</v>
      </c>
      <c r="C75" s="57">
        <v>353.5</v>
      </c>
    </row>
    <row r="76" spans="1:3" x14ac:dyDescent="0.25">
      <c r="A76" s="8">
        <v>41555</v>
      </c>
      <c r="B76" s="4">
        <v>59039</v>
      </c>
      <c r="C76" s="57">
        <v>130.79</v>
      </c>
    </row>
    <row r="77" spans="1:3" x14ac:dyDescent="0.25">
      <c r="A77" s="8">
        <v>41555</v>
      </c>
      <c r="B77" s="4">
        <v>59040</v>
      </c>
      <c r="C77" s="57">
        <v>379.46</v>
      </c>
    </row>
    <row r="78" spans="1:3" x14ac:dyDescent="0.25">
      <c r="A78" s="8">
        <v>41555</v>
      </c>
      <c r="B78" s="4">
        <v>59041</v>
      </c>
      <c r="C78" s="57">
        <v>143.1</v>
      </c>
    </row>
    <row r="79" spans="1:3" x14ac:dyDescent="0.25">
      <c r="A79" s="8">
        <v>41555</v>
      </c>
      <c r="B79" s="4">
        <v>59042</v>
      </c>
      <c r="C79" s="57">
        <v>163.51</v>
      </c>
    </row>
    <row r="80" spans="1:3" x14ac:dyDescent="0.25">
      <c r="A80" s="8">
        <v>41555</v>
      </c>
      <c r="B80" s="4">
        <v>59043</v>
      </c>
      <c r="C80" s="57">
        <v>131.96</v>
      </c>
    </row>
    <row r="81" spans="1:3" x14ac:dyDescent="0.25">
      <c r="A81" s="8">
        <v>41555</v>
      </c>
      <c r="B81" s="4">
        <v>59044</v>
      </c>
      <c r="C81" s="57">
        <v>365.99</v>
      </c>
    </row>
    <row r="82" spans="1:3" x14ac:dyDescent="0.25">
      <c r="A82" s="8">
        <v>41555</v>
      </c>
      <c r="B82" s="4">
        <v>59045</v>
      </c>
      <c r="C82" s="57">
        <v>311.20999999999998</v>
      </c>
    </row>
    <row r="83" spans="1:3" x14ac:dyDescent="0.25">
      <c r="A83" s="8">
        <v>41555</v>
      </c>
      <c r="B83" s="4">
        <v>59046</v>
      </c>
      <c r="C83" s="57">
        <v>163.16999999999999</v>
      </c>
    </row>
    <row r="84" spans="1:3" x14ac:dyDescent="0.25">
      <c r="A84" s="8">
        <v>41555</v>
      </c>
      <c r="B84" s="4">
        <v>59047</v>
      </c>
      <c r="C84" s="57">
        <v>68.66</v>
      </c>
    </row>
    <row r="85" spans="1:3" x14ac:dyDescent="0.25">
      <c r="A85" s="8">
        <v>41555</v>
      </c>
      <c r="B85" s="4">
        <v>59048</v>
      </c>
      <c r="C85" s="57">
        <v>72.08</v>
      </c>
    </row>
    <row r="86" spans="1:3" x14ac:dyDescent="0.25">
      <c r="A86" s="8">
        <v>41555</v>
      </c>
      <c r="B86" s="4">
        <v>59049</v>
      </c>
      <c r="C86" s="57">
        <v>363.6</v>
      </c>
    </row>
    <row r="87" spans="1:3" x14ac:dyDescent="0.25">
      <c r="A87" s="8">
        <v>41555</v>
      </c>
      <c r="B87" s="4">
        <v>59050</v>
      </c>
      <c r="C87" s="57">
        <v>291.38</v>
      </c>
    </row>
    <row r="88" spans="1:3" x14ac:dyDescent="0.25">
      <c r="A88" s="8">
        <v>41555</v>
      </c>
      <c r="B88" s="4">
        <v>59051</v>
      </c>
      <c r="C88" s="57">
        <v>317.54000000000002</v>
      </c>
    </row>
    <row r="89" spans="1:3" x14ac:dyDescent="0.25">
      <c r="A89" s="8">
        <v>41555</v>
      </c>
      <c r="B89" s="4">
        <v>59052</v>
      </c>
      <c r="C89" s="57">
        <v>381.83</v>
      </c>
    </row>
    <row r="90" spans="1:3" x14ac:dyDescent="0.25">
      <c r="A90" s="8">
        <v>41555</v>
      </c>
      <c r="B90" s="4">
        <v>59053</v>
      </c>
      <c r="C90" s="57">
        <v>199.1</v>
      </c>
    </row>
    <row r="91" spans="1:3" x14ac:dyDescent="0.25">
      <c r="A91" s="8">
        <v>41555</v>
      </c>
      <c r="B91" s="4">
        <v>59054</v>
      </c>
      <c r="C91" s="57">
        <v>194.58</v>
      </c>
    </row>
    <row r="92" spans="1:3" x14ac:dyDescent="0.25">
      <c r="A92" s="8">
        <v>41555</v>
      </c>
      <c r="B92" s="4">
        <v>59055</v>
      </c>
      <c r="C92" s="57">
        <v>84.63</v>
      </c>
    </row>
    <row r="93" spans="1:3" x14ac:dyDescent="0.25">
      <c r="A93" s="8">
        <v>41555</v>
      </c>
      <c r="B93" s="4">
        <v>59056</v>
      </c>
      <c r="C93" s="57">
        <v>174.5</v>
      </c>
    </row>
    <row r="94" spans="1:3" x14ac:dyDescent="0.25">
      <c r="A94" s="8">
        <v>41556</v>
      </c>
      <c r="B94" s="4">
        <v>59057</v>
      </c>
      <c r="C94" s="57">
        <v>70.510000000000005</v>
      </c>
    </row>
    <row r="95" spans="1:3" x14ac:dyDescent="0.25">
      <c r="A95" s="8">
        <v>41556</v>
      </c>
      <c r="B95" s="4">
        <v>59058</v>
      </c>
      <c r="C95" s="57">
        <v>243.02</v>
      </c>
    </row>
    <row r="96" spans="1:3" x14ac:dyDescent="0.25">
      <c r="A96" s="8">
        <v>41556</v>
      </c>
      <c r="B96" s="4">
        <v>59059</v>
      </c>
      <c r="C96" s="57">
        <v>185.32</v>
      </c>
    </row>
    <row r="97" spans="1:3" x14ac:dyDescent="0.25">
      <c r="A97" s="8">
        <v>41556</v>
      </c>
      <c r="B97" s="4">
        <v>59060</v>
      </c>
      <c r="C97" s="57">
        <v>344.37</v>
      </c>
    </row>
    <row r="98" spans="1:3" x14ac:dyDescent="0.25">
      <c r="A98" s="8">
        <v>41556</v>
      </c>
      <c r="B98" s="4">
        <v>59061</v>
      </c>
      <c r="C98" s="57">
        <v>192.89</v>
      </c>
    </row>
    <row r="99" spans="1:3" x14ac:dyDescent="0.25">
      <c r="A99" s="8">
        <v>41556</v>
      </c>
      <c r="B99" s="4">
        <v>59062</v>
      </c>
      <c r="C99" s="57">
        <v>343.18</v>
      </c>
    </row>
    <row r="100" spans="1:3" x14ac:dyDescent="0.25">
      <c r="A100" s="8">
        <v>41556</v>
      </c>
      <c r="B100" s="4">
        <v>59063</v>
      </c>
      <c r="C100" s="57">
        <v>233.61</v>
      </c>
    </row>
    <row r="101" spans="1:3" x14ac:dyDescent="0.25">
      <c r="A101" s="8">
        <v>41556</v>
      </c>
      <c r="B101" s="4">
        <v>59064</v>
      </c>
      <c r="C101" s="57">
        <v>263.82</v>
      </c>
    </row>
    <row r="102" spans="1:3" x14ac:dyDescent="0.25">
      <c r="A102" s="8">
        <v>41556</v>
      </c>
      <c r="B102" s="4">
        <v>59065</v>
      </c>
      <c r="C102" s="57">
        <v>42.16</v>
      </c>
    </row>
    <row r="103" spans="1:3" x14ac:dyDescent="0.25">
      <c r="A103" s="8">
        <v>41556</v>
      </c>
      <c r="B103" s="4">
        <v>59066</v>
      </c>
      <c r="C103" s="57">
        <v>193.92</v>
      </c>
    </row>
    <row r="104" spans="1:3" x14ac:dyDescent="0.25">
      <c r="A104" s="8">
        <v>41556</v>
      </c>
      <c r="B104" s="4">
        <v>59067</v>
      </c>
      <c r="C104" s="57">
        <v>263.2</v>
      </c>
    </row>
    <row r="105" spans="1:3" x14ac:dyDescent="0.25">
      <c r="A105" s="8">
        <v>41556</v>
      </c>
      <c r="B105" s="4">
        <v>59068</v>
      </c>
      <c r="C105" s="57">
        <v>237.3</v>
      </c>
    </row>
    <row r="106" spans="1:3" x14ac:dyDescent="0.25">
      <c r="A106" s="8">
        <v>41556</v>
      </c>
      <c r="B106" s="4">
        <v>59069</v>
      </c>
      <c r="C106" s="57">
        <v>335.98</v>
      </c>
    </row>
    <row r="107" spans="1:3" x14ac:dyDescent="0.25">
      <c r="A107" s="8">
        <v>41556</v>
      </c>
      <c r="B107" s="4">
        <v>59070</v>
      </c>
      <c r="C107" s="57">
        <v>89.59</v>
      </c>
    </row>
    <row r="108" spans="1:3" x14ac:dyDescent="0.25">
      <c r="A108" s="8">
        <v>41556</v>
      </c>
      <c r="B108" s="4">
        <v>59071</v>
      </c>
      <c r="C108" s="57">
        <v>273.16000000000003</v>
      </c>
    </row>
    <row r="109" spans="1:3" x14ac:dyDescent="0.25">
      <c r="A109" s="8">
        <v>41556</v>
      </c>
      <c r="B109" s="4">
        <v>59072</v>
      </c>
      <c r="C109" s="57">
        <v>160.41</v>
      </c>
    </row>
    <row r="110" spans="1:3" x14ac:dyDescent="0.25">
      <c r="A110" s="8">
        <v>41557</v>
      </c>
      <c r="B110" s="4">
        <v>59073</v>
      </c>
      <c r="C110" s="57">
        <v>111.8</v>
      </c>
    </row>
    <row r="111" spans="1:3" x14ac:dyDescent="0.25">
      <c r="A111" s="8">
        <v>41557</v>
      </c>
      <c r="B111" s="4">
        <v>59074</v>
      </c>
      <c r="C111" s="57">
        <v>57.68</v>
      </c>
    </row>
    <row r="112" spans="1:3" x14ac:dyDescent="0.25">
      <c r="A112" s="8">
        <v>41557</v>
      </c>
      <c r="B112" s="4">
        <v>59075</v>
      </c>
      <c r="C112" s="57">
        <v>172.57</v>
      </c>
    </row>
    <row r="113" spans="1:3" x14ac:dyDescent="0.25">
      <c r="A113" s="8">
        <v>41557</v>
      </c>
      <c r="B113" s="4">
        <v>59076</v>
      </c>
      <c r="C113" s="57">
        <v>265.02999999999997</v>
      </c>
    </row>
    <row r="114" spans="1:3" x14ac:dyDescent="0.25">
      <c r="A114" s="8">
        <v>41557</v>
      </c>
      <c r="B114" s="4">
        <v>59077</v>
      </c>
      <c r="C114" s="57">
        <v>253.47</v>
      </c>
    </row>
    <row r="115" spans="1:3" x14ac:dyDescent="0.25">
      <c r="A115" s="8">
        <v>41557</v>
      </c>
      <c r="B115" s="4">
        <v>59078</v>
      </c>
      <c r="C115" s="57">
        <v>344.94</v>
      </c>
    </row>
    <row r="116" spans="1:3" x14ac:dyDescent="0.25">
      <c r="A116" s="8">
        <v>41557</v>
      </c>
      <c r="B116" s="4">
        <v>59079</v>
      </c>
      <c r="C116" s="57">
        <v>159.99</v>
      </c>
    </row>
    <row r="117" spans="1:3" x14ac:dyDescent="0.25">
      <c r="A117" s="8">
        <v>41557</v>
      </c>
      <c r="B117" s="4">
        <v>59080</v>
      </c>
      <c r="C117" s="57">
        <v>333.4</v>
      </c>
    </row>
    <row r="118" spans="1:3" x14ac:dyDescent="0.25">
      <c r="A118" s="8">
        <v>41557</v>
      </c>
      <c r="B118" s="4">
        <v>59081</v>
      </c>
      <c r="C118" s="57">
        <v>107.94</v>
      </c>
    </row>
    <row r="119" spans="1:3" x14ac:dyDescent="0.25">
      <c r="A119" s="8">
        <v>41557</v>
      </c>
      <c r="B119" s="4">
        <v>59082</v>
      </c>
      <c r="C119" s="57">
        <v>71.91</v>
      </c>
    </row>
    <row r="120" spans="1:3" x14ac:dyDescent="0.25">
      <c r="A120" s="8">
        <v>41557</v>
      </c>
      <c r="B120" s="4">
        <v>59083</v>
      </c>
      <c r="C120" s="57">
        <v>72.510000000000005</v>
      </c>
    </row>
    <row r="121" spans="1:3" x14ac:dyDescent="0.25">
      <c r="A121" s="8">
        <v>41557</v>
      </c>
      <c r="B121" s="4">
        <v>59084</v>
      </c>
      <c r="C121" s="57">
        <v>163.51</v>
      </c>
    </row>
    <row r="122" spans="1:3" x14ac:dyDescent="0.25">
      <c r="A122" s="8">
        <v>41557</v>
      </c>
      <c r="B122" s="4">
        <v>59085</v>
      </c>
      <c r="C122" s="57">
        <v>83.31</v>
      </c>
    </row>
    <row r="123" spans="1:3" x14ac:dyDescent="0.25">
      <c r="A123" s="8">
        <v>41557</v>
      </c>
      <c r="B123" s="4">
        <v>59086</v>
      </c>
      <c r="C123" s="57">
        <v>178.08</v>
      </c>
    </row>
    <row r="124" spans="1:3" x14ac:dyDescent="0.25">
      <c r="A124" s="8">
        <v>41557</v>
      </c>
      <c r="B124" s="4">
        <v>59087</v>
      </c>
      <c r="C124" s="57">
        <v>133.58000000000001</v>
      </c>
    </row>
    <row r="125" spans="1:3" x14ac:dyDescent="0.25">
      <c r="A125" s="8">
        <v>41557</v>
      </c>
      <c r="B125" s="4">
        <v>59088</v>
      </c>
      <c r="C125" s="57">
        <v>332.54</v>
      </c>
    </row>
    <row r="126" spans="1:3" x14ac:dyDescent="0.25">
      <c r="A126" s="8">
        <v>41557</v>
      </c>
      <c r="B126" s="4">
        <v>59089</v>
      </c>
      <c r="C126" s="57">
        <v>170.48</v>
      </c>
    </row>
    <row r="127" spans="1:3" x14ac:dyDescent="0.25">
      <c r="A127" s="8">
        <v>41557</v>
      </c>
      <c r="B127" s="4">
        <v>59090</v>
      </c>
      <c r="C127" s="57">
        <v>328.78</v>
      </c>
    </row>
    <row r="128" spans="1:3" x14ac:dyDescent="0.25">
      <c r="A128" s="8">
        <v>41557</v>
      </c>
      <c r="B128" s="4">
        <v>59091</v>
      </c>
      <c r="C128" s="57">
        <v>200.31</v>
      </c>
    </row>
    <row r="129" spans="1:3" x14ac:dyDescent="0.25">
      <c r="A129" s="8">
        <v>41557</v>
      </c>
      <c r="B129" s="4">
        <v>59092</v>
      </c>
      <c r="C129" s="57">
        <v>152.29</v>
      </c>
    </row>
    <row r="130" spans="1:3" x14ac:dyDescent="0.25">
      <c r="A130" s="8">
        <v>41557</v>
      </c>
      <c r="B130" s="4">
        <v>59093</v>
      </c>
      <c r="C130" s="57">
        <v>304.70999999999998</v>
      </c>
    </row>
    <row r="131" spans="1:3" x14ac:dyDescent="0.25">
      <c r="A131" s="8">
        <v>41557</v>
      </c>
      <c r="B131" s="4">
        <v>59094</v>
      </c>
      <c r="C131" s="57">
        <v>371.78</v>
      </c>
    </row>
    <row r="132" spans="1:3" x14ac:dyDescent="0.25">
      <c r="A132" s="8">
        <v>41558</v>
      </c>
      <c r="B132" s="4">
        <v>59095</v>
      </c>
      <c r="C132" s="57">
        <v>204.74</v>
      </c>
    </row>
    <row r="133" spans="1:3" x14ac:dyDescent="0.25">
      <c r="A133" s="8">
        <v>41558</v>
      </c>
      <c r="B133" s="4">
        <v>59096</v>
      </c>
      <c r="C133" s="57">
        <v>169.07</v>
      </c>
    </row>
    <row r="134" spans="1:3" x14ac:dyDescent="0.25">
      <c r="A134" s="8">
        <v>41558</v>
      </c>
      <c r="B134" s="4">
        <v>59097</v>
      </c>
      <c r="C134" s="57">
        <v>321.23</v>
      </c>
    </row>
    <row r="135" spans="1:3" x14ac:dyDescent="0.25">
      <c r="A135" s="8">
        <v>41558</v>
      </c>
      <c r="B135" s="4">
        <v>59098</v>
      </c>
      <c r="C135" s="57">
        <v>266.52999999999997</v>
      </c>
    </row>
    <row r="136" spans="1:3" x14ac:dyDescent="0.25">
      <c r="A136" s="8">
        <v>41558</v>
      </c>
      <c r="B136" s="4">
        <v>59099</v>
      </c>
      <c r="C136" s="57">
        <v>262.87</v>
      </c>
    </row>
    <row r="137" spans="1:3" x14ac:dyDescent="0.25">
      <c r="A137" s="8">
        <v>41558</v>
      </c>
      <c r="B137" s="4">
        <v>59100</v>
      </c>
      <c r="C137" s="57">
        <v>103.58</v>
      </c>
    </row>
    <row r="138" spans="1:3" x14ac:dyDescent="0.25">
      <c r="A138" s="8">
        <v>41558</v>
      </c>
      <c r="B138" s="4">
        <v>59101</v>
      </c>
      <c r="C138" s="57">
        <v>218.88</v>
      </c>
    </row>
    <row r="139" spans="1:3" x14ac:dyDescent="0.25">
      <c r="A139" s="8">
        <v>41558</v>
      </c>
      <c r="B139" s="4">
        <v>59102</v>
      </c>
      <c r="C139" s="57">
        <v>271.44</v>
      </c>
    </row>
    <row r="140" spans="1:3" x14ac:dyDescent="0.25">
      <c r="A140" s="8">
        <v>41558</v>
      </c>
      <c r="B140" s="4">
        <v>59103</v>
      </c>
      <c r="C140" s="57">
        <v>309.05</v>
      </c>
    </row>
    <row r="141" spans="1:3" x14ac:dyDescent="0.25">
      <c r="A141" s="8">
        <v>41558</v>
      </c>
      <c r="B141" s="4">
        <v>59104</v>
      </c>
      <c r="C141" s="57">
        <v>243.41</v>
      </c>
    </row>
    <row r="142" spans="1:3" x14ac:dyDescent="0.25">
      <c r="A142" s="8">
        <v>41558</v>
      </c>
      <c r="B142" s="4">
        <v>59105</v>
      </c>
      <c r="C142" s="57">
        <v>43.12</v>
      </c>
    </row>
    <row r="143" spans="1:3" x14ac:dyDescent="0.25">
      <c r="A143" s="8">
        <v>41558</v>
      </c>
      <c r="B143" s="4">
        <v>59106</v>
      </c>
      <c r="C143" s="57">
        <v>202.33</v>
      </c>
    </row>
    <row r="144" spans="1:3" x14ac:dyDescent="0.25">
      <c r="A144" s="8">
        <v>41558</v>
      </c>
      <c r="B144" s="4">
        <v>59107</v>
      </c>
      <c r="C144" s="57">
        <v>77.84</v>
      </c>
    </row>
    <row r="145" spans="1:3" x14ac:dyDescent="0.25">
      <c r="A145" s="8">
        <v>41558</v>
      </c>
      <c r="B145" s="4">
        <v>59108</v>
      </c>
      <c r="C145" s="57">
        <v>63</v>
      </c>
    </row>
    <row r="146" spans="1:3" x14ac:dyDescent="0.25">
      <c r="A146" s="8">
        <v>41558</v>
      </c>
      <c r="B146" s="4">
        <v>59109</v>
      </c>
      <c r="C146" s="57">
        <v>157.47999999999999</v>
      </c>
    </row>
    <row r="147" spans="1:3" x14ac:dyDescent="0.25">
      <c r="A147" s="8">
        <v>41558</v>
      </c>
      <c r="B147" s="4">
        <v>59110</v>
      </c>
      <c r="C147" s="57">
        <v>37.21</v>
      </c>
    </row>
    <row r="148" spans="1:3" x14ac:dyDescent="0.25">
      <c r="A148" s="8">
        <v>41558</v>
      </c>
      <c r="B148" s="4">
        <v>59111</v>
      </c>
      <c r="C148" s="57">
        <v>259.35000000000002</v>
      </c>
    </row>
    <row r="149" spans="1:3" x14ac:dyDescent="0.25">
      <c r="A149" s="8">
        <v>41558</v>
      </c>
      <c r="B149" s="4">
        <v>59112</v>
      </c>
      <c r="C149" s="57">
        <v>227.62</v>
      </c>
    </row>
    <row r="150" spans="1:3" x14ac:dyDescent="0.25">
      <c r="A150" s="8">
        <v>41558</v>
      </c>
      <c r="B150" s="4">
        <v>59113</v>
      </c>
      <c r="C150" s="57">
        <v>40.020000000000003</v>
      </c>
    </row>
    <row r="151" spans="1:3" x14ac:dyDescent="0.25">
      <c r="A151" s="8">
        <v>41558</v>
      </c>
      <c r="B151" s="4">
        <v>59114</v>
      </c>
      <c r="C151" s="57">
        <v>246.71</v>
      </c>
    </row>
    <row r="152" spans="1:3" x14ac:dyDescent="0.25">
      <c r="A152" s="8">
        <v>41558</v>
      </c>
      <c r="B152" s="4">
        <v>59115</v>
      </c>
      <c r="C152" s="57">
        <v>120.66</v>
      </c>
    </row>
    <row r="153" spans="1:3" x14ac:dyDescent="0.25">
      <c r="A153" s="8">
        <v>41558</v>
      </c>
      <c r="B153" s="4">
        <v>59116</v>
      </c>
      <c r="C153" s="57">
        <v>53.84</v>
      </c>
    </row>
    <row r="154" spans="1:3" x14ac:dyDescent="0.25">
      <c r="A154" s="8">
        <v>41558</v>
      </c>
      <c r="B154" s="4">
        <v>59117</v>
      </c>
      <c r="C154" s="57">
        <v>90.75</v>
      </c>
    </row>
    <row r="155" spans="1:3" x14ac:dyDescent="0.25">
      <c r="A155" s="8">
        <v>41558</v>
      </c>
      <c r="B155" s="4">
        <v>59118</v>
      </c>
      <c r="C155" s="57">
        <v>66.25</v>
      </c>
    </row>
    <row r="156" spans="1:3" x14ac:dyDescent="0.25">
      <c r="A156" s="8">
        <v>41558</v>
      </c>
      <c r="B156" s="4">
        <v>59119</v>
      </c>
      <c r="C156" s="57">
        <v>329.61</v>
      </c>
    </row>
    <row r="157" spans="1:3" x14ac:dyDescent="0.25">
      <c r="A157" s="8">
        <v>41558</v>
      </c>
      <c r="B157" s="4">
        <v>59120</v>
      </c>
      <c r="C157" s="57">
        <v>322.38</v>
      </c>
    </row>
    <row r="158" spans="1:3" x14ac:dyDescent="0.25">
      <c r="A158" s="8">
        <v>41559</v>
      </c>
      <c r="B158" s="4">
        <v>59121</v>
      </c>
      <c r="C158" s="57">
        <v>325.39</v>
      </c>
    </row>
    <row r="159" spans="1:3" x14ac:dyDescent="0.25">
      <c r="A159" s="8">
        <v>41559</v>
      </c>
      <c r="B159" s="4">
        <v>59122</v>
      </c>
      <c r="C159" s="57">
        <v>329.75</v>
      </c>
    </row>
    <row r="160" spans="1:3" x14ac:dyDescent="0.25">
      <c r="A160" s="8">
        <v>41559</v>
      </c>
      <c r="B160" s="4">
        <v>59123</v>
      </c>
      <c r="C160" s="57">
        <v>47.73</v>
      </c>
    </row>
    <row r="161" spans="1:3" x14ac:dyDescent="0.25">
      <c r="A161" s="8">
        <v>41559</v>
      </c>
      <c r="B161" s="4">
        <v>59124</v>
      </c>
      <c r="C161" s="57">
        <v>75.069999999999993</v>
      </c>
    </row>
    <row r="162" spans="1:3" x14ac:dyDescent="0.25">
      <c r="A162" s="8">
        <v>41559</v>
      </c>
      <c r="B162" s="4">
        <v>59125</v>
      </c>
      <c r="C162" s="57">
        <v>152.38999999999999</v>
      </c>
    </row>
    <row r="163" spans="1:3" x14ac:dyDescent="0.25">
      <c r="A163" s="8">
        <v>41559</v>
      </c>
      <c r="B163" s="4">
        <v>59126</v>
      </c>
      <c r="C163" s="57">
        <v>285.69</v>
      </c>
    </row>
    <row r="164" spans="1:3" x14ac:dyDescent="0.25">
      <c r="A164" s="8">
        <v>41559</v>
      </c>
      <c r="B164" s="4">
        <v>59127</v>
      </c>
      <c r="C164" s="57">
        <v>284.08</v>
      </c>
    </row>
    <row r="165" spans="1:3" x14ac:dyDescent="0.25">
      <c r="A165" s="8">
        <v>41559</v>
      </c>
      <c r="B165" s="4">
        <v>59128</v>
      </c>
      <c r="C165" s="57">
        <v>111.94</v>
      </c>
    </row>
    <row r="166" spans="1:3" x14ac:dyDescent="0.25">
      <c r="A166" s="8">
        <v>41559</v>
      </c>
      <c r="B166" s="4">
        <v>59129</v>
      </c>
      <c r="C166" s="57">
        <v>58.69</v>
      </c>
    </row>
    <row r="167" spans="1:3" x14ac:dyDescent="0.25">
      <c r="A167" s="8">
        <v>41559</v>
      </c>
      <c r="B167" s="4">
        <v>59130</v>
      </c>
      <c r="C167" s="57">
        <v>74.290000000000006</v>
      </c>
    </row>
    <row r="168" spans="1:3" x14ac:dyDescent="0.25">
      <c r="A168" s="8">
        <v>41559</v>
      </c>
      <c r="B168" s="4">
        <v>59131</v>
      </c>
      <c r="C168" s="57">
        <v>230.41</v>
      </c>
    </row>
    <row r="169" spans="1:3" x14ac:dyDescent="0.25">
      <c r="A169" s="8">
        <v>41559</v>
      </c>
      <c r="B169" s="4">
        <v>59132</v>
      </c>
      <c r="C169" s="57">
        <v>348.47</v>
      </c>
    </row>
    <row r="170" spans="1:3" x14ac:dyDescent="0.25">
      <c r="A170" s="8">
        <v>41559</v>
      </c>
      <c r="B170" s="4">
        <v>59133</v>
      </c>
      <c r="C170" s="57">
        <v>357.34</v>
      </c>
    </row>
    <row r="171" spans="1:3" x14ac:dyDescent="0.25">
      <c r="A171" s="8">
        <v>41559</v>
      </c>
      <c r="B171" s="4">
        <v>59134</v>
      </c>
      <c r="C171" s="57">
        <v>145.47</v>
      </c>
    </row>
    <row r="172" spans="1:3" x14ac:dyDescent="0.25">
      <c r="A172" s="8">
        <v>41559</v>
      </c>
      <c r="B172" s="4">
        <v>59135</v>
      </c>
      <c r="C172" s="57">
        <v>48.37</v>
      </c>
    </row>
    <row r="173" spans="1:3" x14ac:dyDescent="0.25">
      <c r="A173" s="8">
        <v>41559</v>
      </c>
      <c r="B173" s="4">
        <v>59136</v>
      </c>
      <c r="C173" s="57">
        <v>342.34</v>
      </c>
    </row>
    <row r="174" spans="1:3" x14ac:dyDescent="0.25">
      <c r="A174" s="8">
        <v>41559</v>
      </c>
      <c r="B174" s="4">
        <v>59137</v>
      </c>
      <c r="C174" s="57">
        <v>278.18</v>
      </c>
    </row>
    <row r="175" spans="1:3" x14ac:dyDescent="0.25">
      <c r="A175" s="8">
        <v>41559</v>
      </c>
      <c r="B175" s="4">
        <v>59138</v>
      </c>
      <c r="C175" s="57">
        <v>324.29000000000002</v>
      </c>
    </row>
    <row r="176" spans="1:3" x14ac:dyDescent="0.25">
      <c r="A176" s="8">
        <v>41559</v>
      </c>
      <c r="B176" s="4">
        <v>59139</v>
      </c>
      <c r="C176" s="57">
        <v>76.45</v>
      </c>
    </row>
    <row r="177" spans="1:3" x14ac:dyDescent="0.25">
      <c r="A177" s="8">
        <v>41559</v>
      </c>
      <c r="B177" s="4">
        <v>59140</v>
      </c>
      <c r="C177" s="57">
        <v>114.44</v>
      </c>
    </row>
    <row r="178" spans="1:3" x14ac:dyDescent="0.25">
      <c r="A178" s="8">
        <v>41559</v>
      </c>
      <c r="B178" s="4">
        <v>59141</v>
      </c>
      <c r="C178" s="57">
        <v>125.72</v>
      </c>
    </row>
    <row r="179" spans="1:3" x14ac:dyDescent="0.25">
      <c r="A179" s="8">
        <v>41560</v>
      </c>
      <c r="B179" s="4">
        <v>59142</v>
      </c>
      <c r="C179" s="57">
        <v>111.16</v>
      </c>
    </row>
    <row r="180" spans="1:3" x14ac:dyDescent="0.25">
      <c r="A180" s="8">
        <v>41560</v>
      </c>
      <c r="B180" s="4">
        <v>59143</v>
      </c>
      <c r="C180" s="57">
        <v>46.82</v>
      </c>
    </row>
    <row r="181" spans="1:3" x14ac:dyDescent="0.25">
      <c r="A181" s="8">
        <v>41560</v>
      </c>
      <c r="B181" s="4">
        <v>59144</v>
      </c>
      <c r="C181" s="57">
        <v>213.48</v>
      </c>
    </row>
    <row r="182" spans="1:3" x14ac:dyDescent="0.25">
      <c r="A182" s="8">
        <v>41560</v>
      </c>
      <c r="B182" s="4">
        <v>59145</v>
      </c>
      <c r="C182" s="57">
        <v>128.81</v>
      </c>
    </row>
    <row r="183" spans="1:3" x14ac:dyDescent="0.25">
      <c r="A183" s="8">
        <v>41560</v>
      </c>
      <c r="B183" s="4">
        <v>59146</v>
      </c>
      <c r="C183" s="57">
        <v>380.16</v>
      </c>
    </row>
    <row r="184" spans="1:3" x14ac:dyDescent="0.25">
      <c r="A184" s="8">
        <v>41560</v>
      </c>
      <c r="B184" s="4">
        <v>59147</v>
      </c>
      <c r="C184" s="57">
        <v>71.739999999999995</v>
      </c>
    </row>
    <row r="185" spans="1:3" x14ac:dyDescent="0.25">
      <c r="A185" s="8">
        <v>41560</v>
      </c>
      <c r="B185" s="4">
        <v>59148</v>
      </c>
      <c r="C185" s="57">
        <v>340.88</v>
      </c>
    </row>
    <row r="186" spans="1:3" x14ac:dyDescent="0.25">
      <c r="A186" s="8">
        <v>41560</v>
      </c>
      <c r="B186" s="4">
        <v>59149</v>
      </c>
      <c r="C186" s="57">
        <v>182.63</v>
      </c>
    </row>
    <row r="187" spans="1:3" x14ac:dyDescent="0.25">
      <c r="A187" s="8">
        <v>41560</v>
      </c>
      <c r="B187" s="4">
        <v>59150</v>
      </c>
      <c r="C187" s="57">
        <v>260.07</v>
      </c>
    </row>
    <row r="188" spans="1:3" x14ac:dyDescent="0.25">
      <c r="A188" s="8">
        <v>41560</v>
      </c>
      <c r="B188" s="4">
        <v>59151</v>
      </c>
      <c r="C188" s="57">
        <v>314.39999999999998</v>
      </c>
    </row>
    <row r="189" spans="1:3" x14ac:dyDescent="0.25">
      <c r="A189" s="8">
        <v>41560</v>
      </c>
      <c r="B189" s="4">
        <v>59152</v>
      </c>
      <c r="C189" s="57">
        <v>49.44</v>
      </c>
    </row>
    <row r="190" spans="1:3" x14ac:dyDescent="0.25">
      <c r="A190" s="8">
        <v>41560</v>
      </c>
      <c r="B190" s="4">
        <v>59153</v>
      </c>
      <c r="C190" s="57">
        <v>39.53</v>
      </c>
    </row>
    <row r="191" spans="1:3" x14ac:dyDescent="0.25">
      <c r="A191" s="8">
        <v>41560</v>
      </c>
      <c r="B191" s="4">
        <v>59154</v>
      </c>
      <c r="C191" s="57">
        <v>157.85</v>
      </c>
    </row>
    <row r="192" spans="1:3" x14ac:dyDescent="0.25">
      <c r="A192" s="8">
        <v>41560</v>
      </c>
      <c r="B192" s="4">
        <v>59155</v>
      </c>
      <c r="C192" s="57">
        <v>99.53</v>
      </c>
    </row>
    <row r="193" spans="1:3" x14ac:dyDescent="0.25">
      <c r="A193" s="8">
        <v>41560</v>
      </c>
      <c r="B193" s="4">
        <v>59156</v>
      </c>
      <c r="C193" s="57">
        <v>180.01</v>
      </c>
    </row>
    <row r="194" spans="1:3" x14ac:dyDescent="0.25">
      <c r="A194" s="8">
        <v>41561</v>
      </c>
      <c r="B194" s="4">
        <v>59157</v>
      </c>
      <c r="C194" s="57">
        <v>168.56</v>
      </c>
    </row>
    <row r="195" spans="1:3" x14ac:dyDescent="0.25">
      <c r="A195" s="8">
        <v>41561</v>
      </c>
      <c r="B195" s="4">
        <v>59158</v>
      </c>
      <c r="C195" s="57">
        <v>169.08</v>
      </c>
    </row>
    <row r="196" spans="1:3" x14ac:dyDescent="0.25">
      <c r="A196" s="8">
        <v>41561</v>
      </c>
      <c r="B196" s="4">
        <v>59159</v>
      </c>
      <c r="C196" s="57">
        <v>39.119999999999997</v>
      </c>
    </row>
    <row r="197" spans="1:3" x14ac:dyDescent="0.25">
      <c r="A197" s="8">
        <v>41561</v>
      </c>
      <c r="B197" s="4">
        <v>59160</v>
      </c>
      <c r="C197" s="57">
        <v>78.98</v>
      </c>
    </row>
    <row r="198" spans="1:3" x14ac:dyDescent="0.25">
      <c r="A198" s="8">
        <v>41561</v>
      </c>
      <c r="B198" s="4">
        <v>59161</v>
      </c>
      <c r="C198" s="57">
        <v>195.01</v>
      </c>
    </row>
    <row r="199" spans="1:3" x14ac:dyDescent="0.25">
      <c r="A199" s="8">
        <v>41561</v>
      </c>
      <c r="B199" s="4">
        <v>59162</v>
      </c>
      <c r="C199" s="57">
        <v>308.02</v>
      </c>
    </row>
    <row r="200" spans="1:3" x14ac:dyDescent="0.25">
      <c r="A200" s="8">
        <v>41561</v>
      </c>
      <c r="B200" s="4">
        <v>59163</v>
      </c>
      <c r="C200" s="57">
        <v>331.5</v>
      </c>
    </row>
    <row r="201" spans="1:3" x14ac:dyDescent="0.25">
      <c r="A201" s="8">
        <v>41561</v>
      </c>
      <c r="B201" s="4">
        <v>59164</v>
      </c>
      <c r="C201" s="57">
        <v>389.32</v>
      </c>
    </row>
    <row r="202" spans="1:3" x14ac:dyDescent="0.25">
      <c r="A202" s="8">
        <v>41561</v>
      </c>
      <c r="B202" s="4">
        <v>59165</v>
      </c>
      <c r="C202" s="57">
        <v>78.14</v>
      </c>
    </row>
    <row r="203" spans="1:3" x14ac:dyDescent="0.25">
      <c r="A203" s="8">
        <v>41561</v>
      </c>
      <c r="B203" s="4">
        <v>59166</v>
      </c>
      <c r="C203" s="57">
        <v>316.86</v>
      </c>
    </row>
    <row r="204" spans="1:3" x14ac:dyDescent="0.25">
      <c r="A204" s="8">
        <v>41561</v>
      </c>
      <c r="B204" s="4">
        <v>59167</v>
      </c>
      <c r="C204" s="57">
        <v>113.45</v>
      </c>
    </row>
    <row r="205" spans="1:3" x14ac:dyDescent="0.25">
      <c r="A205" s="8">
        <v>41561</v>
      </c>
      <c r="B205" s="4">
        <v>59168</v>
      </c>
      <c r="C205" s="57">
        <v>148</v>
      </c>
    </row>
    <row r="206" spans="1:3" x14ac:dyDescent="0.25">
      <c r="A206" s="8">
        <v>41561</v>
      </c>
      <c r="B206" s="4">
        <v>59169</v>
      </c>
      <c r="C206" s="57">
        <v>76.87</v>
      </c>
    </row>
    <row r="207" spans="1:3" x14ac:dyDescent="0.25">
      <c r="A207" s="8">
        <v>41561</v>
      </c>
      <c r="B207" s="4">
        <v>59170</v>
      </c>
      <c r="C207" s="57">
        <v>49.18</v>
      </c>
    </row>
    <row r="208" spans="1:3" x14ac:dyDescent="0.25">
      <c r="A208" s="8">
        <v>41561</v>
      </c>
      <c r="B208" s="4">
        <v>59171</v>
      </c>
      <c r="C208" s="57">
        <v>263.62</v>
      </c>
    </row>
    <row r="209" spans="1:3" x14ac:dyDescent="0.25">
      <c r="A209" s="8">
        <v>41561</v>
      </c>
      <c r="B209" s="4">
        <v>59172</v>
      </c>
      <c r="C209" s="57">
        <v>172.12</v>
      </c>
    </row>
    <row r="210" spans="1:3" x14ac:dyDescent="0.25">
      <c r="A210" s="8">
        <v>41561</v>
      </c>
      <c r="B210" s="4">
        <v>59173</v>
      </c>
      <c r="C210" s="57">
        <v>371.9</v>
      </c>
    </row>
    <row r="211" spans="1:3" x14ac:dyDescent="0.25">
      <c r="A211" s="8">
        <v>41561</v>
      </c>
      <c r="B211" s="4">
        <v>59174</v>
      </c>
      <c r="C211" s="57">
        <v>87.68</v>
      </c>
    </row>
    <row r="212" spans="1:3" x14ac:dyDescent="0.25">
      <c r="A212" s="8">
        <v>41561</v>
      </c>
      <c r="B212" s="4">
        <v>59175</v>
      </c>
      <c r="C212" s="57">
        <v>186.71</v>
      </c>
    </row>
    <row r="213" spans="1:3" x14ac:dyDescent="0.25">
      <c r="A213" s="8">
        <v>41561</v>
      </c>
      <c r="B213" s="4">
        <v>59176</v>
      </c>
      <c r="C213" s="57">
        <v>287.68</v>
      </c>
    </row>
    <row r="214" spans="1:3" x14ac:dyDescent="0.25">
      <c r="A214" s="8">
        <v>41561</v>
      </c>
      <c r="B214" s="4">
        <v>59177</v>
      </c>
      <c r="C214" s="57">
        <v>164.03</v>
      </c>
    </row>
    <row r="215" spans="1:3" x14ac:dyDescent="0.25">
      <c r="A215" s="8">
        <v>41561</v>
      </c>
      <c r="B215" s="4">
        <v>59178</v>
      </c>
      <c r="C215" s="57">
        <v>192.63</v>
      </c>
    </row>
    <row r="216" spans="1:3" x14ac:dyDescent="0.25">
      <c r="A216" s="8">
        <v>41561</v>
      </c>
      <c r="B216" s="4">
        <v>59179</v>
      </c>
      <c r="C216" s="57">
        <v>373.88</v>
      </c>
    </row>
    <row r="217" spans="1:3" x14ac:dyDescent="0.25">
      <c r="A217" s="8">
        <v>41561</v>
      </c>
      <c r="B217" s="4">
        <v>59180</v>
      </c>
      <c r="C217" s="57">
        <v>217.53</v>
      </c>
    </row>
    <row r="218" spans="1:3" x14ac:dyDescent="0.25">
      <c r="A218" s="8">
        <v>41561</v>
      </c>
      <c r="B218" s="4">
        <v>59181</v>
      </c>
      <c r="C218" s="57">
        <v>210.51</v>
      </c>
    </row>
    <row r="219" spans="1:3" x14ac:dyDescent="0.25">
      <c r="A219" s="8">
        <v>41561</v>
      </c>
      <c r="B219" s="4">
        <v>59182</v>
      </c>
      <c r="C219" s="57">
        <v>373.18</v>
      </c>
    </row>
    <row r="220" spans="1:3" x14ac:dyDescent="0.25">
      <c r="A220" s="8">
        <v>41561</v>
      </c>
      <c r="B220" s="4">
        <v>59183</v>
      </c>
      <c r="C220" s="57">
        <v>193.14</v>
      </c>
    </row>
    <row r="221" spans="1:3" x14ac:dyDescent="0.25">
      <c r="A221" s="8">
        <v>41561</v>
      </c>
      <c r="B221" s="4">
        <v>59184</v>
      </c>
      <c r="C221" s="57">
        <v>271.35000000000002</v>
      </c>
    </row>
    <row r="222" spans="1:3" x14ac:dyDescent="0.25">
      <c r="A222" s="8">
        <v>41562</v>
      </c>
      <c r="B222" s="4">
        <v>59185</v>
      </c>
      <c r="C222" s="57">
        <v>328.5</v>
      </c>
    </row>
    <row r="223" spans="1:3" x14ac:dyDescent="0.25">
      <c r="A223" s="8">
        <v>41562</v>
      </c>
      <c r="B223" s="4">
        <v>59186</v>
      </c>
      <c r="C223" s="57">
        <v>270.52999999999997</v>
      </c>
    </row>
    <row r="224" spans="1:3" x14ac:dyDescent="0.25">
      <c r="A224" s="8">
        <v>41562</v>
      </c>
      <c r="B224" s="4">
        <v>59187</v>
      </c>
      <c r="C224" s="57">
        <v>228.41</v>
      </c>
    </row>
    <row r="225" spans="1:3" x14ac:dyDescent="0.25">
      <c r="A225" s="8">
        <v>41562</v>
      </c>
      <c r="B225" s="4">
        <v>59188</v>
      </c>
      <c r="C225" s="57">
        <v>388.02</v>
      </c>
    </row>
    <row r="226" spans="1:3" x14ac:dyDescent="0.25">
      <c r="A226" s="8">
        <v>41562</v>
      </c>
      <c r="B226" s="4">
        <v>59189</v>
      </c>
      <c r="C226" s="57">
        <v>350.5</v>
      </c>
    </row>
    <row r="227" spans="1:3" x14ac:dyDescent="0.25">
      <c r="A227" s="8">
        <v>41562</v>
      </c>
      <c r="B227" s="4">
        <v>59190</v>
      </c>
      <c r="C227" s="57">
        <v>64.91</v>
      </c>
    </row>
    <row r="228" spans="1:3" x14ac:dyDescent="0.25">
      <c r="A228" s="8">
        <v>41562</v>
      </c>
      <c r="B228" s="4">
        <v>59191</v>
      </c>
      <c r="C228" s="57">
        <v>332.68</v>
      </c>
    </row>
    <row r="229" spans="1:3" x14ac:dyDescent="0.25">
      <c r="A229" s="8">
        <v>41562</v>
      </c>
      <c r="B229" s="4">
        <v>59192</v>
      </c>
      <c r="C229" s="57">
        <v>201.79</v>
      </c>
    </row>
    <row r="230" spans="1:3" x14ac:dyDescent="0.25">
      <c r="A230" s="8">
        <v>41562</v>
      </c>
      <c r="B230" s="4">
        <v>59193</v>
      </c>
      <c r="C230" s="57">
        <v>175.06</v>
      </c>
    </row>
    <row r="231" spans="1:3" x14ac:dyDescent="0.25">
      <c r="A231" s="8">
        <v>41562</v>
      </c>
      <c r="B231" s="4">
        <v>59194</v>
      </c>
      <c r="C231" s="57">
        <v>255.7</v>
      </c>
    </row>
    <row r="232" spans="1:3" x14ac:dyDescent="0.25">
      <c r="A232" s="8">
        <v>41562</v>
      </c>
      <c r="B232" s="4">
        <v>59195</v>
      </c>
      <c r="C232" s="57">
        <v>320.83</v>
      </c>
    </row>
    <row r="233" spans="1:3" x14ac:dyDescent="0.25">
      <c r="A233" s="8">
        <v>41562</v>
      </c>
      <c r="B233" s="4">
        <v>59196</v>
      </c>
      <c r="C233" s="57">
        <v>207.68</v>
      </c>
    </row>
    <row r="234" spans="1:3" x14ac:dyDescent="0.25">
      <c r="A234" s="8">
        <v>41562</v>
      </c>
      <c r="B234" s="4">
        <v>59197</v>
      </c>
      <c r="C234" s="57">
        <v>187.72</v>
      </c>
    </row>
    <row r="235" spans="1:3" x14ac:dyDescent="0.25">
      <c r="A235" s="8">
        <v>41562</v>
      </c>
      <c r="B235" s="4">
        <v>59198</v>
      </c>
      <c r="C235" s="57">
        <v>134.63</v>
      </c>
    </row>
    <row r="236" spans="1:3" x14ac:dyDescent="0.25">
      <c r="A236" s="8">
        <v>41562</v>
      </c>
      <c r="B236" s="4">
        <v>59199</v>
      </c>
      <c r="C236" s="57">
        <v>200.39</v>
      </c>
    </row>
    <row r="237" spans="1:3" x14ac:dyDescent="0.25">
      <c r="A237" s="8">
        <v>41562</v>
      </c>
      <c r="B237" s="4">
        <v>59200</v>
      </c>
      <c r="C237" s="57">
        <v>201.59</v>
      </c>
    </row>
    <row r="238" spans="1:3" x14ac:dyDescent="0.25">
      <c r="A238" s="8">
        <v>41562</v>
      </c>
      <c r="B238" s="4">
        <v>59201</v>
      </c>
      <c r="C238" s="57">
        <v>124.65</v>
      </c>
    </row>
    <row r="239" spans="1:3" x14ac:dyDescent="0.25">
      <c r="A239" s="8">
        <v>41562</v>
      </c>
      <c r="B239" s="4">
        <v>59202</v>
      </c>
      <c r="C239" s="57">
        <v>382.04</v>
      </c>
    </row>
    <row r="240" spans="1:3" x14ac:dyDescent="0.25">
      <c r="A240" s="8">
        <v>41562</v>
      </c>
      <c r="B240" s="4">
        <v>59203</v>
      </c>
      <c r="C240" s="57">
        <v>41.3</v>
      </c>
    </row>
    <row r="241" spans="1:3" x14ac:dyDescent="0.25">
      <c r="A241" s="8">
        <v>41562</v>
      </c>
      <c r="B241" s="4">
        <v>59204</v>
      </c>
      <c r="C241" s="57">
        <v>178.57</v>
      </c>
    </row>
    <row r="242" spans="1:3" x14ac:dyDescent="0.25">
      <c r="A242" s="8">
        <v>41562</v>
      </c>
      <c r="B242" s="4">
        <v>59205</v>
      </c>
      <c r="C242" s="57">
        <v>124.98</v>
      </c>
    </row>
    <row r="243" spans="1:3" x14ac:dyDescent="0.25">
      <c r="A243" s="8">
        <v>41562</v>
      </c>
      <c r="B243" s="4">
        <v>59206</v>
      </c>
      <c r="C243" s="57">
        <v>245.86</v>
      </c>
    </row>
    <row r="244" spans="1:3" x14ac:dyDescent="0.25">
      <c r="A244" s="8">
        <v>41563</v>
      </c>
      <c r="B244" s="4">
        <v>59207</v>
      </c>
      <c r="C244" s="57">
        <v>133.22</v>
      </c>
    </row>
    <row r="245" spans="1:3" x14ac:dyDescent="0.25">
      <c r="A245" s="8">
        <v>41563</v>
      </c>
      <c r="B245" s="4">
        <v>59208</v>
      </c>
      <c r="C245" s="57">
        <v>276.63</v>
      </c>
    </row>
    <row r="246" spans="1:3" x14ac:dyDescent="0.25">
      <c r="A246" s="8">
        <v>41563</v>
      </c>
      <c r="B246" s="4">
        <v>59209</v>
      </c>
      <c r="C246" s="57">
        <v>383.59</v>
      </c>
    </row>
    <row r="247" spans="1:3" x14ac:dyDescent="0.25">
      <c r="A247" s="8">
        <v>41563</v>
      </c>
      <c r="B247" s="4">
        <v>59210</v>
      </c>
      <c r="C247" s="57">
        <v>207.27</v>
      </c>
    </row>
    <row r="248" spans="1:3" x14ac:dyDescent="0.25">
      <c r="A248" s="8">
        <v>41563</v>
      </c>
      <c r="B248" s="4">
        <v>59211</v>
      </c>
      <c r="C248" s="57">
        <v>347.27</v>
      </c>
    </row>
    <row r="249" spans="1:3" x14ac:dyDescent="0.25">
      <c r="A249" s="8">
        <v>41563</v>
      </c>
      <c r="B249" s="4">
        <v>59212</v>
      </c>
      <c r="C249" s="57">
        <v>104.78</v>
      </c>
    </row>
    <row r="250" spans="1:3" x14ac:dyDescent="0.25">
      <c r="A250" s="8">
        <v>41563</v>
      </c>
      <c r="B250" s="4">
        <v>59213</v>
      </c>
      <c r="C250" s="57">
        <v>340.75</v>
      </c>
    </row>
    <row r="251" spans="1:3" x14ac:dyDescent="0.25">
      <c r="A251" s="8">
        <v>41563</v>
      </c>
      <c r="B251" s="4">
        <v>59214</v>
      </c>
      <c r="C251" s="57">
        <v>382.6</v>
      </c>
    </row>
    <row r="252" spans="1:3" x14ac:dyDescent="0.25">
      <c r="A252" s="8">
        <v>41563</v>
      </c>
      <c r="B252" s="4">
        <v>59215</v>
      </c>
      <c r="C252" s="57">
        <v>301.58</v>
      </c>
    </row>
    <row r="253" spans="1:3" x14ac:dyDescent="0.25">
      <c r="A253" s="8">
        <v>41563</v>
      </c>
      <c r="B253" s="4">
        <v>59216</v>
      </c>
      <c r="C253" s="57">
        <v>264.42</v>
      </c>
    </row>
    <row r="254" spans="1:3" x14ac:dyDescent="0.25">
      <c r="A254" s="8">
        <v>41563</v>
      </c>
      <c r="B254" s="4">
        <v>59217</v>
      </c>
      <c r="C254" s="57">
        <v>50.81</v>
      </c>
    </row>
    <row r="255" spans="1:3" x14ac:dyDescent="0.25">
      <c r="A255" s="8">
        <v>41563</v>
      </c>
      <c r="B255" s="4">
        <v>59218</v>
      </c>
      <c r="C255" s="57">
        <v>206.84</v>
      </c>
    </row>
    <row r="256" spans="1:3" x14ac:dyDescent="0.25">
      <c r="A256" s="8">
        <v>41563</v>
      </c>
      <c r="B256" s="4">
        <v>59219</v>
      </c>
      <c r="C256" s="57">
        <v>269.23</v>
      </c>
    </row>
    <row r="257" spans="1:3" x14ac:dyDescent="0.25">
      <c r="A257" s="8">
        <v>41563</v>
      </c>
      <c r="B257" s="4">
        <v>59220</v>
      </c>
      <c r="C257" s="57">
        <v>197.99</v>
      </c>
    </row>
    <row r="258" spans="1:3" x14ac:dyDescent="0.25">
      <c r="A258" s="8">
        <v>41563</v>
      </c>
      <c r="B258" s="4">
        <v>59221</v>
      </c>
      <c r="C258" s="57">
        <v>145.43</v>
      </c>
    </row>
    <row r="259" spans="1:3" x14ac:dyDescent="0.25">
      <c r="A259" s="8">
        <v>41563</v>
      </c>
      <c r="B259" s="4">
        <v>59222</v>
      </c>
      <c r="C259" s="57">
        <v>337.12</v>
      </c>
    </row>
    <row r="260" spans="1:3" x14ac:dyDescent="0.25">
      <c r="A260" s="8">
        <v>41563</v>
      </c>
      <c r="B260" s="4">
        <v>59223</v>
      </c>
      <c r="C260" s="57">
        <v>246.37</v>
      </c>
    </row>
    <row r="261" spans="1:3" x14ac:dyDescent="0.25">
      <c r="A261" s="8">
        <v>41563</v>
      </c>
      <c r="B261" s="4">
        <v>59224</v>
      </c>
      <c r="C261" s="57">
        <v>62.79</v>
      </c>
    </row>
    <row r="262" spans="1:3" x14ac:dyDescent="0.25">
      <c r="A262" s="8">
        <v>41563</v>
      </c>
      <c r="B262" s="4">
        <v>59225</v>
      </c>
      <c r="C262" s="57">
        <v>299.95</v>
      </c>
    </row>
    <row r="263" spans="1:3" x14ac:dyDescent="0.25">
      <c r="A263" s="8">
        <v>41563</v>
      </c>
      <c r="B263" s="4">
        <v>59226</v>
      </c>
      <c r="C263" s="57">
        <v>311.52</v>
      </c>
    </row>
    <row r="264" spans="1:3" x14ac:dyDescent="0.25">
      <c r="A264" s="8">
        <v>41564</v>
      </c>
      <c r="B264" s="4">
        <v>59227</v>
      </c>
      <c r="C264" s="57">
        <v>389.38</v>
      </c>
    </row>
    <row r="265" spans="1:3" x14ac:dyDescent="0.25">
      <c r="A265" s="8">
        <v>41564</v>
      </c>
      <c r="B265" s="4">
        <v>59228</v>
      </c>
      <c r="C265" s="57">
        <v>345.6</v>
      </c>
    </row>
    <row r="266" spans="1:3" x14ac:dyDescent="0.25">
      <c r="A266" s="8">
        <v>41564</v>
      </c>
      <c r="B266" s="4">
        <v>59229</v>
      </c>
      <c r="C266" s="57">
        <v>317.47000000000003</v>
      </c>
    </row>
    <row r="267" spans="1:3" x14ac:dyDescent="0.25">
      <c r="A267" s="8">
        <v>41564</v>
      </c>
      <c r="B267" s="4">
        <v>59230</v>
      </c>
      <c r="C267" s="57">
        <v>357.07</v>
      </c>
    </row>
    <row r="268" spans="1:3" x14ac:dyDescent="0.25">
      <c r="A268" s="8">
        <v>41564</v>
      </c>
      <c r="B268" s="4">
        <v>59231</v>
      </c>
      <c r="C268" s="57">
        <v>161.04</v>
      </c>
    </row>
    <row r="269" spans="1:3" x14ac:dyDescent="0.25">
      <c r="A269" s="8">
        <v>41564</v>
      </c>
      <c r="B269" s="4">
        <v>59232</v>
      </c>
      <c r="C269" s="57">
        <v>215.43</v>
      </c>
    </row>
    <row r="270" spans="1:3" x14ac:dyDescent="0.25">
      <c r="A270" s="8">
        <v>41564</v>
      </c>
      <c r="B270" s="4">
        <v>59233</v>
      </c>
      <c r="C270" s="57">
        <v>124.14</v>
      </c>
    </row>
    <row r="271" spans="1:3" x14ac:dyDescent="0.25">
      <c r="A271" s="8">
        <v>41564</v>
      </c>
      <c r="B271" s="4">
        <v>59234</v>
      </c>
      <c r="C271" s="57">
        <v>131.44999999999999</v>
      </c>
    </row>
    <row r="272" spans="1:3" x14ac:dyDescent="0.25">
      <c r="A272" s="8">
        <v>41564</v>
      </c>
      <c r="B272" s="4">
        <v>59235</v>
      </c>
      <c r="C272" s="57">
        <v>45.08</v>
      </c>
    </row>
    <row r="273" spans="1:3" x14ac:dyDescent="0.25">
      <c r="A273" s="8">
        <v>41564</v>
      </c>
      <c r="B273" s="4">
        <v>59236</v>
      </c>
      <c r="C273" s="57">
        <v>261.62</v>
      </c>
    </row>
    <row r="274" spans="1:3" x14ac:dyDescent="0.25">
      <c r="A274" s="8">
        <v>41564</v>
      </c>
      <c r="B274" s="4">
        <v>59237</v>
      </c>
      <c r="C274" s="57">
        <v>355.97</v>
      </c>
    </row>
    <row r="275" spans="1:3" x14ac:dyDescent="0.25">
      <c r="A275" s="8">
        <v>41564</v>
      </c>
      <c r="B275" s="4">
        <v>59238</v>
      </c>
      <c r="C275" s="57">
        <v>309.29000000000002</v>
      </c>
    </row>
    <row r="276" spans="1:3" x14ac:dyDescent="0.25">
      <c r="A276" s="8">
        <v>41564</v>
      </c>
      <c r="B276" s="4">
        <v>59239</v>
      </c>
      <c r="C276" s="57">
        <v>327.49</v>
      </c>
    </row>
    <row r="277" spans="1:3" x14ac:dyDescent="0.25">
      <c r="A277" s="8">
        <v>41564</v>
      </c>
      <c r="B277" s="4">
        <v>59240</v>
      </c>
      <c r="C277" s="57">
        <v>186.71</v>
      </c>
    </row>
    <row r="278" spans="1:3" x14ac:dyDescent="0.25">
      <c r="A278" s="8">
        <v>41564</v>
      </c>
      <c r="B278" s="4">
        <v>59241</v>
      </c>
      <c r="C278" s="57">
        <v>92.15</v>
      </c>
    </row>
    <row r="279" spans="1:3" x14ac:dyDescent="0.25">
      <c r="A279" s="8">
        <v>41564</v>
      </c>
      <c r="B279" s="4">
        <v>59242</v>
      </c>
      <c r="C279" s="57">
        <v>266.87</v>
      </c>
    </row>
    <row r="280" spans="1:3" x14ac:dyDescent="0.25">
      <c r="A280" s="8">
        <v>41564</v>
      </c>
      <c r="B280" s="4">
        <v>59243</v>
      </c>
      <c r="C280" s="57">
        <v>112.5</v>
      </c>
    </row>
    <row r="281" spans="1:3" x14ac:dyDescent="0.25">
      <c r="A281" s="8">
        <v>41564</v>
      </c>
      <c r="B281" s="4">
        <v>59244</v>
      </c>
      <c r="C281" s="57">
        <v>132.96</v>
      </c>
    </row>
    <row r="282" spans="1:3" x14ac:dyDescent="0.25">
      <c r="A282" s="8">
        <v>41565</v>
      </c>
      <c r="B282" s="4">
        <v>59245</v>
      </c>
      <c r="C282" s="57">
        <v>246.3</v>
      </c>
    </row>
    <row r="283" spans="1:3" x14ac:dyDescent="0.25">
      <c r="A283" s="8">
        <v>41565</v>
      </c>
      <c r="B283" s="4">
        <v>59246</v>
      </c>
      <c r="C283" s="57">
        <v>357.82</v>
      </c>
    </row>
    <row r="284" spans="1:3" x14ac:dyDescent="0.25">
      <c r="A284" s="8">
        <v>41565</v>
      </c>
      <c r="B284" s="4">
        <v>59247</v>
      </c>
      <c r="C284" s="57">
        <v>36.590000000000003</v>
      </c>
    </row>
    <row r="285" spans="1:3" x14ac:dyDescent="0.25">
      <c r="A285" s="8">
        <v>41565</v>
      </c>
      <c r="B285" s="4">
        <v>59248</v>
      </c>
      <c r="C285" s="57">
        <v>186.97</v>
      </c>
    </row>
    <row r="286" spans="1:3" x14ac:dyDescent="0.25">
      <c r="A286" s="8">
        <v>41565</v>
      </c>
      <c r="B286" s="4">
        <v>59249</v>
      </c>
      <c r="C286" s="57">
        <v>67.75</v>
      </c>
    </row>
    <row r="287" spans="1:3" x14ac:dyDescent="0.25">
      <c r="A287" s="8">
        <v>41565</v>
      </c>
      <c r="B287" s="4">
        <v>59250</v>
      </c>
      <c r="C287" s="57">
        <v>165.3</v>
      </c>
    </row>
    <row r="288" spans="1:3" x14ac:dyDescent="0.25">
      <c r="A288" s="8">
        <v>41565</v>
      </c>
      <c r="B288" s="4">
        <v>59251</v>
      </c>
      <c r="C288" s="57">
        <v>131.80000000000001</v>
      </c>
    </row>
    <row r="289" spans="1:3" x14ac:dyDescent="0.25">
      <c r="A289" s="8">
        <v>41565</v>
      </c>
      <c r="B289" s="4">
        <v>59252</v>
      </c>
      <c r="C289" s="57">
        <v>79.55</v>
      </c>
    </row>
    <row r="290" spans="1:3" x14ac:dyDescent="0.25">
      <c r="A290" s="8">
        <v>41565</v>
      </c>
      <c r="B290" s="4">
        <v>59253</v>
      </c>
      <c r="C290" s="57">
        <v>165.41</v>
      </c>
    </row>
    <row r="291" spans="1:3" x14ac:dyDescent="0.25">
      <c r="A291" s="8">
        <v>41565</v>
      </c>
      <c r="B291" s="4">
        <v>59254</v>
      </c>
      <c r="C291" s="57">
        <v>64.040000000000006</v>
      </c>
    </row>
    <row r="292" spans="1:3" x14ac:dyDescent="0.25">
      <c r="A292" s="8">
        <v>41565</v>
      </c>
      <c r="B292" s="4">
        <v>59255</v>
      </c>
      <c r="C292" s="57">
        <v>85.57</v>
      </c>
    </row>
    <row r="293" spans="1:3" x14ac:dyDescent="0.25">
      <c r="A293" s="8">
        <v>41565</v>
      </c>
      <c r="B293" s="4">
        <v>59256</v>
      </c>
      <c r="C293" s="57">
        <v>350.88</v>
      </c>
    </row>
    <row r="294" spans="1:3" x14ac:dyDescent="0.25">
      <c r="A294" s="8">
        <v>41565</v>
      </c>
      <c r="B294" s="4">
        <v>59257</v>
      </c>
      <c r="C294" s="57">
        <v>269.77999999999997</v>
      </c>
    </row>
    <row r="295" spans="1:3" x14ac:dyDescent="0.25">
      <c r="A295" s="8">
        <v>41565</v>
      </c>
      <c r="B295" s="4">
        <v>59258</v>
      </c>
      <c r="C295" s="57">
        <v>294.08999999999997</v>
      </c>
    </row>
    <row r="296" spans="1:3" x14ac:dyDescent="0.25">
      <c r="A296" s="8">
        <v>41565</v>
      </c>
      <c r="B296" s="4">
        <v>59259</v>
      </c>
      <c r="C296" s="57">
        <v>150.68</v>
      </c>
    </row>
    <row r="297" spans="1:3" x14ac:dyDescent="0.25">
      <c r="A297" s="8">
        <v>41565</v>
      </c>
      <c r="B297" s="4">
        <v>59260</v>
      </c>
      <c r="C297" s="57">
        <v>335.48</v>
      </c>
    </row>
    <row r="298" spans="1:3" x14ac:dyDescent="0.25">
      <c r="A298" s="8">
        <v>41565</v>
      </c>
      <c r="B298" s="4">
        <v>59261</v>
      </c>
      <c r="C298" s="57">
        <v>80.23</v>
      </c>
    </row>
    <row r="299" spans="1:3" x14ac:dyDescent="0.25">
      <c r="A299" s="8">
        <v>41565</v>
      </c>
      <c r="B299" s="4">
        <v>59262</v>
      </c>
      <c r="C299" s="57">
        <v>209.89</v>
      </c>
    </row>
    <row r="300" spans="1:3" x14ac:dyDescent="0.25">
      <c r="A300" s="8">
        <v>41565</v>
      </c>
      <c r="B300" s="4">
        <v>59263</v>
      </c>
      <c r="C300" s="57">
        <v>58.4</v>
      </c>
    </row>
    <row r="301" spans="1:3" x14ac:dyDescent="0.25">
      <c r="A301" s="8">
        <v>41565</v>
      </c>
      <c r="B301" s="4">
        <v>59264</v>
      </c>
      <c r="C301" s="57">
        <v>363.92</v>
      </c>
    </row>
    <row r="302" spans="1:3" x14ac:dyDescent="0.25">
      <c r="A302" s="8">
        <v>41565</v>
      </c>
      <c r="B302" s="4">
        <v>59265</v>
      </c>
      <c r="C302" s="57">
        <v>109.95</v>
      </c>
    </row>
    <row r="303" spans="1:3" x14ac:dyDescent="0.25">
      <c r="A303" s="8">
        <v>41566</v>
      </c>
      <c r="B303" s="4">
        <v>59266</v>
      </c>
      <c r="C303" s="57">
        <v>144.82</v>
      </c>
    </row>
    <row r="304" spans="1:3" x14ac:dyDescent="0.25">
      <c r="A304" s="8">
        <v>41566</v>
      </c>
      <c r="B304" s="4">
        <v>59267</v>
      </c>
      <c r="C304" s="57">
        <v>194.87</v>
      </c>
    </row>
    <row r="305" spans="1:3" x14ac:dyDescent="0.25">
      <c r="A305" s="8">
        <v>41566</v>
      </c>
      <c r="B305" s="4">
        <v>59268</v>
      </c>
      <c r="C305" s="57">
        <v>389.76</v>
      </c>
    </row>
    <row r="306" spans="1:3" x14ac:dyDescent="0.25">
      <c r="A306" s="8">
        <v>41566</v>
      </c>
      <c r="B306" s="4">
        <v>59269</v>
      </c>
      <c r="C306" s="57">
        <v>79.66</v>
      </c>
    </row>
    <row r="307" spans="1:3" x14ac:dyDescent="0.25">
      <c r="A307" s="8">
        <v>41566</v>
      </c>
      <c r="B307" s="4">
        <v>59270</v>
      </c>
      <c r="C307" s="57">
        <v>303.92</v>
      </c>
    </row>
    <row r="308" spans="1:3" x14ac:dyDescent="0.25">
      <c r="A308" s="8">
        <v>41566</v>
      </c>
      <c r="B308" s="4">
        <v>59271</v>
      </c>
      <c r="C308" s="57">
        <v>97.62</v>
      </c>
    </row>
    <row r="309" spans="1:3" x14ac:dyDescent="0.25">
      <c r="A309" s="8">
        <v>41566</v>
      </c>
      <c r="B309" s="4">
        <v>59272</v>
      </c>
      <c r="C309" s="57">
        <v>300.57</v>
      </c>
    </row>
    <row r="310" spans="1:3" x14ac:dyDescent="0.25">
      <c r="A310" s="8">
        <v>41566</v>
      </c>
      <c r="B310" s="4">
        <v>59273</v>
      </c>
      <c r="C310" s="57">
        <v>86.22</v>
      </c>
    </row>
    <row r="311" spans="1:3" x14ac:dyDescent="0.25">
      <c r="A311" s="8">
        <v>41566</v>
      </c>
      <c r="B311" s="4">
        <v>59274</v>
      </c>
      <c r="C311" s="57">
        <v>286.69</v>
      </c>
    </row>
    <row r="312" spans="1:3" x14ac:dyDescent="0.25">
      <c r="A312" s="8">
        <v>41566</v>
      </c>
      <c r="B312" s="4">
        <v>59275</v>
      </c>
      <c r="C312" s="57">
        <v>351.91</v>
      </c>
    </row>
    <row r="313" spans="1:3" x14ac:dyDescent="0.25">
      <c r="A313" s="8">
        <v>41566</v>
      </c>
      <c r="B313" s="4">
        <v>59276</v>
      </c>
      <c r="C313" s="57">
        <v>219.56</v>
      </c>
    </row>
    <row r="314" spans="1:3" x14ac:dyDescent="0.25">
      <c r="A314" s="8">
        <v>41566</v>
      </c>
      <c r="B314" s="4">
        <v>59277</v>
      </c>
      <c r="C314" s="57">
        <v>309.63</v>
      </c>
    </row>
    <row r="315" spans="1:3" x14ac:dyDescent="0.25">
      <c r="A315" s="8">
        <v>41566</v>
      </c>
      <c r="B315" s="4">
        <v>59278</v>
      </c>
      <c r="C315" s="57">
        <v>369.27</v>
      </c>
    </row>
    <row r="316" spans="1:3" x14ac:dyDescent="0.25">
      <c r="A316" s="8">
        <v>41566</v>
      </c>
      <c r="B316" s="4">
        <v>59279</v>
      </c>
      <c r="C316" s="57">
        <v>319.87</v>
      </c>
    </row>
    <row r="317" spans="1:3" x14ac:dyDescent="0.25">
      <c r="A317" s="8">
        <v>41566</v>
      </c>
      <c r="B317" s="4">
        <v>59280</v>
      </c>
      <c r="C317" s="57">
        <v>65.010000000000005</v>
      </c>
    </row>
    <row r="318" spans="1:3" x14ac:dyDescent="0.25">
      <c r="A318" s="8">
        <v>41566</v>
      </c>
      <c r="B318" s="4">
        <v>59281</v>
      </c>
      <c r="C318" s="57">
        <v>188.54</v>
      </c>
    </row>
    <row r="319" spans="1:3" x14ac:dyDescent="0.25">
      <c r="A319" s="8">
        <v>41566</v>
      </c>
      <c r="B319" s="4">
        <v>59282</v>
      </c>
      <c r="C319" s="57">
        <v>205.69</v>
      </c>
    </row>
    <row r="320" spans="1:3" x14ac:dyDescent="0.25">
      <c r="A320" s="8">
        <v>41566</v>
      </c>
      <c r="B320" s="4">
        <v>59283</v>
      </c>
      <c r="C320" s="57">
        <v>301.66000000000003</v>
      </c>
    </row>
    <row r="321" spans="1:3" x14ac:dyDescent="0.25">
      <c r="A321" s="8">
        <v>41566</v>
      </c>
      <c r="B321" s="4">
        <v>59284</v>
      </c>
      <c r="C321" s="57">
        <v>355.56</v>
      </c>
    </row>
    <row r="322" spans="1:3" x14ac:dyDescent="0.25">
      <c r="A322" s="8">
        <v>41566</v>
      </c>
      <c r="B322" s="4">
        <v>59285</v>
      </c>
      <c r="C322" s="57">
        <v>289.93</v>
      </c>
    </row>
    <row r="323" spans="1:3" x14ac:dyDescent="0.25">
      <c r="A323" s="8">
        <v>41567</v>
      </c>
      <c r="B323" s="4">
        <v>59286</v>
      </c>
      <c r="C323" s="57">
        <v>344.92</v>
      </c>
    </row>
    <row r="324" spans="1:3" x14ac:dyDescent="0.25">
      <c r="A324" s="8">
        <v>41567</v>
      </c>
      <c r="B324" s="4">
        <v>59287</v>
      </c>
      <c r="C324" s="57">
        <v>180.67</v>
      </c>
    </row>
    <row r="325" spans="1:3" x14ac:dyDescent="0.25">
      <c r="A325" s="8">
        <v>41567</v>
      </c>
      <c r="B325" s="4">
        <v>59288</v>
      </c>
      <c r="C325" s="57">
        <v>189.6</v>
      </c>
    </row>
    <row r="326" spans="1:3" x14ac:dyDescent="0.25">
      <c r="A326" s="8">
        <v>41567</v>
      </c>
      <c r="B326" s="4">
        <v>59289</v>
      </c>
      <c r="C326" s="57">
        <v>172.01</v>
      </c>
    </row>
    <row r="327" spans="1:3" x14ac:dyDescent="0.25">
      <c r="A327" s="8">
        <v>41567</v>
      </c>
      <c r="B327" s="4">
        <v>59290</v>
      </c>
      <c r="C327" s="57">
        <v>115.57</v>
      </c>
    </row>
    <row r="328" spans="1:3" x14ac:dyDescent="0.25">
      <c r="A328" s="8">
        <v>41567</v>
      </c>
      <c r="B328" s="4">
        <v>59291</v>
      </c>
      <c r="C328" s="57">
        <v>369.38</v>
      </c>
    </row>
    <row r="329" spans="1:3" x14ac:dyDescent="0.25">
      <c r="A329" s="8">
        <v>41567</v>
      </c>
      <c r="B329" s="4">
        <v>59292</v>
      </c>
      <c r="C329" s="57">
        <v>311.51</v>
      </c>
    </row>
    <row r="330" spans="1:3" x14ac:dyDescent="0.25">
      <c r="A330" s="8">
        <v>41567</v>
      </c>
      <c r="B330" s="4">
        <v>59293</v>
      </c>
      <c r="C330" s="57">
        <v>130.91</v>
      </c>
    </row>
    <row r="331" spans="1:3" x14ac:dyDescent="0.25">
      <c r="A331" s="8">
        <v>41567</v>
      </c>
      <c r="B331" s="4">
        <v>59294</v>
      </c>
      <c r="C331" s="57">
        <v>334.71</v>
      </c>
    </row>
    <row r="332" spans="1:3" x14ac:dyDescent="0.25">
      <c r="A332" s="8">
        <v>41567</v>
      </c>
      <c r="B332" s="4">
        <v>59295</v>
      </c>
      <c r="C332" s="57">
        <v>110.29</v>
      </c>
    </row>
    <row r="333" spans="1:3" x14ac:dyDescent="0.25">
      <c r="A333" s="8">
        <v>41567</v>
      </c>
      <c r="B333" s="4">
        <v>59296</v>
      </c>
      <c r="C333" s="57">
        <v>160.38999999999999</v>
      </c>
    </row>
    <row r="334" spans="1:3" x14ac:dyDescent="0.25">
      <c r="A334" s="8">
        <v>41567</v>
      </c>
      <c r="B334" s="4">
        <v>59297</v>
      </c>
      <c r="C334" s="57">
        <v>77.59</v>
      </c>
    </row>
    <row r="335" spans="1:3" x14ac:dyDescent="0.25">
      <c r="A335" s="8">
        <v>41567</v>
      </c>
      <c r="B335" s="4">
        <v>59298</v>
      </c>
      <c r="C335" s="57">
        <v>234.43</v>
      </c>
    </row>
    <row r="336" spans="1:3" x14ac:dyDescent="0.25">
      <c r="A336" s="8">
        <v>41568</v>
      </c>
      <c r="B336" s="4">
        <v>59299</v>
      </c>
      <c r="C336" s="57">
        <v>296.64999999999998</v>
      </c>
    </row>
    <row r="337" spans="1:3" x14ac:dyDescent="0.25">
      <c r="A337" s="8">
        <v>41568</v>
      </c>
      <c r="B337" s="4">
        <v>59300</v>
      </c>
      <c r="C337" s="57">
        <v>122.66</v>
      </c>
    </row>
    <row r="338" spans="1:3" x14ac:dyDescent="0.25">
      <c r="A338" s="8">
        <v>41568</v>
      </c>
      <c r="B338" s="4">
        <v>59301</v>
      </c>
      <c r="C338" s="57">
        <v>139.07</v>
      </c>
    </row>
    <row r="339" spans="1:3" x14ac:dyDescent="0.25">
      <c r="A339" s="8">
        <v>41568</v>
      </c>
      <c r="B339" s="4">
        <v>59302</v>
      </c>
      <c r="C339" s="57">
        <v>266.02999999999997</v>
      </c>
    </row>
    <row r="340" spans="1:3" x14ac:dyDescent="0.25">
      <c r="A340" s="8">
        <v>41568</v>
      </c>
      <c r="B340" s="4">
        <v>59303</v>
      </c>
      <c r="C340" s="57">
        <v>217.73</v>
      </c>
    </row>
    <row r="341" spans="1:3" x14ac:dyDescent="0.25">
      <c r="A341" s="8">
        <v>41568</v>
      </c>
      <c r="B341" s="4">
        <v>59304</v>
      </c>
      <c r="C341" s="57">
        <v>85.16</v>
      </c>
    </row>
    <row r="342" spans="1:3" x14ac:dyDescent="0.25">
      <c r="A342" s="8">
        <v>41568</v>
      </c>
      <c r="B342" s="4">
        <v>59305</v>
      </c>
      <c r="C342" s="57">
        <v>173.62</v>
      </c>
    </row>
    <row r="343" spans="1:3" x14ac:dyDescent="0.25">
      <c r="A343" s="8">
        <v>41568</v>
      </c>
      <c r="B343" s="4">
        <v>59306</v>
      </c>
      <c r="C343" s="57">
        <v>60.2</v>
      </c>
    </row>
    <row r="344" spans="1:3" x14ac:dyDescent="0.25">
      <c r="A344" s="8">
        <v>41568</v>
      </c>
      <c r="B344" s="4">
        <v>59307</v>
      </c>
      <c r="C344" s="57">
        <v>358.84</v>
      </c>
    </row>
    <row r="345" spans="1:3" x14ac:dyDescent="0.25">
      <c r="A345" s="8">
        <v>41568</v>
      </c>
      <c r="B345" s="4">
        <v>59308</v>
      </c>
      <c r="C345" s="57">
        <v>362.58</v>
      </c>
    </row>
    <row r="346" spans="1:3" x14ac:dyDescent="0.25">
      <c r="A346" s="8">
        <v>41568</v>
      </c>
      <c r="B346" s="4">
        <v>59309</v>
      </c>
      <c r="C346" s="57">
        <v>104.01</v>
      </c>
    </row>
    <row r="347" spans="1:3" x14ac:dyDescent="0.25">
      <c r="A347" s="8">
        <v>41568</v>
      </c>
      <c r="B347" s="4">
        <v>59310</v>
      </c>
      <c r="C347" s="57">
        <v>342.57</v>
      </c>
    </row>
    <row r="348" spans="1:3" x14ac:dyDescent="0.25">
      <c r="A348" s="8">
        <v>41568</v>
      </c>
      <c r="B348" s="4">
        <v>59311</v>
      </c>
      <c r="C348" s="57">
        <v>155.13</v>
      </c>
    </row>
    <row r="349" spans="1:3" x14ac:dyDescent="0.25">
      <c r="A349" s="8">
        <v>41569</v>
      </c>
      <c r="B349" s="4">
        <v>59312</v>
      </c>
      <c r="C349" s="57">
        <v>218.18</v>
      </c>
    </row>
    <row r="350" spans="1:3" x14ac:dyDescent="0.25">
      <c r="A350" s="8">
        <v>41569</v>
      </c>
      <c r="B350" s="4">
        <v>59313</v>
      </c>
      <c r="C350" s="57">
        <v>248.48</v>
      </c>
    </row>
    <row r="351" spans="1:3" x14ac:dyDescent="0.25">
      <c r="A351" s="8">
        <v>41569</v>
      </c>
      <c r="B351" s="4">
        <v>59314</v>
      </c>
      <c r="C351" s="57">
        <v>207.69</v>
      </c>
    </row>
    <row r="352" spans="1:3" x14ac:dyDescent="0.25">
      <c r="A352" s="8">
        <v>41569</v>
      </c>
      <c r="B352" s="4">
        <v>59315</v>
      </c>
      <c r="C352" s="57">
        <v>147.53</v>
      </c>
    </row>
    <row r="353" spans="1:3" x14ac:dyDescent="0.25">
      <c r="A353" s="8">
        <v>41569</v>
      </c>
      <c r="B353" s="4">
        <v>59316</v>
      </c>
      <c r="C353" s="57">
        <v>356.08</v>
      </c>
    </row>
    <row r="354" spans="1:3" x14ac:dyDescent="0.25">
      <c r="A354" s="8">
        <v>41569</v>
      </c>
      <c r="B354" s="4">
        <v>59317</v>
      </c>
      <c r="C354" s="57">
        <v>276.2</v>
      </c>
    </row>
    <row r="355" spans="1:3" x14ac:dyDescent="0.25">
      <c r="A355" s="8">
        <v>41569</v>
      </c>
      <c r="B355" s="4">
        <v>59318</v>
      </c>
      <c r="C355" s="57">
        <v>350</v>
      </c>
    </row>
    <row r="356" spans="1:3" x14ac:dyDescent="0.25">
      <c r="A356" s="8">
        <v>41569</v>
      </c>
      <c r="B356" s="4">
        <v>59319</v>
      </c>
      <c r="C356" s="57">
        <v>232.3</v>
      </c>
    </row>
    <row r="357" spans="1:3" x14ac:dyDescent="0.25">
      <c r="A357" s="8">
        <v>41569</v>
      </c>
      <c r="B357" s="4">
        <v>59320</v>
      </c>
      <c r="C357" s="57">
        <v>364.81</v>
      </c>
    </row>
    <row r="358" spans="1:3" x14ac:dyDescent="0.25">
      <c r="A358" s="8">
        <v>41569</v>
      </c>
      <c r="B358" s="4">
        <v>59321</v>
      </c>
      <c r="C358" s="57">
        <v>307.27</v>
      </c>
    </row>
    <row r="359" spans="1:3" x14ac:dyDescent="0.25">
      <c r="A359" s="8">
        <v>41569</v>
      </c>
      <c r="B359" s="4">
        <v>59322</v>
      </c>
      <c r="C359" s="57">
        <v>377.42</v>
      </c>
    </row>
    <row r="360" spans="1:3" x14ac:dyDescent="0.25">
      <c r="A360" s="8">
        <v>41569</v>
      </c>
      <c r="B360" s="4">
        <v>59323</v>
      </c>
      <c r="C360" s="57">
        <v>218.34</v>
      </c>
    </row>
    <row r="361" spans="1:3" x14ac:dyDescent="0.25">
      <c r="A361" s="8">
        <v>41569</v>
      </c>
      <c r="B361" s="4">
        <v>59324</v>
      </c>
      <c r="C361" s="57">
        <v>296.11</v>
      </c>
    </row>
    <row r="362" spans="1:3" x14ac:dyDescent="0.25">
      <c r="A362" s="8">
        <v>41570</v>
      </c>
      <c r="B362" s="4">
        <v>59325</v>
      </c>
      <c r="C362" s="57">
        <v>289.73</v>
      </c>
    </row>
    <row r="363" spans="1:3" x14ac:dyDescent="0.25">
      <c r="A363" s="8">
        <v>41570</v>
      </c>
      <c r="B363" s="4">
        <v>59326</v>
      </c>
      <c r="C363" s="57">
        <v>45.43</v>
      </c>
    </row>
    <row r="364" spans="1:3" x14ac:dyDescent="0.25">
      <c r="A364" s="8">
        <v>41570</v>
      </c>
      <c r="B364" s="4">
        <v>59327</v>
      </c>
      <c r="C364" s="57">
        <v>288.60000000000002</v>
      </c>
    </row>
    <row r="365" spans="1:3" x14ac:dyDescent="0.25">
      <c r="A365" s="8">
        <v>41570</v>
      </c>
      <c r="B365" s="4">
        <v>59328</v>
      </c>
      <c r="C365" s="57">
        <v>273.41000000000003</v>
      </c>
    </row>
    <row r="366" spans="1:3" x14ac:dyDescent="0.25">
      <c r="A366" s="8">
        <v>41570</v>
      </c>
      <c r="B366" s="4">
        <v>59329</v>
      </c>
      <c r="C366" s="57">
        <v>282.18</v>
      </c>
    </row>
    <row r="367" spans="1:3" x14ac:dyDescent="0.25">
      <c r="A367" s="8">
        <v>41570</v>
      </c>
      <c r="B367" s="4">
        <v>59330</v>
      </c>
      <c r="C367" s="57">
        <v>278.48</v>
      </c>
    </row>
    <row r="368" spans="1:3" x14ac:dyDescent="0.25">
      <c r="A368" s="8">
        <v>41570</v>
      </c>
      <c r="B368" s="4">
        <v>59331</v>
      </c>
      <c r="C368" s="57">
        <v>381.07</v>
      </c>
    </row>
    <row r="369" spans="1:3" x14ac:dyDescent="0.25">
      <c r="A369" s="8">
        <v>41570</v>
      </c>
      <c r="B369" s="4">
        <v>59332</v>
      </c>
      <c r="C369" s="57">
        <v>332.98</v>
      </c>
    </row>
    <row r="370" spans="1:3" x14ac:dyDescent="0.25">
      <c r="A370" s="8">
        <v>41570</v>
      </c>
      <c r="B370" s="4">
        <v>59333</v>
      </c>
      <c r="C370" s="57">
        <v>142.49</v>
      </c>
    </row>
    <row r="371" spans="1:3" x14ac:dyDescent="0.25">
      <c r="A371" s="8">
        <v>41570</v>
      </c>
      <c r="B371" s="4">
        <v>59334</v>
      </c>
      <c r="C371" s="57">
        <v>85.06</v>
      </c>
    </row>
    <row r="372" spans="1:3" x14ac:dyDescent="0.25">
      <c r="A372" s="8">
        <v>41570</v>
      </c>
      <c r="B372" s="4">
        <v>59335</v>
      </c>
      <c r="C372" s="57">
        <v>203.88</v>
      </c>
    </row>
    <row r="373" spans="1:3" x14ac:dyDescent="0.25">
      <c r="A373" s="8">
        <v>41570</v>
      </c>
      <c r="B373" s="4">
        <v>59336</v>
      </c>
      <c r="C373" s="57">
        <v>371.79</v>
      </c>
    </row>
    <row r="374" spans="1:3" x14ac:dyDescent="0.25">
      <c r="A374" s="8">
        <v>41570</v>
      </c>
      <c r="B374" s="4">
        <v>59337</v>
      </c>
      <c r="C374" s="57">
        <v>266.83999999999997</v>
      </c>
    </row>
    <row r="375" spans="1:3" x14ac:dyDescent="0.25">
      <c r="A375" s="8">
        <v>41570</v>
      </c>
      <c r="B375" s="4">
        <v>59338</v>
      </c>
      <c r="C375" s="57">
        <v>85.41</v>
      </c>
    </row>
    <row r="376" spans="1:3" x14ac:dyDescent="0.25">
      <c r="A376" s="8">
        <v>41571</v>
      </c>
      <c r="B376" s="4">
        <v>59339</v>
      </c>
      <c r="C376" s="57">
        <v>37.520000000000003</v>
      </c>
    </row>
    <row r="377" spans="1:3" x14ac:dyDescent="0.25">
      <c r="A377" s="8">
        <v>41571</v>
      </c>
      <c r="B377" s="4">
        <v>59340</v>
      </c>
      <c r="C377" s="57">
        <v>278.62</v>
      </c>
    </row>
    <row r="378" spans="1:3" x14ac:dyDescent="0.25">
      <c r="A378" s="8">
        <v>41571</v>
      </c>
      <c r="B378" s="4">
        <v>59341</v>
      </c>
      <c r="C378" s="57">
        <v>314.97000000000003</v>
      </c>
    </row>
    <row r="379" spans="1:3" x14ac:dyDescent="0.25">
      <c r="A379" s="8">
        <v>41571</v>
      </c>
      <c r="B379" s="4">
        <v>59342</v>
      </c>
      <c r="C379" s="57">
        <v>74.430000000000007</v>
      </c>
    </row>
    <row r="380" spans="1:3" x14ac:dyDescent="0.25">
      <c r="A380" s="8">
        <v>41571</v>
      </c>
      <c r="B380" s="4">
        <v>59343</v>
      </c>
      <c r="C380" s="57">
        <v>190.74</v>
      </c>
    </row>
    <row r="381" spans="1:3" x14ac:dyDescent="0.25">
      <c r="A381" s="8">
        <v>41571</v>
      </c>
      <c r="B381" s="4">
        <v>59344</v>
      </c>
      <c r="C381" s="57">
        <v>263.36</v>
      </c>
    </row>
    <row r="382" spans="1:3" x14ac:dyDescent="0.25">
      <c r="A382" s="8">
        <v>41571</v>
      </c>
      <c r="B382" s="4">
        <v>59345</v>
      </c>
      <c r="C382" s="57">
        <v>66.19</v>
      </c>
    </row>
    <row r="383" spans="1:3" x14ac:dyDescent="0.25">
      <c r="A383" s="8">
        <v>41571</v>
      </c>
      <c r="B383" s="4">
        <v>59346</v>
      </c>
      <c r="C383" s="57">
        <v>233.47</v>
      </c>
    </row>
    <row r="384" spans="1:3" x14ac:dyDescent="0.25">
      <c r="A384" s="8">
        <v>41571</v>
      </c>
      <c r="B384" s="4">
        <v>59347</v>
      </c>
      <c r="C384" s="57">
        <v>298.95999999999998</v>
      </c>
    </row>
    <row r="385" spans="1:3" x14ac:dyDescent="0.25">
      <c r="A385" s="8">
        <v>41571</v>
      </c>
      <c r="B385" s="4">
        <v>59348</v>
      </c>
      <c r="C385" s="57">
        <v>250.18</v>
      </c>
    </row>
    <row r="386" spans="1:3" x14ac:dyDescent="0.25">
      <c r="A386" s="8">
        <v>41571</v>
      </c>
      <c r="B386" s="4">
        <v>59349</v>
      </c>
      <c r="C386" s="57">
        <v>241.52</v>
      </c>
    </row>
    <row r="387" spans="1:3" x14ac:dyDescent="0.25">
      <c r="A387" s="8">
        <v>41571</v>
      </c>
      <c r="B387" s="4">
        <v>59350</v>
      </c>
      <c r="C387" s="57">
        <v>359.59</v>
      </c>
    </row>
    <row r="388" spans="1:3" x14ac:dyDescent="0.25">
      <c r="A388" s="8">
        <v>41571</v>
      </c>
      <c r="B388" s="4">
        <v>59351</v>
      </c>
      <c r="C388" s="57">
        <v>211.22</v>
      </c>
    </row>
    <row r="389" spans="1:3" x14ac:dyDescent="0.25">
      <c r="A389" s="8">
        <v>41571</v>
      </c>
      <c r="B389" s="4">
        <v>59352</v>
      </c>
      <c r="C389" s="57">
        <v>148.49</v>
      </c>
    </row>
    <row r="390" spans="1:3" x14ac:dyDescent="0.25">
      <c r="A390" s="8">
        <v>41571</v>
      </c>
      <c r="B390" s="4">
        <v>59353</v>
      </c>
      <c r="C390" s="57">
        <v>260.04000000000002</v>
      </c>
    </row>
    <row r="391" spans="1:3" x14ac:dyDescent="0.25">
      <c r="A391" s="8">
        <v>41571</v>
      </c>
      <c r="B391" s="4">
        <v>59354</v>
      </c>
      <c r="C391" s="57">
        <v>330.04</v>
      </c>
    </row>
    <row r="392" spans="1:3" x14ac:dyDescent="0.25">
      <c r="A392" s="8">
        <v>41571</v>
      </c>
      <c r="B392" s="4">
        <v>59355</v>
      </c>
      <c r="C392" s="57">
        <v>68.209999999999994</v>
      </c>
    </row>
    <row r="393" spans="1:3" x14ac:dyDescent="0.25">
      <c r="A393" s="8">
        <v>41571</v>
      </c>
      <c r="B393" s="4">
        <v>59356</v>
      </c>
      <c r="C393" s="57">
        <v>263.42</v>
      </c>
    </row>
    <row r="394" spans="1:3" x14ac:dyDescent="0.25">
      <c r="A394" s="8">
        <v>41571</v>
      </c>
      <c r="B394" s="4">
        <v>59357</v>
      </c>
      <c r="C394" s="57">
        <v>377.89</v>
      </c>
    </row>
    <row r="395" spans="1:3" x14ac:dyDescent="0.25">
      <c r="A395" s="8">
        <v>41571</v>
      </c>
      <c r="B395" s="4">
        <v>59358</v>
      </c>
      <c r="C395" s="57">
        <v>288.32</v>
      </c>
    </row>
    <row r="396" spans="1:3" x14ac:dyDescent="0.25">
      <c r="A396" s="8">
        <v>41571</v>
      </c>
      <c r="B396" s="4">
        <v>59359</v>
      </c>
      <c r="C396" s="57">
        <v>291.08</v>
      </c>
    </row>
    <row r="397" spans="1:3" x14ac:dyDescent="0.25">
      <c r="A397" s="8">
        <v>41572</v>
      </c>
      <c r="B397" s="4">
        <v>59360</v>
      </c>
      <c r="C397" s="57">
        <v>177.81</v>
      </c>
    </row>
    <row r="398" spans="1:3" x14ac:dyDescent="0.25">
      <c r="A398" s="8">
        <v>41572</v>
      </c>
      <c r="B398" s="4">
        <v>59361</v>
      </c>
      <c r="C398" s="57">
        <v>77</v>
      </c>
    </row>
    <row r="399" spans="1:3" x14ac:dyDescent="0.25">
      <c r="A399" s="8">
        <v>41572</v>
      </c>
      <c r="B399" s="4">
        <v>59362</v>
      </c>
      <c r="C399" s="57">
        <v>111.64</v>
      </c>
    </row>
    <row r="400" spans="1:3" x14ac:dyDescent="0.25">
      <c r="A400" s="8">
        <v>41572</v>
      </c>
      <c r="B400" s="4">
        <v>59363</v>
      </c>
      <c r="C400" s="57">
        <v>278.05</v>
      </c>
    </row>
    <row r="401" spans="1:3" x14ac:dyDescent="0.25">
      <c r="A401" s="8">
        <v>41572</v>
      </c>
      <c r="B401" s="4">
        <v>59364</v>
      </c>
      <c r="C401" s="57">
        <v>276.39999999999998</v>
      </c>
    </row>
    <row r="402" spans="1:3" x14ac:dyDescent="0.25">
      <c r="A402" s="8">
        <v>41572</v>
      </c>
      <c r="B402" s="4">
        <v>59365</v>
      </c>
      <c r="C402" s="57">
        <v>307.06</v>
      </c>
    </row>
    <row r="403" spans="1:3" x14ac:dyDescent="0.25">
      <c r="A403" s="8">
        <v>41572</v>
      </c>
      <c r="B403" s="4">
        <v>59366</v>
      </c>
      <c r="C403" s="57">
        <v>73.959999999999994</v>
      </c>
    </row>
    <row r="404" spans="1:3" x14ac:dyDescent="0.25">
      <c r="A404" s="8">
        <v>41572</v>
      </c>
      <c r="B404" s="4">
        <v>59367</v>
      </c>
      <c r="C404" s="57">
        <v>316.89</v>
      </c>
    </row>
    <row r="405" spans="1:3" x14ac:dyDescent="0.25">
      <c r="A405" s="8">
        <v>41572</v>
      </c>
      <c r="B405" s="4">
        <v>59368</v>
      </c>
      <c r="C405" s="57">
        <v>224.97</v>
      </c>
    </row>
    <row r="406" spans="1:3" x14ac:dyDescent="0.25">
      <c r="A406" s="8">
        <v>41572</v>
      </c>
      <c r="B406" s="4">
        <v>59369</v>
      </c>
      <c r="C406" s="57">
        <v>189.31</v>
      </c>
    </row>
    <row r="407" spans="1:3" x14ac:dyDescent="0.25">
      <c r="A407" s="8">
        <v>41572</v>
      </c>
      <c r="B407" s="4">
        <v>59370</v>
      </c>
      <c r="C407" s="57">
        <v>113.93</v>
      </c>
    </row>
    <row r="408" spans="1:3" x14ac:dyDescent="0.25">
      <c r="A408" s="8">
        <v>41572</v>
      </c>
      <c r="B408" s="4">
        <v>59371</v>
      </c>
      <c r="C408" s="57">
        <v>213.9</v>
      </c>
    </row>
    <row r="409" spans="1:3" x14ac:dyDescent="0.25">
      <c r="A409" s="8">
        <v>41572</v>
      </c>
      <c r="B409" s="4">
        <v>59372</v>
      </c>
      <c r="C409" s="57">
        <v>257.81</v>
      </c>
    </row>
    <row r="410" spans="1:3" x14ac:dyDescent="0.25">
      <c r="A410" s="8">
        <v>41572</v>
      </c>
      <c r="B410" s="4">
        <v>59373</v>
      </c>
      <c r="C410" s="57">
        <v>370.91</v>
      </c>
    </row>
    <row r="411" spans="1:3" x14ac:dyDescent="0.25">
      <c r="A411" s="8">
        <v>41572</v>
      </c>
      <c r="B411" s="4">
        <v>59374</v>
      </c>
      <c r="C411" s="57">
        <v>277.77</v>
      </c>
    </row>
    <row r="412" spans="1:3" x14ac:dyDescent="0.25">
      <c r="A412" s="8">
        <v>41572</v>
      </c>
      <c r="B412" s="4">
        <v>59375</v>
      </c>
      <c r="C412" s="57">
        <v>219.95</v>
      </c>
    </row>
    <row r="413" spans="1:3" x14ac:dyDescent="0.25">
      <c r="A413" s="8">
        <v>41573</v>
      </c>
      <c r="B413" s="4">
        <v>59376</v>
      </c>
      <c r="C413" s="57">
        <v>318.58999999999997</v>
      </c>
    </row>
    <row r="414" spans="1:3" x14ac:dyDescent="0.25">
      <c r="A414" s="8">
        <v>41573</v>
      </c>
      <c r="B414" s="4">
        <v>59377</v>
      </c>
      <c r="C414" s="57">
        <v>211.71</v>
      </c>
    </row>
    <row r="415" spans="1:3" x14ac:dyDescent="0.25">
      <c r="A415" s="8">
        <v>41573</v>
      </c>
      <c r="B415" s="4">
        <v>59378</v>
      </c>
      <c r="C415" s="57">
        <v>309.19</v>
      </c>
    </row>
    <row r="416" spans="1:3" x14ac:dyDescent="0.25">
      <c r="A416" s="8">
        <v>41573</v>
      </c>
      <c r="B416" s="4">
        <v>59379</v>
      </c>
      <c r="C416" s="57">
        <v>140.55000000000001</v>
      </c>
    </row>
    <row r="417" spans="1:3" x14ac:dyDescent="0.25">
      <c r="A417" s="8">
        <v>41573</v>
      </c>
      <c r="B417" s="4">
        <v>59380</v>
      </c>
      <c r="C417" s="57">
        <v>130.9</v>
      </c>
    </row>
    <row r="418" spans="1:3" x14ac:dyDescent="0.25">
      <c r="A418" s="8">
        <v>41573</v>
      </c>
      <c r="B418" s="4">
        <v>59381</v>
      </c>
      <c r="C418" s="57">
        <v>110.71</v>
      </c>
    </row>
    <row r="419" spans="1:3" x14ac:dyDescent="0.25">
      <c r="A419" s="8">
        <v>41573</v>
      </c>
      <c r="B419" s="4">
        <v>59382</v>
      </c>
      <c r="C419" s="57">
        <v>299.55</v>
      </c>
    </row>
    <row r="420" spans="1:3" x14ac:dyDescent="0.25">
      <c r="A420" s="8">
        <v>41573</v>
      </c>
      <c r="B420" s="4">
        <v>59383</v>
      </c>
      <c r="C420" s="57">
        <v>187.88</v>
      </c>
    </row>
    <row r="421" spans="1:3" x14ac:dyDescent="0.25">
      <c r="A421" s="8">
        <v>41573</v>
      </c>
      <c r="B421" s="4">
        <v>59384</v>
      </c>
      <c r="C421" s="57">
        <v>225.97</v>
      </c>
    </row>
    <row r="422" spans="1:3" x14ac:dyDescent="0.25">
      <c r="A422" s="8">
        <v>41573</v>
      </c>
      <c r="B422" s="4">
        <v>59385</v>
      </c>
      <c r="C422" s="57">
        <v>196.22</v>
      </c>
    </row>
    <row r="423" spans="1:3" x14ac:dyDescent="0.25">
      <c r="A423" s="8">
        <v>41573</v>
      </c>
      <c r="B423" s="4">
        <v>59386</v>
      </c>
      <c r="C423" s="57">
        <v>61.71</v>
      </c>
    </row>
    <row r="424" spans="1:3" x14ac:dyDescent="0.25">
      <c r="A424" s="8">
        <v>41573</v>
      </c>
      <c r="B424" s="4">
        <v>59387</v>
      </c>
      <c r="C424" s="57">
        <v>85.95</v>
      </c>
    </row>
    <row r="425" spans="1:3" x14ac:dyDescent="0.25">
      <c r="A425" s="8">
        <v>41573</v>
      </c>
      <c r="B425" s="4">
        <v>59388</v>
      </c>
      <c r="C425" s="57">
        <v>332.24</v>
      </c>
    </row>
    <row r="426" spans="1:3" x14ac:dyDescent="0.25">
      <c r="A426" s="8">
        <v>41573</v>
      </c>
      <c r="B426" s="4">
        <v>59389</v>
      </c>
      <c r="C426" s="57">
        <v>192.54</v>
      </c>
    </row>
    <row r="427" spans="1:3" x14ac:dyDescent="0.25">
      <c r="A427" s="8">
        <v>41573</v>
      </c>
      <c r="B427" s="4">
        <v>59390</v>
      </c>
      <c r="C427" s="57">
        <v>333.95</v>
      </c>
    </row>
    <row r="428" spans="1:3" x14ac:dyDescent="0.25">
      <c r="A428" s="8">
        <v>41573</v>
      </c>
      <c r="B428" s="4">
        <v>59391</v>
      </c>
      <c r="C428" s="57">
        <v>259.44</v>
      </c>
    </row>
    <row r="429" spans="1:3" x14ac:dyDescent="0.25">
      <c r="A429" s="8">
        <v>41573</v>
      </c>
      <c r="B429" s="4">
        <v>59392</v>
      </c>
      <c r="C429" s="57">
        <v>91.71</v>
      </c>
    </row>
    <row r="430" spans="1:3" x14ac:dyDescent="0.25">
      <c r="A430" s="8">
        <v>41574</v>
      </c>
      <c r="B430" s="4">
        <v>59393</v>
      </c>
      <c r="C430" s="57">
        <v>110.18</v>
      </c>
    </row>
    <row r="431" spans="1:3" x14ac:dyDescent="0.25">
      <c r="A431" s="8">
        <v>41574</v>
      </c>
      <c r="B431" s="4">
        <v>59394</v>
      </c>
      <c r="C431" s="57">
        <v>196.23</v>
      </c>
    </row>
    <row r="432" spans="1:3" x14ac:dyDescent="0.25">
      <c r="A432" s="8">
        <v>41574</v>
      </c>
      <c r="B432" s="4">
        <v>59395</v>
      </c>
      <c r="C432" s="57">
        <v>43.36</v>
      </c>
    </row>
    <row r="433" spans="1:3" x14ac:dyDescent="0.25">
      <c r="A433" s="8">
        <v>41574</v>
      </c>
      <c r="B433" s="4">
        <v>59396</v>
      </c>
      <c r="C433" s="57">
        <v>281.57</v>
      </c>
    </row>
    <row r="434" spans="1:3" x14ac:dyDescent="0.25">
      <c r="A434" s="8">
        <v>41574</v>
      </c>
      <c r="B434" s="4">
        <v>59397</v>
      </c>
      <c r="C434" s="57">
        <v>353.41</v>
      </c>
    </row>
    <row r="435" spans="1:3" x14ac:dyDescent="0.25">
      <c r="A435" s="8">
        <v>41574</v>
      </c>
      <c r="B435" s="4">
        <v>59398</v>
      </c>
      <c r="C435" s="57">
        <v>45.37</v>
      </c>
    </row>
    <row r="436" spans="1:3" x14ac:dyDescent="0.25">
      <c r="A436" s="8">
        <v>41574</v>
      </c>
      <c r="B436" s="4">
        <v>59399</v>
      </c>
      <c r="C436" s="57">
        <v>186.27</v>
      </c>
    </row>
    <row r="437" spans="1:3" x14ac:dyDescent="0.25">
      <c r="A437" s="8">
        <v>41574</v>
      </c>
      <c r="B437" s="4">
        <v>59400</v>
      </c>
      <c r="C437" s="57">
        <v>183.08</v>
      </c>
    </row>
    <row r="438" spans="1:3" x14ac:dyDescent="0.25">
      <c r="A438" s="8">
        <v>41574</v>
      </c>
      <c r="B438" s="4">
        <v>59401</v>
      </c>
      <c r="C438" s="57">
        <v>236.97</v>
      </c>
    </row>
    <row r="439" spans="1:3" x14ac:dyDescent="0.25">
      <c r="A439" s="8">
        <v>41574</v>
      </c>
      <c r="B439" s="4">
        <v>59402</v>
      </c>
      <c r="C439" s="57">
        <v>252.81</v>
      </c>
    </row>
    <row r="440" spans="1:3" x14ac:dyDescent="0.25">
      <c r="A440" s="8">
        <v>41574</v>
      </c>
      <c r="B440" s="4">
        <v>59403</v>
      </c>
      <c r="C440" s="57">
        <v>78.09</v>
      </c>
    </row>
    <row r="441" spans="1:3" x14ac:dyDescent="0.25">
      <c r="A441" s="8">
        <v>41574</v>
      </c>
      <c r="B441" s="4">
        <v>59404</v>
      </c>
      <c r="C441" s="57">
        <v>122.24</v>
      </c>
    </row>
    <row r="442" spans="1:3" x14ac:dyDescent="0.25">
      <c r="A442" s="8">
        <v>41574</v>
      </c>
      <c r="B442" s="4">
        <v>59405</v>
      </c>
      <c r="C442" s="57">
        <v>346.97</v>
      </c>
    </row>
    <row r="443" spans="1:3" x14ac:dyDescent="0.25">
      <c r="A443" s="8">
        <v>41574</v>
      </c>
      <c r="B443" s="4">
        <v>59406</v>
      </c>
      <c r="C443" s="57">
        <v>217.76</v>
      </c>
    </row>
    <row r="444" spans="1:3" x14ac:dyDescent="0.25">
      <c r="A444" s="8">
        <v>41574</v>
      </c>
      <c r="B444" s="4">
        <v>59407</v>
      </c>
      <c r="C444" s="57">
        <v>150.05000000000001</v>
      </c>
    </row>
    <row r="445" spans="1:3" x14ac:dyDescent="0.25">
      <c r="A445" s="8">
        <v>41574</v>
      </c>
      <c r="B445" s="4">
        <v>59408</v>
      </c>
      <c r="C445" s="57">
        <v>350.83</v>
      </c>
    </row>
    <row r="446" spans="1:3" x14ac:dyDescent="0.25">
      <c r="A446" s="8">
        <v>41574</v>
      </c>
      <c r="B446" s="4">
        <v>59409</v>
      </c>
      <c r="C446" s="57">
        <v>81.650000000000006</v>
      </c>
    </row>
    <row r="447" spans="1:3" x14ac:dyDescent="0.25">
      <c r="A447" s="8">
        <v>41574</v>
      </c>
      <c r="B447" s="4">
        <v>59410</v>
      </c>
      <c r="C447" s="57">
        <v>56.29</v>
      </c>
    </row>
    <row r="448" spans="1:3" x14ac:dyDescent="0.25">
      <c r="A448" s="8">
        <v>41574</v>
      </c>
      <c r="B448" s="4">
        <v>59411</v>
      </c>
      <c r="C448" s="57">
        <v>105.36</v>
      </c>
    </row>
    <row r="449" spans="1:3" x14ac:dyDescent="0.25">
      <c r="A449" s="8">
        <v>41574</v>
      </c>
      <c r="B449" s="4">
        <v>59412</v>
      </c>
      <c r="C449" s="57">
        <v>142.54</v>
      </c>
    </row>
    <row r="450" spans="1:3" x14ac:dyDescent="0.25">
      <c r="A450" s="8">
        <v>41574</v>
      </c>
      <c r="B450" s="4">
        <v>59413</v>
      </c>
      <c r="C450" s="57">
        <v>207.18</v>
      </c>
    </row>
    <row r="451" spans="1:3" x14ac:dyDescent="0.25">
      <c r="A451" s="8">
        <v>41574</v>
      </c>
      <c r="B451" s="4">
        <v>59414</v>
      </c>
      <c r="C451" s="57">
        <v>368.45</v>
      </c>
    </row>
    <row r="452" spans="1:3" x14ac:dyDescent="0.25">
      <c r="A452" s="8">
        <v>41574</v>
      </c>
      <c r="B452" s="4">
        <v>59415</v>
      </c>
      <c r="C452" s="57">
        <v>329.03</v>
      </c>
    </row>
    <row r="453" spans="1:3" x14ac:dyDescent="0.25">
      <c r="A453" s="8">
        <v>41574</v>
      </c>
      <c r="B453" s="4">
        <v>59416</v>
      </c>
      <c r="C453" s="57">
        <v>128.97999999999999</v>
      </c>
    </row>
    <row r="454" spans="1:3" x14ac:dyDescent="0.25">
      <c r="A454" s="8">
        <v>41574</v>
      </c>
      <c r="B454" s="4">
        <v>59417</v>
      </c>
      <c r="C454" s="57">
        <v>42.15</v>
      </c>
    </row>
    <row r="455" spans="1:3" x14ac:dyDescent="0.25">
      <c r="A455" s="8">
        <v>41574</v>
      </c>
      <c r="B455" s="4">
        <v>59418</v>
      </c>
      <c r="C455" s="57">
        <v>271.10000000000002</v>
      </c>
    </row>
    <row r="456" spans="1:3" x14ac:dyDescent="0.25">
      <c r="A456" s="8">
        <v>41574</v>
      </c>
      <c r="B456" s="4">
        <v>59419</v>
      </c>
      <c r="C456" s="57">
        <v>176.72</v>
      </c>
    </row>
    <row r="457" spans="1:3" x14ac:dyDescent="0.25">
      <c r="A457" s="8">
        <v>41575</v>
      </c>
      <c r="B457" s="4">
        <v>59420</v>
      </c>
      <c r="C457" s="57">
        <v>177.77</v>
      </c>
    </row>
    <row r="458" spans="1:3" x14ac:dyDescent="0.25">
      <c r="A458" s="8">
        <v>41575</v>
      </c>
      <c r="B458" s="4">
        <v>59421</v>
      </c>
      <c r="C458" s="57">
        <v>381.81</v>
      </c>
    </row>
    <row r="459" spans="1:3" x14ac:dyDescent="0.25">
      <c r="A459" s="8">
        <v>41575</v>
      </c>
      <c r="B459" s="4">
        <v>59422</v>
      </c>
      <c r="C459" s="57">
        <v>42.82</v>
      </c>
    </row>
    <row r="460" spans="1:3" x14ac:dyDescent="0.25">
      <c r="A460" s="8">
        <v>41575</v>
      </c>
      <c r="B460" s="4">
        <v>59423</v>
      </c>
      <c r="C460" s="57">
        <v>130.19</v>
      </c>
    </row>
    <row r="461" spans="1:3" x14ac:dyDescent="0.25">
      <c r="A461" s="8">
        <v>41575</v>
      </c>
      <c r="B461" s="4">
        <v>59424</v>
      </c>
      <c r="C461" s="57">
        <v>123.64</v>
      </c>
    </row>
    <row r="462" spans="1:3" x14ac:dyDescent="0.25">
      <c r="A462" s="8">
        <v>41575</v>
      </c>
      <c r="B462" s="4">
        <v>59425</v>
      </c>
      <c r="C462" s="57">
        <v>327</v>
      </c>
    </row>
    <row r="463" spans="1:3" x14ac:dyDescent="0.25">
      <c r="A463" s="8">
        <v>41575</v>
      </c>
      <c r="B463" s="4">
        <v>59426</v>
      </c>
      <c r="C463" s="57">
        <v>388.07</v>
      </c>
    </row>
    <row r="464" spans="1:3" x14ac:dyDescent="0.25">
      <c r="A464" s="8">
        <v>41575</v>
      </c>
      <c r="B464" s="4">
        <v>59427</v>
      </c>
      <c r="C464" s="57">
        <v>64.92</v>
      </c>
    </row>
    <row r="465" spans="1:3" x14ac:dyDescent="0.25">
      <c r="A465" s="8">
        <v>41575</v>
      </c>
      <c r="B465" s="4">
        <v>59428</v>
      </c>
      <c r="C465" s="57">
        <v>289.25</v>
      </c>
    </row>
    <row r="466" spans="1:3" x14ac:dyDescent="0.25">
      <c r="A466" s="8">
        <v>41575</v>
      </c>
      <c r="B466" s="4">
        <v>59429</v>
      </c>
      <c r="C466" s="57">
        <v>384.69</v>
      </c>
    </row>
    <row r="467" spans="1:3" x14ac:dyDescent="0.25">
      <c r="A467" s="8">
        <v>41575</v>
      </c>
      <c r="B467" s="4">
        <v>59430</v>
      </c>
      <c r="C467" s="57">
        <v>228.27</v>
      </c>
    </row>
    <row r="468" spans="1:3" x14ac:dyDescent="0.25">
      <c r="A468" s="8">
        <v>41575</v>
      </c>
      <c r="B468" s="4">
        <v>59431</v>
      </c>
      <c r="C468" s="57">
        <v>101.11</v>
      </c>
    </row>
    <row r="469" spans="1:3" x14ac:dyDescent="0.25">
      <c r="A469" s="8">
        <v>41575</v>
      </c>
      <c r="B469" s="4">
        <v>59432</v>
      </c>
      <c r="C469" s="57">
        <v>366.63</v>
      </c>
    </row>
    <row r="470" spans="1:3" x14ac:dyDescent="0.25">
      <c r="A470" s="8">
        <v>41575</v>
      </c>
      <c r="B470" s="4">
        <v>59433</v>
      </c>
      <c r="C470" s="57">
        <v>48.07</v>
      </c>
    </row>
    <row r="471" spans="1:3" x14ac:dyDescent="0.25">
      <c r="A471" s="8">
        <v>41575</v>
      </c>
      <c r="B471" s="4">
        <v>59434</v>
      </c>
      <c r="C471" s="57">
        <v>82.5</v>
      </c>
    </row>
    <row r="472" spans="1:3" x14ac:dyDescent="0.25">
      <c r="A472" s="8">
        <v>41575</v>
      </c>
      <c r="B472" s="4">
        <v>59435</v>
      </c>
      <c r="C472" s="57">
        <v>108.81</v>
      </c>
    </row>
    <row r="473" spans="1:3" x14ac:dyDescent="0.25">
      <c r="A473" s="8">
        <v>41576</v>
      </c>
      <c r="B473" s="4">
        <v>59436</v>
      </c>
      <c r="C473" s="57">
        <v>240.5</v>
      </c>
    </row>
    <row r="474" spans="1:3" x14ac:dyDescent="0.25">
      <c r="A474" s="8">
        <v>41576</v>
      </c>
      <c r="B474" s="4">
        <v>59437</v>
      </c>
      <c r="C474" s="57">
        <v>376.38</v>
      </c>
    </row>
    <row r="475" spans="1:3" x14ac:dyDescent="0.25">
      <c r="A475" s="8">
        <v>41576</v>
      </c>
      <c r="B475" s="4">
        <v>59438</v>
      </c>
      <c r="C475" s="57">
        <v>186.61</v>
      </c>
    </row>
    <row r="476" spans="1:3" x14ac:dyDescent="0.25">
      <c r="A476" s="8">
        <v>41576</v>
      </c>
      <c r="B476" s="4">
        <v>59439</v>
      </c>
      <c r="C476" s="57">
        <v>317.88</v>
      </c>
    </row>
    <row r="477" spans="1:3" x14ac:dyDescent="0.25">
      <c r="A477" s="8">
        <v>41576</v>
      </c>
      <c r="B477" s="4">
        <v>59440</v>
      </c>
      <c r="C477" s="57">
        <v>137.52000000000001</v>
      </c>
    </row>
    <row r="478" spans="1:3" x14ac:dyDescent="0.25">
      <c r="A478" s="8">
        <v>41576</v>
      </c>
      <c r="B478" s="4">
        <v>59441</v>
      </c>
      <c r="C478" s="57">
        <v>198.13</v>
      </c>
    </row>
    <row r="479" spans="1:3" x14ac:dyDescent="0.25">
      <c r="A479" s="8">
        <v>41576</v>
      </c>
      <c r="B479" s="4">
        <v>59442</v>
      </c>
      <c r="C479" s="57">
        <v>50.82</v>
      </c>
    </row>
    <row r="480" spans="1:3" x14ac:dyDescent="0.25">
      <c r="A480" s="8">
        <v>41576</v>
      </c>
      <c r="B480" s="4">
        <v>59443</v>
      </c>
      <c r="C480" s="57">
        <v>312.32</v>
      </c>
    </row>
    <row r="481" spans="1:3" x14ac:dyDescent="0.25">
      <c r="A481" s="8">
        <v>41576</v>
      </c>
      <c r="B481" s="4">
        <v>59444</v>
      </c>
      <c r="C481" s="57">
        <v>66.89</v>
      </c>
    </row>
    <row r="482" spans="1:3" x14ac:dyDescent="0.25">
      <c r="A482" s="8">
        <v>41576</v>
      </c>
      <c r="B482" s="4">
        <v>59445</v>
      </c>
      <c r="C482" s="57">
        <v>38.200000000000003</v>
      </c>
    </row>
    <row r="483" spans="1:3" x14ac:dyDescent="0.25">
      <c r="A483" s="8">
        <v>41576</v>
      </c>
      <c r="B483" s="4">
        <v>59446</v>
      </c>
      <c r="C483" s="57">
        <v>365.01</v>
      </c>
    </row>
    <row r="484" spans="1:3" x14ac:dyDescent="0.25">
      <c r="A484" s="8">
        <v>41576</v>
      </c>
      <c r="B484" s="4">
        <v>59447</v>
      </c>
      <c r="C484" s="57">
        <v>351.64</v>
      </c>
    </row>
    <row r="485" spans="1:3" x14ac:dyDescent="0.25">
      <c r="A485" s="8">
        <v>41576</v>
      </c>
      <c r="B485" s="4">
        <v>59448</v>
      </c>
      <c r="C485" s="57">
        <v>370.4</v>
      </c>
    </row>
    <row r="486" spans="1:3" x14ac:dyDescent="0.25">
      <c r="A486" s="8">
        <v>41576</v>
      </c>
      <c r="B486" s="4">
        <v>59449</v>
      </c>
      <c r="C486" s="57">
        <v>270.39</v>
      </c>
    </row>
    <row r="487" spans="1:3" x14ac:dyDescent="0.25">
      <c r="A487" s="8">
        <v>41576</v>
      </c>
      <c r="B487" s="4">
        <v>59450</v>
      </c>
      <c r="C487" s="57">
        <v>75.55</v>
      </c>
    </row>
    <row r="488" spans="1:3" x14ac:dyDescent="0.25">
      <c r="A488" s="8">
        <v>41576</v>
      </c>
      <c r="B488" s="4">
        <v>59451</v>
      </c>
      <c r="C488" s="57">
        <v>211.01</v>
      </c>
    </row>
    <row r="489" spans="1:3" x14ac:dyDescent="0.25">
      <c r="A489" s="8">
        <v>41576</v>
      </c>
      <c r="B489" s="4">
        <v>59452</v>
      </c>
      <c r="C489" s="57">
        <v>214.08</v>
      </c>
    </row>
    <row r="490" spans="1:3" x14ac:dyDescent="0.25">
      <c r="A490" s="8">
        <v>41576</v>
      </c>
      <c r="B490" s="4">
        <v>59453</v>
      </c>
      <c r="C490" s="57">
        <v>168.15</v>
      </c>
    </row>
    <row r="491" spans="1:3" x14ac:dyDescent="0.25">
      <c r="A491" s="8">
        <v>41576</v>
      </c>
      <c r="B491" s="4">
        <v>59454</v>
      </c>
      <c r="C491" s="57">
        <v>212.1</v>
      </c>
    </row>
    <row r="492" spans="1:3" x14ac:dyDescent="0.25">
      <c r="A492" s="8">
        <v>41576</v>
      </c>
      <c r="B492" s="4">
        <v>59455</v>
      </c>
      <c r="C492" s="57">
        <v>243.27</v>
      </c>
    </row>
    <row r="493" spans="1:3" x14ac:dyDescent="0.25">
      <c r="A493" s="8">
        <v>41577</v>
      </c>
      <c r="B493" s="4">
        <v>59456</v>
      </c>
      <c r="C493" s="57">
        <v>118.22</v>
      </c>
    </row>
    <row r="494" spans="1:3" x14ac:dyDescent="0.25">
      <c r="A494" s="8">
        <v>41577</v>
      </c>
      <c r="B494" s="4">
        <v>59457</v>
      </c>
      <c r="C494" s="57">
        <v>301.37</v>
      </c>
    </row>
    <row r="495" spans="1:3" x14ac:dyDescent="0.25">
      <c r="A495" s="8">
        <v>41577</v>
      </c>
      <c r="B495" s="4">
        <v>59458</v>
      </c>
      <c r="C495" s="57">
        <v>106.08</v>
      </c>
    </row>
    <row r="496" spans="1:3" x14ac:dyDescent="0.25">
      <c r="A496" s="8">
        <v>41577</v>
      </c>
      <c r="B496" s="4">
        <v>59459</v>
      </c>
      <c r="C496" s="57">
        <v>224.36</v>
      </c>
    </row>
    <row r="497" spans="1:3" x14ac:dyDescent="0.25">
      <c r="A497" s="8">
        <v>41577</v>
      </c>
      <c r="B497" s="4">
        <v>59460</v>
      </c>
      <c r="C497" s="57">
        <v>151.16</v>
      </c>
    </row>
    <row r="498" spans="1:3" x14ac:dyDescent="0.25">
      <c r="A498" s="8">
        <v>41577</v>
      </c>
      <c r="B498" s="4">
        <v>59461</v>
      </c>
      <c r="C498" s="57">
        <v>258.17</v>
      </c>
    </row>
    <row r="499" spans="1:3" x14ac:dyDescent="0.25">
      <c r="A499" s="8">
        <v>41577</v>
      </c>
      <c r="B499" s="4">
        <v>59462</v>
      </c>
      <c r="C499" s="57">
        <v>312.19</v>
      </c>
    </row>
    <row r="500" spans="1:3" x14ac:dyDescent="0.25">
      <c r="A500" s="8">
        <v>41577</v>
      </c>
      <c r="B500" s="4">
        <v>59463</v>
      </c>
      <c r="C500" s="57">
        <v>236.59</v>
      </c>
    </row>
    <row r="501" spans="1:3" x14ac:dyDescent="0.25">
      <c r="A501" s="8">
        <v>41577</v>
      </c>
      <c r="B501" s="4">
        <v>59464</v>
      </c>
      <c r="C501" s="57">
        <v>190.59</v>
      </c>
    </row>
    <row r="502" spans="1:3" x14ac:dyDescent="0.25">
      <c r="A502" s="8">
        <v>41577</v>
      </c>
      <c r="B502" s="4">
        <v>59465</v>
      </c>
      <c r="C502" s="57">
        <v>377.43</v>
      </c>
    </row>
    <row r="503" spans="1:3" x14ac:dyDescent="0.25">
      <c r="A503" s="8">
        <v>41577</v>
      </c>
      <c r="B503" s="4">
        <v>59466</v>
      </c>
      <c r="C503" s="57">
        <v>371.73</v>
      </c>
    </row>
    <row r="504" spans="1:3" x14ac:dyDescent="0.25">
      <c r="A504" s="8">
        <v>41577</v>
      </c>
      <c r="B504" s="4">
        <v>59467</v>
      </c>
      <c r="C504" s="57">
        <v>73.87</v>
      </c>
    </row>
    <row r="505" spans="1:3" x14ac:dyDescent="0.25">
      <c r="A505" s="8">
        <v>41577</v>
      </c>
      <c r="B505" s="4">
        <v>59468</v>
      </c>
      <c r="C505" s="57">
        <v>309.99</v>
      </c>
    </row>
    <row r="506" spans="1:3" x14ac:dyDescent="0.25">
      <c r="A506" s="8">
        <v>41578</v>
      </c>
      <c r="B506" s="4">
        <v>59469</v>
      </c>
      <c r="C506" s="57">
        <v>76.099999999999994</v>
      </c>
    </row>
    <row r="507" spans="1:3" x14ac:dyDescent="0.25">
      <c r="A507" s="8">
        <v>41578</v>
      </c>
      <c r="B507" s="4">
        <v>59470</v>
      </c>
      <c r="C507" s="57">
        <v>166.77</v>
      </c>
    </row>
    <row r="508" spans="1:3" x14ac:dyDescent="0.25">
      <c r="A508" s="8">
        <v>41578</v>
      </c>
      <c r="B508" s="4">
        <v>59471</v>
      </c>
      <c r="C508" s="57">
        <v>281.33999999999997</v>
      </c>
    </row>
    <row r="509" spans="1:3" x14ac:dyDescent="0.25">
      <c r="A509" s="8">
        <v>41578</v>
      </c>
      <c r="B509" s="4">
        <v>59472</v>
      </c>
      <c r="C509" s="57">
        <v>313.36</v>
      </c>
    </row>
    <row r="510" spans="1:3" x14ac:dyDescent="0.25">
      <c r="A510" s="8">
        <v>41578</v>
      </c>
      <c r="B510" s="4">
        <v>59473</v>
      </c>
      <c r="C510" s="57">
        <v>75.06</v>
      </c>
    </row>
    <row r="511" spans="1:3" x14ac:dyDescent="0.25">
      <c r="A511" s="8">
        <v>41578</v>
      </c>
      <c r="B511" s="4">
        <v>59474</v>
      </c>
      <c r="C511" s="57">
        <v>173.69</v>
      </c>
    </row>
    <row r="512" spans="1:3" x14ac:dyDescent="0.25">
      <c r="A512" s="8">
        <v>41578</v>
      </c>
      <c r="B512" s="4">
        <v>59475</v>
      </c>
      <c r="C512" s="57">
        <v>185.36</v>
      </c>
    </row>
    <row r="513" spans="1:3" x14ac:dyDescent="0.25">
      <c r="A513" s="8">
        <v>41578</v>
      </c>
      <c r="B513" s="4">
        <v>59476</v>
      </c>
      <c r="C513" s="57">
        <v>339.26</v>
      </c>
    </row>
    <row r="514" spans="1:3" x14ac:dyDescent="0.25">
      <c r="A514" s="8">
        <v>41578</v>
      </c>
      <c r="B514" s="4">
        <v>59477</v>
      </c>
      <c r="C514" s="57">
        <v>261.49</v>
      </c>
    </row>
    <row r="515" spans="1:3" x14ac:dyDescent="0.25">
      <c r="A515" s="8">
        <v>41578</v>
      </c>
      <c r="B515" s="4">
        <v>59478</v>
      </c>
      <c r="C515" s="57">
        <v>114.09</v>
      </c>
    </row>
    <row r="516" spans="1:3" x14ac:dyDescent="0.25">
      <c r="A516" s="8">
        <v>41578</v>
      </c>
      <c r="B516" s="4">
        <v>59479</v>
      </c>
      <c r="C516" s="57">
        <v>166.49</v>
      </c>
    </row>
    <row r="517" spans="1:3" x14ac:dyDescent="0.25">
      <c r="A517" s="8">
        <v>41578</v>
      </c>
      <c r="B517" s="4">
        <v>59480</v>
      </c>
      <c r="C517" s="57">
        <v>95.1</v>
      </c>
    </row>
    <row r="518" spans="1:3" x14ac:dyDescent="0.25">
      <c r="A518" s="8">
        <v>41578</v>
      </c>
      <c r="B518" s="4">
        <v>59481</v>
      </c>
      <c r="C518" s="57">
        <v>109.95</v>
      </c>
    </row>
    <row r="519" spans="1:3" x14ac:dyDescent="0.25">
      <c r="A519" s="8">
        <v>41578</v>
      </c>
      <c r="B519" s="4">
        <v>59482</v>
      </c>
      <c r="C519" s="57">
        <v>290.08999999999997</v>
      </c>
    </row>
    <row r="520" spans="1:3" x14ac:dyDescent="0.25">
      <c r="A520" s="8">
        <v>41578</v>
      </c>
      <c r="B520" s="4">
        <v>59483</v>
      </c>
      <c r="C520" s="57">
        <v>297.85000000000002</v>
      </c>
    </row>
    <row r="521" spans="1:3" x14ac:dyDescent="0.25">
      <c r="A521" s="8">
        <v>41578</v>
      </c>
      <c r="B521" s="4">
        <v>59484</v>
      </c>
      <c r="C521" s="57">
        <v>331.36</v>
      </c>
    </row>
    <row r="522" spans="1:3" x14ac:dyDescent="0.25">
      <c r="A522" s="8">
        <v>41578</v>
      </c>
      <c r="B522" s="4">
        <v>59485</v>
      </c>
      <c r="C522" s="57">
        <v>104.21</v>
      </c>
    </row>
    <row r="523" spans="1:3" x14ac:dyDescent="0.25">
      <c r="A523" s="8">
        <v>41578</v>
      </c>
      <c r="B523" s="4">
        <v>59486</v>
      </c>
      <c r="C523" s="57">
        <v>136.32</v>
      </c>
    </row>
    <row r="524" spans="1:3" x14ac:dyDescent="0.25">
      <c r="A524" s="8">
        <v>41578</v>
      </c>
      <c r="B524" s="4">
        <v>59487</v>
      </c>
      <c r="C524" s="57">
        <v>228.75</v>
      </c>
    </row>
    <row r="525" spans="1:3" x14ac:dyDescent="0.25">
      <c r="A525" s="8">
        <v>41578</v>
      </c>
      <c r="B525" s="4">
        <v>59488</v>
      </c>
      <c r="C525" s="57">
        <v>370.83</v>
      </c>
    </row>
    <row r="526" spans="1:3" x14ac:dyDescent="0.25">
      <c r="A526" s="8">
        <v>41579</v>
      </c>
      <c r="B526" s="4">
        <v>59489</v>
      </c>
      <c r="C526" s="57">
        <v>42.44</v>
      </c>
    </row>
    <row r="527" spans="1:3" x14ac:dyDescent="0.25">
      <c r="A527" s="8">
        <v>41579</v>
      </c>
      <c r="B527" s="4">
        <v>59490</v>
      </c>
      <c r="C527" s="57">
        <v>208.22</v>
      </c>
    </row>
    <row r="528" spans="1:3" x14ac:dyDescent="0.25">
      <c r="A528" s="8">
        <v>41579</v>
      </c>
      <c r="B528" s="4">
        <v>59491</v>
      </c>
      <c r="C528" s="57">
        <v>152.13</v>
      </c>
    </row>
    <row r="529" spans="1:3" x14ac:dyDescent="0.25">
      <c r="A529" s="8">
        <v>41579</v>
      </c>
      <c r="B529" s="4">
        <v>59492</v>
      </c>
      <c r="C529" s="57">
        <v>35.090000000000003</v>
      </c>
    </row>
    <row r="530" spans="1:3" x14ac:dyDescent="0.25">
      <c r="A530" s="8">
        <v>41579</v>
      </c>
      <c r="B530" s="4">
        <v>59493</v>
      </c>
      <c r="C530" s="57">
        <v>226.73</v>
      </c>
    </row>
    <row r="531" spans="1:3" x14ac:dyDescent="0.25">
      <c r="A531" s="8">
        <v>41579</v>
      </c>
      <c r="B531" s="4">
        <v>59494</v>
      </c>
      <c r="C531" s="57">
        <v>230.33</v>
      </c>
    </row>
    <row r="532" spans="1:3" x14ac:dyDescent="0.25">
      <c r="A532" s="8">
        <v>41579</v>
      </c>
      <c r="B532" s="4">
        <v>59495</v>
      </c>
      <c r="C532" s="57">
        <v>122.14</v>
      </c>
    </row>
    <row r="533" spans="1:3" x14ac:dyDescent="0.25">
      <c r="A533" s="8">
        <v>41579</v>
      </c>
      <c r="B533" s="4">
        <v>59496</v>
      </c>
      <c r="C533" s="57">
        <v>375.41</v>
      </c>
    </row>
    <row r="534" spans="1:3" x14ac:dyDescent="0.25">
      <c r="A534" s="8">
        <v>41579</v>
      </c>
      <c r="B534" s="4">
        <v>59497</v>
      </c>
      <c r="C534" s="57">
        <v>38.65</v>
      </c>
    </row>
    <row r="535" spans="1:3" x14ac:dyDescent="0.25">
      <c r="A535" s="8">
        <v>41579</v>
      </c>
      <c r="B535" s="4">
        <v>59498</v>
      </c>
      <c r="C535" s="57">
        <v>129.86000000000001</v>
      </c>
    </row>
    <row r="536" spans="1:3" x14ac:dyDescent="0.25">
      <c r="A536" s="8">
        <v>41579</v>
      </c>
      <c r="B536" s="4">
        <v>59499</v>
      </c>
      <c r="C536" s="57">
        <v>306.52</v>
      </c>
    </row>
    <row r="537" spans="1:3" x14ac:dyDescent="0.25">
      <c r="A537" s="8">
        <v>41579</v>
      </c>
      <c r="B537" s="4">
        <v>59500</v>
      </c>
      <c r="C537" s="57">
        <v>264.52</v>
      </c>
    </row>
    <row r="538" spans="1:3" x14ac:dyDescent="0.25">
      <c r="A538" s="8">
        <v>41579</v>
      </c>
      <c r="B538" s="4">
        <v>59501</v>
      </c>
      <c r="C538" s="57">
        <v>144.53</v>
      </c>
    </row>
    <row r="539" spans="1:3" x14ac:dyDescent="0.25">
      <c r="A539" s="8">
        <v>41579</v>
      </c>
      <c r="B539" s="4">
        <v>59502</v>
      </c>
      <c r="C539" s="57">
        <v>198.64</v>
      </c>
    </row>
    <row r="540" spans="1:3" x14ac:dyDescent="0.25">
      <c r="A540" s="8">
        <v>41579</v>
      </c>
      <c r="B540" s="4">
        <v>59503</v>
      </c>
      <c r="C540" s="57">
        <v>298.51</v>
      </c>
    </row>
    <row r="541" spans="1:3" x14ac:dyDescent="0.25">
      <c r="A541" s="8">
        <v>41579</v>
      </c>
      <c r="B541" s="4">
        <v>59504</v>
      </c>
      <c r="C541" s="57">
        <v>314.27999999999997</v>
      </c>
    </row>
    <row r="542" spans="1:3" x14ac:dyDescent="0.25">
      <c r="A542" s="8">
        <v>41579</v>
      </c>
      <c r="B542" s="4">
        <v>59505</v>
      </c>
      <c r="C542" s="57">
        <v>234.39</v>
      </c>
    </row>
    <row r="543" spans="1:3" x14ac:dyDescent="0.25">
      <c r="A543" s="8">
        <v>41579</v>
      </c>
      <c r="B543" s="4">
        <v>59506</v>
      </c>
      <c r="C543" s="57">
        <v>250.87</v>
      </c>
    </row>
    <row r="544" spans="1:3" x14ac:dyDescent="0.25">
      <c r="A544" s="8">
        <v>41580</v>
      </c>
      <c r="B544" s="4">
        <v>59507</v>
      </c>
      <c r="C544" s="57">
        <v>198.9</v>
      </c>
    </row>
    <row r="545" spans="1:3" x14ac:dyDescent="0.25">
      <c r="A545" s="8">
        <v>41580</v>
      </c>
      <c r="B545" s="4">
        <v>59508</v>
      </c>
      <c r="C545" s="57">
        <v>197.89</v>
      </c>
    </row>
    <row r="546" spans="1:3" x14ac:dyDescent="0.25">
      <c r="A546" s="8">
        <v>41580</v>
      </c>
      <c r="B546" s="4">
        <v>59509</v>
      </c>
      <c r="C546" s="57">
        <v>269.07</v>
      </c>
    </row>
    <row r="547" spans="1:3" x14ac:dyDescent="0.25">
      <c r="A547" s="8">
        <v>41580</v>
      </c>
      <c r="B547" s="4">
        <v>59510</v>
      </c>
      <c r="C547" s="57">
        <v>323.58999999999997</v>
      </c>
    </row>
    <row r="548" spans="1:3" x14ac:dyDescent="0.25">
      <c r="A548" s="8">
        <v>41580</v>
      </c>
      <c r="B548" s="4">
        <v>59511</v>
      </c>
      <c r="C548" s="57">
        <v>330.16</v>
      </c>
    </row>
    <row r="549" spans="1:3" x14ac:dyDescent="0.25">
      <c r="A549" s="8">
        <v>41580</v>
      </c>
      <c r="B549" s="4">
        <v>59512</v>
      </c>
      <c r="C549" s="57">
        <v>306.01</v>
      </c>
    </row>
    <row r="550" spans="1:3" x14ac:dyDescent="0.25">
      <c r="A550" s="8">
        <v>41580</v>
      </c>
      <c r="B550" s="4">
        <v>59513</v>
      </c>
      <c r="C550" s="57">
        <v>159.76</v>
      </c>
    </row>
    <row r="551" spans="1:3" x14ac:dyDescent="0.25">
      <c r="A551" s="8">
        <v>41580</v>
      </c>
      <c r="B551" s="4">
        <v>59514</v>
      </c>
      <c r="C551" s="57">
        <v>56.38</v>
      </c>
    </row>
    <row r="552" spans="1:3" x14ac:dyDescent="0.25">
      <c r="A552" s="8">
        <v>41580</v>
      </c>
      <c r="B552" s="4">
        <v>59515</v>
      </c>
      <c r="C552" s="57">
        <v>257.33</v>
      </c>
    </row>
    <row r="553" spans="1:3" x14ac:dyDescent="0.25">
      <c r="A553" s="8">
        <v>41580</v>
      </c>
      <c r="B553" s="4">
        <v>59516</v>
      </c>
      <c r="C553" s="57">
        <v>225.88</v>
      </c>
    </row>
    <row r="554" spans="1:3" x14ac:dyDescent="0.25">
      <c r="A554" s="8">
        <v>41580</v>
      </c>
      <c r="B554" s="4">
        <v>59517</v>
      </c>
      <c r="C554" s="57">
        <v>252.19</v>
      </c>
    </row>
    <row r="555" spans="1:3" x14ac:dyDescent="0.25">
      <c r="A555" s="8">
        <v>41580</v>
      </c>
      <c r="B555" s="4">
        <v>59518</v>
      </c>
      <c r="C555" s="57">
        <v>207.84</v>
      </c>
    </row>
    <row r="556" spans="1:3" x14ac:dyDescent="0.25">
      <c r="A556" s="8">
        <v>41580</v>
      </c>
      <c r="B556" s="4">
        <v>59519</v>
      </c>
      <c r="C556" s="57">
        <v>361.07</v>
      </c>
    </row>
    <row r="557" spans="1:3" x14ac:dyDescent="0.25">
      <c r="A557" s="8">
        <v>41580</v>
      </c>
      <c r="B557" s="4">
        <v>59520</v>
      </c>
      <c r="C557" s="57">
        <v>125.04</v>
      </c>
    </row>
    <row r="558" spans="1:3" x14ac:dyDescent="0.25">
      <c r="A558" s="8">
        <v>41580</v>
      </c>
      <c r="B558" s="4">
        <v>59521</v>
      </c>
      <c r="C558" s="57">
        <v>302.86</v>
      </c>
    </row>
    <row r="559" spans="1:3" x14ac:dyDescent="0.25">
      <c r="A559" s="8">
        <v>41580</v>
      </c>
      <c r="B559" s="4">
        <v>59522</v>
      </c>
      <c r="C559" s="57">
        <v>113.55</v>
      </c>
    </row>
    <row r="560" spans="1:3" x14ac:dyDescent="0.25">
      <c r="A560" s="8">
        <v>41580</v>
      </c>
      <c r="B560" s="4">
        <v>59523</v>
      </c>
      <c r="C560" s="57">
        <v>205.97</v>
      </c>
    </row>
    <row r="561" spans="1:3" x14ac:dyDescent="0.25">
      <c r="A561" s="8">
        <v>41580</v>
      </c>
      <c r="B561" s="4">
        <v>59524</v>
      </c>
      <c r="C561" s="57">
        <v>313.77</v>
      </c>
    </row>
    <row r="562" spans="1:3" x14ac:dyDescent="0.25">
      <c r="A562" s="8">
        <v>41580</v>
      </c>
      <c r="B562" s="4">
        <v>59525</v>
      </c>
      <c r="C562" s="57">
        <v>131.78</v>
      </c>
    </row>
    <row r="563" spans="1:3" x14ac:dyDescent="0.25">
      <c r="A563" s="8">
        <v>41580</v>
      </c>
      <c r="B563" s="4">
        <v>59526</v>
      </c>
      <c r="C563" s="57">
        <v>128.65</v>
      </c>
    </row>
    <row r="564" spans="1:3" x14ac:dyDescent="0.25">
      <c r="A564" s="8">
        <v>41580</v>
      </c>
      <c r="B564" s="4">
        <v>59527</v>
      </c>
      <c r="C564" s="57">
        <v>286.83</v>
      </c>
    </row>
    <row r="565" spans="1:3" x14ac:dyDescent="0.25">
      <c r="A565" s="8">
        <v>41581</v>
      </c>
      <c r="B565" s="4">
        <v>59528</v>
      </c>
      <c r="C565" s="57">
        <v>184.58</v>
      </c>
    </row>
    <row r="566" spans="1:3" x14ac:dyDescent="0.25">
      <c r="A566" s="8">
        <v>41581</v>
      </c>
      <c r="B566" s="4">
        <v>59529</v>
      </c>
      <c r="C566" s="57">
        <v>191.32</v>
      </c>
    </row>
    <row r="567" spans="1:3" x14ac:dyDescent="0.25">
      <c r="A567" s="8">
        <v>41581</v>
      </c>
      <c r="B567" s="4">
        <v>59530</v>
      </c>
      <c r="C567" s="57">
        <v>239.69</v>
      </c>
    </row>
    <row r="568" spans="1:3" x14ac:dyDescent="0.25">
      <c r="A568" s="8">
        <v>41581</v>
      </c>
      <c r="B568" s="4">
        <v>59531</v>
      </c>
      <c r="C568" s="57">
        <v>174.84</v>
      </c>
    </row>
    <row r="569" spans="1:3" x14ac:dyDescent="0.25">
      <c r="A569" s="8">
        <v>41581</v>
      </c>
      <c r="B569" s="4">
        <v>59532</v>
      </c>
      <c r="C569" s="57">
        <v>229.17</v>
      </c>
    </row>
    <row r="570" spans="1:3" x14ac:dyDescent="0.25">
      <c r="A570" s="8">
        <v>41581</v>
      </c>
      <c r="B570" s="4">
        <v>59533</v>
      </c>
      <c r="C570" s="57">
        <v>271.29000000000002</v>
      </c>
    </row>
    <row r="571" spans="1:3" x14ac:dyDescent="0.25">
      <c r="A571" s="8">
        <v>41581</v>
      </c>
      <c r="B571" s="4">
        <v>59534</v>
      </c>
      <c r="C571" s="57">
        <v>88.86</v>
      </c>
    </row>
    <row r="572" spans="1:3" x14ac:dyDescent="0.25">
      <c r="A572" s="8">
        <v>41581</v>
      </c>
      <c r="B572" s="4">
        <v>59535</v>
      </c>
      <c r="C572" s="57">
        <v>99.75</v>
      </c>
    </row>
    <row r="573" spans="1:3" x14ac:dyDescent="0.25">
      <c r="A573" s="8">
        <v>41581</v>
      </c>
      <c r="B573" s="4">
        <v>59536</v>
      </c>
      <c r="C573" s="57">
        <v>57.05</v>
      </c>
    </row>
    <row r="574" spans="1:3" x14ac:dyDescent="0.25">
      <c r="A574" s="8">
        <v>41581</v>
      </c>
      <c r="B574" s="4">
        <v>59537</v>
      </c>
      <c r="C574" s="57">
        <v>370.57</v>
      </c>
    </row>
    <row r="575" spans="1:3" x14ac:dyDescent="0.25">
      <c r="A575" s="8">
        <v>41581</v>
      </c>
      <c r="B575" s="4">
        <v>59538</v>
      </c>
      <c r="C575" s="57">
        <v>65.66</v>
      </c>
    </row>
    <row r="576" spans="1:3" x14ac:dyDescent="0.25">
      <c r="A576" s="8">
        <v>41581</v>
      </c>
      <c r="B576" s="4">
        <v>59539</v>
      </c>
      <c r="C576" s="57">
        <v>86.83</v>
      </c>
    </row>
    <row r="577" spans="1:3" x14ac:dyDescent="0.25">
      <c r="A577" s="8">
        <v>41581</v>
      </c>
      <c r="B577" s="4">
        <v>59540</v>
      </c>
      <c r="C577" s="57">
        <v>268.2</v>
      </c>
    </row>
    <row r="578" spans="1:3" x14ac:dyDescent="0.25">
      <c r="A578" s="8">
        <v>41581</v>
      </c>
      <c r="B578" s="4">
        <v>59541</v>
      </c>
      <c r="C578" s="57">
        <v>256.89999999999998</v>
      </c>
    </row>
    <row r="579" spans="1:3" x14ac:dyDescent="0.25">
      <c r="A579" s="8">
        <v>41581</v>
      </c>
      <c r="B579" s="4">
        <v>59542</v>
      </c>
      <c r="C579" s="57">
        <v>104.25</v>
      </c>
    </row>
    <row r="580" spans="1:3" x14ac:dyDescent="0.25">
      <c r="A580" s="8">
        <v>41581</v>
      </c>
      <c r="B580" s="4">
        <v>59543</v>
      </c>
      <c r="C580" s="57">
        <v>154.52000000000001</v>
      </c>
    </row>
    <row r="581" spans="1:3" x14ac:dyDescent="0.25">
      <c r="A581" s="8">
        <v>41581</v>
      </c>
      <c r="B581" s="4">
        <v>59544</v>
      </c>
      <c r="C581" s="57">
        <v>308.67</v>
      </c>
    </row>
    <row r="582" spans="1:3" x14ac:dyDescent="0.25">
      <c r="A582" s="8">
        <v>41581</v>
      </c>
      <c r="B582" s="4">
        <v>59545</v>
      </c>
      <c r="C582" s="57">
        <v>132.1</v>
      </c>
    </row>
    <row r="583" spans="1:3" x14ac:dyDescent="0.25">
      <c r="A583" s="8">
        <v>41582</v>
      </c>
      <c r="B583" s="4">
        <v>59546</v>
      </c>
      <c r="C583" s="57">
        <v>112.68</v>
      </c>
    </row>
    <row r="584" spans="1:3" x14ac:dyDescent="0.25">
      <c r="A584" s="8">
        <v>41582</v>
      </c>
      <c r="B584" s="4">
        <v>59547</v>
      </c>
      <c r="C584" s="57">
        <v>77.59</v>
      </c>
    </row>
    <row r="585" spans="1:3" x14ac:dyDescent="0.25">
      <c r="A585" s="8">
        <v>41582</v>
      </c>
      <c r="B585" s="4">
        <v>59548</v>
      </c>
      <c r="C585" s="57">
        <v>299.49</v>
      </c>
    </row>
    <row r="586" spans="1:3" x14ac:dyDescent="0.25">
      <c r="A586" s="8">
        <v>41582</v>
      </c>
      <c r="B586" s="4">
        <v>59549</v>
      </c>
      <c r="C586" s="57">
        <v>370.28</v>
      </c>
    </row>
    <row r="587" spans="1:3" x14ac:dyDescent="0.25">
      <c r="A587" s="8">
        <v>41582</v>
      </c>
      <c r="B587" s="4">
        <v>59550</v>
      </c>
      <c r="C587" s="57">
        <v>39.869999999999997</v>
      </c>
    </row>
    <row r="588" spans="1:3" x14ac:dyDescent="0.25">
      <c r="A588" s="8">
        <v>41582</v>
      </c>
      <c r="B588" s="4">
        <v>59551</v>
      </c>
      <c r="C588" s="57">
        <v>292.36</v>
      </c>
    </row>
    <row r="589" spans="1:3" x14ac:dyDescent="0.25">
      <c r="A589" s="8">
        <v>41582</v>
      </c>
      <c r="B589" s="4">
        <v>59552</v>
      </c>
      <c r="C589" s="57">
        <v>273.2</v>
      </c>
    </row>
    <row r="590" spans="1:3" x14ac:dyDescent="0.25">
      <c r="A590" s="8">
        <v>41582</v>
      </c>
      <c r="B590" s="4">
        <v>59553</v>
      </c>
      <c r="C590" s="57">
        <v>128.47999999999999</v>
      </c>
    </row>
    <row r="591" spans="1:3" x14ac:dyDescent="0.25">
      <c r="A591" s="8">
        <v>41582</v>
      </c>
      <c r="B591" s="4">
        <v>59554</v>
      </c>
      <c r="C591" s="57">
        <v>187.38</v>
      </c>
    </row>
    <row r="592" spans="1:3" x14ac:dyDescent="0.25">
      <c r="A592" s="8">
        <v>41582</v>
      </c>
      <c r="B592" s="4">
        <v>59555</v>
      </c>
      <c r="C592" s="57">
        <v>237.8</v>
      </c>
    </row>
    <row r="593" spans="1:3" x14ac:dyDescent="0.25">
      <c r="A593" s="8">
        <v>41582</v>
      </c>
      <c r="B593" s="4">
        <v>59556</v>
      </c>
      <c r="C593" s="57">
        <v>262.93</v>
      </c>
    </row>
    <row r="594" spans="1:3" x14ac:dyDescent="0.25">
      <c r="A594" s="8">
        <v>41582</v>
      </c>
      <c r="B594" s="4">
        <v>59557</v>
      </c>
      <c r="C594" s="57">
        <v>247.58</v>
      </c>
    </row>
    <row r="595" spans="1:3" x14ac:dyDescent="0.25">
      <c r="A595" s="8">
        <v>41582</v>
      </c>
      <c r="B595" s="4">
        <v>59558</v>
      </c>
      <c r="C595" s="57">
        <v>213.83</v>
      </c>
    </row>
    <row r="596" spans="1:3" x14ac:dyDescent="0.25">
      <c r="A596" s="8">
        <v>41582</v>
      </c>
      <c r="B596" s="4">
        <v>59559</v>
      </c>
      <c r="C596" s="57">
        <v>371.78</v>
      </c>
    </row>
    <row r="597" spans="1:3" x14ac:dyDescent="0.25">
      <c r="A597" s="8">
        <v>41582</v>
      </c>
      <c r="B597" s="4">
        <v>59560</v>
      </c>
      <c r="C597" s="57">
        <v>305.64999999999998</v>
      </c>
    </row>
    <row r="598" spans="1:3" x14ac:dyDescent="0.25">
      <c r="A598" s="8">
        <v>41582</v>
      </c>
      <c r="B598" s="4">
        <v>59561</v>
      </c>
      <c r="C598" s="57">
        <v>266.76</v>
      </c>
    </row>
    <row r="599" spans="1:3" x14ac:dyDescent="0.25">
      <c r="A599" s="8">
        <v>41582</v>
      </c>
      <c r="B599" s="4">
        <v>59562</v>
      </c>
      <c r="C599" s="57">
        <v>55.89</v>
      </c>
    </row>
    <row r="600" spans="1:3" x14ac:dyDescent="0.25">
      <c r="A600" s="8">
        <v>41582</v>
      </c>
      <c r="B600" s="4">
        <v>59563</v>
      </c>
      <c r="C600" s="57">
        <v>349.79</v>
      </c>
    </row>
    <row r="601" spans="1:3" x14ac:dyDescent="0.25">
      <c r="A601" s="8">
        <v>41582</v>
      </c>
      <c r="B601" s="4">
        <v>59564</v>
      </c>
      <c r="C601" s="57">
        <v>331.79</v>
      </c>
    </row>
    <row r="602" spans="1:3" x14ac:dyDescent="0.25">
      <c r="A602" s="8">
        <v>41583</v>
      </c>
      <c r="B602" s="4">
        <v>59565</v>
      </c>
      <c r="C602" s="57">
        <v>121.38</v>
      </c>
    </row>
    <row r="603" spans="1:3" x14ac:dyDescent="0.25">
      <c r="A603" s="8">
        <v>41583</v>
      </c>
      <c r="B603" s="4">
        <v>59566</v>
      </c>
      <c r="C603" s="57">
        <v>289.72000000000003</v>
      </c>
    </row>
    <row r="604" spans="1:3" x14ac:dyDescent="0.25">
      <c r="A604" s="8">
        <v>41583</v>
      </c>
      <c r="B604" s="4">
        <v>59567</v>
      </c>
      <c r="C604" s="57">
        <v>103.8</v>
      </c>
    </row>
    <row r="605" spans="1:3" x14ac:dyDescent="0.25">
      <c r="A605" s="8">
        <v>41583</v>
      </c>
      <c r="B605" s="4">
        <v>59568</v>
      </c>
      <c r="C605" s="57">
        <v>332.61</v>
      </c>
    </row>
    <row r="606" spans="1:3" x14ac:dyDescent="0.25">
      <c r="A606" s="8">
        <v>41583</v>
      </c>
      <c r="B606" s="4">
        <v>59569</v>
      </c>
      <c r="C606" s="57">
        <v>39.96</v>
      </c>
    </row>
    <row r="607" spans="1:3" x14ac:dyDescent="0.25">
      <c r="A607" s="8">
        <v>41583</v>
      </c>
      <c r="B607" s="4">
        <v>59570</v>
      </c>
      <c r="C607" s="57">
        <v>119.58</v>
      </c>
    </row>
    <row r="608" spans="1:3" x14ac:dyDescent="0.25">
      <c r="A608" s="8">
        <v>41583</v>
      </c>
      <c r="B608" s="4">
        <v>59571</v>
      </c>
      <c r="C608" s="57">
        <v>252.3</v>
      </c>
    </row>
    <row r="609" spans="1:3" x14ac:dyDescent="0.25">
      <c r="A609" s="8">
        <v>41583</v>
      </c>
      <c r="B609" s="4">
        <v>59572</v>
      </c>
      <c r="C609" s="57">
        <v>160.78</v>
      </c>
    </row>
    <row r="610" spans="1:3" x14ac:dyDescent="0.25">
      <c r="A610" s="8">
        <v>41583</v>
      </c>
      <c r="B610" s="4">
        <v>59573</v>
      </c>
      <c r="C610" s="57">
        <v>354.26</v>
      </c>
    </row>
    <row r="611" spans="1:3" x14ac:dyDescent="0.25">
      <c r="A611" s="8">
        <v>41583</v>
      </c>
      <c r="B611" s="4">
        <v>59574</v>
      </c>
      <c r="C611" s="57">
        <v>231.99</v>
      </c>
    </row>
    <row r="612" spans="1:3" x14ac:dyDescent="0.25">
      <c r="A612" s="8">
        <v>41583</v>
      </c>
      <c r="B612" s="4">
        <v>59575</v>
      </c>
      <c r="C612" s="57">
        <v>160.72</v>
      </c>
    </row>
    <row r="613" spans="1:3" x14ac:dyDescent="0.25">
      <c r="A613" s="8">
        <v>41583</v>
      </c>
      <c r="B613" s="4">
        <v>59576</v>
      </c>
      <c r="C613" s="57">
        <v>226.1</v>
      </c>
    </row>
    <row r="614" spans="1:3" x14ac:dyDescent="0.25">
      <c r="A614" s="8">
        <v>41583</v>
      </c>
      <c r="B614" s="4">
        <v>59577</v>
      </c>
      <c r="C614" s="57">
        <v>311.95</v>
      </c>
    </row>
    <row r="615" spans="1:3" x14ac:dyDescent="0.25">
      <c r="A615" s="8">
        <v>41583</v>
      </c>
      <c r="B615" s="4">
        <v>59578</v>
      </c>
      <c r="C615" s="57">
        <v>126.87</v>
      </c>
    </row>
    <row r="616" spans="1:3" x14ac:dyDescent="0.25">
      <c r="A616" s="8">
        <v>41583</v>
      </c>
      <c r="B616" s="4">
        <v>59579</v>
      </c>
      <c r="C616" s="57">
        <v>180.1</v>
      </c>
    </row>
    <row r="617" spans="1:3" x14ac:dyDescent="0.25">
      <c r="A617" s="8">
        <v>41583</v>
      </c>
      <c r="B617" s="4">
        <v>59580</v>
      </c>
      <c r="C617" s="57">
        <v>142.63</v>
      </c>
    </row>
    <row r="618" spans="1:3" x14ac:dyDescent="0.25">
      <c r="A618" s="8">
        <v>41583</v>
      </c>
      <c r="B618" s="4">
        <v>59581</v>
      </c>
      <c r="C618" s="57">
        <v>199.15</v>
      </c>
    </row>
    <row r="619" spans="1:3" x14ac:dyDescent="0.25">
      <c r="A619" s="8">
        <v>41584</v>
      </c>
      <c r="B619" s="4">
        <v>59582</v>
      </c>
      <c r="C619" s="57">
        <v>51.96</v>
      </c>
    </row>
    <row r="620" spans="1:3" x14ac:dyDescent="0.25">
      <c r="A620" s="8">
        <v>41584</v>
      </c>
      <c r="B620" s="4">
        <v>59583</v>
      </c>
      <c r="C620" s="57">
        <v>117.75</v>
      </c>
    </row>
    <row r="621" spans="1:3" x14ac:dyDescent="0.25">
      <c r="A621" s="8">
        <v>41584</v>
      </c>
      <c r="B621" s="4">
        <v>59584</v>
      </c>
      <c r="C621" s="57">
        <v>314.08999999999997</v>
      </c>
    </row>
    <row r="622" spans="1:3" x14ac:dyDescent="0.25">
      <c r="A622" s="8">
        <v>41584</v>
      </c>
      <c r="B622" s="4">
        <v>59585</v>
      </c>
      <c r="C622" s="57">
        <v>114.02</v>
      </c>
    </row>
    <row r="623" spans="1:3" x14ac:dyDescent="0.25">
      <c r="A623" s="8">
        <v>41584</v>
      </c>
      <c r="B623" s="4">
        <v>59586</v>
      </c>
      <c r="C623" s="57">
        <v>137.59</v>
      </c>
    </row>
    <row r="624" spans="1:3" x14ac:dyDescent="0.25">
      <c r="A624" s="8">
        <v>41584</v>
      </c>
      <c r="B624" s="4">
        <v>59587</v>
      </c>
      <c r="C624" s="57">
        <v>196.36</v>
      </c>
    </row>
    <row r="625" spans="1:3" x14ac:dyDescent="0.25">
      <c r="A625" s="8">
        <v>41584</v>
      </c>
      <c r="B625" s="4">
        <v>59588</v>
      </c>
      <c r="C625" s="57">
        <v>295.97000000000003</v>
      </c>
    </row>
    <row r="626" spans="1:3" x14ac:dyDescent="0.25">
      <c r="A626" s="8">
        <v>41584</v>
      </c>
      <c r="B626" s="4">
        <v>59589</v>
      </c>
      <c r="C626" s="57">
        <v>69.09</v>
      </c>
    </row>
    <row r="627" spans="1:3" x14ac:dyDescent="0.25">
      <c r="A627" s="8">
        <v>41584</v>
      </c>
      <c r="B627" s="4">
        <v>59590</v>
      </c>
      <c r="C627" s="57">
        <v>163.38</v>
      </c>
    </row>
    <row r="628" spans="1:3" x14ac:dyDescent="0.25">
      <c r="A628" s="8">
        <v>41584</v>
      </c>
      <c r="B628" s="4">
        <v>59591</v>
      </c>
      <c r="C628" s="57">
        <v>338.13</v>
      </c>
    </row>
    <row r="629" spans="1:3" x14ac:dyDescent="0.25">
      <c r="A629" s="8">
        <v>41584</v>
      </c>
      <c r="B629" s="4">
        <v>59592</v>
      </c>
      <c r="C629" s="57">
        <v>189.16</v>
      </c>
    </row>
    <row r="630" spans="1:3" x14ac:dyDescent="0.25">
      <c r="A630" s="8">
        <v>41584</v>
      </c>
      <c r="B630" s="4">
        <v>59593</v>
      </c>
      <c r="C630" s="57">
        <v>89.41</v>
      </c>
    </row>
    <row r="631" spans="1:3" x14ac:dyDescent="0.25">
      <c r="A631" s="8">
        <v>41584</v>
      </c>
      <c r="B631" s="4">
        <v>59594</v>
      </c>
      <c r="C631" s="57">
        <v>386.62</v>
      </c>
    </row>
    <row r="632" spans="1:3" x14ac:dyDescent="0.25">
      <c r="A632" s="8">
        <v>41584</v>
      </c>
      <c r="B632" s="4">
        <v>59595</v>
      </c>
      <c r="C632" s="57">
        <v>345.51</v>
      </c>
    </row>
    <row r="633" spans="1:3" x14ac:dyDescent="0.25">
      <c r="A633" s="8">
        <v>41584</v>
      </c>
      <c r="B633" s="4">
        <v>59596</v>
      </c>
      <c r="C633" s="57">
        <v>217.68</v>
      </c>
    </row>
    <row r="634" spans="1:3" x14ac:dyDescent="0.25">
      <c r="A634" s="8">
        <v>41584</v>
      </c>
      <c r="B634" s="4">
        <v>59597</v>
      </c>
      <c r="C634" s="57">
        <v>278.47000000000003</v>
      </c>
    </row>
    <row r="635" spans="1:3" x14ac:dyDescent="0.25">
      <c r="A635" s="8">
        <v>41585</v>
      </c>
      <c r="B635" s="4">
        <v>59598</v>
      </c>
      <c r="C635" s="57">
        <v>265.13</v>
      </c>
    </row>
    <row r="636" spans="1:3" x14ac:dyDescent="0.25">
      <c r="A636" s="8">
        <v>41585</v>
      </c>
      <c r="B636" s="4">
        <v>59599</v>
      </c>
      <c r="C636" s="57">
        <v>302.02999999999997</v>
      </c>
    </row>
    <row r="637" spans="1:3" x14ac:dyDescent="0.25">
      <c r="A637" s="8">
        <v>41585</v>
      </c>
      <c r="B637" s="4">
        <v>59600</v>
      </c>
      <c r="C637" s="57">
        <v>334.55</v>
      </c>
    </row>
    <row r="638" spans="1:3" x14ac:dyDescent="0.25">
      <c r="A638" s="8">
        <v>41585</v>
      </c>
      <c r="B638" s="4">
        <v>59601</v>
      </c>
      <c r="C638" s="57">
        <v>305.52999999999997</v>
      </c>
    </row>
    <row r="639" spans="1:3" x14ac:dyDescent="0.25">
      <c r="A639" s="8">
        <v>41585</v>
      </c>
      <c r="B639" s="4">
        <v>59602</v>
      </c>
      <c r="C639" s="57">
        <v>212.99</v>
      </c>
    </row>
    <row r="640" spans="1:3" x14ac:dyDescent="0.25">
      <c r="A640" s="8">
        <v>41585</v>
      </c>
      <c r="B640" s="4">
        <v>59603</v>
      </c>
      <c r="C640" s="57">
        <v>312.42</v>
      </c>
    </row>
    <row r="641" spans="1:3" x14ac:dyDescent="0.25">
      <c r="A641" s="8">
        <v>41585</v>
      </c>
      <c r="B641" s="4">
        <v>59604</v>
      </c>
      <c r="C641" s="57">
        <v>238.55</v>
      </c>
    </row>
    <row r="642" spans="1:3" x14ac:dyDescent="0.25">
      <c r="A642" s="8">
        <v>41585</v>
      </c>
      <c r="B642" s="4">
        <v>59605</v>
      </c>
      <c r="C642" s="57">
        <v>279.61</v>
      </c>
    </row>
    <row r="643" spans="1:3" x14ac:dyDescent="0.25">
      <c r="A643" s="8">
        <v>41585</v>
      </c>
      <c r="B643" s="4">
        <v>59606</v>
      </c>
      <c r="C643" s="57">
        <v>183.24</v>
      </c>
    </row>
    <row r="644" spans="1:3" x14ac:dyDescent="0.25">
      <c r="A644" s="8">
        <v>41585</v>
      </c>
      <c r="B644" s="4">
        <v>59607</v>
      </c>
      <c r="C644" s="57">
        <v>269.95</v>
      </c>
    </row>
    <row r="645" spans="1:3" x14ac:dyDescent="0.25">
      <c r="A645" s="8">
        <v>41585</v>
      </c>
      <c r="B645" s="4">
        <v>59608</v>
      </c>
      <c r="C645" s="57">
        <v>49.01</v>
      </c>
    </row>
    <row r="646" spans="1:3" x14ac:dyDescent="0.25">
      <c r="A646" s="8">
        <v>41585</v>
      </c>
      <c r="B646" s="4">
        <v>59609</v>
      </c>
      <c r="C646" s="57">
        <v>185.58</v>
      </c>
    </row>
    <row r="647" spans="1:3" x14ac:dyDescent="0.25">
      <c r="A647" s="8">
        <v>41585</v>
      </c>
      <c r="B647" s="4">
        <v>59610</v>
      </c>
      <c r="C647" s="57">
        <v>123.72</v>
      </c>
    </row>
    <row r="648" spans="1:3" x14ac:dyDescent="0.25">
      <c r="A648" s="8">
        <v>41585</v>
      </c>
      <c r="B648" s="4">
        <v>59611</v>
      </c>
      <c r="C648" s="57">
        <v>46.16</v>
      </c>
    </row>
    <row r="649" spans="1:3" x14ac:dyDescent="0.25">
      <c r="A649" s="8">
        <v>41585</v>
      </c>
      <c r="B649" s="4">
        <v>59612</v>
      </c>
      <c r="C649" s="57">
        <v>313.41000000000003</v>
      </c>
    </row>
    <row r="650" spans="1:3" x14ac:dyDescent="0.25">
      <c r="A650" s="8">
        <v>41585</v>
      </c>
      <c r="B650" s="4">
        <v>59613</v>
      </c>
      <c r="C650" s="57">
        <v>81.03</v>
      </c>
    </row>
    <row r="651" spans="1:3" x14ac:dyDescent="0.25">
      <c r="A651" s="8">
        <v>41585</v>
      </c>
      <c r="B651" s="4">
        <v>59614</v>
      </c>
      <c r="C651" s="57">
        <v>362.07</v>
      </c>
    </row>
    <row r="652" spans="1:3" x14ac:dyDescent="0.25">
      <c r="A652" s="8">
        <v>41585</v>
      </c>
      <c r="B652" s="4">
        <v>59615</v>
      </c>
      <c r="C652" s="57">
        <v>342.32</v>
      </c>
    </row>
    <row r="653" spans="1:3" x14ac:dyDescent="0.25">
      <c r="A653" s="8">
        <v>41585</v>
      </c>
      <c r="B653" s="4">
        <v>59616</v>
      </c>
      <c r="C653" s="57">
        <v>84.8</v>
      </c>
    </row>
    <row r="654" spans="1:3" x14ac:dyDescent="0.25">
      <c r="A654" s="8">
        <v>41585</v>
      </c>
      <c r="B654" s="4">
        <v>59617</v>
      </c>
      <c r="C654" s="57">
        <v>361.98</v>
      </c>
    </row>
    <row r="655" spans="1:3" x14ac:dyDescent="0.25">
      <c r="A655" s="8">
        <v>41585</v>
      </c>
      <c r="B655" s="4">
        <v>59618</v>
      </c>
      <c r="C655" s="57">
        <v>79.989999999999995</v>
      </c>
    </row>
    <row r="656" spans="1:3" x14ac:dyDescent="0.25">
      <c r="A656" s="8">
        <v>41585</v>
      </c>
      <c r="B656" s="4">
        <v>59619</v>
      </c>
      <c r="C656" s="57">
        <v>184.95</v>
      </c>
    </row>
    <row r="657" spans="1:3" x14ac:dyDescent="0.25">
      <c r="A657" s="8">
        <v>41585</v>
      </c>
      <c r="B657" s="4">
        <v>59620</v>
      </c>
      <c r="C657" s="57">
        <v>81.12</v>
      </c>
    </row>
    <row r="658" spans="1:3" x14ac:dyDescent="0.25">
      <c r="A658" s="8">
        <v>41586</v>
      </c>
      <c r="B658" s="4">
        <v>59621</v>
      </c>
      <c r="C658" s="57">
        <v>157.56</v>
      </c>
    </row>
    <row r="659" spans="1:3" x14ac:dyDescent="0.25">
      <c r="A659" s="8">
        <v>41586</v>
      </c>
      <c r="B659" s="4">
        <v>59622</v>
      </c>
      <c r="C659" s="57">
        <v>204.43</v>
      </c>
    </row>
    <row r="660" spans="1:3" x14ac:dyDescent="0.25">
      <c r="A660" s="8">
        <v>41586</v>
      </c>
      <c r="B660" s="4">
        <v>59623</v>
      </c>
      <c r="C660" s="57">
        <v>248.36</v>
      </c>
    </row>
    <row r="661" spans="1:3" x14ac:dyDescent="0.25">
      <c r="A661" s="8">
        <v>41586</v>
      </c>
      <c r="B661" s="4">
        <v>59624</v>
      </c>
      <c r="C661" s="57">
        <v>350.77</v>
      </c>
    </row>
    <row r="662" spans="1:3" x14ac:dyDescent="0.25">
      <c r="A662" s="8">
        <v>41586</v>
      </c>
      <c r="B662" s="4">
        <v>59625</v>
      </c>
      <c r="C662" s="57">
        <v>57.13</v>
      </c>
    </row>
    <row r="663" spans="1:3" x14ac:dyDescent="0.25">
      <c r="A663" s="8">
        <v>41586</v>
      </c>
      <c r="B663" s="4">
        <v>59626</v>
      </c>
      <c r="C663" s="57">
        <v>125.32</v>
      </c>
    </row>
    <row r="664" spans="1:3" x14ac:dyDescent="0.25">
      <c r="A664" s="8">
        <v>41586</v>
      </c>
      <c r="B664" s="4">
        <v>59627</v>
      </c>
      <c r="C664" s="57">
        <v>107.93</v>
      </c>
    </row>
    <row r="665" spans="1:3" x14ac:dyDescent="0.25">
      <c r="A665" s="8">
        <v>41586</v>
      </c>
      <c r="B665" s="4">
        <v>59628</v>
      </c>
      <c r="C665" s="57">
        <v>208.18</v>
      </c>
    </row>
    <row r="666" spans="1:3" x14ac:dyDescent="0.25">
      <c r="A666" s="8">
        <v>41586</v>
      </c>
      <c r="B666" s="4">
        <v>59629</v>
      </c>
      <c r="C666" s="57">
        <v>47.44</v>
      </c>
    </row>
    <row r="667" spans="1:3" x14ac:dyDescent="0.25">
      <c r="A667" s="8">
        <v>41586</v>
      </c>
      <c r="B667" s="4">
        <v>59630</v>
      </c>
      <c r="C667" s="57">
        <v>89.51</v>
      </c>
    </row>
    <row r="668" spans="1:3" x14ac:dyDescent="0.25">
      <c r="A668" s="8">
        <v>41586</v>
      </c>
      <c r="B668" s="4">
        <v>59631</v>
      </c>
      <c r="C668" s="57">
        <v>68.22</v>
      </c>
    </row>
    <row r="669" spans="1:3" x14ac:dyDescent="0.25">
      <c r="A669" s="8">
        <v>41586</v>
      </c>
      <c r="B669" s="4">
        <v>59632</v>
      </c>
      <c r="C669" s="57">
        <v>206.4</v>
      </c>
    </row>
    <row r="670" spans="1:3" x14ac:dyDescent="0.25">
      <c r="A670" s="8">
        <v>41586</v>
      </c>
      <c r="B670" s="4">
        <v>59633</v>
      </c>
      <c r="C670" s="57">
        <v>336.27</v>
      </c>
    </row>
    <row r="671" spans="1:3" x14ac:dyDescent="0.25">
      <c r="A671" s="8">
        <v>41587</v>
      </c>
      <c r="B671" s="4">
        <v>59634</v>
      </c>
      <c r="C671" s="57">
        <v>90.59</v>
      </c>
    </row>
    <row r="672" spans="1:3" x14ac:dyDescent="0.25">
      <c r="A672" s="8">
        <v>41587</v>
      </c>
      <c r="B672" s="4">
        <v>59635</v>
      </c>
      <c r="C672" s="57">
        <v>187.88</v>
      </c>
    </row>
    <row r="673" spans="1:3" x14ac:dyDescent="0.25">
      <c r="A673" s="8">
        <v>41587</v>
      </c>
      <c r="B673" s="4">
        <v>59636</v>
      </c>
      <c r="C673" s="57">
        <v>122.01</v>
      </c>
    </row>
    <row r="674" spans="1:3" x14ac:dyDescent="0.25">
      <c r="A674" s="8">
        <v>41587</v>
      </c>
      <c r="B674" s="4">
        <v>59637</v>
      </c>
      <c r="C674" s="57">
        <v>202.11</v>
      </c>
    </row>
    <row r="675" spans="1:3" x14ac:dyDescent="0.25">
      <c r="A675" s="8">
        <v>41587</v>
      </c>
      <c r="B675" s="4">
        <v>59638</v>
      </c>
      <c r="C675" s="57">
        <v>43.78</v>
      </c>
    </row>
    <row r="676" spans="1:3" x14ac:dyDescent="0.25">
      <c r="A676" s="8">
        <v>41587</v>
      </c>
      <c r="B676" s="4">
        <v>59639</v>
      </c>
      <c r="C676" s="57">
        <v>136.88</v>
      </c>
    </row>
    <row r="677" spans="1:3" x14ac:dyDescent="0.25">
      <c r="A677" s="8">
        <v>41587</v>
      </c>
      <c r="B677" s="4">
        <v>59640</v>
      </c>
      <c r="C677" s="57">
        <v>73.92</v>
      </c>
    </row>
    <row r="678" spans="1:3" x14ac:dyDescent="0.25">
      <c r="A678" s="8">
        <v>41587</v>
      </c>
      <c r="B678" s="4">
        <v>59641</v>
      </c>
      <c r="C678" s="57">
        <v>166.45</v>
      </c>
    </row>
    <row r="679" spans="1:3" x14ac:dyDescent="0.25">
      <c r="A679" s="8">
        <v>41587</v>
      </c>
      <c r="B679" s="4">
        <v>59642</v>
      </c>
      <c r="C679" s="57">
        <v>214.87</v>
      </c>
    </row>
    <row r="680" spans="1:3" x14ac:dyDescent="0.25">
      <c r="A680" s="8">
        <v>41587</v>
      </c>
      <c r="B680" s="4">
        <v>59643</v>
      </c>
      <c r="C680" s="57">
        <v>119.85</v>
      </c>
    </row>
    <row r="681" spans="1:3" x14ac:dyDescent="0.25">
      <c r="A681" s="8">
        <v>41587</v>
      </c>
      <c r="B681" s="4">
        <v>59644</v>
      </c>
      <c r="C681" s="57">
        <v>67.56</v>
      </c>
    </row>
    <row r="682" spans="1:3" x14ac:dyDescent="0.25">
      <c r="A682" s="8">
        <v>41587</v>
      </c>
      <c r="B682" s="4">
        <v>59645</v>
      </c>
      <c r="C682" s="57">
        <v>368.51</v>
      </c>
    </row>
    <row r="683" spans="1:3" x14ac:dyDescent="0.25">
      <c r="A683" s="8">
        <v>41587</v>
      </c>
      <c r="B683" s="4">
        <v>59646</v>
      </c>
      <c r="C683" s="57">
        <v>51.49</v>
      </c>
    </row>
    <row r="684" spans="1:3" x14ac:dyDescent="0.25">
      <c r="A684" s="8">
        <v>41587</v>
      </c>
      <c r="B684" s="4">
        <v>59647</v>
      </c>
      <c r="C684" s="57">
        <v>261.58</v>
      </c>
    </row>
    <row r="685" spans="1:3" x14ac:dyDescent="0.25">
      <c r="A685" s="8">
        <v>41588</v>
      </c>
      <c r="B685" s="4">
        <v>59648</v>
      </c>
      <c r="C685" s="57">
        <v>126.61</v>
      </c>
    </row>
    <row r="686" spans="1:3" x14ac:dyDescent="0.25">
      <c r="A686" s="8">
        <v>41588</v>
      </c>
      <c r="B686" s="4">
        <v>59649</v>
      </c>
      <c r="C686" s="57">
        <v>304.48</v>
      </c>
    </row>
    <row r="687" spans="1:3" x14ac:dyDescent="0.25">
      <c r="A687" s="8">
        <v>41588</v>
      </c>
      <c r="B687" s="4">
        <v>59650</v>
      </c>
      <c r="C687" s="57">
        <v>96.5</v>
      </c>
    </row>
    <row r="688" spans="1:3" x14ac:dyDescent="0.25">
      <c r="A688" s="8">
        <v>41588</v>
      </c>
      <c r="B688" s="4">
        <v>59651</v>
      </c>
      <c r="C688" s="57">
        <v>123.14</v>
      </c>
    </row>
    <row r="689" spans="1:3" x14ac:dyDescent="0.25">
      <c r="A689" s="8">
        <v>41588</v>
      </c>
      <c r="B689" s="4">
        <v>59652</v>
      </c>
      <c r="C689" s="57">
        <v>157.99</v>
      </c>
    </row>
    <row r="690" spans="1:3" x14ac:dyDescent="0.25">
      <c r="A690" s="8">
        <v>41588</v>
      </c>
      <c r="B690" s="4">
        <v>59653</v>
      </c>
      <c r="C690" s="57">
        <v>229.05</v>
      </c>
    </row>
    <row r="691" spans="1:3" x14ac:dyDescent="0.25">
      <c r="A691" s="8">
        <v>41588</v>
      </c>
      <c r="B691" s="4">
        <v>59654</v>
      </c>
      <c r="C691" s="57">
        <v>229.8</v>
      </c>
    </row>
    <row r="692" spans="1:3" x14ac:dyDescent="0.25">
      <c r="A692" s="8">
        <v>41588</v>
      </c>
      <c r="B692" s="4">
        <v>59655</v>
      </c>
      <c r="C692" s="57">
        <v>322.58999999999997</v>
      </c>
    </row>
    <row r="693" spans="1:3" x14ac:dyDescent="0.25">
      <c r="A693" s="8">
        <v>41588</v>
      </c>
      <c r="B693" s="4">
        <v>59656</v>
      </c>
      <c r="C693" s="57">
        <v>244.16</v>
      </c>
    </row>
    <row r="694" spans="1:3" x14ac:dyDescent="0.25">
      <c r="A694" s="8">
        <v>41588</v>
      </c>
      <c r="B694" s="4">
        <v>59657</v>
      </c>
      <c r="C694" s="57">
        <v>277.33</v>
      </c>
    </row>
    <row r="695" spans="1:3" x14ac:dyDescent="0.25">
      <c r="A695" s="8">
        <v>41588</v>
      </c>
      <c r="B695" s="4">
        <v>59658</v>
      </c>
      <c r="C695" s="57">
        <v>99.39</v>
      </c>
    </row>
    <row r="696" spans="1:3" x14ac:dyDescent="0.25">
      <c r="A696" s="8">
        <v>41588</v>
      </c>
      <c r="B696" s="4">
        <v>59659</v>
      </c>
      <c r="C696" s="57">
        <v>295.95999999999998</v>
      </c>
    </row>
    <row r="697" spans="1:3" x14ac:dyDescent="0.25">
      <c r="A697" s="8">
        <v>41588</v>
      </c>
      <c r="B697" s="4">
        <v>59660</v>
      </c>
      <c r="C697" s="57">
        <v>310.51</v>
      </c>
    </row>
    <row r="698" spans="1:3" x14ac:dyDescent="0.25">
      <c r="A698" s="8">
        <v>41588</v>
      </c>
      <c r="B698" s="4">
        <v>59661</v>
      </c>
      <c r="C698" s="57">
        <v>94.44</v>
      </c>
    </row>
    <row r="699" spans="1:3" x14ac:dyDescent="0.25">
      <c r="A699" s="8">
        <v>41588</v>
      </c>
      <c r="B699" s="4">
        <v>59662</v>
      </c>
      <c r="C699" s="57">
        <v>147</v>
      </c>
    </row>
    <row r="700" spans="1:3" x14ac:dyDescent="0.25">
      <c r="A700" s="8">
        <v>41588</v>
      </c>
      <c r="B700" s="4">
        <v>59663</v>
      </c>
      <c r="C700" s="57">
        <v>108.48</v>
      </c>
    </row>
    <row r="701" spans="1:3" x14ac:dyDescent="0.25">
      <c r="A701" s="8">
        <v>41588</v>
      </c>
      <c r="B701" s="4">
        <v>59664</v>
      </c>
      <c r="C701" s="57">
        <v>156.03</v>
      </c>
    </row>
    <row r="702" spans="1:3" x14ac:dyDescent="0.25">
      <c r="A702" s="8">
        <v>41588</v>
      </c>
      <c r="B702" s="4">
        <v>59665</v>
      </c>
      <c r="C702" s="57">
        <v>45.15</v>
      </c>
    </row>
    <row r="703" spans="1:3" x14ac:dyDescent="0.25">
      <c r="A703" s="8">
        <v>41588</v>
      </c>
      <c r="B703" s="4">
        <v>59666</v>
      </c>
      <c r="C703" s="57">
        <v>192.48</v>
      </c>
    </row>
    <row r="704" spans="1:3" x14ac:dyDescent="0.25">
      <c r="A704" s="8">
        <v>41588</v>
      </c>
      <c r="B704" s="4">
        <v>59667</v>
      </c>
      <c r="C704" s="57">
        <v>43.34</v>
      </c>
    </row>
    <row r="705" spans="1:3" x14ac:dyDescent="0.25">
      <c r="A705" s="8">
        <v>41588</v>
      </c>
      <c r="B705" s="4">
        <v>59668</v>
      </c>
      <c r="C705" s="57">
        <v>169.85</v>
      </c>
    </row>
    <row r="706" spans="1:3" x14ac:dyDescent="0.25">
      <c r="A706" s="8">
        <v>41588</v>
      </c>
      <c r="B706" s="4">
        <v>59669</v>
      </c>
      <c r="C706" s="57">
        <v>280.01</v>
      </c>
    </row>
    <row r="707" spans="1:3" x14ac:dyDescent="0.25">
      <c r="A707" s="8">
        <v>41588</v>
      </c>
      <c r="B707" s="4">
        <v>59670</v>
      </c>
      <c r="C707" s="57">
        <v>377.44</v>
      </c>
    </row>
    <row r="708" spans="1:3" x14ac:dyDescent="0.25">
      <c r="A708" s="8">
        <v>41588</v>
      </c>
      <c r="B708" s="4">
        <v>59671</v>
      </c>
      <c r="C708" s="57">
        <v>345.72</v>
      </c>
    </row>
    <row r="709" spans="1:3" x14ac:dyDescent="0.25">
      <c r="A709" s="8">
        <v>41589</v>
      </c>
      <c r="B709" s="4">
        <v>59672</v>
      </c>
      <c r="C709" s="57">
        <v>151.81</v>
      </c>
    </row>
    <row r="710" spans="1:3" x14ac:dyDescent="0.25">
      <c r="A710" s="8">
        <v>41589</v>
      </c>
      <c r="B710" s="4">
        <v>59673</v>
      </c>
      <c r="C710" s="57">
        <v>96.52</v>
      </c>
    </row>
    <row r="711" spans="1:3" x14ac:dyDescent="0.25">
      <c r="A711" s="8">
        <v>41589</v>
      </c>
      <c r="B711" s="4">
        <v>59674</v>
      </c>
      <c r="C711" s="57">
        <v>185.18</v>
      </c>
    </row>
    <row r="712" spans="1:3" x14ac:dyDescent="0.25">
      <c r="A712" s="8">
        <v>41589</v>
      </c>
      <c r="B712" s="4">
        <v>59675</v>
      </c>
      <c r="C712" s="57">
        <v>115.43</v>
      </c>
    </row>
    <row r="713" spans="1:3" x14ac:dyDescent="0.25">
      <c r="A713" s="8">
        <v>41589</v>
      </c>
      <c r="B713" s="4">
        <v>59676</v>
      </c>
      <c r="C713" s="57">
        <v>289.58999999999997</v>
      </c>
    </row>
    <row r="714" spans="1:3" x14ac:dyDescent="0.25">
      <c r="A714" s="8">
        <v>41589</v>
      </c>
      <c r="B714" s="4">
        <v>59677</v>
      </c>
      <c r="C714" s="57">
        <v>68.97</v>
      </c>
    </row>
    <row r="715" spans="1:3" x14ac:dyDescent="0.25">
      <c r="A715" s="8">
        <v>41589</v>
      </c>
      <c r="B715" s="4">
        <v>59678</v>
      </c>
      <c r="C715" s="57">
        <v>99.07</v>
      </c>
    </row>
    <row r="716" spans="1:3" x14ac:dyDescent="0.25">
      <c r="A716" s="8">
        <v>41589</v>
      </c>
      <c r="B716" s="4">
        <v>59679</v>
      </c>
      <c r="C716" s="57">
        <v>154.46</v>
      </c>
    </row>
    <row r="717" spans="1:3" x14ac:dyDescent="0.25">
      <c r="A717" s="8">
        <v>41589</v>
      </c>
      <c r="B717" s="4">
        <v>59680</v>
      </c>
      <c r="C717" s="57">
        <v>229.51</v>
      </c>
    </row>
    <row r="718" spans="1:3" x14ac:dyDescent="0.25">
      <c r="A718" s="8">
        <v>41589</v>
      </c>
      <c r="B718" s="4">
        <v>59681</v>
      </c>
      <c r="C718" s="57">
        <v>189.82</v>
      </c>
    </row>
    <row r="719" spans="1:3" x14ac:dyDescent="0.25">
      <c r="A719" s="8">
        <v>41589</v>
      </c>
      <c r="B719" s="4">
        <v>59682</v>
      </c>
      <c r="C719" s="57">
        <v>119.18</v>
      </c>
    </row>
    <row r="720" spans="1:3" x14ac:dyDescent="0.25">
      <c r="A720" s="8">
        <v>41589</v>
      </c>
      <c r="B720" s="4">
        <v>59683</v>
      </c>
      <c r="C720" s="57">
        <v>104.63</v>
      </c>
    </row>
    <row r="721" spans="1:3" x14ac:dyDescent="0.25">
      <c r="A721" s="8">
        <v>41589</v>
      </c>
      <c r="B721" s="4">
        <v>59684</v>
      </c>
      <c r="C721" s="57">
        <v>378.81</v>
      </c>
    </row>
    <row r="722" spans="1:3" x14ac:dyDescent="0.25">
      <c r="A722" s="8">
        <v>41589</v>
      </c>
      <c r="B722" s="4">
        <v>59685</v>
      </c>
      <c r="C722" s="57">
        <v>245.55</v>
      </c>
    </row>
    <row r="723" spans="1:3" x14ac:dyDescent="0.25">
      <c r="A723" s="8">
        <v>41589</v>
      </c>
      <c r="B723" s="4">
        <v>59686</v>
      </c>
      <c r="C723" s="57">
        <v>94.6</v>
      </c>
    </row>
    <row r="724" spans="1:3" x14ac:dyDescent="0.25">
      <c r="A724" s="8">
        <v>41590</v>
      </c>
      <c r="B724" s="4">
        <v>59687</v>
      </c>
      <c r="C724" s="57">
        <v>195.05</v>
      </c>
    </row>
    <row r="725" spans="1:3" x14ac:dyDescent="0.25">
      <c r="A725" s="8">
        <v>41590</v>
      </c>
      <c r="B725" s="4">
        <v>59688</v>
      </c>
      <c r="C725" s="57">
        <v>353.03</v>
      </c>
    </row>
    <row r="726" spans="1:3" x14ac:dyDescent="0.25">
      <c r="A726" s="8">
        <v>41590</v>
      </c>
      <c r="B726" s="4">
        <v>59689</v>
      </c>
      <c r="C726" s="57">
        <v>277.45999999999998</v>
      </c>
    </row>
    <row r="727" spans="1:3" x14ac:dyDescent="0.25">
      <c r="A727" s="8">
        <v>41590</v>
      </c>
      <c r="B727" s="4">
        <v>59690</v>
      </c>
      <c r="C727" s="57">
        <v>236.52</v>
      </c>
    </row>
    <row r="728" spans="1:3" x14ac:dyDescent="0.25">
      <c r="A728" s="8">
        <v>41590</v>
      </c>
      <c r="B728" s="4">
        <v>59691</v>
      </c>
      <c r="C728" s="57">
        <v>265.38</v>
      </c>
    </row>
    <row r="729" spans="1:3" x14ac:dyDescent="0.25">
      <c r="A729" s="8">
        <v>41590</v>
      </c>
      <c r="B729" s="4">
        <v>59692</v>
      </c>
      <c r="C729" s="57">
        <v>294.17</v>
      </c>
    </row>
    <row r="730" spans="1:3" x14ac:dyDescent="0.25">
      <c r="A730" s="8">
        <v>41590</v>
      </c>
      <c r="B730" s="4">
        <v>59693</v>
      </c>
      <c r="C730" s="57">
        <v>245.73</v>
      </c>
    </row>
    <row r="731" spans="1:3" x14ac:dyDescent="0.25">
      <c r="A731" s="8">
        <v>41590</v>
      </c>
      <c r="B731" s="4">
        <v>59694</v>
      </c>
      <c r="C731" s="57">
        <v>242.94</v>
      </c>
    </row>
    <row r="732" spans="1:3" x14ac:dyDescent="0.25">
      <c r="A732" s="8">
        <v>41590</v>
      </c>
      <c r="B732" s="4">
        <v>59695</v>
      </c>
      <c r="C732" s="57">
        <v>56.78</v>
      </c>
    </row>
    <row r="733" spans="1:3" x14ac:dyDescent="0.25">
      <c r="A733" s="8">
        <v>41590</v>
      </c>
      <c r="B733" s="4">
        <v>59696</v>
      </c>
      <c r="C733" s="57">
        <v>199.23</v>
      </c>
    </row>
    <row r="734" spans="1:3" x14ac:dyDescent="0.25">
      <c r="A734" s="8">
        <v>41590</v>
      </c>
      <c r="B734" s="4">
        <v>59697</v>
      </c>
      <c r="C734" s="57">
        <v>37.520000000000003</v>
      </c>
    </row>
    <row r="735" spans="1:3" x14ac:dyDescent="0.25">
      <c r="A735" s="8">
        <v>41590</v>
      </c>
      <c r="B735" s="4">
        <v>59698</v>
      </c>
      <c r="C735" s="57">
        <v>96.26</v>
      </c>
    </row>
    <row r="736" spans="1:3" x14ac:dyDescent="0.25">
      <c r="A736" s="8">
        <v>41590</v>
      </c>
      <c r="B736" s="4">
        <v>59699</v>
      </c>
      <c r="C736" s="57">
        <v>164.62</v>
      </c>
    </row>
    <row r="737" spans="1:3" x14ac:dyDescent="0.25">
      <c r="A737" s="8">
        <v>41590</v>
      </c>
      <c r="B737" s="4">
        <v>59700</v>
      </c>
      <c r="C737" s="57">
        <v>164.22</v>
      </c>
    </row>
    <row r="738" spans="1:3" x14ac:dyDescent="0.25">
      <c r="A738" s="8">
        <v>41590</v>
      </c>
      <c r="B738" s="4">
        <v>59701</v>
      </c>
      <c r="C738" s="57">
        <v>169.44</v>
      </c>
    </row>
    <row r="739" spans="1:3" x14ac:dyDescent="0.25">
      <c r="A739" s="8">
        <v>41590</v>
      </c>
      <c r="B739" s="4">
        <v>59702</v>
      </c>
      <c r="C739" s="57">
        <v>278.86</v>
      </c>
    </row>
    <row r="740" spans="1:3" x14ac:dyDescent="0.25">
      <c r="A740" s="8">
        <v>41591</v>
      </c>
      <c r="B740" s="4">
        <v>59703</v>
      </c>
      <c r="C740" s="57">
        <v>97.98</v>
      </c>
    </row>
    <row r="741" spans="1:3" x14ac:dyDescent="0.25">
      <c r="A741" s="8">
        <v>41591</v>
      </c>
      <c r="B741" s="4">
        <v>59704</v>
      </c>
      <c r="C741" s="57">
        <v>56.11</v>
      </c>
    </row>
    <row r="742" spans="1:3" x14ac:dyDescent="0.25">
      <c r="A742" s="8">
        <v>41591</v>
      </c>
      <c r="B742" s="4">
        <v>59705</v>
      </c>
      <c r="C742" s="57">
        <v>54.86</v>
      </c>
    </row>
    <row r="743" spans="1:3" x14ac:dyDescent="0.25">
      <c r="A743" s="8">
        <v>41591</v>
      </c>
      <c r="B743" s="4">
        <v>59706</v>
      </c>
      <c r="C743" s="57">
        <v>78.06</v>
      </c>
    </row>
    <row r="744" spans="1:3" x14ac:dyDescent="0.25">
      <c r="A744" s="8">
        <v>41591</v>
      </c>
      <c r="B744" s="4">
        <v>59707</v>
      </c>
      <c r="C744" s="57">
        <v>55.38</v>
      </c>
    </row>
    <row r="745" spans="1:3" x14ac:dyDescent="0.25">
      <c r="A745" s="8">
        <v>41591</v>
      </c>
      <c r="B745" s="4">
        <v>59708</v>
      </c>
      <c r="C745" s="57">
        <v>95.66</v>
      </c>
    </row>
    <row r="746" spans="1:3" x14ac:dyDescent="0.25">
      <c r="A746" s="8">
        <v>41591</v>
      </c>
      <c r="B746" s="4">
        <v>59709</v>
      </c>
      <c r="C746" s="57">
        <v>159.21</v>
      </c>
    </row>
    <row r="747" spans="1:3" x14ac:dyDescent="0.25">
      <c r="A747" s="8">
        <v>41591</v>
      </c>
      <c r="B747" s="4">
        <v>59710</v>
      </c>
      <c r="C747" s="57">
        <v>64.09</v>
      </c>
    </row>
    <row r="748" spans="1:3" x14ac:dyDescent="0.25">
      <c r="A748" s="8">
        <v>41591</v>
      </c>
      <c r="B748" s="4">
        <v>59711</v>
      </c>
      <c r="C748" s="57">
        <v>326.10000000000002</v>
      </c>
    </row>
    <row r="749" spans="1:3" x14ac:dyDescent="0.25">
      <c r="A749" s="8">
        <v>41591</v>
      </c>
      <c r="B749" s="4">
        <v>59712</v>
      </c>
      <c r="C749" s="57">
        <v>193.39</v>
      </c>
    </row>
    <row r="750" spans="1:3" x14ac:dyDescent="0.25">
      <c r="A750" s="8">
        <v>41591</v>
      </c>
      <c r="B750" s="4">
        <v>59713</v>
      </c>
      <c r="C750" s="57">
        <v>317.72000000000003</v>
      </c>
    </row>
    <row r="751" spans="1:3" x14ac:dyDescent="0.25">
      <c r="A751" s="8">
        <v>41591</v>
      </c>
      <c r="B751" s="4">
        <v>59714</v>
      </c>
      <c r="C751" s="57">
        <v>48.07</v>
      </c>
    </row>
    <row r="752" spans="1:3" x14ac:dyDescent="0.25">
      <c r="A752" s="8">
        <v>41591</v>
      </c>
      <c r="B752" s="4">
        <v>59715</v>
      </c>
      <c r="C752" s="57">
        <v>193.25</v>
      </c>
    </row>
    <row r="753" spans="1:3" x14ac:dyDescent="0.25">
      <c r="A753" s="8">
        <v>41591</v>
      </c>
      <c r="B753" s="4">
        <v>59716</v>
      </c>
      <c r="C753" s="57">
        <v>294.49</v>
      </c>
    </row>
    <row r="754" spans="1:3" x14ac:dyDescent="0.25">
      <c r="A754" s="8">
        <v>41591</v>
      </c>
      <c r="B754" s="4">
        <v>59717</v>
      </c>
      <c r="C754" s="57">
        <v>217</v>
      </c>
    </row>
    <row r="755" spans="1:3" x14ac:dyDescent="0.25">
      <c r="A755" s="8">
        <v>41591</v>
      </c>
      <c r="B755" s="4">
        <v>59718</v>
      </c>
      <c r="C755" s="57">
        <v>104.04</v>
      </c>
    </row>
    <row r="756" spans="1:3" x14ac:dyDescent="0.25">
      <c r="A756" s="8">
        <v>41591</v>
      </c>
      <c r="B756" s="4">
        <v>59719</v>
      </c>
      <c r="C756" s="57">
        <v>153.94999999999999</v>
      </c>
    </row>
    <row r="757" spans="1:3" x14ac:dyDescent="0.25">
      <c r="A757" s="8">
        <v>41591</v>
      </c>
      <c r="B757" s="4">
        <v>59720</v>
      </c>
      <c r="C757" s="57">
        <v>79.61</v>
      </c>
    </row>
    <row r="758" spans="1:3" x14ac:dyDescent="0.25">
      <c r="A758" s="8">
        <v>41592</v>
      </c>
      <c r="B758" s="4">
        <v>59721</v>
      </c>
      <c r="C758" s="57">
        <v>58.5</v>
      </c>
    </row>
    <row r="759" spans="1:3" x14ac:dyDescent="0.25">
      <c r="A759" s="8">
        <v>41592</v>
      </c>
      <c r="B759" s="4">
        <v>59722</v>
      </c>
      <c r="C759" s="57">
        <v>203.04</v>
      </c>
    </row>
    <row r="760" spans="1:3" x14ac:dyDescent="0.25">
      <c r="A760" s="8">
        <v>41592</v>
      </c>
      <c r="B760" s="4">
        <v>59723</v>
      </c>
      <c r="C760" s="57">
        <v>244.87</v>
      </c>
    </row>
    <row r="761" spans="1:3" x14ac:dyDescent="0.25">
      <c r="A761" s="8">
        <v>41592</v>
      </c>
      <c r="B761" s="4">
        <v>59724</v>
      </c>
      <c r="C761" s="57">
        <v>234.89</v>
      </c>
    </row>
    <row r="762" spans="1:3" x14ac:dyDescent="0.25">
      <c r="A762" s="8">
        <v>41592</v>
      </c>
      <c r="B762" s="4">
        <v>59725</v>
      </c>
      <c r="C762" s="57">
        <v>166.17</v>
      </c>
    </row>
    <row r="763" spans="1:3" x14ac:dyDescent="0.25">
      <c r="A763" s="8">
        <v>41592</v>
      </c>
      <c r="B763" s="4">
        <v>59726</v>
      </c>
      <c r="C763" s="57">
        <v>279.49</v>
      </c>
    </row>
    <row r="764" spans="1:3" x14ac:dyDescent="0.25">
      <c r="A764" s="8">
        <v>41592</v>
      </c>
      <c r="B764" s="4">
        <v>59727</v>
      </c>
      <c r="C764" s="57">
        <v>188.78</v>
      </c>
    </row>
    <row r="765" spans="1:3" x14ac:dyDescent="0.25">
      <c r="A765" s="8">
        <v>41592</v>
      </c>
      <c r="B765" s="4">
        <v>59728</v>
      </c>
      <c r="C765" s="57">
        <v>94.41</v>
      </c>
    </row>
    <row r="766" spans="1:3" x14ac:dyDescent="0.25">
      <c r="A766" s="8">
        <v>41592</v>
      </c>
      <c r="B766" s="4">
        <v>59729</v>
      </c>
      <c r="C766" s="57">
        <v>170.09</v>
      </c>
    </row>
    <row r="767" spans="1:3" x14ac:dyDescent="0.25">
      <c r="A767" s="8">
        <v>41592</v>
      </c>
      <c r="B767" s="4">
        <v>59730</v>
      </c>
      <c r="C767" s="57">
        <v>316.27999999999997</v>
      </c>
    </row>
    <row r="768" spans="1:3" x14ac:dyDescent="0.25">
      <c r="A768" s="8">
        <v>41592</v>
      </c>
      <c r="B768" s="4">
        <v>59731</v>
      </c>
      <c r="C768" s="57">
        <v>227.8</v>
      </c>
    </row>
    <row r="769" spans="1:3" x14ac:dyDescent="0.25">
      <c r="A769" s="8">
        <v>41592</v>
      </c>
      <c r="B769" s="4">
        <v>59732</v>
      </c>
      <c r="C769" s="57">
        <v>215.52</v>
      </c>
    </row>
    <row r="770" spans="1:3" x14ac:dyDescent="0.25">
      <c r="A770" s="8">
        <v>41592</v>
      </c>
      <c r="B770" s="4">
        <v>59733</v>
      </c>
      <c r="C770" s="57">
        <v>51.98</v>
      </c>
    </row>
    <row r="771" spans="1:3" x14ac:dyDescent="0.25">
      <c r="A771" s="8">
        <v>41592</v>
      </c>
      <c r="B771" s="4">
        <v>59734</v>
      </c>
      <c r="C771" s="57">
        <v>304.61</v>
      </c>
    </row>
    <row r="772" spans="1:3" x14ac:dyDescent="0.25">
      <c r="A772" s="8">
        <v>41592</v>
      </c>
      <c r="B772" s="4">
        <v>59735</v>
      </c>
      <c r="C772" s="57">
        <v>264.08</v>
      </c>
    </row>
    <row r="773" spans="1:3" x14ac:dyDescent="0.25">
      <c r="A773" s="8">
        <v>41592</v>
      </c>
      <c r="B773" s="4">
        <v>59736</v>
      </c>
      <c r="C773" s="57">
        <v>174.42</v>
      </c>
    </row>
    <row r="774" spans="1:3" x14ac:dyDescent="0.25">
      <c r="A774" s="8">
        <v>41592</v>
      </c>
      <c r="B774" s="4">
        <v>59737</v>
      </c>
      <c r="C774" s="57">
        <v>98.78</v>
      </c>
    </row>
    <row r="775" spans="1:3" x14ac:dyDescent="0.25">
      <c r="A775" s="8">
        <v>41592</v>
      </c>
      <c r="B775" s="4">
        <v>59738</v>
      </c>
      <c r="C775" s="57">
        <v>52.73</v>
      </c>
    </row>
    <row r="776" spans="1:3" x14ac:dyDescent="0.25">
      <c r="A776" s="8">
        <v>41592</v>
      </c>
      <c r="B776" s="4">
        <v>59739</v>
      </c>
      <c r="C776" s="57">
        <v>161.49</v>
      </c>
    </row>
    <row r="777" spans="1:3" x14ac:dyDescent="0.25">
      <c r="A777" s="8">
        <v>41592</v>
      </c>
      <c r="B777" s="4">
        <v>59740</v>
      </c>
      <c r="C777" s="57">
        <v>68.02</v>
      </c>
    </row>
    <row r="778" spans="1:3" x14ac:dyDescent="0.25">
      <c r="A778" s="8">
        <v>41592</v>
      </c>
      <c r="B778" s="4">
        <v>59741</v>
      </c>
      <c r="C778" s="57">
        <v>242.04</v>
      </c>
    </row>
    <row r="779" spans="1:3" x14ac:dyDescent="0.25">
      <c r="A779" s="8">
        <v>41592</v>
      </c>
      <c r="B779" s="4">
        <v>59742</v>
      </c>
      <c r="C779" s="57">
        <v>140.72</v>
      </c>
    </row>
    <row r="780" spans="1:3" x14ac:dyDescent="0.25">
      <c r="A780" s="8">
        <v>41592</v>
      </c>
      <c r="B780" s="4">
        <v>59743</v>
      </c>
      <c r="C780" s="57">
        <v>103.89</v>
      </c>
    </row>
    <row r="781" spans="1:3" x14ac:dyDescent="0.25">
      <c r="A781" s="8">
        <v>41592</v>
      </c>
      <c r="B781" s="4">
        <v>59744</v>
      </c>
      <c r="C781" s="57">
        <v>105.2</v>
      </c>
    </row>
    <row r="782" spans="1:3" x14ac:dyDescent="0.25">
      <c r="A782" s="8">
        <v>41592</v>
      </c>
      <c r="B782" s="4">
        <v>59745</v>
      </c>
      <c r="C782" s="57">
        <v>35.979999999999997</v>
      </c>
    </row>
    <row r="783" spans="1:3" x14ac:dyDescent="0.25">
      <c r="A783" s="8">
        <v>41593</v>
      </c>
      <c r="B783" s="4">
        <v>59746</v>
      </c>
      <c r="C783" s="57">
        <v>79.75</v>
      </c>
    </row>
    <row r="784" spans="1:3" x14ac:dyDescent="0.25">
      <c r="A784" s="8">
        <v>41593</v>
      </c>
      <c r="B784" s="4">
        <v>59747</v>
      </c>
      <c r="C784" s="57">
        <v>211.91</v>
      </c>
    </row>
    <row r="785" spans="1:3" x14ac:dyDescent="0.25">
      <c r="A785" s="8">
        <v>41593</v>
      </c>
      <c r="B785" s="4">
        <v>59748</v>
      </c>
      <c r="C785" s="57">
        <v>235.98</v>
      </c>
    </row>
    <row r="786" spans="1:3" x14ac:dyDescent="0.25">
      <c r="A786" s="8">
        <v>41593</v>
      </c>
      <c r="B786" s="4">
        <v>59749</v>
      </c>
      <c r="C786" s="57">
        <v>38.92</v>
      </c>
    </row>
    <row r="787" spans="1:3" x14ac:dyDescent="0.25">
      <c r="A787" s="8">
        <v>41593</v>
      </c>
      <c r="B787" s="4">
        <v>59750</v>
      </c>
      <c r="C787" s="57">
        <v>237.26</v>
      </c>
    </row>
    <row r="788" spans="1:3" x14ac:dyDescent="0.25">
      <c r="A788" s="8">
        <v>41593</v>
      </c>
      <c r="B788" s="4">
        <v>59751</v>
      </c>
      <c r="C788" s="57">
        <v>335.56</v>
      </c>
    </row>
    <row r="789" spans="1:3" x14ac:dyDescent="0.25">
      <c r="A789" s="8">
        <v>41593</v>
      </c>
      <c r="B789" s="4">
        <v>59752</v>
      </c>
      <c r="C789" s="57">
        <v>328.54</v>
      </c>
    </row>
    <row r="790" spans="1:3" x14ac:dyDescent="0.25">
      <c r="A790" s="8">
        <v>41593</v>
      </c>
      <c r="B790" s="4">
        <v>59753</v>
      </c>
      <c r="C790" s="57">
        <v>247.91</v>
      </c>
    </row>
    <row r="791" spans="1:3" x14ac:dyDescent="0.25">
      <c r="A791" s="8">
        <v>41593</v>
      </c>
      <c r="B791" s="4">
        <v>59754</v>
      </c>
      <c r="C791" s="57">
        <v>222.26</v>
      </c>
    </row>
    <row r="792" spans="1:3" x14ac:dyDescent="0.25">
      <c r="A792" s="8">
        <v>41593</v>
      </c>
      <c r="B792" s="4">
        <v>59755</v>
      </c>
      <c r="C792" s="57">
        <v>214.01</v>
      </c>
    </row>
    <row r="793" spans="1:3" x14ac:dyDescent="0.25">
      <c r="A793" s="8">
        <v>41593</v>
      </c>
      <c r="B793" s="4">
        <v>59756</v>
      </c>
      <c r="C793" s="57">
        <v>98.23</v>
      </c>
    </row>
    <row r="794" spans="1:3" x14ac:dyDescent="0.25">
      <c r="A794" s="8">
        <v>41593</v>
      </c>
      <c r="B794" s="4">
        <v>59757</v>
      </c>
      <c r="C794" s="57">
        <v>143.38999999999999</v>
      </c>
    </row>
    <row r="795" spans="1:3" x14ac:dyDescent="0.25">
      <c r="A795" s="8">
        <v>41593</v>
      </c>
      <c r="B795" s="4">
        <v>59758</v>
      </c>
      <c r="C795" s="57">
        <v>327.13</v>
      </c>
    </row>
    <row r="796" spans="1:3" x14ac:dyDescent="0.25">
      <c r="A796" s="8">
        <v>41593</v>
      </c>
      <c r="B796" s="4">
        <v>59759</v>
      </c>
      <c r="C796" s="57">
        <v>364.84</v>
      </c>
    </row>
    <row r="797" spans="1:3" x14ac:dyDescent="0.25">
      <c r="A797" s="8">
        <v>41593</v>
      </c>
      <c r="B797" s="4">
        <v>59760</v>
      </c>
      <c r="C797" s="57">
        <v>195.28</v>
      </c>
    </row>
    <row r="798" spans="1:3" x14ac:dyDescent="0.25">
      <c r="A798" s="8">
        <v>41593</v>
      </c>
      <c r="B798" s="4">
        <v>59761</v>
      </c>
      <c r="C798" s="57">
        <v>35.08</v>
      </c>
    </row>
    <row r="799" spans="1:3" x14ac:dyDescent="0.25">
      <c r="A799" s="8">
        <v>41593</v>
      </c>
      <c r="B799" s="4">
        <v>59762</v>
      </c>
      <c r="C799" s="57">
        <v>88.7</v>
      </c>
    </row>
    <row r="800" spans="1:3" x14ac:dyDescent="0.25">
      <c r="A800" s="8">
        <v>41593</v>
      </c>
      <c r="B800" s="4">
        <v>59763</v>
      </c>
      <c r="C800" s="57">
        <v>98.44</v>
      </c>
    </row>
    <row r="801" spans="1:3" x14ac:dyDescent="0.25">
      <c r="A801" s="8">
        <v>41593</v>
      </c>
      <c r="B801" s="4">
        <v>59764</v>
      </c>
      <c r="C801" s="57">
        <v>344.86</v>
      </c>
    </row>
    <row r="802" spans="1:3" x14ac:dyDescent="0.25">
      <c r="A802" s="8">
        <v>41593</v>
      </c>
      <c r="B802" s="4">
        <v>59765</v>
      </c>
      <c r="C802" s="57">
        <v>38.42</v>
      </c>
    </row>
    <row r="803" spans="1:3" x14ac:dyDescent="0.25">
      <c r="A803" s="8">
        <v>41593</v>
      </c>
      <c r="B803" s="4">
        <v>59766</v>
      </c>
      <c r="C803" s="57">
        <v>183.44</v>
      </c>
    </row>
    <row r="804" spans="1:3" x14ac:dyDescent="0.25">
      <c r="A804" s="8">
        <v>41593</v>
      </c>
      <c r="B804" s="4">
        <v>59767</v>
      </c>
      <c r="C804" s="57">
        <v>227.2</v>
      </c>
    </row>
    <row r="805" spans="1:3" x14ac:dyDescent="0.25">
      <c r="A805" s="8">
        <v>41593</v>
      </c>
      <c r="B805" s="4">
        <v>59768</v>
      </c>
      <c r="C805" s="57">
        <v>365.95</v>
      </c>
    </row>
    <row r="806" spans="1:3" x14ac:dyDescent="0.25">
      <c r="A806" s="8">
        <v>41593</v>
      </c>
      <c r="B806" s="4">
        <v>59769</v>
      </c>
      <c r="C806" s="57">
        <v>129.94999999999999</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806"/>
  <sheetViews>
    <sheetView zoomScale="115" zoomScaleNormal="115" workbookViewId="0">
      <selection activeCell="A2" sqref="A2"/>
    </sheetView>
  </sheetViews>
  <sheetFormatPr defaultRowHeight="15" x14ac:dyDescent="0.25"/>
  <cols>
    <col min="1" max="1" width="26.28515625" customWidth="1"/>
    <col min="2" max="2" width="13" customWidth="1"/>
    <col min="3" max="3" width="9.85546875" bestFit="1" customWidth="1"/>
    <col min="4" max="4" width="25.7109375" bestFit="1" customWidth="1"/>
    <col min="5" max="5" width="12.28515625" customWidth="1"/>
    <col min="6" max="6" width="1.85546875" customWidth="1"/>
    <col min="8" max="8" width="1.85546875" customWidth="1"/>
    <col min="9" max="9" width="11.140625" bestFit="1" customWidth="1"/>
  </cols>
  <sheetData>
    <row r="1" spans="1:11" x14ac:dyDescent="0.25">
      <c r="A1" s="63" t="s">
        <v>1425</v>
      </c>
      <c r="B1" s="64"/>
      <c r="C1" s="65"/>
      <c r="D1" s="64"/>
      <c r="E1" s="64"/>
      <c r="F1" s="64"/>
      <c r="G1" s="64"/>
      <c r="H1" s="64"/>
      <c r="I1" s="64"/>
      <c r="J1" s="64"/>
      <c r="K1" s="65"/>
    </row>
    <row r="4" spans="1:11" ht="26.25" x14ac:dyDescent="0.25">
      <c r="A4" s="11" t="s">
        <v>42</v>
      </c>
      <c r="B4" s="11" t="s">
        <v>1414</v>
      </c>
      <c r="C4" s="11" t="s">
        <v>1415</v>
      </c>
    </row>
    <row r="5" spans="1:11" x14ac:dyDescent="0.25">
      <c r="A5" s="196">
        <v>41550</v>
      </c>
      <c r="B5" s="4">
        <v>58968</v>
      </c>
      <c r="C5" s="57">
        <v>320.98</v>
      </c>
    </row>
    <row r="6" spans="1:11" x14ac:dyDescent="0.25">
      <c r="A6" s="196">
        <v>41550</v>
      </c>
      <c r="B6" s="4">
        <v>58969</v>
      </c>
      <c r="C6" s="57">
        <v>92.25</v>
      </c>
    </row>
    <row r="7" spans="1:11" x14ac:dyDescent="0.25">
      <c r="A7" s="196">
        <v>41550</v>
      </c>
      <c r="B7" s="4">
        <v>58970</v>
      </c>
      <c r="C7" s="57">
        <v>47.54</v>
      </c>
    </row>
    <row r="8" spans="1:11" x14ac:dyDescent="0.25">
      <c r="A8" s="196">
        <v>41550</v>
      </c>
      <c r="B8" s="4">
        <v>58971</v>
      </c>
      <c r="C8" s="57">
        <v>385.71</v>
      </c>
    </row>
    <row r="9" spans="1:11" x14ac:dyDescent="0.25">
      <c r="A9" s="196">
        <v>41550</v>
      </c>
      <c r="B9" s="4">
        <v>58972</v>
      </c>
      <c r="C9" s="57">
        <v>216.01</v>
      </c>
    </row>
    <row r="10" spans="1:11" x14ac:dyDescent="0.25">
      <c r="A10" s="196">
        <v>41550</v>
      </c>
      <c r="B10" s="4">
        <v>58973</v>
      </c>
      <c r="C10" s="57">
        <v>236.64</v>
      </c>
    </row>
    <row r="11" spans="1:11" x14ac:dyDescent="0.25">
      <c r="A11" s="196">
        <v>41550</v>
      </c>
      <c r="B11" s="4">
        <v>58974</v>
      </c>
      <c r="C11" s="57">
        <v>107.74</v>
      </c>
    </row>
    <row r="12" spans="1:11" x14ac:dyDescent="0.25">
      <c r="A12" s="196">
        <v>41550</v>
      </c>
      <c r="B12" s="4">
        <v>58975</v>
      </c>
      <c r="C12" s="57">
        <v>258.29000000000002</v>
      </c>
    </row>
    <row r="13" spans="1:11" x14ac:dyDescent="0.25">
      <c r="A13" s="196">
        <v>41550</v>
      </c>
      <c r="B13" s="4">
        <v>58976</v>
      </c>
      <c r="C13" s="57">
        <v>87.58</v>
      </c>
    </row>
    <row r="14" spans="1:11" x14ac:dyDescent="0.25">
      <c r="A14" s="196">
        <v>41550</v>
      </c>
      <c r="B14" s="4">
        <v>58977</v>
      </c>
      <c r="C14" s="57">
        <v>122.03</v>
      </c>
    </row>
    <row r="15" spans="1:11" x14ac:dyDescent="0.25">
      <c r="A15" s="196">
        <v>41550</v>
      </c>
      <c r="B15" s="4">
        <v>58978</v>
      </c>
      <c r="C15" s="57">
        <v>88.41</v>
      </c>
    </row>
    <row r="16" spans="1:11" x14ac:dyDescent="0.25">
      <c r="A16" s="196">
        <v>41551</v>
      </c>
      <c r="B16" s="4">
        <v>58979</v>
      </c>
      <c r="C16" s="57">
        <v>286.39999999999998</v>
      </c>
    </row>
    <row r="17" spans="1:3" x14ac:dyDescent="0.25">
      <c r="A17" s="196">
        <v>41551</v>
      </c>
      <c r="B17" s="4">
        <v>58980</v>
      </c>
      <c r="C17" s="57">
        <v>277.08999999999997</v>
      </c>
    </row>
    <row r="18" spans="1:3" x14ac:dyDescent="0.25">
      <c r="A18" s="196">
        <v>41551</v>
      </c>
      <c r="B18" s="4">
        <v>58981</v>
      </c>
      <c r="C18" s="57">
        <v>212.03</v>
      </c>
    </row>
    <row r="19" spans="1:3" x14ac:dyDescent="0.25">
      <c r="A19" s="196">
        <v>41551</v>
      </c>
      <c r="B19" s="4">
        <v>58982</v>
      </c>
      <c r="C19" s="57">
        <v>130.04</v>
      </c>
    </row>
    <row r="20" spans="1:3" x14ac:dyDescent="0.25">
      <c r="A20" s="196">
        <v>41551</v>
      </c>
      <c r="B20" s="4">
        <v>58983</v>
      </c>
      <c r="C20" s="57">
        <v>272.83</v>
      </c>
    </row>
    <row r="21" spans="1:3" x14ac:dyDescent="0.25">
      <c r="A21" s="196">
        <v>41551</v>
      </c>
      <c r="B21" s="4">
        <v>58984</v>
      </c>
      <c r="C21" s="57">
        <v>68.44</v>
      </c>
    </row>
    <row r="22" spans="1:3" x14ac:dyDescent="0.25">
      <c r="A22" s="196">
        <v>41551</v>
      </c>
      <c r="B22" s="4">
        <v>58985</v>
      </c>
      <c r="C22" s="57">
        <v>63.62</v>
      </c>
    </row>
    <row r="23" spans="1:3" x14ac:dyDescent="0.25">
      <c r="A23" s="196">
        <v>41551</v>
      </c>
      <c r="B23" s="4">
        <v>58986</v>
      </c>
      <c r="C23" s="57">
        <v>245.92</v>
      </c>
    </row>
    <row r="24" spans="1:3" x14ac:dyDescent="0.25">
      <c r="A24" s="196">
        <v>41551</v>
      </c>
      <c r="B24" s="4">
        <v>58987</v>
      </c>
      <c r="C24" s="57">
        <v>285.31</v>
      </c>
    </row>
    <row r="25" spans="1:3" x14ac:dyDescent="0.25">
      <c r="A25" s="196">
        <v>41551</v>
      </c>
      <c r="B25" s="4">
        <v>58988</v>
      </c>
      <c r="C25" s="57">
        <v>256.69</v>
      </c>
    </row>
    <row r="26" spans="1:3" x14ac:dyDescent="0.25">
      <c r="A26" s="196">
        <v>41551</v>
      </c>
      <c r="B26" s="4">
        <v>58989</v>
      </c>
      <c r="C26" s="57">
        <v>329.98</v>
      </c>
    </row>
    <row r="27" spans="1:3" x14ac:dyDescent="0.25">
      <c r="A27" s="196">
        <v>41551</v>
      </c>
      <c r="B27" s="4">
        <v>58990</v>
      </c>
      <c r="C27" s="57">
        <v>293.24</v>
      </c>
    </row>
    <row r="28" spans="1:3" x14ac:dyDescent="0.25">
      <c r="A28" s="196">
        <v>41552</v>
      </c>
      <c r="B28" s="4">
        <v>58991</v>
      </c>
      <c r="C28" s="57">
        <v>269.52</v>
      </c>
    </row>
    <row r="29" spans="1:3" x14ac:dyDescent="0.25">
      <c r="A29" s="196">
        <v>41552</v>
      </c>
      <c r="B29" s="4">
        <v>58992</v>
      </c>
      <c r="C29" s="57">
        <v>46.21</v>
      </c>
    </row>
    <row r="30" spans="1:3" x14ac:dyDescent="0.25">
      <c r="A30" s="196">
        <v>41552</v>
      </c>
      <c r="B30" s="4">
        <v>58993</v>
      </c>
      <c r="C30" s="57">
        <v>193.27</v>
      </c>
    </row>
    <row r="31" spans="1:3" x14ac:dyDescent="0.25">
      <c r="A31" s="196">
        <v>41552</v>
      </c>
      <c r="B31" s="4">
        <v>58994</v>
      </c>
      <c r="C31" s="57">
        <v>323.79000000000002</v>
      </c>
    </row>
    <row r="32" spans="1:3" x14ac:dyDescent="0.25">
      <c r="A32" s="196">
        <v>41552</v>
      </c>
      <c r="B32" s="4">
        <v>58995</v>
      </c>
      <c r="C32" s="57">
        <v>130.78</v>
      </c>
    </row>
    <row r="33" spans="1:3" x14ac:dyDescent="0.25">
      <c r="A33" s="196">
        <v>41552</v>
      </c>
      <c r="B33" s="4">
        <v>58996</v>
      </c>
      <c r="C33" s="57">
        <v>222.56</v>
      </c>
    </row>
    <row r="34" spans="1:3" x14ac:dyDescent="0.25">
      <c r="A34" s="196">
        <v>41552</v>
      </c>
      <c r="B34" s="4">
        <v>58997</v>
      </c>
      <c r="C34" s="57">
        <v>263.54000000000002</v>
      </c>
    </row>
    <row r="35" spans="1:3" x14ac:dyDescent="0.25">
      <c r="A35" s="196">
        <v>41552</v>
      </c>
      <c r="B35" s="4">
        <v>58998</v>
      </c>
      <c r="C35" s="57">
        <v>209.94</v>
      </c>
    </row>
    <row r="36" spans="1:3" x14ac:dyDescent="0.25">
      <c r="A36" s="196">
        <v>41552</v>
      </c>
      <c r="B36" s="4">
        <v>58999</v>
      </c>
      <c r="C36" s="57">
        <v>105.09</v>
      </c>
    </row>
    <row r="37" spans="1:3" x14ac:dyDescent="0.25">
      <c r="A37" s="196">
        <v>41552</v>
      </c>
      <c r="B37" s="4">
        <v>59000</v>
      </c>
      <c r="C37" s="57">
        <v>173.68</v>
      </c>
    </row>
    <row r="38" spans="1:3" x14ac:dyDescent="0.25">
      <c r="A38" s="196">
        <v>41552</v>
      </c>
      <c r="B38" s="4">
        <v>59001</v>
      </c>
      <c r="C38" s="57">
        <v>307.77</v>
      </c>
    </row>
    <row r="39" spans="1:3" x14ac:dyDescent="0.25">
      <c r="A39" s="196">
        <v>41552</v>
      </c>
      <c r="B39" s="4">
        <v>59002</v>
      </c>
      <c r="C39" s="57">
        <v>149.06</v>
      </c>
    </row>
    <row r="40" spans="1:3" x14ac:dyDescent="0.25">
      <c r="A40" s="196">
        <v>41553</v>
      </c>
      <c r="B40" s="4">
        <v>59003</v>
      </c>
      <c r="C40" s="57">
        <v>248.51</v>
      </c>
    </row>
    <row r="41" spans="1:3" x14ac:dyDescent="0.25">
      <c r="A41" s="196">
        <v>41553</v>
      </c>
      <c r="B41" s="4">
        <v>59004</v>
      </c>
      <c r="C41" s="57">
        <v>231.73</v>
      </c>
    </row>
    <row r="42" spans="1:3" x14ac:dyDescent="0.25">
      <c r="A42" s="196">
        <v>41553</v>
      </c>
      <c r="B42" s="4">
        <v>59005</v>
      </c>
      <c r="C42" s="57">
        <v>324.43</v>
      </c>
    </row>
    <row r="43" spans="1:3" x14ac:dyDescent="0.25">
      <c r="A43" s="196">
        <v>41553</v>
      </c>
      <c r="B43" s="4">
        <v>59006</v>
      </c>
      <c r="C43" s="57">
        <v>249.58</v>
      </c>
    </row>
    <row r="44" spans="1:3" x14ac:dyDescent="0.25">
      <c r="A44" s="196">
        <v>41553</v>
      </c>
      <c r="B44" s="4">
        <v>59007</v>
      </c>
      <c r="C44" s="57">
        <v>161.94</v>
      </c>
    </row>
    <row r="45" spans="1:3" x14ac:dyDescent="0.25">
      <c r="A45" s="196">
        <v>41553</v>
      </c>
      <c r="B45" s="4">
        <v>59008</v>
      </c>
      <c r="C45" s="57">
        <v>247.87</v>
      </c>
    </row>
    <row r="46" spans="1:3" x14ac:dyDescent="0.25">
      <c r="A46" s="196">
        <v>41553</v>
      </c>
      <c r="B46" s="4">
        <v>59009</v>
      </c>
      <c r="C46" s="57">
        <v>248.86</v>
      </c>
    </row>
    <row r="47" spans="1:3" x14ac:dyDescent="0.25">
      <c r="A47" s="196">
        <v>41553</v>
      </c>
      <c r="B47" s="4">
        <v>59010</v>
      </c>
      <c r="C47" s="57">
        <v>235.98</v>
      </c>
    </row>
    <row r="48" spans="1:3" x14ac:dyDescent="0.25">
      <c r="A48" s="196">
        <v>41553</v>
      </c>
      <c r="B48" s="4">
        <v>59011</v>
      </c>
      <c r="C48" s="57">
        <v>224.49</v>
      </c>
    </row>
    <row r="49" spans="1:3" x14ac:dyDescent="0.25">
      <c r="A49" s="196">
        <v>41553</v>
      </c>
      <c r="B49" s="4">
        <v>59012</v>
      </c>
      <c r="C49" s="57">
        <v>256.42</v>
      </c>
    </row>
    <row r="50" spans="1:3" x14ac:dyDescent="0.25">
      <c r="A50" s="196">
        <v>41553</v>
      </c>
      <c r="B50" s="4">
        <v>59013</v>
      </c>
      <c r="C50" s="57">
        <v>233.01</v>
      </c>
    </row>
    <row r="51" spans="1:3" x14ac:dyDescent="0.25">
      <c r="A51" s="196">
        <v>41553</v>
      </c>
      <c r="B51" s="4">
        <v>59014</v>
      </c>
      <c r="C51" s="57">
        <v>379.98</v>
      </c>
    </row>
    <row r="52" spans="1:3" x14ac:dyDescent="0.25">
      <c r="A52" s="196">
        <v>41553</v>
      </c>
      <c r="B52" s="4">
        <v>59015</v>
      </c>
      <c r="C52" s="57">
        <v>219.3</v>
      </c>
    </row>
    <row r="53" spans="1:3" x14ac:dyDescent="0.25">
      <c r="A53" s="196">
        <v>41553</v>
      </c>
      <c r="B53" s="4">
        <v>59016</v>
      </c>
      <c r="C53" s="57">
        <v>371.22</v>
      </c>
    </row>
    <row r="54" spans="1:3" x14ac:dyDescent="0.25">
      <c r="A54" s="196">
        <v>41553</v>
      </c>
      <c r="B54" s="4">
        <v>59017</v>
      </c>
      <c r="C54" s="57">
        <v>385.88</v>
      </c>
    </row>
    <row r="55" spans="1:3" x14ac:dyDescent="0.25">
      <c r="A55" s="196">
        <v>41553</v>
      </c>
      <c r="B55" s="4">
        <v>59018</v>
      </c>
      <c r="C55" s="57">
        <v>155.65</v>
      </c>
    </row>
    <row r="56" spans="1:3" x14ac:dyDescent="0.25">
      <c r="A56" s="196">
        <v>41554</v>
      </c>
      <c r="B56" s="4">
        <v>59019</v>
      </c>
      <c r="C56" s="57">
        <v>325.83</v>
      </c>
    </row>
    <row r="57" spans="1:3" x14ac:dyDescent="0.25">
      <c r="A57" s="196">
        <v>41554</v>
      </c>
      <c r="B57" s="4">
        <v>59020</v>
      </c>
      <c r="C57" s="57">
        <v>101.09</v>
      </c>
    </row>
    <row r="58" spans="1:3" x14ac:dyDescent="0.25">
      <c r="A58" s="196">
        <v>41554</v>
      </c>
      <c r="B58" s="4">
        <v>59021</v>
      </c>
      <c r="C58" s="57">
        <v>259.24</v>
      </c>
    </row>
    <row r="59" spans="1:3" x14ac:dyDescent="0.25">
      <c r="A59" s="196">
        <v>41554</v>
      </c>
      <c r="B59" s="4">
        <v>59022</v>
      </c>
      <c r="C59" s="57">
        <v>188.54</v>
      </c>
    </row>
    <row r="60" spans="1:3" x14ac:dyDescent="0.25">
      <c r="A60" s="196">
        <v>41554</v>
      </c>
      <c r="B60" s="4">
        <v>59023</v>
      </c>
      <c r="C60" s="57">
        <v>56.87</v>
      </c>
    </row>
    <row r="61" spans="1:3" x14ac:dyDescent="0.25">
      <c r="A61" s="196">
        <v>41554</v>
      </c>
      <c r="B61" s="4">
        <v>59024</v>
      </c>
      <c r="C61" s="57">
        <v>241.46</v>
      </c>
    </row>
    <row r="62" spans="1:3" x14ac:dyDescent="0.25">
      <c r="A62" s="196">
        <v>41554</v>
      </c>
      <c r="B62" s="4">
        <v>59025</v>
      </c>
      <c r="C62" s="57">
        <v>99.87</v>
      </c>
    </row>
    <row r="63" spans="1:3" x14ac:dyDescent="0.25">
      <c r="A63" s="196">
        <v>41554</v>
      </c>
      <c r="B63" s="4">
        <v>59026</v>
      </c>
      <c r="C63" s="57">
        <v>52.75</v>
      </c>
    </row>
    <row r="64" spans="1:3" x14ac:dyDescent="0.25">
      <c r="A64" s="196">
        <v>41554</v>
      </c>
      <c r="B64" s="4">
        <v>59027</v>
      </c>
      <c r="C64" s="57">
        <v>67.819999999999993</v>
      </c>
    </row>
    <row r="65" spans="1:3" x14ac:dyDescent="0.25">
      <c r="A65" s="196">
        <v>41554</v>
      </c>
      <c r="B65" s="4">
        <v>59028</v>
      </c>
      <c r="C65" s="57">
        <v>114.91</v>
      </c>
    </row>
    <row r="66" spans="1:3" x14ac:dyDescent="0.25">
      <c r="A66" s="196">
        <v>41554</v>
      </c>
      <c r="B66" s="4">
        <v>59029</v>
      </c>
      <c r="C66" s="57">
        <v>189.99</v>
      </c>
    </row>
    <row r="67" spans="1:3" x14ac:dyDescent="0.25">
      <c r="A67" s="196">
        <v>41554</v>
      </c>
      <c r="B67" s="4">
        <v>59030</v>
      </c>
      <c r="C67" s="57">
        <v>280.49</v>
      </c>
    </row>
    <row r="68" spans="1:3" x14ac:dyDescent="0.25">
      <c r="A68" s="196">
        <v>41554</v>
      </c>
      <c r="B68" s="4">
        <v>59031</v>
      </c>
      <c r="C68" s="57">
        <v>137.1</v>
      </c>
    </row>
    <row r="69" spans="1:3" x14ac:dyDescent="0.25">
      <c r="A69" s="196">
        <v>41554</v>
      </c>
      <c r="B69" s="4">
        <v>59032</v>
      </c>
      <c r="C69" s="57">
        <v>182.84</v>
      </c>
    </row>
    <row r="70" spans="1:3" x14ac:dyDescent="0.25">
      <c r="A70" s="196">
        <v>41554</v>
      </c>
      <c r="B70" s="4">
        <v>59033</v>
      </c>
      <c r="C70" s="57">
        <v>327.64999999999998</v>
      </c>
    </row>
    <row r="71" spans="1:3" x14ac:dyDescent="0.25">
      <c r="A71" s="196">
        <v>41554</v>
      </c>
      <c r="B71" s="4">
        <v>59034</v>
      </c>
      <c r="C71" s="57">
        <v>269.27</v>
      </c>
    </row>
    <row r="72" spans="1:3" x14ac:dyDescent="0.25">
      <c r="A72" s="196">
        <v>41554</v>
      </c>
      <c r="B72" s="4">
        <v>59035</v>
      </c>
      <c r="C72" s="57">
        <v>92.39</v>
      </c>
    </row>
    <row r="73" spans="1:3" x14ac:dyDescent="0.25">
      <c r="A73" s="196">
        <v>41554</v>
      </c>
      <c r="B73" s="4">
        <v>59036</v>
      </c>
      <c r="C73" s="57">
        <v>97.21</v>
      </c>
    </row>
    <row r="74" spans="1:3" x14ac:dyDescent="0.25">
      <c r="A74" s="196">
        <v>41555</v>
      </c>
      <c r="B74" s="4">
        <v>59037</v>
      </c>
      <c r="C74" s="57">
        <v>97.59</v>
      </c>
    </row>
    <row r="75" spans="1:3" x14ac:dyDescent="0.25">
      <c r="A75" s="196">
        <v>41555</v>
      </c>
      <c r="B75" s="4">
        <v>59038</v>
      </c>
      <c r="C75" s="57">
        <v>353.5</v>
      </c>
    </row>
    <row r="76" spans="1:3" x14ac:dyDescent="0.25">
      <c r="A76" s="196">
        <v>41555</v>
      </c>
      <c r="B76" s="4">
        <v>59039</v>
      </c>
      <c r="C76" s="57">
        <v>130.79</v>
      </c>
    </row>
    <row r="77" spans="1:3" x14ac:dyDescent="0.25">
      <c r="A77" s="196">
        <v>41555</v>
      </c>
      <c r="B77" s="4">
        <v>59040</v>
      </c>
      <c r="C77" s="57">
        <v>379.46</v>
      </c>
    </row>
    <row r="78" spans="1:3" x14ac:dyDescent="0.25">
      <c r="A78" s="196">
        <v>41555</v>
      </c>
      <c r="B78" s="4">
        <v>59041</v>
      </c>
      <c r="C78" s="57">
        <v>143.1</v>
      </c>
    </row>
    <row r="79" spans="1:3" x14ac:dyDescent="0.25">
      <c r="A79" s="196">
        <v>41555</v>
      </c>
      <c r="B79" s="4">
        <v>59042</v>
      </c>
      <c r="C79" s="57">
        <v>163.51</v>
      </c>
    </row>
    <row r="80" spans="1:3" x14ac:dyDescent="0.25">
      <c r="A80" s="196">
        <v>41555</v>
      </c>
      <c r="B80" s="4">
        <v>59043</v>
      </c>
      <c r="C80" s="57">
        <v>131.96</v>
      </c>
    </row>
    <row r="81" spans="1:3" x14ac:dyDescent="0.25">
      <c r="A81" s="196">
        <v>41555</v>
      </c>
      <c r="B81" s="4">
        <v>59044</v>
      </c>
      <c r="C81" s="57">
        <v>365.99</v>
      </c>
    </row>
    <row r="82" spans="1:3" x14ac:dyDescent="0.25">
      <c r="A82" s="196">
        <v>41555</v>
      </c>
      <c r="B82" s="4">
        <v>59045</v>
      </c>
      <c r="C82" s="57">
        <v>311.20999999999998</v>
      </c>
    </row>
    <row r="83" spans="1:3" x14ac:dyDescent="0.25">
      <c r="A83" s="196">
        <v>41555</v>
      </c>
      <c r="B83" s="4">
        <v>59046</v>
      </c>
      <c r="C83" s="57">
        <v>163.16999999999999</v>
      </c>
    </row>
    <row r="84" spans="1:3" x14ac:dyDescent="0.25">
      <c r="A84" s="196">
        <v>41555</v>
      </c>
      <c r="B84" s="4">
        <v>59047</v>
      </c>
      <c r="C84" s="57">
        <v>68.66</v>
      </c>
    </row>
    <row r="85" spans="1:3" x14ac:dyDescent="0.25">
      <c r="A85" s="196">
        <v>41555</v>
      </c>
      <c r="B85" s="4">
        <v>59048</v>
      </c>
      <c r="C85" s="57">
        <v>72.08</v>
      </c>
    </row>
    <row r="86" spans="1:3" x14ac:dyDescent="0.25">
      <c r="A86" s="196">
        <v>41555</v>
      </c>
      <c r="B86" s="4">
        <v>59049</v>
      </c>
      <c r="C86" s="57">
        <v>363.6</v>
      </c>
    </row>
    <row r="87" spans="1:3" x14ac:dyDescent="0.25">
      <c r="A87" s="196">
        <v>41555</v>
      </c>
      <c r="B87" s="4">
        <v>59050</v>
      </c>
      <c r="C87" s="57">
        <v>291.38</v>
      </c>
    </row>
    <row r="88" spans="1:3" x14ac:dyDescent="0.25">
      <c r="A88" s="196">
        <v>41555</v>
      </c>
      <c r="B88" s="4">
        <v>59051</v>
      </c>
      <c r="C88" s="57">
        <v>317.54000000000002</v>
      </c>
    </row>
    <row r="89" spans="1:3" x14ac:dyDescent="0.25">
      <c r="A89" s="196">
        <v>41555</v>
      </c>
      <c r="B89" s="4">
        <v>59052</v>
      </c>
      <c r="C89" s="57">
        <v>381.83</v>
      </c>
    </row>
    <row r="90" spans="1:3" x14ac:dyDescent="0.25">
      <c r="A90" s="196">
        <v>41555</v>
      </c>
      <c r="B90" s="4">
        <v>59053</v>
      </c>
      <c r="C90" s="57">
        <v>199.1</v>
      </c>
    </row>
    <row r="91" spans="1:3" x14ac:dyDescent="0.25">
      <c r="A91" s="196">
        <v>41555</v>
      </c>
      <c r="B91" s="4">
        <v>59054</v>
      </c>
      <c r="C91" s="57">
        <v>194.58</v>
      </c>
    </row>
    <row r="92" spans="1:3" x14ac:dyDescent="0.25">
      <c r="A92" s="196">
        <v>41555</v>
      </c>
      <c r="B92" s="4">
        <v>59055</v>
      </c>
      <c r="C92" s="57">
        <v>84.63</v>
      </c>
    </row>
    <row r="93" spans="1:3" x14ac:dyDescent="0.25">
      <c r="A93" s="196">
        <v>41555</v>
      </c>
      <c r="B93" s="4">
        <v>59056</v>
      </c>
      <c r="C93" s="57">
        <v>174.5</v>
      </c>
    </row>
    <row r="94" spans="1:3" x14ac:dyDescent="0.25">
      <c r="A94" s="196">
        <v>41556</v>
      </c>
      <c r="B94" s="4">
        <v>59057</v>
      </c>
      <c r="C94" s="57">
        <v>70.510000000000005</v>
      </c>
    </row>
    <row r="95" spans="1:3" x14ac:dyDescent="0.25">
      <c r="A95" s="196">
        <v>41556</v>
      </c>
      <c r="B95" s="4">
        <v>59058</v>
      </c>
      <c r="C95" s="57">
        <v>243.02</v>
      </c>
    </row>
    <row r="96" spans="1:3" x14ac:dyDescent="0.25">
      <c r="A96" s="196">
        <v>41556</v>
      </c>
      <c r="B96" s="4">
        <v>59059</v>
      </c>
      <c r="C96" s="57">
        <v>185.32</v>
      </c>
    </row>
    <row r="97" spans="1:3" x14ac:dyDescent="0.25">
      <c r="A97" s="196">
        <v>41556</v>
      </c>
      <c r="B97" s="4">
        <v>59060</v>
      </c>
      <c r="C97" s="57">
        <v>344.37</v>
      </c>
    </row>
    <row r="98" spans="1:3" x14ac:dyDescent="0.25">
      <c r="A98" s="196">
        <v>41556</v>
      </c>
      <c r="B98" s="4">
        <v>59061</v>
      </c>
      <c r="C98" s="57">
        <v>192.89</v>
      </c>
    </row>
    <row r="99" spans="1:3" x14ac:dyDescent="0.25">
      <c r="A99" s="196">
        <v>41556</v>
      </c>
      <c r="B99" s="4">
        <v>59062</v>
      </c>
      <c r="C99" s="57">
        <v>343.18</v>
      </c>
    </row>
    <row r="100" spans="1:3" x14ac:dyDescent="0.25">
      <c r="A100" s="196">
        <v>41556</v>
      </c>
      <c r="B100" s="4">
        <v>59063</v>
      </c>
      <c r="C100" s="57">
        <v>233.61</v>
      </c>
    </row>
    <row r="101" spans="1:3" x14ac:dyDescent="0.25">
      <c r="A101" s="196">
        <v>41556</v>
      </c>
      <c r="B101" s="4">
        <v>59064</v>
      </c>
      <c r="C101" s="57">
        <v>263.82</v>
      </c>
    </row>
    <row r="102" spans="1:3" x14ac:dyDescent="0.25">
      <c r="A102" s="196">
        <v>41556</v>
      </c>
      <c r="B102" s="4">
        <v>59065</v>
      </c>
      <c r="C102" s="57">
        <v>42.16</v>
      </c>
    </row>
    <row r="103" spans="1:3" x14ac:dyDescent="0.25">
      <c r="A103" s="196">
        <v>41556</v>
      </c>
      <c r="B103" s="4">
        <v>59066</v>
      </c>
      <c r="C103" s="57">
        <v>193.92</v>
      </c>
    </row>
    <row r="104" spans="1:3" x14ac:dyDescent="0.25">
      <c r="A104" s="196">
        <v>41556</v>
      </c>
      <c r="B104" s="4">
        <v>59067</v>
      </c>
      <c r="C104" s="57">
        <v>263.2</v>
      </c>
    </row>
    <row r="105" spans="1:3" x14ac:dyDescent="0.25">
      <c r="A105" s="196">
        <v>41556</v>
      </c>
      <c r="B105" s="4">
        <v>59068</v>
      </c>
      <c r="C105" s="57">
        <v>237.3</v>
      </c>
    </row>
    <row r="106" spans="1:3" x14ac:dyDescent="0.25">
      <c r="A106" s="196">
        <v>41556</v>
      </c>
      <c r="B106" s="4">
        <v>59069</v>
      </c>
      <c r="C106" s="57">
        <v>335.98</v>
      </c>
    </row>
    <row r="107" spans="1:3" x14ac:dyDescent="0.25">
      <c r="A107" s="196">
        <v>41556</v>
      </c>
      <c r="B107" s="4">
        <v>59070</v>
      </c>
      <c r="C107" s="57">
        <v>89.59</v>
      </c>
    </row>
    <row r="108" spans="1:3" x14ac:dyDescent="0.25">
      <c r="A108" s="196">
        <v>41556</v>
      </c>
      <c r="B108" s="4">
        <v>59071</v>
      </c>
      <c r="C108" s="57">
        <v>273.16000000000003</v>
      </c>
    </row>
    <row r="109" spans="1:3" x14ac:dyDescent="0.25">
      <c r="A109" s="196">
        <v>41556</v>
      </c>
      <c r="B109" s="4">
        <v>59072</v>
      </c>
      <c r="C109" s="57">
        <v>160.41</v>
      </c>
    </row>
    <row r="110" spans="1:3" x14ac:dyDescent="0.25">
      <c r="A110" s="196">
        <v>41557</v>
      </c>
      <c r="B110" s="4">
        <v>59073</v>
      </c>
      <c r="C110" s="57">
        <v>111.8</v>
      </c>
    </row>
    <row r="111" spans="1:3" x14ac:dyDescent="0.25">
      <c r="A111" s="196">
        <v>41557</v>
      </c>
      <c r="B111" s="4">
        <v>59074</v>
      </c>
      <c r="C111" s="57">
        <v>57.68</v>
      </c>
    </row>
    <row r="112" spans="1:3" x14ac:dyDescent="0.25">
      <c r="A112" s="196">
        <v>41557</v>
      </c>
      <c r="B112" s="4">
        <v>59075</v>
      </c>
      <c r="C112" s="57">
        <v>172.57</v>
      </c>
    </row>
    <row r="113" spans="1:3" x14ac:dyDescent="0.25">
      <c r="A113" s="196">
        <v>41557</v>
      </c>
      <c r="B113" s="4">
        <v>59076</v>
      </c>
      <c r="C113" s="57">
        <v>265.02999999999997</v>
      </c>
    </row>
    <row r="114" spans="1:3" x14ac:dyDescent="0.25">
      <c r="A114" s="196">
        <v>41557</v>
      </c>
      <c r="B114" s="4">
        <v>59077</v>
      </c>
      <c r="C114" s="57">
        <v>253.47</v>
      </c>
    </row>
    <row r="115" spans="1:3" x14ac:dyDescent="0.25">
      <c r="A115" s="196">
        <v>41557</v>
      </c>
      <c r="B115" s="4">
        <v>59078</v>
      </c>
      <c r="C115" s="57">
        <v>344.94</v>
      </c>
    </row>
    <row r="116" spans="1:3" x14ac:dyDescent="0.25">
      <c r="A116" s="196">
        <v>41557</v>
      </c>
      <c r="B116" s="4">
        <v>59079</v>
      </c>
      <c r="C116" s="57">
        <v>159.99</v>
      </c>
    </row>
    <row r="117" spans="1:3" x14ac:dyDescent="0.25">
      <c r="A117" s="196">
        <v>41557</v>
      </c>
      <c r="B117" s="4">
        <v>59080</v>
      </c>
      <c r="C117" s="57">
        <v>333.4</v>
      </c>
    </row>
    <row r="118" spans="1:3" x14ac:dyDescent="0.25">
      <c r="A118" s="196">
        <v>41557</v>
      </c>
      <c r="B118" s="4">
        <v>59081</v>
      </c>
      <c r="C118" s="57">
        <v>107.94</v>
      </c>
    </row>
    <row r="119" spans="1:3" x14ac:dyDescent="0.25">
      <c r="A119" s="196">
        <v>41557</v>
      </c>
      <c r="B119" s="4">
        <v>59082</v>
      </c>
      <c r="C119" s="57">
        <v>71.91</v>
      </c>
    </row>
    <row r="120" spans="1:3" x14ac:dyDescent="0.25">
      <c r="A120" s="196">
        <v>41557</v>
      </c>
      <c r="B120" s="4">
        <v>59083</v>
      </c>
      <c r="C120" s="57">
        <v>72.510000000000005</v>
      </c>
    </row>
    <row r="121" spans="1:3" x14ac:dyDescent="0.25">
      <c r="A121" s="196">
        <v>41557</v>
      </c>
      <c r="B121" s="4">
        <v>59084</v>
      </c>
      <c r="C121" s="57">
        <v>163.51</v>
      </c>
    </row>
    <row r="122" spans="1:3" x14ac:dyDescent="0.25">
      <c r="A122" s="196">
        <v>41557</v>
      </c>
      <c r="B122" s="4">
        <v>59085</v>
      </c>
      <c r="C122" s="57">
        <v>83.31</v>
      </c>
    </row>
    <row r="123" spans="1:3" x14ac:dyDescent="0.25">
      <c r="A123" s="196">
        <v>41557</v>
      </c>
      <c r="B123" s="4">
        <v>59086</v>
      </c>
      <c r="C123" s="57">
        <v>178.08</v>
      </c>
    </row>
    <row r="124" spans="1:3" x14ac:dyDescent="0.25">
      <c r="A124" s="196">
        <v>41557</v>
      </c>
      <c r="B124" s="4">
        <v>59087</v>
      </c>
      <c r="C124" s="57">
        <v>133.58000000000001</v>
      </c>
    </row>
    <row r="125" spans="1:3" x14ac:dyDescent="0.25">
      <c r="A125" s="196">
        <v>41557</v>
      </c>
      <c r="B125" s="4">
        <v>59088</v>
      </c>
      <c r="C125" s="57">
        <v>332.54</v>
      </c>
    </row>
    <row r="126" spans="1:3" x14ac:dyDescent="0.25">
      <c r="A126" s="196">
        <v>41557</v>
      </c>
      <c r="B126" s="4">
        <v>59089</v>
      </c>
      <c r="C126" s="57">
        <v>170.48</v>
      </c>
    </row>
    <row r="127" spans="1:3" x14ac:dyDescent="0.25">
      <c r="A127" s="196">
        <v>41557</v>
      </c>
      <c r="B127" s="4">
        <v>59090</v>
      </c>
      <c r="C127" s="57">
        <v>328.78</v>
      </c>
    </row>
    <row r="128" spans="1:3" x14ac:dyDescent="0.25">
      <c r="A128" s="196">
        <v>41557</v>
      </c>
      <c r="B128" s="4">
        <v>59091</v>
      </c>
      <c r="C128" s="57">
        <v>200.31</v>
      </c>
    </row>
    <row r="129" spans="1:3" x14ac:dyDescent="0.25">
      <c r="A129" s="196">
        <v>41557</v>
      </c>
      <c r="B129" s="4">
        <v>59092</v>
      </c>
      <c r="C129" s="57">
        <v>152.29</v>
      </c>
    </row>
    <row r="130" spans="1:3" x14ac:dyDescent="0.25">
      <c r="A130" s="196">
        <v>41557</v>
      </c>
      <c r="B130" s="4">
        <v>59093</v>
      </c>
      <c r="C130" s="57">
        <v>304.70999999999998</v>
      </c>
    </row>
    <row r="131" spans="1:3" x14ac:dyDescent="0.25">
      <c r="A131" s="196">
        <v>41557</v>
      </c>
      <c r="B131" s="4">
        <v>59094</v>
      </c>
      <c r="C131" s="57">
        <v>371.78</v>
      </c>
    </row>
    <row r="132" spans="1:3" x14ac:dyDescent="0.25">
      <c r="A132" s="196">
        <v>41558</v>
      </c>
      <c r="B132" s="4">
        <v>59095</v>
      </c>
      <c r="C132" s="57">
        <v>204.74</v>
      </c>
    </row>
    <row r="133" spans="1:3" x14ac:dyDescent="0.25">
      <c r="A133" s="196">
        <v>41558</v>
      </c>
      <c r="B133" s="4">
        <v>59096</v>
      </c>
      <c r="C133" s="57">
        <v>169.07</v>
      </c>
    </row>
    <row r="134" spans="1:3" x14ac:dyDescent="0.25">
      <c r="A134" s="196">
        <v>41558</v>
      </c>
      <c r="B134" s="4">
        <v>59097</v>
      </c>
      <c r="C134" s="57">
        <v>321.23</v>
      </c>
    </row>
    <row r="135" spans="1:3" x14ac:dyDescent="0.25">
      <c r="A135" s="196">
        <v>41558</v>
      </c>
      <c r="B135" s="4">
        <v>59098</v>
      </c>
      <c r="C135" s="57">
        <v>266.52999999999997</v>
      </c>
    </row>
    <row r="136" spans="1:3" x14ac:dyDescent="0.25">
      <c r="A136" s="196">
        <v>41558</v>
      </c>
      <c r="B136" s="4">
        <v>59099</v>
      </c>
      <c r="C136" s="57">
        <v>262.87</v>
      </c>
    </row>
    <row r="137" spans="1:3" x14ac:dyDescent="0.25">
      <c r="A137" s="196">
        <v>41558</v>
      </c>
      <c r="B137" s="4">
        <v>59100</v>
      </c>
      <c r="C137" s="57">
        <v>103.58</v>
      </c>
    </row>
    <row r="138" spans="1:3" x14ac:dyDescent="0.25">
      <c r="A138" s="196">
        <v>41558</v>
      </c>
      <c r="B138" s="4">
        <v>59101</v>
      </c>
      <c r="C138" s="57">
        <v>218.88</v>
      </c>
    </row>
    <row r="139" spans="1:3" x14ac:dyDescent="0.25">
      <c r="A139" s="196">
        <v>41558</v>
      </c>
      <c r="B139" s="4">
        <v>59102</v>
      </c>
      <c r="C139" s="57">
        <v>271.44</v>
      </c>
    </row>
    <row r="140" spans="1:3" x14ac:dyDescent="0.25">
      <c r="A140" s="196">
        <v>41558</v>
      </c>
      <c r="B140" s="4">
        <v>59103</v>
      </c>
      <c r="C140" s="57">
        <v>309.05</v>
      </c>
    </row>
    <row r="141" spans="1:3" x14ac:dyDescent="0.25">
      <c r="A141" s="196">
        <v>41558</v>
      </c>
      <c r="B141" s="4">
        <v>59104</v>
      </c>
      <c r="C141" s="57">
        <v>243.41</v>
      </c>
    </row>
    <row r="142" spans="1:3" x14ac:dyDescent="0.25">
      <c r="A142" s="196">
        <v>41558</v>
      </c>
      <c r="B142" s="4">
        <v>59105</v>
      </c>
      <c r="C142" s="57">
        <v>43.12</v>
      </c>
    </row>
    <row r="143" spans="1:3" x14ac:dyDescent="0.25">
      <c r="A143" s="196">
        <v>41558</v>
      </c>
      <c r="B143" s="4">
        <v>59106</v>
      </c>
      <c r="C143" s="57">
        <v>202.33</v>
      </c>
    </row>
    <row r="144" spans="1:3" x14ac:dyDescent="0.25">
      <c r="A144" s="196">
        <v>41558</v>
      </c>
      <c r="B144" s="4">
        <v>59107</v>
      </c>
      <c r="C144" s="57">
        <v>77.84</v>
      </c>
    </row>
    <row r="145" spans="1:3" x14ac:dyDescent="0.25">
      <c r="A145" s="196">
        <v>41558</v>
      </c>
      <c r="B145" s="4">
        <v>59108</v>
      </c>
      <c r="C145" s="57">
        <v>63</v>
      </c>
    </row>
    <row r="146" spans="1:3" x14ac:dyDescent="0.25">
      <c r="A146" s="196">
        <v>41558</v>
      </c>
      <c r="B146" s="4">
        <v>59109</v>
      </c>
      <c r="C146" s="57">
        <v>157.47999999999999</v>
      </c>
    </row>
    <row r="147" spans="1:3" x14ac:dyDescent="0.25">
      <c r="A147" s="196">
        <v>41558</v>
      </c>
      <c r="B147" s="4">
        <v>59110</v>
      </c>
      <c r="C147" s="57">
        <v>37.21</v>
      </c>
    </row>
    <row r="148" spans="1:3" x14ac:dyDescent="0.25">
      <c r="A148" s="196">
        <v>41558</v>
      </c>
      <c r="B148" s="4">
        <v>59111</v>
      </c>
      <c r="C148" s="57">
        <v>259.35000000000002</v>
      </c>
    </row>
    <row r="149" spans="1:3" x14ac:dyDescent="0.25">
      <c r="A149" s="196">
        <v>41558</v>
      </c>
      <c r="B149" s="4">
        <v>59112</v>
      </c>
      <c r="C149" s="57">
        <v>227.62</v>
      </c>
    </row>
    <row r="150" spans="1:3" x14ac:dyDescent="0.25">
      <c r="A150" s="196">
        <v>41558</v>
      </c>
      <c r="B150" s="4">
        <v>59113</v>
      </c>
      <c r="C150" s="57">
        <v>40.020000000000003</v>
      </c>
    </row>
    <row r="151" spans="1:3" x14ac:dyDescent="0.25">
      <c r="A151" s="196">
        <v>41558</v>
      </c>
      <c r="B151" s="4">
        <v>59114</v>
      </c>
      <c r="C151" s="57">
        <v>246.71</v>
      </c>
    </row>
    <row r="152" spans="1:3" x14ac:dyDescent="0.25">
      <c r="A152" s="196">
        <v>41558</v>
      </c>
      <c r="B152" s="4">
        <v>59115</v>
      </c>
      <c r="C152" s="57">
        <v>120.66</v>
      </c>
    </row>
    <row r="153" spans="1:3" x14ac:dyDescent="0.25">
      <c r="A153" s="196">
        <v>41558</v>
      </c>
      <c r="B153" s="4">
        <v>59116</v>
      </c>
      <c r="C153" s="57">
        <v>53.84</v>
      </c>
    </row>
    <row r="154" spans="1:3" x14ac:dyDescent="0.25">
      <c r="A154" s="196">
        <v>41558</v>
      </c>
      <c r="B154" s="4">
        <v>59117</v>
      </c>
      <c r="C154" s="57">
        <v>90.75</v>
      </c>
    </row>
    <row r="155" spans="1:3" x14ac:dyDescent="0.25">
      <c r="A155" s="196">
        <v>41558</v>
      </c>
      <c r="B155" s="4">
        <v>59118</v>
      </c>
      <c r="C155" s="57">
        <v>66.25</v>
      </c>
    </row>
    <row r="156" spans="1:3" x14ac:dyDescent="0.25">
      <c r="A156" s="196">
        <v>41558</v>
      </c>
      <c r="B156" s="4">
        <v>59119</v>
      </c>
      <c r="C156" s="57">
        <v>329.61</v>
      </c>
    </row>
    <row r="157" spans="1:3" x14ac:dyDescent="0.25">
      <c r="A157" s="196">
        <v>41558</v>
      </c>
      <c r="B157" s="4">
        <v>59120</v>
      </c>
      <c r="C157" s="57">
        <v>322.38</v>
      </c>
    </row>
    <row r="158" spans="1:3" x14ac:dyDescent="0.25">
      <c r="A158" s="196">
        <v>41559</v>
      </c>
      <c r="B158" s="4">
        <v>59121</v>
      </c>
      <c r="C158" s="57">
        <v>325.39</v>
      </c>
    </row>
    <row r="159" spans="1:3" x14ac:dyDescent="0.25">
      <c r="A159" s="196">
        <v>41559</v>
      </c>
      <c r="B159" s="4">
        <v>59122</v>
      </c>
      <c r="C159" s="57">
        <v>329.75</v>
      </c>
    </row>
    <row r="160" spans="1:3" x14ac:dyDescent="0.25">
      <c r="A160" s="196">
        <v>41559</v>
      </c>
      <c r="B160" s="4">
        <v>59123</v>
      </c>
      <c r="C160" s="57">
        <v>47.73</v>
      </c>
    </row>
    <row r="161" spans="1:3" x14ac:dyDescent="0.25">
      <c r="A161" s="196">
        <v>41559</v>
      </c>
      <c r="B161" s="4">
        <v>59124</v>
      </c>
      <c r="C161" s="57">
        <v>75.069999999999993</v>
      </c>
    </row>
    <row r="162" spans="1:3" x14ac:dyDescent="0.25">
      <c r="A162" s="196">
        <v>41559</v>
      </c>
      <c r="B162" s="4">
        <v>59125</v>
      </c>
      <c r="C162" s="57">
        <v>152.38999999999999</v>
      </c>
    </row>
    <row r="163" spans="1:3" x14ac:dyDescent="0.25">
      <c r="A163" s="196">
        <v>41559</v>
      </c>
      <c r="B163" s="4">
        <v>59126</v>
      </c>
      <c r="C163" s="57">
        <v>285.69</v>
      </c>
    </row>
    <row r="164" spans="1:3" x14ac:dyDescent="0.25">
      <c r="A164" s="196">
        <v>41559</v>
      </c>
      <c r="B164" s="4">
        <v>59127</v>
      </c>
      <c r="C164" s="57">
        <v>284.08</v>
      </c>
    </row>
    <row r="165" spans="1:3" x14ac:dyDescent="0.25">
      <c r="A165" s="196">
        <v>41559</v>
      </c>
      <c r="B165" s="4">
        <v>59128</v>
      </c>
      <c r="C165" s="57">
        <v>111.94</v>
      </c>
    </row>
    <row r="166" spans="1:3" x14ac:dyDescent="0.25">
      <c r="A166" s="196">
        <v>41559</v>
      </c>
      <c r="B166" s="4">
        <v>59129</v>
      </c>
      <c r="C166" s="57">
        <v>58.69</v>
      </c>
    </row>
    <row r="167" spans="1:3" x14ac:dyDescent="0.25">
      <c r="A167" s="196">
        <v>41559</v>
      </c>
      <c r="B167" s="4">
        <v>59130</v>
      </c>
      <c r="C167" s="57">
        <v>74.290000000000006</v>
      </c>
    </row>
    <row r="168" spans="1:3" x14ac:dyDescent="0.25">
      <c r="A168" s="196">
        <v>41559</v>
      </c>
      <c r="B168" s="4">
        <v>59131</v>
      </c>
      <c r="C168" s="57">
        <v>230.41</v>
      </c>
    </row>
    <row r="169" spans="1:3" x14ac:dyDescent="0.25">
      <c r="A169" s="196">
        <v>41559</v>
      </c>
      <c r="B169" s="4">
        <v>59132</v>
      </c>
      <c r="C169" s="57">
        <v>348.47</v>
      </c>
    </row>
    <row r="170" spans="1:3" x14ac:dyDescent="0.25">
      <c r="A170" s="196">
        <v>41559</v>
      </c>
      <c r="B170" s="4">
        <v>59133</v>
      </c>
      <c r="C170" s="57">
        <v>357.34</v>
      </c>
    </row>
    <row r="171" spans="1:3" x14ac:dyDescent="0.25">
      <c r="A171" s="196">
        <v>41559</v>
      </c>
      <c r="B171" s="4">
        <v>59134</v>
      </c>
      <c r="C171" s="57">
        <v>145.47</v>
      </c>
    </row>
    <row r="172" spans="1:3" x14ac:dyDescent="0.25">
      <c r="A172" s="196">
        <v>41559</v>
      </c>
      <c r="B172" s="4">
        <v>59135</v>
      </c>
      <c r="C172" s="57">
        <v>48.37</v>
      </c>
    </row>
    <row r="173" spans="1:3" x14ac:dyDescent="0.25">
      <c r="A173" s="196">
        <v>41559</v>
      </c>
      <c r="B173" s="4">
        <v>59136</v>
      </c>
      <c r="C173" s="57">
        <v>342.34</v>
      </c>
    </row>
    <row r="174" spans="1:3" x14ac:dyDescent="0.25">
      <c r="A174" s="196">
        <v>41559</v>
      </c>
      <c r="B174" s="4">
        <v>59137</v>
      </c>
      <c r="C174" s="57">
        <v>278.18</v>
      </c>
    </row>
    <row r="175" spans="1:3" x14ac:dyDescent="0.25">
      <c r="A175" s="196">
        <v>41559</v>
      </c>
      <c r="B175" s="4">
        <v>59138</v>
      </c>
      <c r="C175" s="57">
        <v>324.29000000000002</v>
      </c>
    </row>
    <row r="176" spans="1:3" x14ac:dyDescent="0.25">
      <c r="A176" s="196">
        <v>41559</v>
      </c>
      <c r="B176" s="4">
        <v>59139</v>
      </c>
      <c r="C176" s="57">
        <v>76.45</v>
      </c>
    </row>
    <row r="177" spans="1:3" x14ac:dyDescent="0.25">
      <c r="A177" s="196">
        <v>41559</v>
      </c>
      <c r="B177" s="4">
        <v>59140</v>
      </c>
      <c r="C177" s="57">
        <v>114.44</v>
      </c>
    </row>
    <row r="178" spans="1:3" x14ac:dyDescent="0.25">
      <c r="A178" s="196">
        <v>41559</v>
      </c>
      <c r="B178" s="4">
        <v>59141</v>
      </c>
      <c r="C178" s="57">
        <v>125.72</v>
      </c>
    </row>
    <row r="179" spans="1:3" x14ac:dyDescent="0.25">
      <c r="A179" s="196">
        <v>41560</v>
      </c>
      <c r="B179" s="4">
        <v>59142</v>
      </c>
      <c r="C179" s="57">
        <v>111.16</v>
      </c>
    </row>
    <row r="180" spans="1:3" x14ac:dyDescent="0.25">
      <c r="A180" s="196">
        <v>41560</v>
      </c>
      <c r="B180" s="4">
        <v>59143</v>
      </c>
      <c r="C180" s="57">
        <v>46.82</v>
      </c>
    </row>
    <row r="181" spans="1:3" x14ac:dyDescent="0.25">
      <c r="A181" s="196">
        <v>41560</v>
      </c>
      <c r="B181" s="4">
        <v>59144</v>
      </c>
      <c r="C181" s="57">
        <v>213.48</v>
      </c>
    </row>
    <row r="182" spans="1:3" x14ac:dyDescent="0.25">
      <c r="A182" s="196">
        <v>41560</v>
      </c>
      <c r="B182" s="4">
        <v>59145</v>
      </c>
      <c r="C182" s="57">
        <v>128.81</v>
      </c>
    </row>
    <row r="183" spans="1:3" x14ac:dyDescent="0.25">
      <c r="A183" s="196">
        <v>41560</v>
      </c>
      <c r="B183" s="4">
        <v>59146</v>
      </c>
      <c r="C183" s="57">
        <v>380.16</v>
      </c>
    </row>
    <row r="184" spans="1:3" x14ac:dyDescent="0.25">
      <c r="A184" s="196">
        <v>41560</v>
      </c>
      <c r="B184" s="4">
        <v>59147</v>
      </c>
      <c r="C184" s="57">
        <v>71.739999999999995</v>
      </c>
    </row>
    <row r="185" spans="1:3" x14ac:dyDescent="0.25">
      <c r="A185" s="196">
        <v>41560</v>
      </c>
      <c r="B185" s="4">
        <v>59148</v>
      </c>
      <c r="C185" s="57">
        <v>340.88</v>
      </c>
    </row>
    <row r="186" spans="1:3" x14ac:dyDescent="0.25">
      <c r="A186" s="196">
        <v>41560</v>
      </c>
      <c r="B186" s="4">
        <v>59149</v>
      </c>
      <c r="C186" s="57">
        <v>182.63</v>
      </c>
    </row>
    <row r="187" spans="1:3" x14ac:dyDescent="0.25">
      <c r="A187" s="196">
        <v>41560</v>
      </c>
      <c r="B187" s="4">
        <v>59150</v>
      </c>
      <c r="C187" s="57">
        <v>260.07</v>
      </c>
    </row>
    <row r="188" spans="1:3" x14ac:dyDescent="0.25">
      <c r="A188" s="196">
        <v>41560</v>
      </c>
      <c r="B188" s="4">
        <v>59151</v>
      </c>
      <c r="C188" s="57">
        <v>314.39999999999998</v>
      </c>
    </row>
    <row r="189" spans="1:3" x14ac:dyDescent="0.25">
      <c r="A189" s="196">
        <v>41560</v>
      </c>
      <c r="B189" s="4">
        <v>59152</v>
      </c>
      <c r="C189" s="57">
        <v>49.44</v>
      </c>
    </row>
    <row r="190" spans="1:3" x14ac:dyDescent="0.25">
      <c r="A190" s="196">
        <v>41560</v>
      </c>
      <c r="B190" s="4">
        <v>59153</v>
      </c>
      <c r="C190" s="57">
        <v>39.53</v>
      </c>
    </row>
    <row r="191" spans="1:3" x14ac:dyDescent="0.25">
      <c r="A191" s="196">
        <v>41560</v>
      </c>
      <c r="B191" s="4">
        <v>59154</v>
      </c>
      <c r="C191" s="57">
        <v>157.85</v>
      </c>
    </row>
    <row r="192" spans="1:3" x14ac:dyDescent="0.25">
      <c r="A192" s="196">
        <v>41560</v>
      </c>
      <c r="B192" s="4">
        <v>59155</v>
      </c>
      <c r="C192" s="57">
        <v>99.53</v>
      </c>
    </row>
    <row r="193" spans="1:3" x14ac:dyDescent="0.25">
      <c r="A193" s="196">
        <v>41560</v>
      </c>
      <c r="B193" s="4">
        <v>59156</v>
      </c>
      <c r="C193" s="57">
        <v>180.01</v>
      </c>
    </row>
    <row r="194" spans="1:3" x14ac:dyDescent="0.25">
      <c r="A194" s="196">
        <v>41561</v>
      </c>
      <c r="B194" s="4">
        <v>59157</v>
      </c>
      <c r="C194" s="57">
        <v>168.56</v>
      </c>
    </row>
    <row r="195" spans="1:3" x14ac:dyDescent="0.25">
      <c r="A195" s="196">
        <v>41561</v>
      </c>
      <c r="B195" s="4">
        <v>59158</v>
      </c>
      <c r="C195" s="57">
        <v>169.08</v>
      </c>
    </row>
    <row r="196" spans="1:3" x14ac:dyDescent="0.25">
      <c r="A196" s="196">
        <v>41561</v>
      </c>
      <c r="B196" s="4">
        <v>59159</v>
      </c>
      <c r="C196" s="57">
        <v>39.119999999999997</v>
      </c>
    </row>
    <row r="197" spans="1:3" x14ac:dyDescent="0.25">
      <c r="A197" s="196">
        <v>41561</v>
      </c>
      <c r="B197" s="4">
        <v>59160</v>
      </c>
      <c r="C197" s="57">
        <v>78.98</v>
      </c>
    </row>
    <row r="198" spans="1:3" x14ac:dyDescent="0.25">
      <c r="A198" s="196">
        <v>41561</v>
      </c>
      <c r="B198" s="4">
        <v>59161</v>
      </c>
      <c r="C198" s="57">
        <v>195.01</v>
      </c>
    </row>
    <row r="199" spans="1:3" x14ac:dyDescent="0.25">
      <c r="A199" s="196">
        <v>41561</v>
      </c>
      <c r="B199" s="4">
        <v>59162</v>
      </c>
      <c r="C199" s="57">
        <v>308.02</v>
      </c>
    </row>
    <row r="200" spans="1:3" x14ac:dyDescent="0.25">
      <c r="A200" s="196">
        <v>41561</v>
      </c>
      <c r="B200" s="4">
        <v>59163</v>
      </c>
      <c r="C200" s="57">
        <v>331.5</v>
      </c>
    </row>
    <row r="201" spans="1:3" x14ac:dyDescent="0.25">
      <c r="A201" s="196">
        <v>41561</v>
      </c>
      <c r="B201" s="4">
        <v>59164</v>
      </c>
      <c r="C201" s="57">
        <v>389.32</v>
      </c>
    </row>
    <row r="202" spans="1:3" x14ac:dyDescent="0.25">
      <c r="A202" s="196">
        <v>41561</v>
      </c>
      <c r="B202" s="4">
        <v>59165</v>
      </c>
      <c r="C202" s="57">
        <v>78.14</v>
      </c>
    </row>
    <row r="203" spans="1:3" x14ac:dyDescent="0.25">
      <c r="A203" s="196">
        <v>41561</v>
      </c>
      <c r="B203" s="4">
        <v>59166</v>
      </c>
      <c r="C203" s="57">
        <v>316.86</v>
      </c>
    </row>
    <row r="204" spans="1:3" x14ac:dyDescent="0.25">
      <c r="A204" s="196">
        <v>41561</v>
      </c>
      <c r="B204" s="4">
        <v>59167</v>
      </c>
      <c r="C204" s="57">
        <v>113.45</v>
      </c>
    </row>
    <row r="205" spans="1:3" x14ac:dyDescent="0.25">
      <c r="A205" s="196">
        <v>41561</v>
      </c>
      <c r="B205" s="4">
        <v>59168</v>
      </c>
      <c r="C205" s="57">
        <v>148</v>
      </c>
    </row>
    <row r="206" spans="1:3" x14ac:dyDescent="0.25">
      <c r="A206" s="196">
        <v>41561</v>
      </c>
      <c r="B206" s="4">
        <v>59169</v>
      </c>
      <c r="C206" s="57">
        <v>76.87</v>
      </c>
    </row>
    <row r="207" spans="1:3" x14ac:dyDescent="0.25">
      <c r="A207" s="196">
        <v>41561</v>
      </c>
      <c r="B207" s="4">
        <v>59170</v>
      </c>
      <c r="C207" s="57">
        <v>49.18</v>
      </c>
    </row>
    <row r="208" spans="1:3" x14ac:dyDescent="0.25">
      <c r="A208" s="196">
        <v>41561</v>
      </c>
      <c r="B208" s="4">
        <v>59171</v>
      </c>
      <c r="C208" s="57">
        <v>263.62</v>
      </c>
    </row>
    <row r="209" spans="1:3" x14ac:dyDescent="0.25">
      <c r="A209" s="196">
        <v>41561</v>
      </c>
      <c r="B209" s="4">
        <v>59172</v>
      </c>
      <c r="C209" s="57">
        <v>172.12</v>
      </c>
    </row>
    <row r="210" spans="1:3" x14ac:dyDescent="0.25">
      <c r="A210" s="196">
        <v>41561</v>
      </c>
      <c r="B210" s="4">
        <v>59173</v>
      </c>
      <c r="C210" s="57">
        <v>371.9</v>
      </c>
    </row>
    <row r="211" spans="1:3" x14ac:dyDescent="0.25">
      <c r="A211" s="196">
        <v>41561</v>
      </c>
      <c r="B211" s="4">
        <v>59174</v>
      </c>
      <c r="C211" s="57">
        <v>87.68</v>
      </c>
    </row>
    <row r="212" spans="1:3" x14ac:dyDescent="0.25">
      <c r="A212" s="196">
        <v>41561</v>
      </c>
      <c r="B212" s="4">
        <v>59175</v>
      </c>
      <c r="C212" s="57">
        <v>186.71</v>
      </c>
    </row>
    <row r="213" spans="1:3" x14ac:dyDescent="0.25">
      <c r="A213" s="196">
        <v>41561</v>
      </c>
      <c r="B213" s="4">
        <v>59176</v>
      </c>
      <c r="C213" s="57">
        <v>287.68</v>
      </c>
    </row>
    <row r="214" spans="1:3" x14ac:dyDescent="0.25">
      <c r="A214" s="196">
        <v>41561</v>
      </c>
      <c r="B214" s="4">
        <v>59177</v>
      </c>
      <c r="C214" s="57">
        <v>164.03</v>
      </c>
    </row>
    <row r="215" spans="1:3" x14ac:dyDescent="0.25">
      <c r="A215" s="196">
        <v>41561</v>
      </c>
      <c r="B215" s="4">
        <v>59178</v>
      </c>
      <c r="C215" s="57">
        <v>192.63</v>
      </c>
    </row>
    <row r="216" spans="1:3" x14ac:dyDescent="0.25">
      <c r="A216" s="196">
        <v>41561</v>
      </c>
      <c r="B216" s="4">
        <v>59179</v>
      </c>
      <c r="C216" s="57">
        <v>373.88</v>
      </c>
    </row>
    <row r="217" spans="1:3" x14ac:dyDescent="0.25">
      <c r="A217" s="196">
        <v>41561</v>
      </c>
      <c r="B217" s="4">
        <v>59180</v>
      </c>
      <c r="C217" s="57">
        <v>217.53</v>
      </c>
    </row>
    <row r="218" spans="1:3" x14ac:dyDescent="0.25">
      <c r="A218" s="196">
        <v>41561</v>
      </c>
      <c r="B218" s="4">
        <v>59181</v>
      </c>
      <c r="C218" s="57">
        <v>210.51</v>
      </c>
    </row>
    <row r="219" spans="1:3" x14ac:dyDescent="0.25">
      <c r="A219" s="196">
        <v>41561</v>
      </c>
      <c r="B219" s="4">
        <v>59182</v>
      </c>
      <c r="C219" s="57">
        <v>373.18</v>
      </c>
    </row>
    <row r="220" spans="1:3" x14ac:dyDescent="0.25">
      <c r="A220" s="196">
        <v>41561</v>
      </c>
      <c r="B220" s="4">
        <v>59183</v>
      </c>
      <c r="C220" s="57">
        <v>193.14</v>
      </c>
    </row>
    <row r="221" spans="1:3" x14ac:dyDescent="0.25">
      <c r="A221" s="196">
        <v>41561</v>
      </c>
      <c r="B221" s="4">
        <v>59184</v>
      </c>
      <c r="C221" s="57">
        <v>271.35000000000002</v>
      </c>
    </row>
    <row r="222" spans="1:3" x14ac:dyDescent="0.25">
      <c r="A222" s="196">
        <v>41562</v>
      </c>
      <c r="B222" s="4">
        <v>59185</v>
      </c>
      <c r="C222" s="57">
        <v>328.5</v>
      </c>
    </row>
    <row r="223" spans="1:3" x14ac:dyDescent="0.25">
      <c r="A223" s="196">
        <v>41562</v>
      </c>
      <c r="B223" s="4">
        <v>59186</v>
      </c>
      <c r="C223" s="57">
        <v>270.52999999999997</v>
      </c>
    </row>
    <row r="224" spans="1:3" x14ac:dyDescent="0.25">
      <c r="A224" s="196">
        <v>41562</v>
      </c>
      <c r="B224" s="4">
        <v>59187</v>
      </c>
      <c r="C224" s="57">
        <v>228.41</v>
      </c>
    </row>
    <row r="225" spans="1:3" x14ac:dyDescent="0.25">
      <c r="A225" s="196">
        <v>41562</v>
      </c>
      <c r="B225" s="4">
        <v>59188</v>
      </c>
      <c r="C225" s="57">
        <v>388.02</v>
      </c>
    </row>
    <row r="226" spans="1:3" x14ac:dyDescent="0.25">
      <c r="A226" s="196">
        <v>41562</v>
      </c>
      <c r="B226" s="4">
        <v>59189</v>
      </c>
      <c r="C226" s="57">
        <v>350.5</v>
      </c>
    </row>
    <row r="227" spans="1:3" x14ac:dyDescent="0.25">
      <c r="A227" s="196">
        <v>41562</v>
      </c>
      <c r="B227" s="4">
        <v>59190</v>
      </c>
      <c r="C227" s="57">
        <v>64.91</v>
      </c>
    </row>
    <row r="228" spans="1:3" x14ac:dyDescent="0.25">
      <c r="A228" s="196">
        <v>41562</v>
      </c>
      <c r="B228" s="4">
        <v>59191</v>
      </c>
      <c r="C228" s="57">
        <v>332.68</v>
      </c>
    </row>
    <row r="229" spans="1:3" x14ac:dyDescent="0.25">
      <c r="A229" s="196">
        <v>41562</v>
      </c>
      <c r="B229" s="4">
        <v>59192</v>
      </c>
      <c r="C229" s="57">
        <v>201.79</v>
      </c>
    </row>
    <row r="230" spans="1:3" x14ac:dyDescent="0.25">
      <c r="A230" s="196">
        <v>41562</v>
      </c>
      <c r="B230" s="4">
        <v>59193</v>
      </c>
      <c r="C230" s="57">
        <v>175.06</v>
      </c>
    </row>
    <row r="231" spans="1:3" x14ac:dyDescent="0.25">
      <c r="A231" s="196">
        <v>41562</v>
      </c>
      <c r="B231" s="4">
        <v>59194</v>
      </c>
      <c r="C231" s="57">
        <v>255.7</v>
      </c>
    </row>
    <row r="232" spans="1:3" x14ac:dyDescent="0.25">
      <c r="A232" s="196">
        <v>41562</v>
      </c>
      <c r="B232" s="4">
        <v>59195</v>
      </c>
      <c r="C232" s="57">
        <v>320.83</v>
      </c>
    </row>
    <row r="233" spans="1:3" x14ac:dyDescent="0.25">
      <c r="A233" s="196">
        <v>41562</v>
      </c>
      <c r="B233" s="4">
        <v>59196</v>
      </c>
      <c r="C233" s="57">
        <v>207.68</v>
      </c>
    </row>
    <row r="234" spans="1:3" x14ac:dyDescent="0.25">
      <c r="A234" s="196">
        <v>41562</v>
      </c>
      <c r="B234" s="4">
        <v>59197</v>
      </c>
      <c r="C234" s="57">
        <v>187.72</v>
      </c>
    </row>
    <row r="235" spans="1:3" x14ac:dyDescent="0.25">
      <c r="A235" s="196">
        <v>41562</v>
      </c>
      <c r="B235" s="4">
        <v>59198</v>
      </c>
      <c r="C235" s="57">
        <v>134.63</v>
      </c>
    </row>
    <row r="236" spans="1:3" x14ac:dyDescent="0.25">
      <c r="A236" s="196">
        <v>41562</v>
      </c>
      <c r="B236" s="4">
        <v>59199</v>
      </c>
      <c r="C236" s="57">
        <v>200.39</v>
      </c>
    </row>
    <row r="237" spans="1:3" x14ac:dyDescent="0.25">
      <c r="A237" s="196">
        <v>41562</v>
      </c>
      <c r="B237" s="4">
        <v>59200</v>
      </c>
      <c r="C237" s="57">
        <v>201.59</v>
      </c>
    </row>
    <row r="238" spans="1:3" x14ac:dyDescent="0.25">
      <c r="A238" s="196">
        <v>41562</v>
      </c>
      <c r="B238" s="4">
        <v>59201</v>
      </c>
      <c r="C238" s="57">
        <v>124.65</v>
      </c>
    </row>
    <row r="239" spans="1:3" x14ac:dyDescent="0.25">
      <c r="A239" s="196">
        <v>41562</v>
      </c>
      <c r="B239" s="4">
        <v>59202</v>
      </c>
      <c r="C239" s="57">
        <v>382.04</v>
      </c>
    </row>
    <row r="240" spans="1:3" x14ac:dyDescent="0.25">
      <c r="A240" s="196">
        <v>41562</v>
      </c>
      <c r="B240" s="4">
        <v>59203</v>
      </c>
      <c r="C240" s="57">
        <v>41.3</v>
      </c>
    </row>
    <row r="241" spans="1:3" x14ac:dyDescent="0.25">
      <c r="A241" s="196">
        <v>41562</v>
      </c>
      <c r="B241" s="4">
        <v>59204</v>
      </c>
      <c r="C241" s="57">
        <v>178.57</v>
      </c>
    </row>
    <row r="242" spans="1:3" x14ac:dyDescent="0.25">
      <c r="A242" s="196">
        <v>41562</v>
      </c>
      <c r="B242" s="4">
        <v>59205</v>
      </c>
      <c r="C242" s="57">
        <v>124.98</v>
      </c>
    </row>
    <row r="243" spans="1:3" x14ac:dyDescent="0.25">
      <c r="A243" s="196">
        <v>41562</v>
      </c>
      <c r="B243" s="4">
        <v>59206</v>
      </c>
      <c r="C243" s="57">
        <v>245.86</v>
      </c>
    </row>
    <row r="244" spans="1:3" x14ac:dyDescent="0.25">
      <c r="A244" s="196">
        <v>41563</v>
      </c>
      <c r="B244" s="4">
        <v>59207</v>
      </c>
      <c r="C244" s="57">
        <v>133.22</v>
      </c>
    </row>
    <row r="245" spans="1:3" x14ac:dyDescent="0.25">
      <c r="A245" s="196">
        <v>41563</v>
      </c>
      <c r="B245" s="4">
        <v>59208</v>
      </c>
      <c r="C245" s="57">
        <v>276.63</v>
      </c>
    </row>
    <row r="246" spans="1:3" x14ac:dyDescent="0.25">
      <c r="A246" s="196">
        <v>41563</v>
      </c>
      <c r="B246" s="4">
        <v>59209</v>
      </c>
      <c r="C246" s="57">
        <v>383.59</v>
      </c>
    </row>
    <row r="247" spans="1:3" x14ac:dyDescent="0.25">
      <c r="A247" s="196">
        <v>41563</v>
      </c>
      <c r="B247" s="4">
        <v>59210</v>
      </c>
      <c r="C247" s="57">
        <v>207.27</v>
      </c>
    </row>
    <row r="248" spans="1:3" x14ac:dyDescent="0.25">
      <c r="A248" s="196">
        <v>41563</v>
      </c>
      <c r="B248" s="4">
        <v>59211</v>
      </c>
      <c r="C248" s="57">
        <v>347.27</v>
      </c>
    </row>
    <row r="249" spans="1:3" x14ac:dyDescent="0.25">
      <c r="A249" s="196">
        <v>41563</v>
      </c>
      <c r="B249" s="4">
        <v>59212</v>
      </c>
      <c r="C249" s="57">
        <v>104.78</v>
      </c>
    </row>
    <row r="250" spans="1:3" x14ac:dyDescent="0.25">
      <c r="A250" s="196">
        <v>41563</v>
      </c>
      <c r="B250" s="4">
        <v>59213</v>
      </c>
      <c r="C250" s="57">
        <v>340.75</v>
      </c>
    </row>
    <row r="251" spans="1:3" x14ac:dyDescent="0.25">
      <c r="A251" s="196">
        <v>41563</v>
      </c>
      <c r="B251" s="4">
        <v>59214</v>
      </c>
      <c r="C251" s="57">
        <v>382.6</v>
      </c>
    </row>
    <row r="252" spans="1:3" x14ac:dyDescent="0.25">
      <c r="A252" s="196">
        <v>41563</v>
      </c>
      <c r="B252" s="4">
        <v>59215</v>
      </c>
      <c r="C252" s="57">
        <v>301.58</v>
      </c>
    </row>
    <row r="253" spans="1:3" x14ac:dyDescent="0.25">
      <c r="A253" s="196">
        <v>41563</v>
      </c>
      <c r="B253" s="4">
        <v>59216</v>
      </c>
      <c r="C253" s="57">
        <v>264.42</v>
      </c>
    </row>
    <row r="254" spans="1:3" x14ac:dyDescent="0.25">
      <c r="A254" s="196">
        <v>41563</v>
      </c>
      <c r="B254" s="4">
        <v>59217</v>
      </c>
      <c r="C254" s="57">
        <v>50.81</v>
      </c>
    </row>
    <row r="255" spans="1:3" x14ac:dyDescent="0.25">
      <c r="A255" s="196">
        <v>41563</v>
      </c>
      <c r="B255" s="4">
        <v>59218</v>
      </c>
      <c r="C255" s="57">
        <v>206.84</v>
      </c>
    </row>
    <row r="256" spans="1:3" x14ac:dyDescent="0.25">
      <c r="A256" s="196">
        <v>41563</v>
      </c>
      <c r="B256" s="4">
        <v>59219</v>
      </c>
      <c r="C256" s="57">
        <v>269.23</v>
      </c>
    </row>
    <row r="257" spans="1:3" x14ac:dyDescent="0.25">
      <c r="A257" s="196">
        <v>41563</v>
      </c>
      <c r="B257" s="4">
        <v>59220</v>
      </c>
      <c r="C257" s="57">
        <v>197.99</v>
      </c>
    </row>
    <row r="258" spans="1:3" x14ac:dyDescent="0.25">
      <c r="A258" s="196">
        <v>41563</v>
      </c>
      <c r="B258" s="4">
        <v>59221</v>
      </c>
      <c r="C258" s="57">
        <v>145.43</v>
      </c>
    </row>
    <row r="259" spans="1:3" x14ac:dyDescent="0.25">
      <c r="A259" s="196">
        <v>41563</v>
      </c>
      <c r="B259" s="4">
        <v>59222</v>
      </c>
      <c r="C259" s="57">
        <v>337.12</v>
      </c>
    </row>
    <row r="260" spans="1:3" x14ac:dyDescent="0.25">
      <c r="A260" s="196">
        <v>41563</v>
      </c>
      <c r="B260" s="4">
        <v>59223</v>
      </c>
      <c r="C260" s="57">
        <v>246.37</v>
      </c>
    </row>
    <row r="261" spans="1:3" x14ac:dyDescent="0.25">
      <c r="A261" s="196">
        <v>41563</v>
      </c>
      <c r="B261" s="4">
        <v>59224</v>
      </c>
      <c r="C261" s="57">
        <v>62.79</v>
      </c>
    </row>
    <row r="262" spans="1:3" x14ac:dyDescent="0.25">
      <c r="A262" s="196">
        <v>41563</v>
      </c>
      <c r="B262" s="4">
        <v>59225</v>
      </c>
      <c r="C262" s="57">
        <v>299.95</v>
      </c>
    </row>
    <row r="263" spans="1:3" x14ac:dyDescent="0.25">
      <c r="A263" s="196">
        <v>41563</v>
      </c>
      <c r="B263" s="4">
        <v>59226</v>
      </c>
      <c r="C263" s="57">
        <v>311.52</v>
      </c>
    </row>
    <row r="264" spans="1:3" x14ac:dyDescent="0.25">
      <c r="A264" s="196">
        <v>41564</v>
      </c>
      <c r="B264" s="4">
        <v>59227</v>
      </c>
      <c r="C264" s="57">
        <v>389.38</v>
      </c>
    </row>
    <row r="265" spans="1:3" x14ac:dyDescent="0.25">
      <c r="A265" s="196">
        <v>41564</v>
      </c>
      <c r="B265" s="4">
        <v>59228</v>
      </c>
      <c r="C265" s="57">
        <v>345.6</v>
      </c>
    </row>
    <row r="266" spans="1:3" x14ac:dyDescent="0.25">
      <c r="A266" s="196">
        <v>41564</v>
      </c>
      <c r="B266" s="4">
        <v>59229</v>
      </c>
      <c r="C266" s="57">
        <v>317.47000000000003</v>
      </c>
    </row>
    <row r="267" spans="1:3" x14ac:dyDescent="0.25">
      <c r="A267" s="196">
        <v>41564</v>
      </c>
      <c r="B267" s="4">
        <v>59230</v>
      </c>
      <c r="C267" s="57">
        <v>357.07</v>
      </c>
    </row>
    <row r="268" spans="1:3" x14ac:dyDescent="0.25">
      <c r="A268" s="196">
        <v>41564</v>
      </c>
      <c r="B268" s="4">
        <v>59231</v>
      </c>
      <c r="C268" s="57">
        <v>161.04</v>
      </c>
    </row>
    <row r="269" spans="1:3" x14ac:dyDescent="0.25">
      <c r="A269" s="196">
        <v>41564</v>
      </c>
      <c r="B269" s="4">
        <v>59232</v>
      </c>
      <c r="C269" s="57">
        <v>215.43</v>
      </c>
    </row>
    <row r="270" spans="1:3" x14ac:dyDescent="0.25">
      <c r="A270" s="196">
        <v>41564</v>
      </c>
      <c r="B270" s="4">
        <v>59233</v>
      </c>
      <c r="C270" s="57">
        <v>124.14</v>
      </c>
    </row>
    <row r="271" spans="1:3" x14ac:dyDescent="0.25">
      <c r="A271" s="196">
        <v>41564</v>
      </c>
      <c r="B271" s="4">
        <v>59234</v>
      </c>
      <c r="C271" s="57">
        <v>131.44999999999999</v>
      </c>
    </row>
    <row r="272" spans="1:3" x14ac:dyDescent="0.25">
      <c r="A272" s="196">
        <v>41564</v>
      </c>
      <c r="B272" s="4">
        <v>59235</v>
      </c>
      <c r="C272" s="57">
        <v>45.08</v>
      </c>
    </row>
    <row r="273" spans="1:3" x14ac:dyDescent="0.25">
      <c r="A273" s="196">
        <v>41564</v>
      </c>
      <c r="B273" s="4">
        <v>59236</v>
      </c>
      <c r="C273" s="57">
        <v>261.62</v>
      </c>
    </row>
    <row r="274" spans="1:3" x14ac:dyDescent="0.25">
      <c r="A274" s="196">
        <v>41564</v>
      </c>
      <c r="B274" s="4">
        <v>59237</v>
      </c>
      <c r="C274" s="57">
        <v>355.97</v>
      </c>
    </row>
    <row r="275" spans="1:3" x14ac:dyDescent="0.25">
      <c r="A275" s="196">
        <v>41564</v>
      </c>
      <c r="B275" s="4">
        <v>59238</v>
      </c>
      <c r="C275" s="57">
        <v>309.29000000000002</v>
      </c>
    </row>
    <row r="276" spans="1:3" x14ac:dyDescent="0.25">
      <c r="A276" s="196">
        <v>41564</v>
      </c>
      <c r="B276" s="4">
        <v>59239</v>
      </c>
      <c r="C276" s="57">
        <v>327.49</v>
      </c>
    </row>
    <row r="277" spans="1:3" x14ac:dyDescent="0.25">
      <c r="A277" s="196">
        <v>41564</v>
      </c>
      <c r="B277" s="4">
        <v>59240</v>
      </c>
      <c r="C277" s="57">
        <v>186.71</v>
      </c>
    </row>
    <row r="278" spans="1:3" x14ac:dyDescent="0.25">
      <c r="A278" s="196">
        <v>41564</v>
      </c>
      <c r="B278" s="4">
        <v>59241</v>
      </c>
      <c r="C278" s="57">
        <v>92.15</v>
      </c>
    </row>
    <row r="279" spans="1:3" x14ac:dyDescent="0.25">
      <c r="A279" s="196">
        <v>41564</v>
      </c>
      <c r="B279" s="4">
        <v>59242</v>
      </c>
      <c r="C279" s="57">
        <v>266.87</v>
      </c>
    </row>
    <row r="280" spans="1:3" x14ac:dyDescent="0.25">
      <c r="A280" s="196">
        <v>41564</v>
      </c>
      <c r="B280" s="4">
        <v>59243</v>
      </c>
      <c r="C280" s="57">
        <v>112.5</v>
      </c>
    </row>
    <row r="281" spans="1:3" x14ac:dyDescent="0.25">
      <c r="A281" s="196">
        <v>41564</v>
      </c>
      <c r="B281" s="4">
        <v>59244</v>
      </c>
      <c r="C281" s="57">
        <v>132.96</v>
      </c>
    </row>
    <row r="282" spans="1:3" x14ac:dyDescent="0.25">
      <c r="A282" s="196">
        <v>41565</v>
      </c>
      <c r="B282" s="4">
        <v>59245</v>
      </c>
      <c r="C282" s="57">
        <v>246.3</v>
      </c>
    </row>
    <row r="283" spans="1:3" x14ac:dyDescent="0.25">
      <c r="A283" s="196">
        <v>41565</v>
      </c>
      <c r="B283" s="4">
        <v>59246</v>
      </c>
      <c r="C283" s="57">
        <v>357.82</v>
      </c>
    </row>
    <row r="284" spans="1:3" x14ac:dyDescent="0.25">
      <c r="A284" s="196">
        <v>41565</v>
      </c>
      <c r="B284" s="4">
        <v>59247</v>
      </c>
      <c r="C284" s="57">
        <v>36.590000000000003</v>
      </c>
    </row>
    <row r="285" spans="1:3" x14ac:dyDescent="0.25">
      <c r="A285" s="196">
        <v>41565</v>
      </c>
      <c r="B285" s="4">
        <v>59248</v>
      </c>
      <c r="C285" s="57">
        <v>186.97</v>
      </c>
    </row>
    <row r="286" spans="1:3" x14ac:dyDescent="0.25">
      <c r="A286" s="196">
        <v>41565</v>
      </c>
      <c r="B286" s="4">
        <v>59249</v>
      </c>
      <c r="C286" s="57">
        <v>67.75</v>
      </c>
    </row>
    <row r="287" spans="1:3" x14ac:dyDescent="0.25">
      <c r="A287" s="196">
        <v>41565</v>
      </c>
      <c r="B287" s="4">
        <v>59250</v>
      </c>
      <c r="C287" s="57">
        <v>165.3</v>
      </c>
    </row>
    <row r="288" spans="1:3" x14ac:dyDescent="0.25">
      <c r="A288" s="196">
        <v>41565</v>
      </c>
      <c r="B288" s="4">
        <v>59251</v>
      </c>
      <c r="C288" s="57">
        <v>131.80000000000001</v>
      </c>
    </row>
    <row r="289" spans="1:3" x14ac:dyDescent="0.25">
      <c r="A289" s="196">
        <v>41565</v>
      </c>
      <c r="B289" s="4">
        <v>59252</v>
      </c>
      <c r="C289" s="57">
        <v>79.55</v>
      </c>
    </row>
    <row r="290" spans="1:3" x14ac:dyDescent="0.25">
      <c r="A290" s="196">
        <v>41565</v>
      </c>
      <c r="B290" s="4">
        <v>59253</v>
      </c>
      <c r="C290" s="57">
        <v>165.41</v>
      </c>
    </row>
    <row r="291" spans="1:3" x14ac:dyDescent="0.25">
      <c r="A291" s="196">
        <v>41565</v>
      </c>
      <c r="B291" s="4">
        <v>59254</v>
      </c>
      <c r="C291" s="57">
        <v>64.040000000000006</v>
      </c>
    </row>
    <row r="292" spans="1:3" x14ac:dyDescent="0.25">
      <c r="A292" s="196">
        <v>41565</v>
      </c>
      <c r="B292" s="4">
        <v>59255</v>
      </c>
      <c r="C292" s="57">
        <v>85.57</v>
      </c>
    </row>
    <row r="293" spans="1:3" x14ac:dyDescent="0.25">
      <c r="A293" s="196">
        <v>41565</v>
      </c>
      <c r="B293" s="4">
        <v>59256</v>
      </c>
      <c r="C293" s="57">
        <v>350.88</v>
      </c>
    </row>
    <row r="294" spans="1:3" x14ac:dyDescent="0.25">
      <c r="A294" s="196">
        <v>41565</v>
      </c>
      <c r="B294" s="4">
        <v>59257</v>
      </c>
      <c r="C294" s="57">
        <v>269.77999999999997</v>
      </c>
    </row>
    <row r="295" spans="1:3" x14ac:dyDescent="0.25">
      <c r="A295" s="196">
        <v>41565</v>
      </c>
      <c r="B295" s="4">
        <v>59258</v>
      </c>
      <c r="C295" s="57">
        <v>294.08999999999997</v>
      </c>
    </row>
    <row r="296" spans="1:3" x14ac:dyDescent="0.25">
      <c r="A296" s="196">
        <v>41565</v>
      </c>
      <c r="B296" s="4">
        <v>59259</v>
      </c>
      <c r="C296" s="57">
        <v>150.68</v>
      </c>
    </row>
    <row r="297" spans="1:3" x14ac:dyDescent="0.25">
      <c r="A297" s="196">
        <v>41565</v>
      </c>
      <c r="B297" s="4">
        <v>59260</v>
      </c>
      <c r="C297" s="57">
        <v>335.48</v>
      </c>
    </row>
    <row r="298" spans="1:3" x14ac:dyDescent="0.25">
      <c r="A298" s="196">
        <v>41565</v>
      </c>
      <c r="B298" s="4">
        <v>59261</v>
      </c>
      <c r="C298" s="57">
        <v>80.23</v>
      </c>
    </row>
    <row r="299" spans="1:3" x14ac:dyDescent="0.25">
      <c r="A299" s="196">
        <v>41565</v>
      </c>
      <c r="B299" s="4">
        <v>59262</v>
      </c>
      <c r="C299" s="57">
        <v>209.89</v>
      </c>
    </row>
    <row r="300" spans="1:3" x14ac:dyDescent="0.25">
      <c r="A300" s="196">
        <v>41565</v>
      </c>
      <c r="B300" s="4">
        <v>59263</v>
      </c>
      <c r="C300" s="57">
        <v>58.4</v>
      </c>
    </row>
    <row r="301" spans="1:3" x14ac:dyDescent="0.25">
      <c r="A301" s="196">
        <v>41565</v>
      </c>
      <c r="B301" s="4">
        <v>59264</v>
      </c>
      <c r="C301" s="57">
        <v>363.92</v>
      </c>
    </row>
    <row r="302" spans="1:3" x14ac:dyDescent="0.25">
      <c r="A302" s="196">
        <v>41565</v>
      </c>
      <c r="B302" s="4">
        <v>59265</v>
      </c>
      <c r="C302" s="57">
        <v>109.95</v>
      </c>
    </row>
    <row r="303" spans="1:3" x14ac:dyDescent="0.25">
      <c r="A303" s="196">
        <v>41566</v>
      </c>
      <c r="B303" s="4">
        <v>59266</v>
      </c>
      <c r="C303" s="57">
        <v>144.82</v>
      </c>
    </row>
    <row r="304" spans="1:3" x14ac:dyDescent="0.25">
      <c r="A304" s="196">
        <v>41566</v>
      </c>
      <c r="B304" s="4">
        <v>59267</v>
      </c>
      <c r="C304" s="57">
        <v>194.87</v>
      </c>
    </row>
    <row r="305" spans="1:3" x14ac:dyDescent="0.25">
      <c r="A305" s="196">
        <v>41566</v>
      </c>
      <c r="B305" s="4">
        <v>59268</v>
      </c>
      <c r="C305" s="57">
        <v>389.76</v>
      </c>
    </row>
    <row r="306" spans="1:3" x14ac:dyDescent="0.25">
      <c r="A306" s="196">
        <v>41566</v>
      </c>
      <c r="B306" s="4">
        <v>59269</v>
      </c>
      <c r="C306" s="57">
        <v>79.66</v>
      </c>
    </row>
    <row r="307" spans="1:3" x14ac:dyDescent="0.25">
      <c r="A307" s="196">
        <v>41566</v>
      </c>
      <c r="B307" s="4">
        <v>59270</v>
      </c>
      <c r="C307" s="57">
        <v>303.92</v>
      </c>
    </row>
    <row r="308" spans="1:3" x14ac:dyDescent="0.25">
      <c r="A308" s="196">
        <v>41566</v>
      </c>
      <c r="B308" s="4">
        <v>59271</v>
      </c>
      <c r="C308" s="57">
        <v>97.62</v>
      </c>
    </row>
    <row r="309" spans="1:3" x14ac:dyDescent="0.25">
      <c r="A309" s="196">
        <v>41566</v>
      </c>
      <c r="B309" s="4">
        <v>59272</v>
      </c>
      <c r="C309" s="57">
        <v>300.57</v>
      </c>
    </row>
    <row r="310" spans="1:3" x14ac:dyDescent="0.25">
      <c r="A310" s="196">
        <v>41566</v>
      </c>
      <c r="B310" s="4">
        <v>59273</v>
      </c>
      <c r="C310" s="57">
        <v>86.22</v>
      </c>
    </row>
    <row r="311" spans="1:3" x14ac:dyDescent="0.25">
      <c r="A311" s="196">
        <v>41566</v>
      </c>
      <c r="B311" s="4">
        <v>59274</v>
      </c>
      <c r="C311" s="57">
        <v>286.69</v>
      </c>
    </row>
    <row r="312" spans="1:3" x14ac:dyDescent="0.25">
      <c r="A312" s="196">
        <v>41566</v>
      </c>
      <c r="B312" s="4">
        <v>59275</v>
      </c>
      <c r="C312" s="57">
        <v>351.91</v>
      </c>
    </row>
    <row r="313" spans="1:3" x14ac:dyDescent="0.25">
      <c r="A313" s="196">
        <v>41566</v>
      </c>
      <c r="B313" s="4">
        <v>59276</v>
      </c>
      <c r="C313" s="57">
        <v>219.56</v>
      </c>
    </row>
    <row r="314" spans="1:3" x14ac:dyDescent="0.25">
      <c r="A314" s="196">
        <v>41566</v>
      </c>
      <c r="B314" s="4">
        <v>59277</v>
      </c>
      <c r="C314" s="57">
        <v>309.63</v>
      </c>
    </row>
    <row r="315" spans="1:3" x14ac:dyDescent="0.25">
      <c r="A315" s="196">
        <v>41566</v>
      </c>
      <c r="B315" s="4">
        <v>59278</v>
      </c>
      <c r="C315" s="57">
        <v>369.27</v>
      </c>
    </row>
    <row r="316" spans="1:3" x14ac:dyDescent="0.25">
      <c r="A316" s="196">
        <v>41566</v>
      </c>
      <c r="B316" s="4">
        <v>59279</v>
      </c>
      <c r="C316" s="57">
        <v>319.87</v>
      </c>
    </row>
    <row r="317" spans="1:3" x14ac:dyDescent="0.25">
      <c r="A317" s="196">
        <v>41566</v>
      </c>
      <c r="B317" s="4">
        <v>59280</v>
      </c>
      <c r="C317" s="57">
        <v>65.010000000000005</v>
      </c>
    </row>
    <row r="318" spans="1:3" x14ac:dyDescent="0.25">
      <c r="A318" s="196">
        <v>41566</v>
      </c>
      <c r="B318" s="4">
        <v>59281</v>
      </c>
      <c r="C318" s="57">
        <v>188.54</v>
      </c>
    </row>
    <row r="319" spans="1:3" x14ac:dyDescent="0.25">
      <c r="A319" s="196">
        <v>41566</v>
      </c>
      <c r="B319" s="4">
        <v>59282</v>
      </c>
      <c r="C319" s="57">
        <v>205.69</v>
      </c>
    </row>
    <row r="320" spans="1:3" x14ac:dyDescent="0.25">
      <c r="A320" s="196">
        <v>41566</v>
      </c>
      <c r="B320" s="4">
        <v>59283</v>
      </c>
      <c r="C320" s="57">
        <v>301.66000000000003</v>
      </c>
    </row>
    <row r="321" spans="1:3" x14ac:dyDescent="0.25">
      <c r="A321" s="196">
        <v>41566</v>
      </c>
      <c r="B321" s="4">
        <v>59284</v>
      </c>
      <c r="C321" s="57">
        <v>355.56</v>
      </c>
    </row>
    <row r="322" spans="1:3" x14ac:dyDescent="0.25">
      <c r="A322" s="196">
        <v>41566</v>
      </c>
      <c r="B322" s="4">
        <v>59285</v>
      </c>
      <c r="C322" s="57">
        <v>289.93</v>
      </c>
    </row>
    <row r="323" spans="1:3" x14ac:dyDescent="0.25">
      <c r="A323" s="196">
        <v>41567</v>
      </c>
      <c r="B323" s="4">
        <v>59286</v>
      </c>
      <c r="C323" s="57">
        <v>344.92</v>
      </c>
    </row>
    <row r="324" spans="1:3" x14ac:dyDescent="0.25">
      <c r="A324" s="196">
        <v>41567</v>
      </c>
      <c r="B324" s="4">
        <v>59287</v>
      </c>
      <c r="C324" s="57">
        <v>180.67</v>
      </c>
    </row>
    <row r="325" spans="1:3" x14ac:dyDescent="0.25">
      <c r="A325" s="196">
        <v>41567</v>
      </c>
      <c r="B325" s="4">
        <v>59288</v>
      </c>
      <c r="C325" s="57">
        <v>189.6</v>
      </c>
    </row>
    <row r="326" spans="1:3" x14ac:dyDescent="0.25">
      <c r="A326" s="196">
        <v>41567</v>
      </c>
      <c r="B326" s="4">
        <v>59289</v>
      </c>
      <c r="C326" s="57">
        <v>172.01</v>
      </c>
    </row>
    <row r="327" spans="1:3" x14ac:dyDescent="0.25">
      <c r="A327" s="196">
        <v>41567</v>
      </c>
      <c r="B327" s="4">
        <v>59290</v>
      </c>
      <c r="C327" s="57">
        <v>115.57</v>
      </c>
    </row>
    <row r="328" spans="1:3" x14ac:dyDescent="0.25">
      <c r="A328" s="196">
        <v>41567</v>
      </c>
      <c r="B328" s="4">
        <v>59291</v>
      </c>
      <c r="C328" s="57">
        <v>369.38</v>
      </c>
    </row>
    <row r="329" spans="1:3" x14ac:dyDescent="0.25">
      <c r="A329" s="196">
        <v>41567</v>
      </c>
      <c r="B329" s="4">
        <v>59292</v>
      </c>
      <c r="C329" s="57">
        <v>311.51</v>
      </c>
    </row>
    <row r="330" spans="1:3" x14ac:dyDescent="0.25">
      <c r="A330" s="196">
        <v>41567</v>
      </c>
      <c r="B330" s="4">
        <v>59293</v>
      </c>
      <c r="C330" s="57">
        <v>130.91</v>
      </c>
    </row>
    <row r="331" spans="1:3" x14ac:dyDescent="0.25">
      <c r="A331" s="196">
        <v>41567</v>
      </c>
      <c r="B331" s="4">
        <v>59294</v>
      </c>
      <c r="C331" s="57">
        <v>334.71</v>
      </c>
    </row>
    <row r="332" spans="1:3" x14ac:dyDescent="0.25">
      <c r="A332" s="196">
        <v>41567</v>
      </c>
      <c r="B332" s="4">
        <v>59295</v>
      </c>
      <c r="C332" s="57">
        <v>110.29</v>
      </c>
    </row>
    <row r="333" spans="1:3" x14ac:dyDescent="0.25">
      <c r="A333" s="196">
        <v>41567</v>
      </c>
      <c r="B333" s="4">
        <v>59296</v>
      </c>
      <c r="C333" s="57">
        <v>160.38999999999999</v>
      </c>
    </row>
    <row r="334" spans="1:3" x14ac:dyDescent="0.25">
      <c r="A334" s="196">
        <v>41567</v>
      </c>
      <c r="B334" s="4">
        <v>59297</v>
      </c>
      <c r="C334" s="57">
        <v>77.59</v>
      </c>
    </row>
    <row r="335" spans="1:3" x14ac:dyDescent="0.25">
      <c r="A335" s="196">
        <v>41567</v>
      </c>
      <c r="B335" s="4">
        <v>59298</v>
      </c>
      <c r="C335" s="57">
        <v>234.43</v>
      </c>
    </row>
    <row r="336" spans="1:3" x14ac:dyDescent="0.25">
      <c r="A336" s="196">
        <v>41568</v>
      </c>
      <c r="B336" s="4">
        <v>59299</v>
      </c>
      <c r="C336" s="57">
        <v>296.64999999999998</v>
      </c>
    </row>
    <row r="337" spans="1:3" x14ac:dyDescent="0.25">
      <c r="A337" s="196">
        <v>41568</v>
      </c>
      <c r="B337" s="4">
        <v>59300</v>
      </c>
      <c r="C337" s="57">
        <v>122.66</v>
      </c>
    </row>
    <row r="338" spans="1:3" x14ac:dyDescent="0.25">
      <c r="A338" s="196">
        <v>41568</v>
      </c>
      <c r="B338" s="4">
        <v>59301</v>
      </c>
      <c r="C338" s="57">
        <v>139.07</v>
      </c>
    </row>
    <row r="339" spans="1:3" x14ac:dyDescent="0.25">
      <c r="A339" s="196">
        <v>41568</v>
      </c>
      <c r="B339" s="4">
        <v>59302</v>
      </c>
      <c r="C339" s="57">
        <v>266.02999999999997</v>
      </c>
    </row>
    <row r="340" spans="1:3" x14ac:dyDescent="0.25">
      <c r="A340" s="196">
        <v>41568</v>
      </c>
      <c r="B340" s="4">
        <v>59303</v>
      </c>
      <c r="C340" s="57">
        <v>217.73</v>
      </c>
    </row>
    <row r="341" spans="1:3" x14ac:dyDescent="0.25">
      <c r="A341" s="196">
        <v>41568</v>
      </c>
      <c r="B341" s="4">
        <v>59304</v>
      </c>
      <c r="C341" s="57">
        <v>85.16</v>
      </c>
    </row>
    <row r="342" spans="1:3" x14ac:dyDescent="0.25">
      <c r="A342" s="196">
        <v>41568</v>
      </c>
      <c r="B342" s="4">
        <v>59305</v>
      </c>
      <c r="C342" s="57">
        <v>173.62</v>
      </c>
    </row>
    <row r="343" spans="1:3" x14ac:dyDescent="0.25">
      <c r="A343" s="196">
        <v>41568</v>
      </c>
      <c r="B343" s="4">
        <v>59306</v>
      </c>
      <c r="C343" s="57">
        <v>60.2</v>
      </c>
    </row>
    <row r="344" spans="1:3" x14ac:dyDescent="0.25">
      <c r="A344" s="196">
        <v>41568</v>
      </c>
      <c r="B344" s="4">
        <v>59307</v>
      </c>
      <c r="C344" s="57">
        <v>358.84</v>
      </c>
    </row>
    <row r="345" spans="1:3" x14ac:dyDescent="0.25">
      <c r="A345" s="196">
        <v>41568</v>
      </c>
      <c r="B345" s="4">
        <v>59308</v>
      </c>
      <c r="C345" s="57">
        <v>362.58</v>
      </c>
    </row>
    <row r="346" spans="1:3" x14ac:dyDescent="0.25">
      <c r="A346" s="196">
        <v>41568</v>
      </c>
      <c r="B346" s="4">
        <v>59309</v>
      </c>
      <c r="C346" s="57">
        <v>104.01</v>
      </c>
    </row>
    <row r="347" spans="1:3" x14ac:dyDescent="0.25">
      <c r="A347" s="196">
        <v>41568</v>
      </c>
      <c r="B347" s="4">
        <v>59310</v>
      </c>
      <c r="C347" s="57">
        <v>342.57</v>
      </c>
    </row>
    <row r="348" spans="1:3" x14ac:dyDescent="0.25">
      <c r="A348" s="196">
        <v>41568</v>
      </c>
      <c r="B348" s="4">
        <v>59311</v>
      </c>
      <c r="C348" s="57">
        <v>155.13</v>
      </c>
    </row>
    <row r="349" spans="1:3" x14ac:dyDescent="0.25">
      <c r="A349" s="196">
        <v>41569</v>
      </c>
      <c r="B349" s="4">
        <v>59312</v>
      </c>
      <c r="C349" s="57">
        <v>218.18</v>
      </c>
    </row>
    <row r="350" spans="1:3" x14ac:dyDescent="0.25">
      <c r="A350" s="196">
        <v>41569</v>
      </c>
      <c r="B350" s="4">
        <v>59313</v>
      </c>
      <c r="C350" s="57">
        <v>248.48</v>
      </c>
    </row>
    <row r="351" spans="1:3" x14ac:dyDescent="0.25">
      <c r="A351" s="196">
        <v>41569</v>
      </c>
      <c r="B351" s="4">
        <v>59314</v>
      </c>
      <c r="C351" s="57">
        <v>207.69</v>
      </c>
    </row>
    <row r="352" spans="1:3" x14ac:dyDescent="0.25">
      <c r="A352" s="196">
        <v>41569</v>
      </c>
      <c r="B352" s="4">
        <v>59315</v>
      </c>
      <c r="C352" s="57">
        <v>147.53</v>
      </c>
    </row>
    <row r="353" spans="1:3" x14ac:dyDescent="0.25">
      <c r="A353" s="196">
        <v>41569</v>
      </c>
      <c r="B353" s="4">
        <v>59316</v>
      </c>
      <c r="C353" s="57">
        <v>356.08</v>
      </c>
    </row>
    <row r="354" spans="1:3" x14ac:dyDescent="0.25">
      <c r="A354" s="196">
        <v>41569</v>
      </c>
      <c r="B354" s="4">
        <v>59317</v>
      </c>
      <c r="C354" s="57">
        <v>276.2</v>
      </c>
    </row>
    <row r="355" spans="1:3" x14ac:dyDescent="0.25">
      <c r="A355" s="196">
        <v>41569</v>
      </c>
      <c r="B355" s="4">
        <v>59318</v>
      </c>
      <c r="C355" s="57">
        <v>350</v>
      </c>
    </row>
    <row r="356" spans="1:3" x14ac:dyDescent="0.25">
      <c r="A356" s="196">
        <v>41569</v>
      </c>
      <c r="B356" s="4">
        <v>59319</v>
      </c>
      <c r="C356" s="57">
        <v>232.3</v>
      </c>
    </row>
    <row r="357" spans="1:3" x14ac:dyDescent="0.25">
      <c r="A357" s="196">
        <v>41569</v>
      </c>
      <c r="B357" s="4">
        <v>59320</v>
      </c>
      <c r="C357" s="57">
        <v>364.81</v>
      </c>
    </row>
    <row r="358" spans="1:3" x14ac:dyDescent="0.25">
      <c r="A358" s="196">
        <v>41569</v>
      </c>
      <c r="B358" s="4">
        <v>59321</v>
      </c>
      <c r="C358" s="57">
        <v>307.27</v>
      </c>
    </row>
    <row r="359" spans="1:3" x14ac:dyDescent="0.25">
      <c r="A359" s="196">
        <v>41569</v>
      </c>
      <c r="B359" s="4">
        <v>59322</v>
      </c>
      <c r="C359" s="57">
        <v>377.42</v>
      </c>
    </row>
    <row r="360" spans="1:3" x14ac:dyDescent="0.25">
      <c r="A360" s="196">
        <v>41569</v>
      </c>
      <c r="B360" s="4">
        <v>59323</v>
      </c>
      <c r="C360" s="57">
        <v>218.34</v>
      </c>
    </row>
    <row r="361" spans="1:3" x14ac:dyDescent="0.25">
      <c r="A361" s="196">
        <v>41569</v>
      </c>
      <c r="B361" s="4">
        <v>59324</v>
      </c>
      <c r="C361" s="57">
        <v>296.11</v>
      </c>
    </row>
    <row r="362" spans="1:3" x14ac:dyDescent="0.25">
      <c r="A362" s="196">
        <v>41570</v>
      </c>
      <c r="B362" s="4">
        <v>59325</v>
      </c>
      <c r="C362" s="57">
        <v>289.73</v>
      </c>
    </row>
    <row r="363" spans="1:3" x14ac:dyDescent="0.25">
      <c r="A363" s="196">
        <v>41570</v>
      </c>
      <c r="B363" s="4">
        <v>59326</v>
      </c>
      <c r="C363" s="57">
        <v>45.43</v>
      </c>
    </row>
    <row r="364" spans="1:3" x14ac:dyDescent="0.25">
      <c r="A364" s="196">
        <v>41570</v>
      </c>
      <c r="B364" s="4">
        <v>59327</v>
      </c>
      <c r="C364" s="57">
        <v>288.60000000000002</v>
      </c>
    </row>
    <row r="365" spans="1:3" x14ac:dyDescent="0.25">
      <c r="A365" s="196">
        <v>41570</v>
      </c>
      <c r="B365" s="4">
        <v>59328</v>
      </c>
      <c r="C365" s="57">
        <v>273.41000000000003</v>
      </c>
    </row>
    <row r="366" spans="1:3" x14ac:dyDescent="0.25">
      <c r="A366" s="196">
        <v>41570</v>
      </c>
      <c r="B366" s="4">
        <v>59329</v>
      </c>
      <c r="C366" s="57">
        <v>282.18</v>
      </c>
    </row>
    <row r="367" spans="1:3" x14ac:dyDescent="0.25">
      <c r="A367" s="196">
        <v>41570</v>
      </c>
      <c r="B367" s="4">
        <v>59330</v>
      </c>
      <c r="C367" s="57">
        <v>278.48</v>
      </c>
    </row>
    <row r="368" spans="1:3" x14ac:dyDescent="0.25">
      <c r="A368" s="196">
        <v>41570</v>
      </c>
      <c r="B368" s="4">
        <v>59331</v>
      </c>
      <c r="C368" s="57">
        <v>381.07</v>
      </c>
    </row>
    <row r="369" spans="1:3" x14ac:dyDescent="0.25">
      <c r="A369" s="196">
        <v>41570</v>
      </c>
      <c r="B369" s="4">
        <v>59332</v>
      </c>
      <c r="C369" s="57">
        <v>332.98</v>
      </c>
    </row>
    <row r="370" spans="1:3" x14ac:dyDescent="0.25">
      <c r="A370" s="196">
        <v>41570</v>
      </c>
      <c r="B370" s="4">
        <v>59333</v>
      </c>
      <c r="C370" s="57">
        <v>142.49</v>
      </c>
    </row>
    <row r="371" spans="1:3" x14ac:dyDescent="0.25">
      <c r="A371" s="196">
        <v>41570</v>
      </c>
      <c r="B371" s="4">
        <v>59334</v>
      </c>
      <c r="C371" s="57">
        <v>85.06</v>
      </c>
    </row>
    <row r="372" spans="1:3" x14ac:dyDescent="0.25">
      <c r="A372" s="196">
        <v>41570</v>
      </c>
      <c r="B372" s="4">
        <v>59335</v>
      </c>
      <c r="C372" s="57">
        <v>203.88</v>
      </c>
    </row>
    <row r="373" spans="1:3" x14ac:dyDescent="0.25">
      <c r="A373" s="196">
        <v>41570</v>
      </c>
      <c r="B373" s="4">
        <v>59336</v>
      </c>
      <c r="C373" s="57">
        <v>371.79</v>
      </c>
    </row>
    <row r="374" spans="1:3" x14ac:dyDescent="0.25">
      <c r="A374" s="196">
        <v>41570</v>
      </c>
      <c r="B374" s="4">
        <v>59337</v>
      </c>
      <c r="C374" s="57">
        <v>266.83999999999997</v>
      </c>
    </row>
    <row r="375" spans="1:3" x14ac:dyDescent="0.25">
      <c r="A375" s="196">
        <v>41570</v>
      </c>
      <c r="B375" s="4">
        <v>59338</v>
      </c>
      <c r="C375" s="57">
        <v>85.41</v>
      </c>
    </row>
    <row r="376" spans="1:3" x14ac:dyDescent="0.25">
      <c r="A376" s="196">
        <v>41571</v>
      </c>
      <c r="B376" s="4">
        <v>59339</v>
      </c>
      <c r="C376" s="57">
        <v>37.520000000000003</v>
      </c>
    </row>
    <row r="377" spans="1:3" x14ac:dyDescent="0.25">
      <c r="A377" s="196">
        <v>41571</v>
      </c>
      <c r="B377" s="4">
        <v>59340</v>
      </c>
      <c r="C377" s="57">
        <v>278.62</v>
      </c>
    </row>
    <row r="378" spans="1:3" x14ac:dyDescent="0.25">
      <c r="A378" s="196">
        <v>41571</v>
      </c>
      <c r="B378" s="4">
        <v>59341</v>
      </c>
      <c r="C378" s="57">
        <v>314.97000000000003</v>
      </c>
    </row>
    <row r="379" spans="1:3" x14ac:dyDescent="0.25">
      <c r="A379" s="196">
        <v>41571</v>
      </c>
      <c r="B379" s="4">
        <v>59342</v>
      </c>
      <c r="C379" s="57">
        <v>74.430000000000007</v>
      </c>
    </row>
    <row r="380" spans="1:3" x14ac:dyDescent="0.25">
      <c r="A380" s="196">
        <v>41571</v>
      </c>
      <c r="B380" s="4">
        <v>59343</v>
      </c>
      <c r="C380" s="57">
        <v>190.74</v>
      </c>
    </row>
    <row r="381" spans="1:3" x14ac:dyDescent="0.25">
      <c r="A381" s="196">
        <v>41571</v>
      </c>
      <c r="B381" s="4">
        <v>59344</v>
      </c>
      <c r="C381" s="57">
        <v>263.36</v>
      </c>
    </row>
    <row r="382" spans="1:3" x14ac:dyDescent="0.25">
      <c r="A382" s="196">
        <v>41571</v>
      </c>
      <c r="B382" s="4">
        <v>59345</v>
      </c>
      <c r="C382" s="57">
        <v>66.19</v>
      </c>
    </row>
    <row r="383" spans="1:3" x14ac:dyDescent="0.25">
      <c r="A383" s="196">
        <v>41571</v>
      </c>
      <c r="B383" s="4">
        <v>59346</v>
      </c>
      <c r="C383" s="57">
        <v>233.47</v>
      </c>
    </row>
    <row r="384" spans="1:3" x14ac:dyDescent="0.25">
      <c r="A384" s="196">
        <v>41571</v>
      </c>
      <c r="B384" s="4">
        <v>59347</v>
      </c>
      <c r="C384" s="57">
        <v>298.95999999999998</v>
      </c>
    </row>
    <row r="385" spans="1:3" x14ac:dyDescent="0.25">
      <c r="A385" s="196">
        <v>41571</v>
      </c>
      <c r="B385" s="4">
        <v>59348</v>
      </c>
      <c r="C385" s="57">
        <v>250.18</v>
      </c>
    </row>
    <row r="386" spans="1:3" x14ac:dyDescent="0.25">
      <c r="A386" s="196">
        <v>41571</v>
      </c>
      <c r="B386" s="4">
        <v>59349</v>
      </c>
      <c r="C386" s="57">
        <v>241.52</v>
      </c>
    </row>
    <row r="387" spans="1:3" x14ac:dyDescent="0.25">
      <c r="A387" s="196">
        <v>41571</v>
      </c>
      <c r="B387" s="4">
        <v>59350</v>
      </c>
      <c r="C387" s="57">
        <v>359.59</v>
      </c>
    </row>
    <row r="388" spans="1:3" x14ac:dyDescent="0.25">
      <c r="A388" s="196">
        <v>41571</v>
      </c>
      <c r="B388" s="4">
        <v>59351</v>
      </c>
      <c r="C388" s="57">
        <v>211.22</v>
      </c>
    </row>
    <row r="389" spans="1:3" x14ac:dyDescent="0.25">
      <c r="A389" s="196">
        <v>41571</v>
      </c>
      <c r="B389" s="4">
        <v>59352</v>
      </c>
      <c r="C389" s="57">
        <v>148.49</v>
      </c>
    </row>
    <row r="390" spans="1:3" x14ac:dyDescent="0.25">
      <c r="A390" s="196">
        <v>41571</v>
      </c>
      <c r="B390" s="4">
        <v>59353</v>
      </c>
      <c r="C390" s="57">
        <v>260.04000000000002</v>
      </c>
    </row>
    <row r="391" spans="1:3" x14ac:dyDescent="0.25">
      <c r="A391" s="196">
        <v>41571</v>
      </c>
      <c r="B391" s="4">
        <v>59354</v>
      </c>
      <c r="C391" s="57">
        <v>330.04</v>
      </c>
    </row>
    <row r="392" spans="1:3" x14ac:dyDescent="0.25">
      <c r="A392" s="196">
        <v>41571</v>
      </c>
      <c r="B392" s="4">
        <v>59355</v>
      </c>
      <c r="C392" s="57">
        <v>68.209999999999994</v>
      </c>
    </row>
    <row r="393" spans="1:3" x14ac:dyDescent="0.25">
      <c r="A393" s="196">
        <v>41571</v>
      </c>
      <c r="B393" s="4">
        <v>59356</v>
      </c>
      <c r="C393" s="57">
        <v>263.42</v>
      </c>
    </row>
    <row r="394" spans="1:3" x14ac:dyDescent="0.25">
      <c r="A394" s="196">
        <v>41571</v>
      </c>
      <c r="B394" s="4">
        <v>59357</v>
      </c>
      <c r="C394" s="57">
        <v>377.89</v>
      </c>
    </row>
    <row r="395" spans="1:3" x14ac:dyDescent="0.25">
      <c r="A395" s="196">
        <v>41571</v>
      </c>
      <c r="B395" s="4">
        <v>59358</v>
      </c>
      <c r="C395" s="57">
        <v>288.32</v>
      </c>
    </row>
    <row r="396" spans="1:3" x14ac:dyDescent="0.25">
      <c r="A396" s="196">
        <v>41571</v>
      </c>
      <c r="B396" s="4">
        <v>59359</v>
      </c>
      <c r="C396" s="57">
        <v>291.08</v>
      </c>
    </row>
    <row r="397" spans="1:3" x14ac:dyDescent="0.25">
      <c r="A397" s="196">
        <v>41572</v>
      </c>
      <c r="B397" s="4">
        <v>59360</v>
      </c>
      <c r="C397" s="57">
        <v>177.81</v>
      </c>
    </row>
    <row r="398" spans="1:3" x14ac:dyDescent="0.25">
      <c r="A398" s="196">
        <v>41572</v>
      </c>
      <c r="B398" s="4">
        <v>59361</v>
      </c>
      <c r="C398" s="57">
        <v>77</v>
      </c>
    </row>
    <row r="399" spans="1:3" x14ac:dyDescent="0.25">
      <c r="A399" s="196">
        <v>41572</v>
      </c>
      <c r="B399" s="4">
        <v>59362</v>
      </c>
      <c r="C399" s="57">
        <v>111.64</v>
      </c>
    </row>
    <row r="400" spans="1:3" x14ac:dyDescent="0.25">
      <c r="A400" s="196">
        <v>41572</v>
      </c>
      <c r="B400" s="4">
        <v>59363</v>
      </c>
      <c r="C400" s="57">
        <v>278.05</v>
      </c>
    </row>
    <row r="401" spans="1:3" x14ac:dyDescent="0.25">
      <c r="A401" s="196">
        <v>41572</v>
      </c>
      <c r="B401" s="4">
        <v>59364</v>
      </c>
      <c r="C401" s="57">
        <v>276.39999999999998</v>
      </c>
    </row>
    <row r="402" spans="1:3" x14ac:dyDescent="0.25">
      <c r="A402" s="196">
        <v>41572</v>
      </c>
      <c r="B402" s="4">
        <v>59365</v>
      </c>
      <c r="C402" s="57">
        <v>307.06</v>
      </c>
    </row>
    <row r="403" spans="1:3" x14ac:dyDescent="0.25">
      <c r="A403" s="196">
        <v>41572</v>
      </c>
      <c r="B403" s="4">
        <v>59366</v>
      </c>
      <c r="C403" s="57">
        <v>73.959999999999994</v>
      </c>
    </row>
    <row r="404" spans="1:3" x14ac:dyDescent="0.25">
      <c r="A404" s="196">
        <v>41572</v>
      </c>
      <c r="B404" s="4">
        <v>59367</v>
      </c>
      <c r="C404" s="57">
        <v>316.89</v>
      </c>
    </row>
    <row r="405" spans="1:3" x14ac:dyDescent="0.25">
      <c r="A405" s="196">
        <v>41572</v>
      </c>
      <c r="B405" s="4">
        <v>59368</v>
      </c>
      <c r="C405" s="57">
        <v>224.97</v>
      </c>
    </row>
    <row r="406" spans="1:3" x14ac:dyDescent="0.25">
      <c r="A406" s="196">
        <v>41572</v>
      </c>
      <c r="B406" s="4">
        <v>59369</v>
      </c>
      <c r="C406" s="57">
        <v>189.31</v>
      </c>
    </row>
    <row r="407" spans="1:3" x14ac:dyDescent="0.25">
      <c r="A407" s="196">
        <v>41572</v>
      </c>
      <c r="B407" s="4">
        <v>59370</v>
      </c>
      <c r="C407" s="57">
        <v>113.93</v>
      </c>
    </row>
    <row r="408" spans="1:3" x14ac:dyDescent="0.25">
      <c r="A408" s="196">
        <v>41572</v>
      </c>
      <c r="B408" s="4">
        <v>59371</v>
      </c>
      <c r="C408" s="57">
        <v>213.9</v>
      </c>
    </row>
    <row r="409" spans="1:3" x14ac:dyDescent="0.25">
      <c r="A409" s="196">
        <v>41572</v>
      </c>
      <c r="B409" s="4">
        <v>59372</v>
      </c>
      <c r="C409" s="57">
        <v>257.81</v>
      </c>
    </row>
    <row r="410" spans="1:3" x14ac:dyDescent="0.25">
      <c r="A410" s="196">
        <v>41572</v>
      </c>
      <c r="B410" s="4">
        <v>59373</v>
      </c>
      <c r="C410" s="57">
        <v>370.91</v>
      </c>
    </row>
    <row r="411" spans="1:3" x14ac:dyDescent="0.25">
      <c r="A411" s="196">
        <v>41572</v>
      </c>
      <c r="B411" s="4">
        <v>59374</v>
      </c>
      <c r="C411" s="57">
        <v>277.77</v>
      </c>
    </row>
    <row r="412" spans="1:3" x14ac:dyDescent="0.25">
      <c r="A412" s="196">
        <v>41572</v>
      </c>
      <c r="B412" s="4">
        <v>59375</v>
      </c>
      <c r="C412" s="57">
        <v>219.95</v>
      </c>
    </row>
    <row r="413" spans="1:3" x14ac:dyDescent="0.25">
      <c r="A413" s="196">
        <v>41573</v>
      </c>
      <c r="B413" s="4">
        <v>59376</v>
      </c>
      <c r="C413" s="57">
        <v>318.58999999999997</v>
      </c>
    </row>
    <row r="414" spans="1:3" x14ac:dyDescent="0.25">
      <c r="A414" s="196">
        <v>41573</v>
      </c>
      <c r="B414" s="4">
        <v>59377</v>
      </c>
      <c r="C414" s="57">
        <v>211.71</v>
      </c>
    </row>
    <row r="415" spans="1:3" x14ac:dyDescent="0.25">
      <c r="A415" s="196">
        <v>41573</v>
      </c>
      <c r="B415" s="4">
        <v>59378</v>
      </c>
      <c r="C415" s="57">
        <v>309.19</v>
      </c>
    </row>
    <row r="416" spans="1:3" x14ac:dyDescent="0.25">
      <c r="A416" s="196">
        <v>41573</v>
      </c>
      <c r="B416" s="4">
        <v>59379</v>
      </c>
      <c r="C416" s="57">
        <v>140.55000000000001</v>
      </c>
    </row>
    <row r="417" spans="1:3" x14ac:dyDescent="0.25">
      <c r="A417" s="196">
        <v>41573</v>
      </c>
      <c r="B417" s="4">
        <v>59380</v>
      </c>
      <c r="C417" s="57">
        <v>130.9</v>
      </c>
    </row>
    <row r="418" spans="1:3" x14ac:dyDescent="0.25">
      <c r="A418" s="196">
        <v>41573</v>
      </c>
      <c r="B418" s="4">
        <v>59381</v>
      </c>
      <c r="C418" s="57">
        <v>110.71</v>
      </c>
    </row>
    <row r="419" spans="1:3" x14ac:dyDescent="0.25">
      <c r="A419" s="196">
        <v>41573</v>
      </c>
      <c r="B419" s="4">
        <v>59382</v>
      </c>
      <c r="C419" s="57">
        <v>299.55</v>
      </c>
    </row>
    <row r="420" spans="1:3" x14ac:dyDescent="0.25">
      <c r="A420" s="196">
        <v>41573</v>
      </c>
      <c r="B420" s="4">
        <v>59383</v>
      </c>
      <c r="C420" s="57">
        <v>187.88</v>
      </c>
    </row>
    <row r="421" spans="1:3" x14ac:dyDescent="0.25">
      <c r="A421" s="196">
        <v>41573</v>
      </c>
      <c r="B421" s="4">
        <v>59384</v>
      </c>
      <c r="C421" s="57">
        <v>225.97</v>
      </c>
    </row>
    <row r="422" spans="1:3" x14ac:dyDescent="0.25">
      <c r="A422" s="196">
        <v>41573</v>
      </c>
      <c r="B422" s="4">
        <v>59385</v>
      </c>
      <c r="C422" s="57">
        <v>196.22</v>
      </c>
    </row>
    <row r="423" spans="1:3" x14ac:dyDescent="0.25">
      <c r="A423" s="196">
        <v>41573</v>
      </c>
      <c r="B423" s="4">
        <v>59386</v>
      </c>
      <c r="C423" s="57">
        <v>61.71</v>
      </c>
    </row>
    <row r="424" spans="1:3" x14ac:dyDescent="0.25">
      <c r="A424" s="196">
        <v>41573</v>
      </c>
      <c r="B424" s="4">
        <v>59387</v>
      </c>
      <c r="C424" s="57">
        <v>85.95</v>
      </c>
    </row>
    <row r="425" spans="1:3" x14ac:dyDescent="0.25">
      <c r="A425" s="196">
        <v>41573</v>
      </c>
      <c r="B425" s="4">
        <v>59388</v>
      </c>
      <c r="C425" s="57">
        <v>332.24</v>
      </c>
    </row>
    <row r="426" spans="1:3" x14ac:dyDescent="0.25">
      <c r="A426" s="196">
        <v>41573</v>
      </c>
      <c r="B426" s="4">
        <v>59389</v>
      </c>
      <c r="C426" s="57">
        <v>192.54</v>
      </c>
    </row>
    <row r="427" spans="1:3" x14ac:dyDescent="0.25">
      <c r="A427" s="196">
        <v>41573</v>
      </c>
      <c r="B427" s="4">
        <v>59390</v>
      </c>
      <c r="C427" s="57">
        <v>333.95</v>
      </c>
    </row>
    <row r="428" spans="1:3" x14ac:dyDescent="0.25">
      <c r="A428" s="196">
        <v>41573</v>
      </c>
      <c r="B428" s="4">
        <v>59391</v>
      </c>
      <c r="C428" s="57">
        <v>259.44</v>
      </c>
    </row>
    <row r="429" spans="1:3" x14ac:dyDescent="0.25">
      <c r="A429" s="196">
        <v>41573</v>
      </c>
      <c r="B429" s="4">
        <v>59392</v>
      </c>
      <c r="C429" s="57">
        <v>91.71</v>
      </c>
    </row>
    <row r="430" spans="1:3" x14ac:dyDescent="0.25">
      <c r="A430" s="196">
        <v>41574</v>
      </c>
      <c r="B430" s="4">
        <v>59393</v>
      </c>
      <c r="C430" s="57">
        <v>110.18</v>
      </c>
    </row>
    <row r="431" spans="1:3" x14ac:dyDescent="0.25">
      <c r="A431" s="196">
        <v>41574</v>
      </c>
      <c r="B431" s="4">
        <v>59394</v>
      </c>
      <c r="C431" s="57">
        <v>196.23</v>
      </c>
    </row>
    <row r="432" spans="1:3" x14ac:dyDescent="0.25">
      <c r="A432" s="196">
        <v>41574</v>
      </c>
      <c r="B432" s="4">
        <v>59395</v>
      </c>
      <c r="C432" s="57">
        <v>43.36</v>
      </c>
    </row>
    <row r="433" spans="1:3" x14ac:dyDescent="0.25">
      <c r="A433" s="196">
        <v>41574</v>
      </c>
      <c r="B433" s="4">
        <v>59396</v>
      </c>
      <c r="C433" s="57">
        <v>281.57</v>
      </c>
    </row>
    <row r="434" spans="1:3" x14ac:dyDescent="0.25">
      <c r="A434" s="196">
        <v>41574</v>
      </c>
      <c r="B434" s="4">
        <v>59397</v>
      </c>
      <c r="C434" s="57">
        <v>353.41</v>
      </c>
    </row>
    <row r="435" spans="1:3" x14ac:dyDescent="0.25">
      <c r="A435" s="196">
        <v>41574</v>
      </c>
      <c r="B435" s="4">
        <v>59398</v>
      </c>
      <c r="C435" s="57">
        <v>45.37</v>
      </c>
    </row>
    <row r="436" spans="1:3" x14ac:dyDescent="0.25">
      <c r="A436" s="196">
        <v>41574</v>
      </c>
      <c r="B436" s="4">
        <v>59399</v>
      </c>
      <c r="C436" s="57">
        <v>186.27</v>
      </c>
    </row>
    <row r="437" spans="1:3" x14ac:dyDescent="0.25">
      <c r="A437" s="196">
        <v>41574</v>
      </c>
      <c r="B437" s="4">
        <v>59400</v>
      </c>
      <c r="C437" s="57">
        <v>183.08</v>
      </c>
    </row>
    <row r="438" spans="1:3" x14ac:dyDescent="0.25">
      <c r="A438" s="196">
        <v>41574</v>
      </c>
      <c r="B438" s="4">
        <v>59401</v>
      </c>
      <c r="C438" s="57">
        <v>236.97</v>
      </c>
    </row>
    <row r="439" spans="1:3" x14ac:dyDescent="0.25">
      <c r="A439" s="196">
        <v>41574</v>
      </c>
      <c r="B439" s="4">
        <v>59402</v>
      </c>
      <c r="C439" s="57">
        <v>252.81</v>
      </c>
    </row>
    <row r="440" spans="1:3" x14ac:dyDescent="0.25">
      <c r="A440" s="196">
        <v>41574</v>
      </c>
      <c r="B440" s="4">
        <v>59403</v>
      </c>
      <c r="C440" s="57">
        <v>78.09</v>
      </c>
    </row>
    <row r="441" spans="1:3" x14ac:dyDescent="0.25">
      <c r="A441" s="196">
        <v>41574</v>
      </c>
      <c r="B441" s="4">
        <v>59404</v>
      </c>
      <c r="C441" s="57">
        <v>122.24</v>
      </c>
    </row>
    <row r="442" spans="1:3" x14ac:dyDescent="0.25">
      <c r="A442" s="196">
        <v>41574</v>
      </c>
      <c r="B442" s="4">
        <v>59405</v>
      </c>
      <c r="C442" s="57">
        <v>346.97</v>
      </c>
    </row>
    <row r="443" spans="1:3" x14ac:dyDescent="0.25">
      <c r="A443" s="196">
        <v>41574</v>
      </c>
      <c r="B443" s="4">
        <v>59406</v>
      </c>
      <c r="C443" s="57">
        <v>217.76</v>
      </c>
    </row>
    <row r="444" spans="1:3" x14ac:dyDescent="0.25">
      <c r="A444" s="196">
        <v>41574</v>
      </c>
      <c r="B444" s="4">
        <v>59407</v>
      </c>
      <c r="C444" s="57">
        <v>150.05000000000001</v>
      </c>
    </row>
    <row r="445" spans="1:3" x14ac:dyDescent="0.25">
      <c r="A445" s="196">
        <v>41574</v>
      </c>
      <c r="B445" s="4">
        <v>59408</v>
      </c>
      <c r="C445" s="57">
        <v>350.83</v>
      </c>
    </row>
    <row r="446" spans="1:3" x14ac:dyDescent="0.25">
      <c r="A446" s="196">
        <v>41574</v>
      </c>
      <c r="B446" s="4">
        <v>59409</v>
      </c>
      <c r="C446" s="57">
        <v>81.650000000000006</v>
      </c>
    </row>
    <row r="447" spans="1:3" x14ac:dyDescent="0.25">
      <c r="A447" s="196">
        <v>41574</v>
      </c>
      <c r="B447" s="4">
        <v>59410</v>
      </c>
      <c r="C447" s="57">
        <v>56.29</v>
      </c>
    </row>
    <row r="448" spans="1:3" x14ac:dyDescent="0.25">
      <c r="A448" s="196">
        <v>41574</v>
      </c>
      <c r="B448" s="4">
        <v>59411</v>
      </c>
      <c r="C448" s="57">
        <v>105.36</v>
      </c>
    </row>
    <row r="449" spans="1:3" x14ac:dyDescent="0.25">
      <c r="A449" s="196">
        <v>41574</v>
      </c>
      <c r="B449" s="4">
        <v>59412</v>
      </c>
      <c r="C449" s="57">
        <v>142.54</v>
      </c>
    </row>
    <row r="450" spans="1:3" x14ac:dyDescent="0.25">
      <c r="A450" s="196">
        <v>41574</v>
      </c>
      <c r="B450" s="4">
        <v>59413</v>
      </c>
      <c r="C450" s="57">
        <v>207.18</v>
      </c>
    </row>
    <row r="451" spans="1:3" x14ac:dyDescent="0.25">
      <c r="A451" s="196">
        <v>41574</v>
      </c>
      <c r="B451" s="4">
        <v>59414</v>
      </c>
      <c r="C451" s="57">
        <v>368.45</v>
      </c>
    </row>
    <row r="452" spans="1:3" x14ac:dyDescent="0.25">
      <c r="A452" s="196">
        <v>41574</v>
      </c>
      <c r="B452" s="4">
        <v>59415</v>
      </c>
      <c r="C452" s="57">
        <v>329.03</v>
      </c>
    </row>
    <row r="453" spans="1:3" x14ac:dyDescent="0.25">
      <c r="A453" s="196">
        <v>41574</v>
      </c>
      <c r="B453" s="4">
        <v>59416</v>
      </c>
      <c r="C453" s="57">
        <v>128.97999999999999</v>
      </c>
    </row>
    <row r="454" spans="1:3" x14ac:dyDescent="0.25">
      <c r="A454" s="196">
        <v>41574</v>
      </c>
      <c r="B454" s="4">
        <v>59417</v>
      </c>
      <c r="C454" s="57">
        <v>42.15</v>
      </c>
    </row>
    <row r="455" spans="1:3" x14ac:dyDescent="0.25">
      <c r="A455" s="196">
        <v>41574</v>
      </c>
      <c r="B455" s="4">
        <v>59418</v>
      </c>
      <c r="C455" s="57">
        <v>271.10000000000002</v>
      </c>
    </row>
    <row r="456" spans="1:3" x14ac:dyDescent="0.25">
      <c r="A456" s="196">
        <v>41574</v>
      </c>
      <c r="B456" s="4">
        <v>59419</v>
      </c>
      <c r="C456" s="57">
        <v>176.72</v>
      </c>
    </row>
    <row r="457" spans="1:3" x14ac:dyDescent="0.25">
      <c r="A457" s="196">
        <v>41575</v>
      </c>
      <c r="B457" s="4">
        <v>59420</v>
      </c>
      <c r="C457" s="57">
        <v>177.77</v>
      </c>
    </row>
    <row r="458" spans="1:3" x14ac:dyDescent="0.25">
      <c r="A458" s="196">
        <v>41575</v>
      </c>
      <c r="B458" s="4">
        <v>59421</v>
      </c>
      <c r="C458" s="57">
        <v>381.81</v>
      </c>
    </row>
    <row r="459" spans="1:3" x14ac:dyDescent="0.25">
      <c r="A459" s="196">
        <v>41575</v>
      </c>
      <c r="B459" s="4">
        <v>59422</v>
      </c>
      <c r="C459" s="57">
        <v>42.82</v>
      </c>
    </row>
    <row r="460" spans="1:3" x14ac:dyDescent="0.25">
      <c r="A460" s="196">
        <v>41575</v>
      </c>
      <c r="B460" s="4">
        <v>59423</v>
      </c>
      <c r="C460" s="57">
        <v>130.19</v>
      </c>
    </row>
    <row r="461" spans="1:3" x14ac:dyDescent="0.25">
      <c r="A461" s="196">
        <v>41575</v>
      </c>
      <c r="B461" s="4">
        <v>59424</v>
      </c>
      <c r="C461" s="57">
        <v>123.64</v>
      </c>
    </row>
    <row r="462" spans="1:3" x14ac:dyDescent="0.25">
      <c r="A462" s="196">
        <v>41575</v>
      </c>
      <c r="B462" s="4">
        <v>59425</v>
      </c>
      <c r="C462" s="57">
        <v>327</v>
      </c>
    </row>
    <row r="463" spans="1:3" x14ac:dyDescent="0.25">
      <c r="A463" s="196">
        <v>41575</v>
      </c>
      <c r="B463" s="4">
        <v>59426</v>
      </c>
      <c r="C463" s="57">
        <v>388.07</v>
      </c>
    </row>
    <row r="464" spans="1:3" x14ac:dyDescent="0.25">
      <c r="A464" s="196">
        <v>41575</v>
      </c>
      <c r="B464" s="4">
        <v>59427</v>
      </c>
      <c r="C464" s="57">
        <v>64.92</v>
      </c>
    </row>
    <row r="465" spans="1:3" x14ac:dyDescent="0.25">
      <c r="A465" s="196">
        <v>41575</v>
      </c>
      <c r="B465" s="4">
        <v>59428</v>
      </c>
      <c r="C465" s="57">
        <v>289.25</v>
      </c>
    </row>
    <row r="466" spans="1:3" x14ac:dyDescent="0.25">
      <c r="A466" s="196">
        <v>41575</v>
      </c>
      <c r="B466" s="4">
        <v>59429</v>
      </c>
      <c r="C466" s="57">
        <v>384.69</v>
      </c>
    </row>
    <row r="467" spans="1:3" x14ac:dyDescent="0.25">
      <c r="A467" s="196">
        <v>41575</v>
      </c>
      <c r="B467" s="4">
        <v>59430</v>
      </c>
      <c r="C467" s="57">
        <v>228.27</v>
      </c>
    </row>
    <row r="468" spans="1:3" x14ac:dyDescent="0.25">
      <c r="A468" s="196">
        <v>41575</v>
      </c>
      <c r="B468" s="4">
        <v>59431</v>
      </c>
      <c r="C468" s="57">
        <v>101.11</v>
      </c>
    </row>
    <row r="469" spans="1:3" x14ac:dyDescent="0.25">
      <c r="A469" s="196">
        <v>41575</v>
      </c>
      <c r="B469" s="4">
        <v>59432</v>
      </c>
      <c r="C469" s="57">
        <v>366.63</v>
      </c>
    </row>
    <row r="470" spans="1:3" x14ac:dyDescent="0.25">
      <c r="A470" s="196">
        <v>41575</v>
      </c>
      <c r="B470" s="4">
        <v>59433</v>
      </c>
      <c r="C470" s="57">
        <v>48.07</v>
      </c>
    </row>
    <row r="471" spans="1:3" x14ac:dyDescent="0.25">
      <c r="A471" s="196">
        <v>41575</v>
      </c>
      <c r="B471" s="4">
        <v>59434</v>
      </c>
      <c r="C471" s="57">
        <v>82.5</v>
      </c>
    </row>
    <row r="472" spans="1:3" x14ac:dyDescent="0.25">
      <c r="A472" s="196">
        <v>41575</v>
      </c>
      <c r="B472" s="4">
        <v>59435</v>
      </c>
      <c r="C472" s="57">
        <v>108.81</v>
      </c>
    </row>
    <row r="473" spans="1:3" x14ac:dyDescent="0.25">
      <c r="A473" s="196">
        <v>41576</v>
      </c>
      <c r="B473" s="4">
        <v>59436</v>
      </c>
      <c r="C473" s="57">
        <v>240.5</v>
      </c>
    </row>
    <row r="474" spans="1:3" x14ac:dyDescent="0.25">
      <c r="A474" s="196">
        <v>41576</v>
      </c>
      <c r="B474" s="4">
        <v>59437</v>
      </c>
      <c r="C474" s="57">
        <v>376.38</v>
      </c>
    </row>
    <row r="475" spans="1:3" x14ac:dyDescent="0.25">
      <c r="A475" s="196">
        <v>41576</v>
      </c>
      <c r="B475" s="4">
        <v>59438</v>
      </c>
      <c r="C475" s="57">
        <v>186.61</v>
      </c>
    </row>
    <row r="476" spans="1:3" x14ac:dyDescent="0.25">
      <c r="A476" s="196">
        <v>41576</v>
      </c>
      <c r="B476" s="4">
        <v>59439</v>
      </c>
      <c r="C476" s="57">
        <v>317.88</v>
      </c>
    </row>
    <row r="477" spans="1:3" x14ac:dyDescent="0.25">
      <c r="A477" s="196">
        <v>41576</v>
      </c>
      <c r="B477" s="4">
        <v>59440</v>
      </c>
      <c r="C477" s="57">
        <v>137.52000000000001</v>
      </c>
    </row>
    <row r="478" spans="1:3" x14ac:dyDescent="0.25">
      <c r="A478" s="196">
        <v>41576</v>
      </c>
      <c r="B478" s="4">
        <v>59441</v>
      </c>
      <c r="C478" s="57">
        <v>198.13</v>
      </c>
    </row>
    <row r="479" spans="1:3" x14ac:dyDescent="0.25">
      <c r="A479" s="196">
        <v>41576</v>
      </c>
      <c r="B479" s="4">
        <v>59442</v>
      </c>
      <c r="C479" s="57">
        <v>50.82</v>
      </c>
    </row>
    <row r="480" spans="1:3" x14ac:dyDescent="0.25">
      <c r="A480" s="196">
        <v>41576</v>
      </c>
      <c r="B480" s="4">
        <v>59443</v>
      </c>
      <c r="C480" s="57">
        <v>312.32</v>
      </c>
    </row>
    <row r="481" spans="1:3" x14ac:dyDescent="0.25">
      <c r="A481" s="196">
        <v>41576</v>
      </c>
      <c r="B481" s="4">
        <v>59444</v>
      </c>
      <c r="C481" s="57">
        <v>66.89</v>
      </c>
    </row>
    <row r="482" spans="1:3" x14ac:dyDescent="0.25">
      <c r="A482" s="196">
        <v>41576</v>
      </c>
      <c r="B482" s="4">
        <v>59445</v>
      </c>
      <c r="C482" s="57">
        <v>38.200000000000003</v>
      </c>
    </row>
    <row r="483" spans="1:3" x14ac:dyDescent="0.25">
      <c r="A483" s="196">
        <v>41576</v>
      </c>
      <c r="B483" s="4">
        <v>59446</v>
      </c>
      <c r="C483" s="57">
        <v>365.01</v>
      </c>
    </row>
    <row r="484" spans="1:3" x14ac:dyDescent="0.25">
      <c r="A484" s="196">
        <v>41576</v>
      </c>
      <c r="B484" s="4">
        <v>59447</v>
      </c>
      <c r="C484" s="57">
        <v>351.64</v>
      </c>
    </row>
    <row r="485" spans="1:3" x14ac:dyDescent="0.25">
      <c r="A485" s="196">
        <v>41576</v>
      </c>
      <c r="B485" s="4">
        <v>59448</v>
      </c>
      <c r="C485" s="57">
        <v>370.4</v>
      </c>
    </row>
    <row r="486" spans="1:3" x14ac:dyDescent="0.25">
      <c r="A486" s="196">
        <v>41576</v>
      </c>
      <c r="B486" s="4">
        <v>59449</v>
      </c>
      <c r="C486" s="57">
        <v>270.39</v>
      </c>
    </row>
    <row r="487" spans="1:3" x14ac:dyDescent="0.25">
      <c r="A487" s="196">
        <v>41576</v>
      </c>
      <c r="B487" s="4">
        <v>59450</v>
      </c>
      <c r="C487" s="57">
        <v>75.55</v>
      </c>
    </row>
    <row r="488" spans="1:3" x14ac:dyDescent="0.25">
      <c r="A488" s="196">
        <v>41576</v>
      </c>
      <c r="B488" s="4">
        <v>59451</v>
      </c>
      <c r="C488" s="57">
        <v>211.01</v>
      </c>
    </row>
    <row r="489" spans="1:3" x14ac:dyDescent="0.25">
      <c r="A489" s="196">
        <v>41576</v>
      </c>
      <c r="B489" s="4">
        <v>59452</v>
      </c>
      <c r="C489" s="57">
        <v>214.08</v>
      </c>
    </row>
    <row r="490" spans="1:3" x14ac:dyDescent="0.25">
      <c r="A490" s="196">
        <v>41576</v>
      </c>
      <c r="B490" s="4">
        <v>59453</v>
      </c>
      <c r="C490" s="57">
        <v>168.15</v>
      </c>
    </row>
    <row r="491" spans="1:3" x14ac:dyDescent="0.25">
      <c r="A491" s="196">
        <v>41576</v>
      </c>
      <c r="B491" s="4">
        <v>59454</v>
      </c>
      <c r="C491" s="57">
        <v>212.1</v>
      </c>
    </row>
    <row r="492" spans="1:3" x14ac:dyDescent="0.25">
      <c r="A492" s="196">
        <v>41576</v>
      </c>
      <c r="B492" s="4">
        <v>59455</v>
      </c>
      <c r="C492" s="57">
        <v>243.27</v>
      </c>
    </row>
    <row r="493" spans="1:3" x14ac:dyDescent="0.25">
      <c r="A493" s="196">
        <v>41577</v>
      </c>
      <c r="B493" s="4">
        <v>59456</v>
      </c>
      <c r="C493" s="57">
        <v>118.22</v>
      </c>
    </row>
    <row r="494" spans="1:3" x14ac:dyDescent="0.25">
      <c r="A494" s="196">
        <v>41577</v>
      </c>
      <c r="B494" s="4">
        <v>59457</v>
      </c>
      <c r="C494" s="57">
        <v>301.37</v>
      </c>
    </row>
    <row r="495" spans="1:3" x14ac:dyDescent="0.25">
      <c r="A495" s="196">
        <v>41577</v>
      </c>
      <c r="B495" s="4">
        <v>59458</v>
      </c>
      <c r="C495" s="57">
        <v>106.08</v>
      </c>
    </row>
    <row r="496" spans="1:3" x14ac:dyDescent="0.25">
      <c r="A496" s="196">
        <v>41577</v>
      </c>
      <c r="B496" s="4">
        <v>59459</v>
      </c>
      <c r="C496" s="57">
        <v>224.36</v>
      </c>
    </row>
    <row r="497" spans="1:3" x14ac:dyDescent="0.25">
      <c r="A497" s="196">
        <v>41577</v>
      </c>
      <c r="B497" s="4">
        <v>59460</v>
      </c>
      <c r="C497" s="57">
        <v>151.16</v>
      </c>
    </row>
    <row r="498" spans="1:3" x14ac:dyDescent="0.25">
      <c r="A498" s="196">
        <v>41577</v>
      </c>
      <c r="B498" s="4">
        <v>59461</v>
      </c>
      <c r="C498" s="57">
        <v>258.17</v>
      </c>
    </row>
    <row r="499" spans="1:3" x14ac:dyDescent="0.25">
      <c r="A499" s="196">
        <v>41577</v>
      </c>
      <c r="B499" s="4">
        <v>59462</v>
      </c>
      <c r="C499" s="57">
        <v>312.19</v>
      </c>
    </row>
    <row r="500" spans="1:3" x14ac:dyDescent="0.25">
      <c r="A500" s="196">
        <v>41577</v>
      </c>
      <c r="B500" s="4">
        <v>59463</v>
      </c>
      <c r="C500" s="57">
        <v>236.59</v>
      </c>
    </row>
    <row r="501" spans="1:3" x14ac:dyDescent="0.25">
      <c r="A501" s="196">
        <v>41577</v>
      </c>
      <c r="B501" s="4">
        <v>59464</v>
      </c>
      <c r="C501" s="57">
        <v>190.59</v>
      </c>
    </row>
    <row r="502" spans="1:3" x14ac:dyDescent="0.25">
      <c r="A502" s="196">
        <v>41577</v>
      </c>
      <c r="B502" s="4">
        <v>59465</v>
      </c>
      <c r="C502" s="57">
        <v>377.43</v>
      </c>
    </row>
    <row r="503" spans="1:3" x14ac:dyDescent="0.25">
      <c r="A503" s="196">
        <v>41577</v>
      </c>
      <c r="B503" s="4">
        <v>59466</v>
      </c>
      <c r="C503" s="57">
        <v>371.73</v>
      </c>
    </row>
    <row r="504" spans="1:3" x14ac:dyDescent="0.25">
      <c r="A504" s="196">
        <v>41577</v>
      </c>
      <c r="B504" s="4">
        <v>59467</v>
      </c>
      <c r="C504" s="57">
        <v>73.87</v>
      </c>
    </row>
    <row r="505" spans="1:3" x14ac:dyDescent="0.25">
      <c r="A505" s="196">
        <v>41577</v>
      </c>
      <c r="B505" s="4">
        <v>59468</v>
      </c>
      <c r="C505" s="57">
        <v>309.99</v>
      </c>
    </row>
    <row r="506" spans="1:3" x14ac:dyDescent="0.25">
      <c r="A506" s="196">
        <v>41578</v>
      </c>
      <c r="B506" s="4">
        <v>59469</v>
      </c>
      <c r="C506" s="57">
        <v>76.099999999999994</v>
      </c>
    </row>
    <row r="507" spans="1:3" x14ac:dyDescent="0.25">
      <c r="A507" s="196">
        <v>41578</v>
      </c>
      <c r="B507" s="4">
        <v>59470</v>
      </c>
      <c r="C507" s="57">
        <v>166.77</v>
      </c>
    </row>
    <row r="508" spans="1:3" x14ac:dyDescent="0.25">
      <c r="A508" s="196">
        <v>41578</v>
      </c>
      <c r="B508" s="4">
        <v>59471</v>
      </c>
      <c r="C508" s="57">
        <v>281.33999999999997</v>
      </c>
    </row>
    <row r="509" spans="1:3" x14ac:dyDescent="0.25">
      <c r="A509" s="196">
        <v>41578</v>
      </c>
      <c r="B509" s="4">
        <v>59472</v>
      </c>
      <c r="C509" s="57">
        <v>313.36</v>
      </c>
    </row>
    <row r="510" spans="1:3" x14ac:dyDescent="0.25">
      <c r="A510" s="196">
        <v>41578</v>
      </c>
      <c r="B510" s="4">
        <v>59473</v>
      </c>
      <c r="C510" s="57">
        <v>75.06</v>
      </c>
    </row>
    <row r="511" spans="1:3" x14ac:dyDescent="0.25">
      <c r="A511" s="196">
        <v>41578</v>
      </c>
      <c r="B511" s="4">
        <v>59474</v>
      </c>
      <c r="C511" s="57">
        <v>173.69</v>
      </c>
    </row>
    <row r="512" spans="1:3" x14ac:dyDescent="0.25">
      <c r="A512" s="196">
        <v>41578</v>
      </c>
      <c r="B512" s="4">
        <v>59475</v>
      </c>
      <c r="C512" s="57">
        <v>185.36</v>
      </c>
    </row>
    <row r="513" spans="1:3" x14ac:dyDescent="0.25">
      <c r="A513" s="196">
        <v>41578</v>
      </c>
      <c r="B513" s="4">
        <v>59476</v>
      </c>
      <c r="C513" s="57">
        <v>339.26</v>
      </c>
    </row>
    <row r="514" spans="1:3" x14ac:dyDescent="0.25">
      <c r="A514" s="196">
        <v>41578</v>
      </c>
      <c r="B514" s="4">
        <v>59477</v>
      </c>
      <c r="C514" s="57">
        <v>261.49</v>
      </c>
    </row>
    <row r="515" spans="1:3" x14ac:dyDescent="0.25">
      <c r="A515" s="196">
        <v>41578</v>
      </c>
      <c r="B515" s="4">
        <v>59478</v>
      </c>
      <c r="C515" s="57">
        <v>114.09</v>
      </c>
    </row>
    <row r="516" spans="1:3" x14ac:dyDescent="0.25">
      <c r="A516" s="196">
        <v>41578</v>
      </c>
      <c r="B516" s="4">
        <v>59479</v>
      </c>
      <c r="C516" s="57">
        <v>166.49</v>
      </c>
    </row>
    <row r="517" spans="1:3" x14ac:dyDescent="0.25">
      <c r="A517" s="196">
        <v>41578</v>
      </c>
      <c r="B517" s="4">
        <v>59480</v>
      </c>
      <c r="C517" s="57">
        <v>95.1</v>
      </c>
    </row>
    <row r="518" spans="1:3" x14ac:dyDescent="0.25">
      <c r="A518" s="196">
        <v>41578</v>
      </c>
      <c r="B518" s="4">
        <v>59481</v>
      </c>
      <c r="C518" s="57">
        <v>109.95</v>
      </c>
    </row>
    <row r="519" spans="1:3" x14ac:dyDescent="0.25">
      <c r="A519" s="196">
        <v>41578</v>
      </c>
      <c r="B519" s="4">
        <v>59482</v>
      </c>
      <c r="C519" s="57">
        <v>290.08999999999997</v>
      </c>
    </row>
    <row r="520" spans="1:3" x14ac:dyDescent="0.25">
      <c r="A520" s="196">
        <v>41578</v>
      </c>
      <c r="B520" s="4">
        <v>59483</v>
      </c>
      <c r="C520" s="57">
        <v>297.85000000000002</v>
      </c>
    </row>
    <row r="521" spans="1:3" x14ac:dyDescent="0.25">
      <c r="A521" s="196">
        <v>41578</v>
      </c>
      <c r="B521" s="4">
        <v>59484</v>
      </c>
      <c r="C521" s="57">
        <v>331.36</v>
      </c>
    </row>
    <row r="522" spans="1:3" x14ac:dyDescent="0.25">
      <c r="A522" s="196">
        <v>41578</v>
      </c>
      <c r="B522" s="4">
        <v>59485</v>
      </c>
      <c r="C522" s="57">
        <v>104.21</v>
      </c>
    </row>
    <row r="523" spans="1:3" x14ac:dyDescent="0.25">
      <c r="A523" s="196">
        <v>41578</v>
      </c>
      <c r="B523" s="4">
        <v>59486</v>
      </c>
      <c r="C523" s="57">
        <v>136.32</v>
      </c>
    </row>
    <row r="524" spans="1:3" x14ac:dyDescent="0.25">
      <c r="A524" s="196">
        <v>41578</v>
      </c>
      <c r="B524" s="4">
        <v>59487</v>
      </c>
      <c r="C524" s="57">
        <v>228.75</v>
      </c>
    </row>
    <row r="525" spans="1:3" x14ac:dyDescent="0.25">
      <c r="A525" s="196">
        <v>41578</v>
      </c>
      <c r="B525" s="4">
        <v>59488</v>
      </c>
      <c r="C525" s="57">
        <v>370.83</v>
      </c>
    </row>
    <row r="526" spans="1:3" x14ac:dyDescent="0.25">
      <c r="A526" s="196">
        <v>41579</v>
      </c>
      <c r="B526" s="4">
        <v>59489</v>
      </c>
      <c r="C526" s="57">
        <v>42.44</v>
      </c>
    </row>
    <row r="527" spans="1:3" x14ac:dyDescent="0.25">
      <c r="A527" s="196">
        <v>41579</v>
      </c>
      <c r="B527" s="4">
        <v>59490</v>
      </c>
      <c r="C527" s="57">
        <v>208.22</v>
      </c>
    </row>
    <row r="528" spans="1:3" x14ac:dyDescent="0.25">
      <c r="A528" s="196">
        <v>41579</v>
      </c>
      <c r="B528" s="4">
        <v>59491</v>
      </c>
      <c r="C528" s="57">
        <v>152.13</v>
      </c>
    </row>
    <row r="529" spans="1:3" x14ac:dyDescent="0.25">
      <c r="A529" s="196">
        <v>41579</v>
      </c>
      <c r="B529" s="4">
        <v>59492</v>
      </c>
      <c r="C529" s="57">
        <v>35.090000000000003</v>
      </c>
    </row>
    <row r="530" spans="1:3" x14ac:dyDescent="0.25">
      <c r="A530" s="196">
        <v>41579</v>
      </c>
      <c r="B530" s="4">
        <v>59493</v>
      </c>
      <c r="C530" s="57">
        <v>226.73</v>
      </c>
    </row>
    <row r="531" spans="1:3" x14ac:dyDescent="0.25">
      <c r="A531" s="196">
        <v>41579</v>
      </c>
      <c r="B531" s="4">
        <v>59494</v>
      </c>
      <c r="C531" s="57">
        <v>230.33</v>
      </c>
    </row>
    <row r="532" spans="1:3" x14ac:dyDescent="0.25">
      <c r="A532" s="196">
        <v>41579</v>
      </c>
      <c r="B532" s="4">
        <v>59495</v>
      </c>
      <c r="C532" s="57">
        <v>122.14</v>
      </c>
    </row>
    <row r="533" spans="1:3" x14ac:dyDescent="0.25">
      <c r="A533" s="196">
        <v>41579</v>
      </c>
      <c r="B533" s="4">
        <v>59496</v>
      </c>
      <c r="C533" s="57">
        <v>375.41</v>
      </c>
    </row>
    <row r="534" spans="1:3" x14ac:dyDescent="0.25">
      <c r="A534" s="196">
        <v>41579</v>
      </c>
      <c r="B534" s="4">
        <v>59497</v>
      </c>
      <c r="C534" s="57">
        <v>38.65</v>
      </c>
    </row>
    <row r="535" spans="1:3" x14ac:dyDescent="0.25">
      <c r="A535" s="196">
        <v>41579</v>
      </c>
      <c r="B535" s="4">
        <v>59498</v>
      </c>
      <c r="C535" s="57">
        <v>129.86000000000001</v>
      </c>
    </row>
    <row r="536" spans="1:3" x14ac:dyDescent="0.25">
      <c r="A536" s="196">
        <v>41579</v>
      </c>
      <c r="B536" s="4">
        <v>59499</v>
      </c>
      <c r="C536" s="57">
        <v>306.52</v>
      </c>
    </row>
    <row r="537" spans="1:3" x14ac:dyDescent="0.25">
      <c r="A537" s="196">
        <v>41579</v>
      </c>
      <c r="B537" s="4">
        <v>59500</v>
      </c>
      <c r="C537" s="57">
        <v>264.52</v>
      </c>
    </row>
    <row r="538" spans="1:3" x14ac:dyDescent="0.25">
      <c r="A538" s="196">
        <v>41579</v>
      </c>
      <c r="B538" s="4">
        <v>59501</v>
      </c>
      <c r="C538" s="57">
        <v>144.53</v>
      </c>
    </row>
    <row r="539" spans="1:3" x14ac:dyDescent="0.25">
      <c r="A539" s="196">
        <v>41579</v>
      </c>
      <c r="B539" s="4">
        <v>59502</v>
      </c>
      <c r="C539" s="57">
        <v>198.64</v>
      </c>
    </row>
    <row r="540" spans="1:3" x14ac:dyDescent="0.25">
      <c r="A540" s="196">
        <v>41579</v>
      </c>
      <c r="B540" s="4">
        <v>59503</v>
      </c>
      <c r="C540" s="57">
        <v>298.51</v>
      </c>
    </row>
    <row r="541" spans="1:3" x14ac:dyDescent="0.25">
      <c r="A541" s="196">
        <v>41579</v>
      </c>
      <c r="B541" s="4">
        <v>59504</v>
      </c>
      <c r="C541" s="57">
        <v>314.27999999999997</v>
      </c>
    </row>
    <row r="542" spans="1:3" x14ac:dyDescent="0.25">
      <c r="A542" s="196">
        <v>41579</v>
      </c>
      <c r="B542" s="4">
        <v>59505</v>
      </c>
      <c r="C542" s="57">
        <v>234.39</v>
      </c>
    </row>
    <row r="543" spans="1:3" x14ac:dyDescent="0.25">
      <c r="A543" s="196">
        <v>41579</v>
      </c>
      <c r="B543" s="4">
        <v>59506</v>
      </c>
      <c r="C543" s="57">
        <v>250.87</v>
      </c>
    </row>
    <row r="544" spans="1:3" x14ac:dyDescent="0.25">
      <c r="A544" s="196">
        <v>41580</v>
      </c>
      <c r="B544" s="4">
        <v>59507</v>
      </c>
      <c r="C544" s="57">
        <v>198.9</v>
      </c>
    </row>
    <row r="545" spans="1:3" x14ac:dyDescent="0.25">
      <c r="A545" s="196">
        <v>41580</v>
      </c>
      <c r="B545" s="4">
        <v>59508</v>
      </c>
      <c r="C545" s="57">
        <v>197.89</v>
      </c>
    </row>
    <row r="546" spans="1:3" x14ac:dyDescent="0.25">
      <c r="A546" s="196">
        <v>41580</v>
      </c>
      <c r="B546" s="4">
        <v>59509</v>
      </c>
      <c r="C546" s="57">
        <v>269.07</v>
      </c>
    </row>
    <row r="547" spans="1:3" x14ac:dyDescent="0.25">
      <c r="A547" s="196">
        <v>41580</v>
      </c>
      <c r="B547" s="4">
        <v>59510</v>
      </c>
      <c r="C547" s="57">
        <v>323.58999999999997</v>
      </c>
    </row>
    <row r="548" spans="1:3" x14ac:dyDescent="0.25">
      <c r="A548" s="196">
        <v>41580</v>
      </c>
      <c r="B548" s="4">
        <v>59511</v>
      </c>
      <c r="C548" s="57">
        <v>330.16</v>
      </c>
    </row>
    <row r="549" spans="1:3" x14ac:dyDescent="0.25">
      <c r="A549" s="196">
        <v>41580</v>
      </c>
      <c r="B549" s="4">
        <v>59512</v>
      </c>
      <c r="C549" s="57">
        <v>306.01</v>
      </c>
    </row>
    <row r="550" spans="1:3" x14ac:dyDescent="0.25">
      <c r="A550" s="196">
        <v>41580</v>
      </c>
      <c r="B550" s="4">
        <v>59513</v>
      </c>
      <c r="C550" s="57">
        <v>159.76</v>
      </c>
    </row>
    <row r="551" spans="1:3" x14ac:dyDescent="0.25">
      <c r="A551" s="196">
        <v>41580</v>
      </c>
      <c r="B551" s="4">
        <v>59514</v>
      </c>
      <c r="C551" s="57">
        <v>56.38</v>
      </c>
    </row>
    <row r="552" spans="1:3" x14ac:dyDescent="0.25">
      <c r="A552" s="196">
        <v>41580</v>
      </c>
      <c r="B552" s="4">
        <v>59515</v>
      </c>
      <c r="C552" s="57">
        <v>257.33</v>
      </c>
    </row>
    <row r="553" spans="1:3" x14ac:dyDescent="0.25">
      <c r="A553" s="196">
        <v>41580</v>
      </c>
      <c r="B553" s="4">
        <v>59516</v>
      </c>
      <c r="C553" s="57">
        <v>225.88</v>
      </c>
    </row>
    <row r="554" spans="1:3" x14ac:dyDescent="0.25">
      <c r="A554" s="196">
        <v>41580</v>
      </c>
      <c r="B554" s="4">
        <v>59517</v>
      </c>
      <c r="C554" s="57">
        <v>252.19</v>
      </c>
    </row>
    <row r="555" spans="1:3" x14ac:dyDescent="0.25">
      <c r="A555" s="196">
        <v>41580</v>
      </c>
      <c r="B555" s="4">
        <v>59518</v>
      </c>
      <c r="C555" s="57">
        <v>207.84</v>
      </c>
    </row>
    <row r="556" spans="1:3" x14ac:dyDescent="0.25">
      <c r="A556" s="196">
        <v>41580</v>
      </c>
      <c r="B556" s="4">
        <v>59519</v>
      </c>
      <c r="C556" s="57">
        <v>361.07</v>
      </c>
    </row>
    <row r="557" spans="1:3" x14ac:dyDescent="0.25">
      <c r="A557" s="196">
        <v>41580</v>
      </c>
      <c r="B557" s="4">
        <v>59520</v>
      </c>
      <c r="C557" s="57">
        <v>125.04</v>
      </c>
    </row>
    <row r="558" spans="1:3" x14ac:dyDescent="0.25">
      <c r="A558" s="196">
        <v>41580</v>
      </c>
      <c r="B558" s="4">
        <v>59521</v>
      </c>
      <c r="C558" s="57">
        <v>302.86</v>
      </c>
    </row>
    <row r="559" spans="1:3" x14ac:dyDescent="0.25">
      <c r="A559" s="196">
        <v>41580</v>
      </c>
      <c r="B559" s="4">
        <v>59522</v>
      </c>
      <c r="C559" s="57">
        <v>113.55</v>
      </c>
    </row>
    <row r="560" spans="1:3" x14ac:dyDescent="0.25">
      <c r="A560" s="196">
        <v>41580</v>
      </c>
      <c r="B560" s="4">
        <v>59523</v>
      </c>
      <c r="C560" s="57">
        <v>205.97</v>
      </c>
    </row>
    <row r="561" spans="1:3" x14ac:dyDescent="0.25">
      <c r="A561" s="196">
        <v>41580</v>
      </c>
      <c r="B561" s="4">
        <v>59524</v>
      </c>
      <c r="C561" s="57">
        <v>313.77</v>
      </c>
    </row>
    <row r="562" spans="1:3" x14ac:dyDescent="0.25">
      <c r="A562" s="196">
        <v>41580</v>
      </c>
      <c r="B562" s="4">
        <v>59525</v>
      </c>
      <c r="C562" s="57">
        <v>131.78</v>
      </c>
    </row>
    <row r="563" spans="1:3" x14ac:dyDescent="0.25">
      <c r="A563" s="196">
        <v>41580</v>
      </c>
      <c r="B563" s="4">
        <v>59526</v>
      </c>
      <c r="C563" s="57">
        <v>128.65</v>
      </c>
    </row>
    <row r="564" spans="1:3" x14ac:dyDescent="0.25">
      <c r="A564" s="196">
        <v>41580</v>
      </c>
      <c r="B564" s="4">
        <v>59527</v>
      </c>
      <c r="C564" s="57">
        <v>286.83</v>
      </c>
    </row>
    <row r="565" spans="1:3" x14ac:dyDescent="0.25">
      <c r="A565" s="196">
        <v>41581</v>
      </c>
      <c r="B565" s="4">
        <v>59528</v>
      </c>
      <c r="C565" s="57">
        <v>184.58</v>
      </c>
    </row>
    <row r="566" spans="1:3" x14ac:dyDescent="0.25">
      <c r="A566" s="196">
        <v>41581</v>
      </c>
      <c r="B566" s="4">
        <v>59529</v>
      </c>
      <c r="C566" s="57">
        <v>191.32</v>
      </c>
    </row>
    <row r="567" spans="1:3" x14ac:dyDescent="0.25">
      <c r="A567" s="196">
        <v>41581</v>
      </c>
      <c r="B567" s="4">
        <v>59530</v>
      </c>
      <c r="C567" s="57">
        <v>239.69</v>
      </c>
    </row>
    <row r="568" spans="1:3" x14ac:dyDescent="0.25">
      <c r="A568" s="196">
        <v>41581</v>
      </c>
      <c r="B568" s="4">
        <v>59531</v>
      </c>
      <c r="C568" s="57">
        <v>174.84</v>
      </c>
    </row>
    <row r="569" spans="1:3" x14ac:dyDescent="0.25">
      <c r="A569" s="196">
        <v>41581</v>
      </c>
      <c r="B569" s="4">
        <v>59532</v>
      </c>
      <c r="C569" s="57">
        <v>229.17</v>
      </c>
    </row>
    <row r="570" spans="1:3" x14ac:dyDescent="0.25">
      <c r="A570" s="196">
        <v>41581</v>
      </c>
      <c r="B570" s="4">
        <v>59533</v>
      </c>
      <c r="C570" s="57">
        <v>271.29000000000002</v>
      </c>
    </row>
    <row r="571" spans="1:3" x14ac:dyDescent="0.25">
      <c r="A571" s="196">
        <v>41581</v>
      </c>
      <c r="B571" s="4">
        <v>59534</v>
      </c>
      <c r="C571" s="57">
        <v>88.86</v>
      </c>
    </row>
    <row r="572" spans="1:3" x14ac:dyDescent="0.25">
      <c r="A572" s="196">
        <v>41581</v>
      </c>
      <c r="B572" s="4">
        <v>59535</v>
      </c>
      <c r="C572" s="57">
        <v>99.75</v>
      </c>
    </row>
    <row r="573" spans="1:3" x14ac:dyDescent="0.25">
      <c r="A573" s="196">
        <v>41581</v>
      </c>
      <c r="B573" s="4">
        <v>59536</v>
      </c>
      <c r="C573" s="57">
        <v>57.05</v>
      </c>
    </row>
    <row r="574" spans="1:3" x14ac:dyDescent="0.25">
      <c r="A574" s="196">
        <v>41581</v>
      </c>
      <c r="B574" s="4">
        <v>59537</v>
      </c>
      <c r="C574" s="57">
        <v>370.57</v>
      </c>
    </row>
    <row r="575" spans="1:3" x14ac:dyDescent="0.25">
      <c r="A575" s="196">
        <v>41581</v>
      </c>
      <c r="B575" s="4">
        <v>59538</v>
      </c>
      <c r="C575" s="57">
        <v>65.66</v>
      </c>
    </row>
    <row r="576" spans="1:3" x14ac:dyDescent="0.25">
      <c r="A576" s="196">
        <v>41581</v>
      </c>
      <c r="B576" s="4">
        <v>59539</v>
      </c>
      <c r="C576" s="57">
        <v>86.83</v>
      </c>
    </row>
    <row r="577" spans="1:3" x14ac:dyDescent="0.25">
      <c r="A577" s="196">
        <v>41581</v>
      </c>
      <c r="B577" s="4">
        <v>59540</v>
      </c>
      <c r="C577" s="57">
        <v>268.2</v>
      </c>
    </row>
    <row r="578" spans="1:3" x14ac:dyDescent="0.25">
      <c r="A578" s="196">
        <v>41581</v>
      </c>
      <c r="B578" s="4">
        <v>59541</v>
      </c>
      <c r="C578" s="57">
        <v>256.89999999999998</v>
      </c>
    </row>
    <row r="579" spans="1:3" x14ac:dyDescent="0.25">
      <c r="A579" s="196">
        <v>41581</v>
      </c>
      <c r="B579" s="4">
        <v>59542</v>
      </c>
      <c r="C579" s="57">
        <v>104.25</v>
      </c>
    </row>
    <row r="580" spans="1:3" x14ac:dyDescent="0.25">
      <c r="A580" s="196">
        <v>41581</v>
      </c>
      <c r="B580" s="4">
        <v>59543</v>
      </c>
      <c r="C580" s="57">
        <v>154.52000000000001</v>
      </c>
    </row>
    <row r="581" spans="1:3" x14ac:dyDescent="0.25">
      <c r="A581" s="196">
        <v>41581</v>
      </c>
      <c r="B581" s="4">
        <v>59544</v>
      </c>
      <c r="C581" s="57">
        <v>308.67</v>
      </c>
    </row>
    <row r="582" spans="1:3" x14ac:dyDescent="0.25">
      <c r="A582" s="196">
        <v>41581</v>
      </c>
      <c r="B582" s="4">
        <v>59545</v>
      </c>
      <c r="C582" s="57">
        <v>132.1</v>
      </c>
    </row>
    <row r="583" spans="1:3" x14ac:dyDescent="0.25">
      <c r="A583" s="196">
        <v>41582</v>
      </c>
      <c r="B583" s="4">
        <v>59546</v>
      </c>
      <c r="C583" s="57">
        <v>112.68</v>
      </c>
    </row>
    <row r="584" spans="1:3" x14ac:dyDescent="0.25">
      <c r="A584" s="196">
        <v>41582</v>
      </c>
      <c r="B584" s="4">
        <v>59547</v>
      </c>
      <c r="C584" s="57">
        <v>77.59</v>
      </c>
    </row>
    <row r="585" spans="1:3" x14ac:dyDescent="0.25">
      <c r="A585" s="196">
        <v>41582</v>
      </c>
      <c r="B585" s="4">
        <v>59548</v>
      </c>
      <c r="C585" s="57">
        <v>299.49</v>
      </c>
    </row>
    <row r="586" spans="1:3" x14ac:dyDescent="0.25">
      <c r="A586" s="196">
        <v>41582</v>
      </c>
      <c r="B586" s="4">
        <v>59549</v>
      </c>
      <c r="C586" s="57">
        <v>370.28</v>
      </c>
    </row>
    <row r="587" spans="1:3" x14ac:dyDescent="0.25">
      <c r="A587" s="196">
        <v>41582</v>
      </c>
      <c r="B587" s="4">
        <v>59550</v>
      </c>
      <c r="C587" s="57">
        <v>39.869999999999997</v>
      </c>
    </row>
    <row r="588" spans="1:3" x14ac:dyDescent="0.25">
      <c r="A588" s="196">
        <v>41582</v>
      </c>
      <c r="B588" s="4">
        <v>59551</v>
      </c>
      <c r="C588" s="57">
        <v>292.36</v>
      </c>
    </row>
    <row r="589" spans="1:3" x14ac:dyDescent="0.25">
      <c r="A589" s="196">
        <v>41582</v>
      </c>
      <c r="B589" s="4">
        <v>59552</v>
      </c>
      <c r="C589" s="57">
        <v>273.2</v>
      </c>
    </row>
    <row r="590" spans="1:3" x14ac:dyDescent="0.25">
      <c r="A590" s="196">
        <v>41582</v>
      </c>
      <c r="B590" s="4">
        <v>59553</v>
      </c>
      <c r="C590" s="57">
        <v>128.47999999999999</v>
      </c>
    </row>
    <row r="591" spans="1:3" x14ac:dyDescent="0.25">
      <c r="A591" s="196">
        <v>41582</v>
      </c>
      <c r="B591" s="4">
        <v>59554</v>
      </c>
      <c r="C591" s="57">
        <v>187.38</v>
      </c>
    </row>
    <row r="592" spans="1:3" x14ac:dyDescent="0.25">
      <c r="A592" s="196">
        <v>41582</v>
      </c>
      <c r="B592" s="4">
        <v>59555</v>
      </c>
      <c r="C592" s="57">
        <v>237.8</v>
      </c>
    </row>
    <row r="593" spans="1:3" x14ac:dyDescent="0.25">
      <c r="A593" s="196">
        <v>41582</v>
      </c>
      <c r="B593" s="4">
        <v>59556</v>
      </c>
      <c r="C593" s="57">
        <v>262.93</v>
      </c>
    </row>
    <row r="594" spans="1:3" x14ac:dyDescent="0.25">
      <c r="A594" s="196">
        <v>41582</v>
      </c>
      <c r="B594" s="4">
        <v>59557</v>
      </c>
      <c r="C594" s="57">
        <v>247.58</v>
      </c>
    </row>
    <row r="595" spans="1:3" x14ac:dyDescent="0.25">
      <c r="A595" s="196">
        <v>41582</v>
      </c>
      <c r="B595" s="4">
        <v>59558</v>
      </c>
      <c r="C595" s="57">
        <v>213.83</v>
      </c>
    </row>
    <row r="596" spans="1:3" x14ac:dyDescent="0.25">
      <c r="A596" s="196">
        <v>41582</v>
      </c>
      <c r="B596" s="4">
        <v>59559</v>
      </c>
      <c r="C596" s="57">
        <v>371.78</v>
      </c>
    </row>
    <row r="597" spans="1:3" x14ac:dyDescent="0.25">
      <c r="A597" s="196">
        <v>41582</v>
      </c>
      <c r="B597" s="4">
        <v>59560</v>
      </c>
      <c r="C597" s="57">
        <v>305.64999999999998</v>
      </c>
    </row>
    <row r="598" spans="1:3" x14ac:dyDescent="0.25">
      <c r="A598" s="196">
        <v>41582</v>
      </c>
      <c r="B598" s="4">
        <v>59561</v>
      </c>
      <c r="C598" s="57">
        <v>266.76</v>
      </c>
    </row>
    <row r="599" spans="1:3" x14ac:dyDescent="0.25">
      <c r="A599" s="196">
        <v>41582</v>
      </c>
      <c r="B599" s="4">
        <v>59562</v>
      </c>
      <c r="C599" s="57">
        <v>55.89</v>
      </c>
    </row>
    <row r="600" spans="1:3" x14ac:dyDescent="0.25">
      <c r="A600" s="196">
        <v>41582</v>
      </c>
      <c r="B600" s="4">
        <v>59563</v>
      </c>
      <c r="C600" s="57">
        <v>349.79</v>
      </c>
    </row>
    <row r="601" spans="1:3" x14ac:dyDescent="0.25">
      <c r="A601" s="196">
        <v>41582</v>
      </c>
      <c r="B601" s="4">
        <v>59564</v>
      </c>
      <c r="C601" s="57">
        <v>331.79</v>
      </c>
    </row>
    <row r="602" spans="1:3" x14ac:dyDescent="0.25">
      <c r="A602" s="196">
        <v>41583</v>
      </c>
      <c r="B602" s="4">
        <v>59565</v>
      </c>
      <c r="C602" s="57">
        <v>121.38</v>
      </c>
    </row>
    <row r="603" spans="1:3" x14ac:dyDescent="0.25">
      <c r="A603" s="196">
        <v>41583</v>
      </c>
      <c r="B603" s="4">
        <v>59566</v>
      </c>
      <c r="C603" s="57">
        <v>289.72000000000003</v>
      </c>
    </row>
    <row r="604" spans="1:3" x14ac:dyDescent="0.25">
      <c r="A604" s="196">
        <v>41583</v>
      </c>
      <c r="B604" s="4">
        <v>59567</v>
      </c>
      <c r="C604" s="57">
        <v>103.8</v>
      </c>
    </row>
    <row r="605" spans="1:3" x14ac:dyDescent="0.25">
      <c r="A605" s="196">
        <v>41583</v>
      </c>
      <c r="B605" s="4">
        <v>59568</v>
      </c>
      <c r="C605" s="57">
        <v>332.61</v>
      </c>
    </row>
    <row r="606" spans="1:3" x14ac:dyDescent="0.25">
      <c r="A606" s="196">
        <v>41583</v>
      </c>
      <c r="B606" s="4">
        <v>59569</v>
      </c>
      <c r="C606" s="57">
        <v>39.96</v>
      </c>
    </row>
    <row r="607" spans="1:3" x14ac:dyDescent="0.25">
      <c r="A607" s="196">
        <v>41583</v>
      </c>
      <c r="B607" s="4">
        <v>59570</v>
      </c>
      <c r="C607" s="57">
        <v>119.58</v>
      </c>
    </row>
    <row r="608" spans="1:3" x14ac:dyDescent="0.25">
      <c r="A608" s="196">
        <v>41583</v>
      </c>
      <c r="B608" s="4">
        <v>59571</v>
      </c>
      <c r="C608" s="57">
        <v>252.3</v>
      </c>
    </row>
    <row r="609" spans="1:3" x14ac:dyDescent="0.25">
      <c r="A609" s="196">
        <v>41583</v>
      </c>
      <c r="B609" s="4">
        <v>59572</v>
      </c>
      <c r="C609" s="57">
        <v>160.78</v>
      </c>
    </row>
    <row r="610" spans="1:3" x14ac:dyDescent="0.25">
      <c r="A610" s="196">
        <v>41583</v>
      </c>
      <c r="B610" s="4">
        <v>59573</v>
      </c>
      <c r="C610" s="57">
        <v>354.26</v>
      </c>
    </row>
    <row r="611" spans="1:3" x14ac:dyDescent="0.25">
      <c r="A611" s="196">
        <v>41583</v>
      </c>
      <c r="B611" s="4">
        <v>59574</v>
      </c>
      <c r="C611" s="57">
        <v>231.99</v>
      </c>
    </row>
    <row r="612" spans="1:3" x14ac:dyDescent="0.25">
      <c r="A612" s="196">
        <v>41583</v>
      </c>
      <c r="B612" s="4">
        <v>59575</v>
      </c>
      <c r="C612" s="57">
        <v>160.72</v>
      </c>
    </row>
    <row r="613" spans="1:3" x14ac:dyDescent="0.25">
      <c r="A613" s="196">
        <v>41583</v>
      </c>
      <c r="B613" s="4">
        <v>59576</v>
      </c>
      <c r="C613" s="57">
        <v>226.1</v>
      </c>
    </row>
    <row r="614" spans="1:3" x14ac:dyDescent="0.25">
      <c r="A614" s="196">
        <v>41583</v>
      </c>
      <c r="B614" s="4">
        <v>59577</v>
      </c>
      <c r="C614" s="57">
        <v>311.95</v>
      </c>
    </row>
    <row r="615" spans="1:3" x14ac:dyDescent="0.25">
      <c r="A615" s="196">
        <v>41583</v>
      </c>
      <c r="B615" s="4">
        <v>59578</v>
      </c>
      <c r="C615" s="57">
        <v>126.87</v>
      </c>
    </row>
    <row r="616" spans="1:3" x14ac:dyDescent="0.25">
      <c r="A616" s="196">
        <v>41583</v>
      </c>
      <c r="B616" s="4">
        <v>59579</v>
      </c>
      <c r="C616" s="57">
        <v>180.1</v>
      </c>
    </row>
    <row r="617" spans="1:3" x14ac:dyDescent="0.25">
      <c r="A617" s="196">
        <v>41583</v>
      </c>
      <c r="B617" s="4">
        <v>59580</v>
      </c>
      <c r="C617" s="57">
        <v>142.63</v>
      </c>
    </row>
    <row r="618" spans="1:3" x14ac:dyDescent="0.25">
      <c r="A618" s="196">
        <v>41583</v>
      </c>
      <c r="B618" s="4">
        <v>59581</v>
      </c>
      <c r="C618" s="57">
        <v>199.15</v>
      </c>
    </row>
    <row r="619" spans="1:3" x14ac:dyDescent="0.25">
      <c r="A619" s="196">
        <v>41584</v>
      </c>
      <c r="B619" s="4">
        <v>59582</v>
      </c>
      <c r="C619" s="57">
        <v>51.96</v>
      </c>
    </row>
    <row r="620" spans="1:3" x14ac:dyDescent="0.25">
      <c r="A620" s="196">
        <v>41584</v>
      </c>
      <c r="B620" s="4">
        <v>59583</v>
      </c>
      <c r="C620" s="57">
        <v>117.75</v>
      </c>
    </row>
    <row r="621" spans="1:3" x14ac:dyDescent="0.25">
      <c r="A621" s="196">
        <v>41584</v>
      </c>
      <c r="B621" s="4">
        <v>59584</v>
      </c>
      <c r="C621" s="57">
        <v>314.08999999999997</v>
      </c>
    </row>
    <row r="622" spans="1:3" x14ac:dyDescent="0.25">
      <c r="A622" s="196">
        <v>41584</v>
      </c>
      <c r="B622" s="4">
        <v>59585</v>
      </c>
      <c r="C622" s="57">
        <v>114.02</v>
      </c>
    </row>
    <row r="623" spans="1:3" x14ac:dyDescent="0.25">
      <c r="A623" s="196">
        <v>41584</v>
      </c>
      <c r="B623" s="4">
        <v>59586</v>
      </c>
      <c r="C623" s="57">
        <v>137.59</v>
      </c>
    </row>
    <row r="624" spans="1:3" x14ac:dyDescent="0.25">
      <c r="A624" s="196">
        <v>41584</v>
      </c>
      <c r="B624" s="4">
        <v>59587</v>
      </c>
      <c r="C624" s="57">
        <v>196.36</v>
      </c>
    </row>
    <row r="625" spans="1:3" x14ac:dyDescent="0.25">
      <c r="A625" s="196">
        <v>41584</v>
      </c>
      <c r="B625" s="4">
        <v>59588</v>
      </c>
      <c r="C625" s="57">
        <v>295.97000000000003</v>
      </c>
    </row>
    <row r="626" spans="1:3" x14ac:dyDescent="0.25">
      <c r="A626" s="196">
        <v>41584</v>
      </c>
      <c r="B626" s="4">
        <v>59589</v>
      </c>
      <c r="C626" s="57">
        <v>69.09</v>
      </c>
    </row>
    <row r="627" spans="1:3" x14ac:dyDescent="0.25">
      <c r="A627" s="196">
        <v>41584</v>
      </c>
      <c r="B627" s="4">
        <v>59590</v>
      </c>
      <c r="C627" s="57">
        <v>163.38</v>
      </c>
    </row>
    <row r="628" spans="1:3" x14ac:dyDescent="0.25">
      <c r="A628" s="196">
        <v>41584</v>
      </c>
      <c r="B628" s="4">
        <v>59591</v>
      </c>
      <c r="C628" s="57">
        <v>338.13</v>
      </c>
    </row>
    <row r="629" spans="1:3" x14ac:dyDescent="0.25">
      <c r="A629" s="196">
        <v>41584</v>
      </c>
      <c r="B629" s="4">
        <v>59592</v>
      </c>
      <c r="C629" s="57">
        <v>189.16</v>
      </c>
    </row>
    <row r="630" spans="1:3" x14ac:dyDescent="0.25">
      <c r="A630" s="196">
        <v>41584</v>
      </c>
      <c r="B630" s="4">
        <v>59593</v>
      </c>
      <c r="C630" s="57">
        <v>89.41</v>
      </c>
    </row>
    <row r="631" spans="1:3" x14ac:dyDescent="0.25">
      <c r="A631" s="196">
        <v>41584</v>
      </c>
      <c r="B631" s="4">
        <v>59594</v>
      </c>
      <c r="C631" s="57">
        <v>386.62</v>
      </c>
    </row>
    <row r="632" spans="1:3" x14ac:dyDescent="0.25">
      <c r="A632" s="196">
        <v>41584</v>
      </c>
      <c r="B632" s="4">
        <v>59595</v>
      </c>
      <c r="C632" s="57">
        <v>345.51</v>
      </c>
    </row>
    <row r="633" spans="1:3" x14ac:dyDescent="0.25">
      <c r="A633" s="196">
        <v>41584</v>
      </c>
      <c r="B633" s="4">
        <v>59596</v>
      </c>
      <c r="C633" s="57">
        <v>217.68</v>
      </c>
    </row>
    <row r="634" spans="1:3" x14ac:dyDescent="0.25">
      <c r="A634" s="196">
        <v>41584</v>
      </c>
      <c r="B634" s="4">
        <v>59597</v>
      </c>
      <c r="C634" s="57">
        <v>278.47000000000003</v>
      </c>
    </row>
    <row r="635" spans="1:3" x14ac:dyDescent="0.25">
      <c r="A635" s="196">
        <v>41585</v>
      </c>
      <c r="B635" s="4">
        <v>59598</v>
      </c>
      <c r="C635" s="57">
        <v>265.13</v>
      </c>
    </row>
    <row r="636" spans="1:3" x14ac:dyDescent="0.25">
      <c r="A636" s="196">
        <v>41585</v>
      </c>
      <c r="B636" s="4">
        <v>59599</v>
      </c>
      <c r="C636" s="57">
        <v>302.02999999999997</v>
      </c>
    </row>
    <row r="637" spans="1:3" x14ac:dyDescent="0.25">
      <c r="A637" s="196">
        <v>41585</v>
      </c>
      <c r="B637" s="4">
        <v>59600</v>
      </c>
      <c r="C637" s="57">
        <v>334.55</v>
      </c>
    </row>
    <row r="638" spans="1:3" x14ac:dyDescent="0.25">
      <c r="A638" s="196">
        <v>41585</v>
      </c>
      <c r="B638" s="4">
        <v>59601</v>
      </c>
      <c r="C638" s="57">
        <v>305.52999999999997</v>
      </c>
    </row>
    <row r="639" spans="1:3" x14ac:dyDescent="0.25">
      <c r="A639" s="196">
        <v>41585</v>
      </c>
      <c r="B639" s="4">
        <v>59602</v>
      </c>
      <c r="C639" s="57">
        <v>212.99</v>
      </c>
    </row>
    <row r="640" spans="1:3" x14ac:dyDescent="0.25">
      <c r="A640" s="196">
        <v>41585</v>
      </c>
      <c r="B640" s="4">
        <v>59603</v>
      </c>
      <c r="C640" s="57">
        <v>312.42</v>
      </c>
    </row>
    <row r="641" spans="1:3" x14ac:dyDescent="0.25">
      <c r="A641" s="196">
        <v>41585</v>
      </c>
      <c r="B641" s="4">
        <v>59604</v>
      </c>
      <c r="C641" s="57">
        <v>238.55</v>
      </c>
    </row>
    <row r="642" spans="1:3" x14ac:dyDescent="0.25">
      <c r="A642" s="196">
        <v>41585</v>
      </c>
      <c r="B642" s="4">
        <v>59605</v>
      </c>
      <c r="C642" s="57">
        <v>279.61</v>
      </c>
    </row>
    <row r="643" spans="1:3" x14ac:dyDescent="0.25">
      <c r="A643" s="196">
        <v>41585</v>
      </c>
      <c r="B643" s="4">
        <v>59606</v>
      </c>
      <c r="C643" s="57">
        <v>183.24</v>
      </c>
    </row>
    <row r="644" spans="1:3" x14ac:dyDescent="0.25">
      <c r="A644" s="196">
        <v>41585</v>
      </c>
      <c r="B644" s="4">
        <v>59607</v>
      </c>
      <c r="C644" s="57">
        <v>269.95</v>
      </c>
    </row>
    <row r="645" spans="1:3" x14ac:dyDescent="0.25">
      <c r="A645" s="196">
        <v>41585</v>
      </c>
      <c r="B645" s="4">
        <v>59608</v>
      </c>
      <c r="C645" s="57">
        <v>49.01</v>
      </c>
    </row>
    <row r="646" spans="1:3" x14ac:dyDescent="0.25">
      <c r="A646" s="196">
        <v>41585</v>
      </c>
      <c r="B646" s="4">
        <v>59609</v>
      </c>
      <c r="C646" s="57">
        <v>185.58</v>
      </c>
    </row>
    <row r="647" spans="1:3" x14ac:dyDescent="0.25">
      <c r="A647" s="196">
        <v>41585</v>
      </c>
      <c r="B647" s="4">
        <v>59610</v>
      </c>
      <c r="C647" s="57">
        <v>123.72</v>
      </c>
    </row>
    <row r="648" spans="1:3" x14ac:dyDescent="0.25">
      <c r="A648" s="196">
        <v>41585</v>
      </c>
      <c r="B648" s="4">
        <v>59611</v>
      </c>
      <c r="C648" s="57">
        <v>46.16</v>
      </c>
    </row>
    <row r="649" spans="1:3" x14ac:dyDescent="0.25">
      <c r="A649" s="196">
        <v>41585</v>
      </c>
      <c r="B649" s="4">
        <v>59612</v>
      </c>
      <c r="C649" s="57">
        <v>313.41000000000003</v>
      </c>
    </row>
    <row r="650" spans="1:3" x14ac:dyDescent="0.25">
      <c r="A650" s="196">
        <v>41585</v>
      </c>
      <c r="B650" s="4">
        <v>59613</v>
      </c>
      <c r="C650" s="57">
        <v>81.03</v>
      </c>
    </row>
    <row r="651" spans="1:3" x14ac:dyDescent="0.25">
      <c r="A651" s="196">
        <v>41585</v>
      </c>
      <c r="B651" s="4">
        <v>59614</v>
      </c>
      <c r="C651" s="57">
        <v>362.07</v>
      </c>
    </row>
    <row r="652" spans="1:3" x14ac:dyDescent="0.25">
      <c r="A652" s="196">
        <v>41585</v>
      </c>
      <c r="B652" s="4">
        <v>59615</v>
      </c>
      <c r="C652" s="57">
        <v>342.32</v>
      </c>
    </row>
    <row r="653" spans="1:3" x14ac:dyDescent="0.25">
      <c r="A653" s="196">
        <v>41585</v>
      </c>
      <c r="B653" s="4">
        <v>59616</v>
      </c>
      <c r="C653" s="57">
        <v>84.8</v>
      </c>
    </row>
    <row r="654" spans="1:3" x14ac:dyDescent="0.25">
      <c r="A654" s="196">
        <v>41585</v>
      </c>
      <c r="B654" s="4">
        <v>59617</v>
      </c>
      <c r="C654" s="57">
        <v>361.98</v>
      </c>
    </row>
    <row r="655" spans="1:3" x14ac:dyDescent="0.25">
      <c r="A655" s="196">
        <v>41585</v>
      </c>
      <c r="B655" s="4">
        <v>59618</v>
      </c>
      <c r="C655" s="57">
        <v>79.989999999999995</v>
      </c>
    </row>
    <row r="656" spans="1:3" x14ac:dyDescent="0.25">
      <c r="A656" s="196">
        <v>41585</v>
      </c>
      <c r="B656" s="4">
        <v>59619</v>
      </c>
      <c r="C656" s="57">
        <v>184.95</v>
      </c>
    </row>
    <row r="657" spans="1:3" x14ac:dyDescent="0.25">
      <c r="A657" s="196">
        <v>41585</v>
      </c>
      <c r="B657" s="4">
        <v>59620</v>
      </c>
      <c r="C657" s="57">
        <v>81.12</v>
      </c>
    </row>
    <row r="658" spans="1:3" x14ac:dyDescent="0.25">
      <c r="A658" s="196">
        <v>41586</v>
      </c>
      <c r="B658" s="4">
        <v>59621</v>
      </c>
      <c r="C658" s="57">
        <v>157.56</v>
      </c>
    </row>
    <row r="659" spans="1:3" x14ac:dyDescent="0.25">
      <c r="A659" s="196">
        <v>41586</v>
      </c>
      <c r="B659" s="4">
        <v>59622</v>
      </c>
      <c r="C659" s="57">
        <v>204.43</v>
      </c>
    </row>
    <row r="660" spans="1:3" x14ac:dyDescent="0.25">
      <c r="A660" s="196">
        <v>41586</v>
      </c>
      <c r="B660" s="4">
        <v>59623</v>
      </c>
      <c r="C660" s="57">
        <v>248.36</v>
      </c>
    </row>
    <row r="661" spans="1:3" x14ac:dyDescent="0.25">
      <c r="A661" s="196">
        <v>41586</v>
      </c>
      <c r="B661" s="4">
        <v>59624</v>
      </c>
      <c r="C661" s="57">
        <v>350.77</v>
      </c>
    </row>
    <row r="662" spans="1:3" x14ac:dyDescent="0.25">
      <c r="A662" s="196">
        <v>41586</v>
      </c>
      <c r="B662" s="4">
        <v>59625</v>
      </c>
      <c r="C662" s="57">
        <v>57.13</v>
      </c>
    </row>
    <row r="663" spans="1:3" x14ac:dyDescent="0.25">
      <c r="A663" s="196">
        <v>41586</v>
      </c>
      <c r="B663" s="4">
        <v>59626</v>
      </c>
      <c r="C663" s="57">
        <v>125.32</v>
      </c>
    </row>
    <row r="664" spans="1:3" x14ac:dyDescent="0.25">
      <c r="A664" s="196">
        <v>41586</v>
      </c>
      <c r="B664" s="4">
        <v>59627</v>
      </c>
      <c r="C664" s="57">
        <v>107.93</v>
      </c>
    </row>
    <row r="665" spans="1:3" x14ac:dyDescent="0.25">
      <c r="A665" s="196">
        <v>41586</v>
      </c>
      <c r="B665" s="4">
        <v>59628</v>
      </c>
      <c r="C665" s="57">
        <v>208.18</v>
      </c>
    </row>
    <row r="666" spans="1:3" x14ac:dyDescent="0.25">
      <c r="A666" s="196">
        <v>41586</v>
      </c>
      <c r="B666" s="4">
        <v>59629</v>
      </c>
      <c r="C666" s="57">
        <v>47.44</v>
      </c>
    </row>
    <row r="667" spans="1:3" x14ac:dyDescent="0.25">
      <c r="A667" s="196">
        <v>41586</v>
      </c>
      <c r="B667" s="4">
        <v>59630</v>
      </c>
      <c r="C667" s="57">
        <v>89.51</v>
      </c>
    </row>
    <row r="668" spans="1:3" x14ac:dyDescent="0.25">
      <c r="A668" s="196">
        <v>41586</v>
      </c>
      <c r="B668" s="4">
        <v>59631</v>
      </c>
      <c r="C668" s="57">
        <v>68.22</v>
      </c>
    </row>
    <row r="669" spans="1:3" x14ac:dyDescent="0.25">
      <c r="A669" s="196">
        <v>41586</v>
      </c>
      <c r="B669" s="4">
        <v>59632</v>
      </c>
      <c r="C669" s="57">
        <v>206.4</v>
      </c>
    </row>
    <row r="670" spans="1:3" x14ac:dyDescent="0.25">
      <c r="A670" s="196">
        <v>41586</v>
      </c>
      <c r="B670" s="4">
        <v>59633</v>
      </c>
      <c r="C670" s="57">
        <v>336.27</v>
      </c>
    </row>
    <row r="671" spans="1:3" x14ac:dyDescent="0.25">
      <c r="A671" s="196">
        <v>41587</v>
      </c>
      <c r="B671" s="4">
        <v>59634</v>
      </c>
      <c r="C671" s="57">
        <v>90.59</v>
      </c>
    </row>
    <row r="672" spans="1:3" x14ac:dyDescent="0.25">
      <c r="A672" s="196">
        <v>41587</v>
      </c>
      <c r="B672" s="4">
        <v>59635</v>
      </c>
      <c r="C672" s="57">
        <v>187.88</v>
      </c>
    </row>
    <row r="673" spans="1:3" x14ac:dyDescent="0.25">
      <c r="A673" s="196">
        <v>41587</v>
      </c>
      <c r="B673" s="4">
        <v>59636</v>
      </c>
      <c r="C673" s="57">
        <v>122.01</v>
      </c>
    </row>
    <row r="674" spans="1:3" x14ac:dyDescent="0.25">
      <c r="A674" s="196">
        <v>41587</v>
      </c>
      <c r="B674" s="4">
        <v>59637</v>
      </c>
      <c r="C674" s="57">
        <v>202.11</v>
      </c>
    </row>
    <row r="675" spans="1:3" x14ac:dyDescent="0.25">
      <c r="A675" s="196">
        <v>41587</v>
      </c>
      <c r="B675" s="4">
        <v>59638</v>
      </c>
      <c r="C675" s="57">
        <v>43.78</v>
      </c>
    </row>
    <row r="676" spans="1:3" x14ac:dyDescent="0.25">
      <c r="A676" s="196">
        <v>41587</v>
      </c>
      <c r="B676" s="4">
        <v>59639</v>
      </c>
      <c r="C676" s="57">
        <v>136.88</v>
      </c>
    </row>
    <row r="677" spans="1:3" x14ac:dyDescent="0.25">
      <c r="A677" s="196">
        <v>41587</v>
      </c>
      <c r="B677" s="4">
        <v>59640</v>
      </c>
      <c r="C677" s="57">
        <v>73.92</v>
      </c>
    </row>
    <row r="678" spans="1:3" x14ac:dyDescent="0.25">
      <c r="A678" s="196">
        <v>41587</v>
      </c>
      <c r="B678" s="4">
        <v>59641</v>
      </c>
      <c r="C678" s="57">
        <v>166.45</v>
      </c>
    </row>
    <row r="679" spans="1:3" x14ac:dyDescent="0.25">
      <c r="A679" s="196">
        <v>41587</v>
      </c>
      <c r="B679" s="4">
        <v>59642</v>
      </c>
      <c r="C679" s="57">
        <v>214.87</v>
      </c>
    </row>
    <row r="680" spans="1:3" x14ac:dyDescent="0.25">
      <c r="A680" s="196">
        <v>41587</v>
      </c>
      <c r="B680" s="4">
        <v>59643</v>
      </c>
      <c r="C680" s="57">
        <v>119.85</v>
      </c>
    </row>
    <row r="681" spans="1:3" x14ac:dyDescent="0.25">
      <c r="A681" s="196">
        <v>41587</v>
      </c>
      <c r="B681" s="4">
        <v>59644</v>
      </c>
      <c r="C681" s="57">
        <v>67.56</v>
      </c>
    </row>
    <row r="682" spans="1:3" x14ac:dyDescent="0.25">
      <c r="A682" s="196">
        <v>41587</v>
      </c>
      <c r="B682" s="4">
        <v>59645</v>
      </c>
      <c r="C682" s="57">
        <v>368.51</v>
      </c>
    </row>
    <row r="683" spans="1:3" x14ac:dyDescent="0.25">
      <c r="A683" s="196">
        <v>41587</v>
      </c>
      <c r="B683" s="4">
        <v>59646</v>
      </c>
      <c r="C683" s="57">
        <v>51.49</v>
      </c>
    </row>
    <row r="684" spans="1:3" x14ac:dyDescent="0.25">
      <c r="A684" s="196">
        <v>41587</v>
      </c>
      <c r="B684" s="4">
        <v>59647</v>
      </c>
      <c r="C684" s="57">
        <v>261.58</v>
      </c>
    </row>
    <row r="685" spans="1:3" x14ac:dyDescent="0.25">
      <c r="A685" s="196">
        <v>41588</v>
      </c>
      <c r="B685" s="4">
        <v>59648</v>
      </c>
      <c r="C685" s="57">
        <v>126.61</v>
      </c>
    </row>
    <row r="686" spans="1:3" x14ac:dyDescent="0.25">
      <c r="A686" s="196">
        <v>41588</v>
      </c>
      <c r="B686" s="4">
        <v>59649</v>
      </c>
      <c r="C686" s="57">
        <v>304.48</v>
      </c>
    </row>
    <row r="687" spans="1:3" x14ac:dyDescent="0.25">
      <c r="A687" s="196">
        <v>41588</v>
      </c>
      <c r="B687" s="4">
        <v>59650</v>
      </c>
      <c r="C687" s="57">
        <v>96.5</v>
      </c>
    </row>
    <row r="688" spans="1:3" x14ac:dyDescent="0.25">
      <c r="A688" s="196">
        <v>41588</v>
      </c>
      <c r="B688" s="4">
        <v>59651</v>
      </c>
      <c r="C688" s="57">
        <v>123.14</v>
      </c>
    </row>
    <row r="689" spans="1:3" x14ac:dyDescent="0.25">
      <c r="A689" s="196">
        <v>41588</v>
      </c>
      <c r="B689" s="4">
        <v>59652</v>
      </c>
      <c r="C689" s="57">
        <v>157.99</v>
      </c>
    </row>
    <row r="690" spans="1:3" x14ac:dyDescent="0.25">
      <c r="A690" s="196">
        <v>41588</v>
      </c>
      <c r="B690" s="4">
        <v>59653</v>
      </c>
      <c r="C690" s="57">
        <v>229.05</v>
      </c>
    </row>
    <row r="691" spans="1:3" x14ac:dyDescent="0.25">
      <c r="A691" s="196">
        <v>41588</v>
      </c>
      <c r="B691" s="4">
        <v>59654</v>
      </c>
      <c r="C691" s="57">
        <v>229.8</v>
      </c>
    </row>
    <row r="692" spans="1:3" x14ac:dyDescent="0.25">
      <c r="A692" s="196">
        <v>41588</v>
      </c>
      <c r="B692" s="4">
        <v>59655</v>
      </c>
      <c r="C692" s="57">
        <v>322.58999999999997</v>
      </c>
    </row>
    <row r="693" spans="1:3" x14ac:dyDescent="0.25">
      <c r="A693" s="196">
        <v>41588</v>
      </c>
      <c r="B693" s="4">
        <v>59656</v>
      </c>
      <c r="C693" s="57">
        <v>244.16</v>
      </c>
    </row>
    <row r="694" spans="1:3" x14ac:dyDescent="0.25">
      <c r="A694" s="196">
        <v>41588</v>
      </c>
      <c r="B694" s="4">
        <v>59657</v>
      </c>
      <c r="C694" s="57">
        <v>277.33</v>
      </c>
    </row>
    <row r="695" spans="1:3" x14ac:dyDescent="0.25">
      <c r="A695" s="196">
        <v>41588</v>
      </c>
      <c r="B695" s="4">
        <v>59658</v>
      </c>
      <c r="C695" s="57">
        <v>99.39</v>
      </c>
    </row>
    <row r="696" spans="1:3" x14ac:dyDescent="0.25">
      <c r="A696" s="196">
        <v>41588</v>
      </c>
      <c r="B696" s="4">
        <v>59659</v>
      </c>
      <c r="C696" s="57">
        <v>295.95999999999998</v>
      </c>
    </row>
    <row r="697" spans="1:3" x14ac:dyDescent="0.25">
      <c r="A697" s="196">
        <v>41588</v>
      </c>
      <c r="B697" s="4">
        <v>59660</v>
      </c>
      <c r="C697" s="57">
        <v>310.51</v>
      </c>
    </row>
    <row r="698" spans="1:3" x14ac:dyDescent="0.25">
      <c r="A698" s="196">
        <v>41588</v>
      </c>
      <c r="B698" s="4">
        <v>59661</v>
      </c>
      <c r="C698" s="57">
        <v>94.44</v>
      </c>
    </row>
    <row r="699" spans="1:3" x14ac:dyDescent="0.25">
      <c r="A699" s="196">
        <v>41588</v>
      </c>
      <c r="B699" s="4">
        <v>59662</v>
      </c>
      <c r="C699" s="57">
        <v>147</v>
      </c>
    </row>
    <row r="700" spans="1:3" x14ac:dyDescent="0.25">
      <c r="A700" s="196">
        <v>41588</v>
      </c>
      <c r="B700" s="4">
        <v>59663</v>
      </c>
      <c r="C700" s="57">
        <v>108.48</v>
      </c>
    </row>
    <row r="701" spans="1:3" x14ac:dyDescent="0.25">
      <c r="A701" s="196">
        <v>41588</v>
      </c>
      <c r="B701" s="4">
        <v>59664</v>
      </c>
      <c r="C701" s="57">
        <v>156.03</v>
      </c>
    </row>
    <row r="702" spans="1:3" x14ac:dyDescent="0.25">
      <c r="A702" s="196">
        <v>41588</v>
      </c>
      <c r="B702" s="4">
        <v>59665</v>
      </c>
      <c r="C702" s="57">
        <v>45.15</v>
      </c>
    </row>
    <row r="703" spans="1:3" x14ac:dyDescent="0.25">
      <c r="A703" s="196">
        <v>41588</v>
      </c>
      <c r="B703" s="4">
        <v>59666</v>
      </c>
      <c r="C703" s="57">
        <v>192.48</v>
      </c>
    </row>
    <row r="704" spans="1:3" x14ac:dyDescent="0.25">
      <c r="A704" s="196">
        <v>41588</v>
      </c>
      <c r="B704" s="4">
        <v>59667</v>
      </c>
      <c r="C704" s="57">
        <v>43.34</v>
      </c>
    </row>
    <row r="705" spans="1:3" x14ac:dyDescent="0.25">
      <c r="A705" s="196">
        <v>41588</v>
      </c>
      <c r="B705" s="4">
        <v>59668</v>
      </c>
      <c r="C705" s="57">
        <v>169.85</v>
      </c>
    </row>
    <row r="706" spans="1:3" x14ac:dyDescent="0.25">
      <c r="A706" s="196">
        <v>41588</v>
      </c>
      <c r="B706" s="4">
        <v>59669</v>
      </c>
      <c r="C706" s="57">
        <v>280.01</v>
      </c>
    </row>
    <row r="707" spans="1:3" x14ac:dyDescent="0.25">
      <c r="A707" s="196">
        <v>41588</v>
      </c>
      <c r="B707" s="4">
        <v>59670</v>
      </c>
      <c r="C707" s="57">
        <v>377.44</v>
      </c>
    </row>
    <row r="708" spans="1:3" x14ac:dyDescent="0.25">
      <c r="A708" s="196">
        <v>41588</v>
      </c>
      <c r="B708" s="4">
        <v>59671</v>
      </c>
      <c r="C708" s="57">
        <v>345.72</v>
      </c>
    </row>
    <row r="709" spans="1:3" x14ac:dyDescent="0.25">
      <c r="A709" s="196">
        <v>41589</v>
      </c>
      <c r="B709" s="4">
        <v>59672</v>
      </c>
      <c r="C709" s="57">
        <v>151.81</v>
      </c>
    </row>
    <row r="710" spans="1:3" x14ac:dyDescent="0.25">
      <c r="A710" s="196">
        <v>41589</v>
      </c>
      <c r="B710" s="4">
        <v>59673</v>
      </c>
      <c r="C710" s="57">
        <v>96.52</v>
      </c>
    </row>
    <row r="711" spans="1:3" x14ac:dyDescent="0.25">
      <c r="A711" s="196">
        <v>41589</v>
      </c>
      <c r="B711" s="4">
        <v>59674</v>
      </c>
      <c r="C711" s="57">
        <v>185.18</v>
      </c>
    </row>
    <row r="712" spans="1:3" x14ac:dyDescent="0.25">
      <c r="A712" s="196">
        <v>41589</v>
      </c>
      <c r="B712" s="4">
        <v>59675</v>
      </c>
      <c r="C712" s="57">
        <v>115.43</v>
      </c>
    </row>
    <row r="713" spans="1:3" x14ac:dyDescent="0.25">
      <c r="A713" s="196">
        <v>41589</v>
      </c>
      <c r="B713" s="4">
        <v>59676</v>
      </c>
      <c r="C713" s="57">
        <v>289.58999999999997</v>
      </c>
    </row>
    <row r="714" spans="1:3" x14ac:dyDescent="0.25">
      <c r="A714" s="196">
        <v>41589</v>
      </c>
      <c r="B714" s="4">
        <v>59677</v>
      </c>
      <c r="C714" s="57">
        <v>68.97</v>
      </c>
    </row>
    <row r="715" spans="1:3" x14ac:dyDescent="0.25">
      <c r="A715" s="196">
        <v>41589</v>
      </c>
      <c r="B715" s="4">
        <v>59678</v>
      </c>
      <c r="C715" s="57">
        <v>99.07</v>
      </c>
    </row>
    <row r="716" spans="1:3" x14ac:dyDescent="0.25">
      <c r="A716" s="196">
        <v>41589</v>
      </c>
      <c r="B716" s="4">
        <v>59679</v>
      </c>
      <c r="C716" s="57">
        <v>154.46</v>
      </c>
    </row>
    <row r="717" spans="1:3" x14ac:dyDescent="0.25">
      <c r="A717" s="196">
        <v>41589</v>
      </c>
      <c r="B717" s="4">
        <v>59680</v>
      </c>
      <c r="C717" s="57">
        <v>229.51</v>
      </c>
    </row>
    <row r="718" spans="1:3" x14ac:dyDescent="0.25">
      <c r="A718" s="196">
        <v>41589</v>
      </c>
      <c r="B718" s="4">
        <v>59681</v>
      </c>
      <c r="C718" s="57">
        <v>189.82</v>
      </c>
    </row>
    <row r="719" spans="1:3" x14ac:dyDescent="0.25">
      <c r="A719" s="196">
        <v>41589</v>
      </c>
      <c r="B719" s="4">
        <v>59682</v>
      </c>
      <c r="C719" s="57">
        <v>119.18</v>
      </c>
    </row>
    <row r="720" spans="1:3" x14ac:dyDescent="0.25">
      <c r="A720" s="196">
        <v>41589</v>
      </c>
      <c r="B720" s="4">
        <v>59683</v>
      </c>
      <c r="C720" s="57">
        <v>104.63</v>
      </c>
    </row>
    <row r="721" spans="1:3" x14ac:dyDescent="0.25">
      <c r="A721" s="196">
        <v>41589</v>
      </c>
      <c r="B721" s="4">
        <v>59684</v>
      </c>
      <c r="C721" s="57">
        <v>378.81</v>
      </c>
    </row>
    <row r="722" spans="1:3" x14ac:dyDescent="0.25">
      <c r="A722" s="196">
        <v>41589</v>
      </c>
      <c r="B722" s="4">
        <v>59685</v>
      </c>
      <c r="C722" s="57">
        <v>245.55</v>
      </c>
    </row>
    <row r="723" spans="1:3" x14ac:dyDescent="0.25">
      <c r="A723" s="196">
        <v>41589</v>
      </c>
      <c r="B723" s="4">
        <v>59686</v>
      </c>
      <c r="C723" s="57">
        <v>94.6</v>
      </c>
    </row>
    <row r="724" spans="1:3" x14ac:dyDescent="0.25">
      <c r="A724" s="196">
        <v>41590</v>
      </c>
      <c r="B724" s="4">
        <v>59687</v>
      </c>
      <c r="C724" s="57">
        <v>195.05</v>
      </c>
    </row>
    <row r="725" spans="1:3" x14ac:dyDescent="0.25">
      <c r="A725" s="196">
        <v>41590</v>
      </c>
      <c r="B725" s="4">
        <v>59688</v>
      </c>
      <c r="C725" s="57">
        <v>353.03</v>
      </c>
    </row>
    <row r="726" spans="1:3" x14ac:dyDescent="0.25">
      <c r="A726" s="196">
        <v>41590</v>
      </c>
      <c r="B726" s="4">
        <v>59689</v>
      </c>
      <c r="C726" s="57">
        <v>277.45999999999998</v>
      </c>
    </row>
    <row r="727" spans="1:3" x14ac:dyDescent="0.25">
      <c r="A727" s="196">
        <v>41590</v>
      </c>
      <c r="B727" s="4">
        <v>59690</v>
      </c>
      <c r="C727" s="57">
        <v>236.52</v>
      </c>
    </row>
    <row r="728" spans="1:3" x14ac:dyDescent="0.25">
      <c r="A728" s="196">
        <v>41590</v>
      </c>
      <c r="B728" s="4">
        <v>59691</v>
      </c>
      <c r="C728" s="57">
        <v>265.38</v>
      </c>
    </row>
    <row r="729" spans="1:3" x14ac:dyDescent="0.25">
      <c r="A729" s="196">
        <v>41590</v>
      </c>
      <c r="B729" s="4">
        <v>59692</v>
      </c>
      <c r="C729" s="57">
        <v>294.17</v>
      </c>
    </row>
    <row r="730" spans="1:3" x14ac:dyDescent="0.25">
      <c r="A730" s="196">
        <v>41590</v>
      </c>
      <c r="B730" s="4">
        <v>59693</v>
      </c>
      <c r="C730" s="57">
        <v>245.73</v>
      </c>
    </row>
    <row r="731" spans="1:3" x14ac:dyDescent="0.25">
      <c r="A731" s="196">
        <v>41590</v>
      </c>
      <c r="B731" s="4">
        <v>59694</v>
      </c>
      <c r="C731" s="57">
        <v>242.94</v>
      </c>
    </row>
    <row r="732" spans="1:3" x14ac:dyDescent="0.25">
      <c r="A732" s="196">
        <v>41590</v>
      </c>
      <c r="B732" s="4">
        <v>59695</v>
      </c>
      <c r="C732" s="57">
        <v>56.78</v>
      </c>
    </row>
    <row r="733" spans="1:3" x14ac:dyDescent="0.25">
      <c r="A733" s="196">
        <v>41590</v>
      </c>
      <c r="B733" s="4">
        <v>59696</v>
      </c>
      <c r="C733" s="57">
        <v>199.23</v>
      </c>
    </row>
    <row r="734" spans="1:3" x14ac:dyDescent="0.25">
      <c r="A734" s="196">
        <v>41590</v>
      </c>
      <c r="B734" s="4">
        <v>59697</v>
      </c>
      <c r="C734" s="57">
        <v>37.520000000000003</v>
      </c>
    </row>
    <row r="735" spans="1:3" x14ac:dyDescent="0.25">
      <c r="A735" s="196">
        <v>41590</v>
      </c>
      <c r="B735" s="4">
        <v>59698</v>
      </c>
      <c r="C735" s="57">
        <v>96.26</v>
      </c>
    </row>
    <row r="736" spans="1:3" x14ac:dyDescent="0.25">
      <c r="A736" s="196">
        <v>41590</v>
      </c>
      <c r="B736" s="4">
        <v>59699</v>
      </c>
      <c r="C736" s="57">
        <v>164.62</v>
      </c>
    </row>
    <row r="737" spans="1:3" x14ac:dyDescent="0.25">
      <c r="A737" s="196">
        <v>41590</v>
      </c>
      <c r="B737" s="4">
        <v>59700</v>
      </c>
      <c r="C737" s="57">
        <v>164.22</v>
      </c>
    </row>
    <row r="738" spans="1:3" x14ac:dyDescent="0.25">
      <c r="A738" s="196">
        <v>41590</v>
      </c>
      <c r="B738" s="4">
        <v>59701</v>
      </c>
      <c r="C738" s="57">
        <v>169.44</v>
      </c>
    </row>
    <row r="739" spans="1:3" x14ac:dyDescent="0.25">
      <c r="A739" s="196">
        <v>41590</v>
      </c>
      <c r="B739" s="4">
        <v>59702</v>
      </c>
      <c r="C739" s="57">
        <v>278.86</v>
      </c>
    </row>
    <row r="740" spans="1:3" x14ac:dyDescent="0.25">
      <c r="A740" s="196">
        <v>41591</v>
      </c>
      <c r="B740" s="4">
        <v>59703</v>
      </c>
      <c r="C740" s="57">
        <v>97.98</v>
      </c>
    </row>
    <row r="741" spans="1:3" x14ac:dyDescent="0.25">
      <c r="A741" s="196">
        <v>41591</v>
      </c>
      <c r="B741" s="4">
        <v>59704</v>
      </c>
      <c r="C741" s="57">
        <v>56.11</v>
      </c>
    </row>
    <row r="742" spans="1:3" x14ac:dyDescent="0.25">
      <c r="A742" s="196">
        <v>41591</v>
      </c>
      <c r="B742" s="4">
        <v>59705</v>
      </c>
      <c r="C742" s="57">
        <v>54.86</v>
      </c>
    </row>
    <row r="743" spans="1:3" x14ac:dyDescent="0.25">
      <c r="A743" s="196">
        <v>41591</v>
      </c>
      <c r="B743" s="4">
        <v>59706</v>
      </c>
      <c r="C743" s="57">
        <v>78.06</v>
      </c>
    </row>
    <row r="744" spans="1:3" x14ac:dyDescent="0.25">
      <c r="A744" s="196">
        <v>41591</v>
      </c>
      <c r="B744" s="4">
        <v>59707</v>
      </c>
      <c r="C744" s="57">
        <v>55.38</v>
      </c>
    </row>
    <row r="745" spans="1:3" x14ac:dyDescent="0.25">
      <c r="A745" s="196">
        <v>41591</v>
      </c>
      <c r="B745" s="4">
        <v>59708</v>
      </c>
      <c r="C745" s="57">
        <v>95.66</v>
      </c>
    </row>
    <row r="746" spans="1:3" x14ac:dyDescent="0.25">
      <c r="A746" s="196">
        <v>41591</v>
      </c>
      <c r="B746" s="4">
        <v>59709</v>
      </c>
      <c r="C746" s="57">
        <v>159.21</v>
      </c>
    </row>
    <row r="747" spans="1:3" x14ac:dyDescent="0.25">
      <c r="A747" s="196">
        <v>41591</v>
      </c>
      <c r="B747" s="4">
        <v>59710</v>
      </c>
      <c r="C747" s="57">
        <v>64.09</v>
      </c>
    </row>
    <row r="748" spans="1:3" x14ac:dyDescent="0.25">
      <c r="A748" s="196">
        <v>41591</v>
      </c>
      <c r="B748" s="4">
        <v>59711</v>
      </c>
      <c r="C748" s="57">
        <v>326.10000000000002</v>
      </c>
    </row>
    <row r="749" spans="1:3" x14ac:dyDescent="0.25">
      <c r="A749" s="196">
        <v>41591</v>
      </c>
      <c r="B749" s="4">
        <v>59712</v>
      </c>
      <c r="C749" s="57">
        <v>193.39</v>
      </c>
    </row>
    <row r="750" spans="1:3" x14ac:dyDescent="0.25">
      <c r="A750" s="196">
        <v>41591</v>
      </c>
      <c r="B750" s="4">
        <v>59713</v>
      </c>
      <c r="C750" s="57">
        <v>317.72000000000003</v>
      </c>
    </row>
    <row r="751" spans="1:3" x14ac:dyDescent="0.25">
      <c r="A751" s="196">
        <v>41591</v>
      </c>
      <c r="B751" s="4">
        <v>59714</v>
      </c>
      <c r="C751" s="57">
        <v>48.07</v>
      </c>
    </row>
    <row r="752" spans="1:3" x14ac:dyDescent="0.25">
      <c r="A752" s="196">
        <v>41591</v>
      </c>
      <c r="B752" s="4">
        <v>59715</v>
      </c>
      <c r="C752" s="57">
        <v>193.25</v>
      </c>
    </row>
    <row r="753" spans="1:3" x14ac:dyDescent="0.25">
      <c r="A753" s="196">
        <v>41591</v>
      </c>
      <c r="B753" s="4">
        <v>59716</v>
      </c>
      <c r="C753" s="57">
        <v>294.49</v>
      </c>
    </row>
    <row r="754" spans="1:3" x14ac:dyDescent="0.25">
      <c r="A754" s="196">
        <v>41591</v>
      </c>
      <c r="B754" s="4">
        <v>59717</v>
      </c>
      <c r="C754" s="57">
        <v>217</v>
      </c>
    </row>
    <row r="755" spans="1:3" x14ac:dyDescent="0.25">
      <c r="A755" s="196">
        <v>41591</v>
      </c>
      <c r="B755" s="4">
        <v>59718</v>
      </c>
      <c r="C755" s="57">
        <v>104.04</v>
      </c>
    </row>
    <row r="756" spans="1:3" x14ac:dyDescent="0.25">
      <c r="A756" s="196">
        <v>41591</v>
      </c>
      <c r="B756" s="4">
        <v>59719</v>
      </c>
      <c r="C756" s="57">
        <v>153.94999999999999</v>
      </c>
    </row>
    <row r="757" spans="1:3" x14ac:dyDescent="0.25">
      <c r="A757" s="196">
        <v>41591</v>
      </c>
      <c r="B757" s="4">
        <v>59720</v>
      </c>
      <c r="C757" s="57">
        <v>79.61</v>
      </c>
    </row>
    <row r="758" spans="1:3" x14ac:dyDescent="0.25">
      <c r="A758" s="196">
        <v>41592</v>
      </c>
      <c r="B758" s="4">
        <v>59721</v>
      </c>
      <c r="C758" s="57">
        <v>58.5</v>
      </c>
    </row>
    <row r="759" spans="1:3" x14ac:dyDescent="0.25">
      <c r="A759" s="196">
        <v>41592</v>
      </c>
      <c r="B759" s="4">
        <v>59722</v>
      </c>
      <c r="C759" s="57">
        <v>203.04</v>
      </c>
    </row>
    <row r="760" spans="1:3" x14ac:dyDescent="0.25">
      <c r="A760" s="196">
        <v>41592</v>
      </c>
      <c r="B760" s="4">
        <v>59723</v>
      </c>
      <c r="C760" s="57">
        <v>244.87</v>
      </c>
    </row>
    <row r="761" spans="1:3" x14ac:dyDescent="0.25">
      <c r="A761" s="196">
        <v>41592</v>
      </c>
      <c r="B761" s="4">
        <v>59724</v>
      </c>
      <c r="C761" s="57">
        <v>234.89</v>
      </c>
    </row>
    <row r="762" spans="1:3" x14ac:dyDescent="0.25">
      <c r="A762" s="196">
        <v>41592</v>
      </c>
      <c r="B762" s="4">
        <v>59725</v>
      </c>
      <c r="C762" s="57">
        <v>166.17</v>
      </c>
    </row>
    <row r="763" spans="1:3" x14ac:dyDescent="0.25">
      <c r="A763" s="196">
        <v>41592</v>
      </c>
      <c r="B763" s="4">
        <v>59726</v>
      </c>
      <c r="C763" s="57">
        <v>279.49</v>
      </c>
    </row>
    <row r="764" spans="1:3" x14ac:dyDescent="0.25">
      <c r="A764" s="196">
        <v>41592</v>
      </c>
      <c r="B764" s="4">
        <v>59727</v>
      </c>
      <c r="C764" s="57">
        <v>188.78</v>
      </c>
    </row>
    <row r="765" spans="1:3" x14ac:dyDescent="0.25">
      <c r="A765" s="196">
        <v>41592</v>
      </c>
      <c r="B765" s="4">
        <v>59728</v>
      </c>
      <c r="C765" s="57">
        <v>94.41</v>
      </c>
    </row>
    <row r="766" spans="1:3" x14ac:dyDescent="0.25">
      <c r="A766" s="196">
        <v>41592</v>
      </c>
      <c r="B766" s="4">
        <v>59729</v>
      </c>
      <c r="C766" s="57">
        <v>170.09</v>
      </c>
    </row>
    <row r="767" spans="1:3" x14ac:dyDescent="0.25">
      <c r="A767" s="196">
        <v>41592</v>
      </c>
      <c r="B767" s="4">
        <v>59730</v>
      </c>
      <c r="C767" s="57">
        <v>316.27999999999997</v>
      </c>
    </row>
    <row r="768" spans="1:3" x14ac:dyDescent="0.25">
      <c r="A768" s="196">
        <v>41592</v>
      </c>
      <c r="B768" s="4">
        <v>59731</v>
      </c>
      <c r="C768" s="57">
        <v>227.8</v>
      </c>
    </row>
    <row r="769" spans="1:3" x14ac:dyDescent="0.25">
      <c r="A769" s="196">
        <v>41592</v>
      </c>
      <c r="B769" s="4">
        <v>59732</v>
      </c>
      <c r="C769" s="57">
        <v>215.52</v>
      </c>
    </row>
    <row r="770" spans="1:3" x14ac:dyDescent="0.25">
      <c r="A770" s="196">
        <v>41592</v>
      </c>
      <c r="B770" s="4">
        <v>59733</v>
      </c>
      <c r="C770" s="57">
        <v>51.98</v>
      </c>
    </row>
    <row r="771" spans="1:3" x14ac:dyDescent="0.25">
      <c r="A771" s="196">
        <v>41592</v>
      </c>
      <c r="B771" s="4">
        <v>59734</v>
      </c>
      <c r="C771" s="57">
        <v>304.61</v>
      </c>
    </row>
    <row r="772" spans="1:3" x14ac:dyDescent="0.25">
      <c r="A772" s="196">
        <v>41592</v>
      </c>
      <c r="B772" s="4">
        <v>59735</v>
      </c>
      <c r="C772" s="57">
        <v>264.08</v>
      </c>
    </row>
    <row r="773" spans="1:3" x14ac:dyDescent="0.25">
      <c r="A773" s="196">
        <v>41592</v>
      </c>
      <c r="B773" s="4">
        <v>59736</v>
      </c>
      <c r="C773" s="57">
        <v>174.42</v>
      </c>
    </row>
    <row r="774" spans="1:3" x14ac:dyDescent="0.25">
      <c r="A774" s="196">
        <v>41592</v>
      </c>
      <c r="B774" s="4">
        <v>59737</v>
      </c>
      <c r="C774" s="57">
        <v>98.78</v>
      </c>
    </row>
    <row r="775" spans="1:3" x14ac:dyDescent="0.25">
      <c r="A775" s="196">
        <v>41592</v>
      </c>
      <c r="B775" s="4">
        <v>59738</v>
      </c>
      <c r="C775" s="57">
        <v>52.73</v>
      </c>
    </row>
    <row r="776" spans="1:3" x14ac:dyDescent="0.25">
      <c r="A776" s="196">
        <v>41592</v>
      </c>
      <c r="B776" s="4">
        <v>59739</v>
      </c>
      <c r="C776" s="57">
        <v>161.49</v>
      </c>
    </row>
    <row r="777" spans="1:3" x14ac:dyDescent="0.25">
      <c r="A777" s="196">
        <v>41592</v>
      </c>
      <c r="B777" s="4">
        <v>59740</v>
      </c>
      <c r="C777" s="57">
        <v>68.02</v>
      </c>
    </row>
    <row r="778" spans="1:3" x14ac:dyDescent="0.25">
      <c r="A778" s="196">
        <v>41592</v>
      </c>
      <c r="B778" s="4">
        <v>59741</v>
      </c>
      <c r="C778" s="57">
        <v>242.04</v>
      </c>
    </row>
    <row r="779" spans="1:3" x14ac:dyDescent="0.25">
      <c r="A779" s="196">
        <v>41592</v>
      </c>
      <c r="B779" s="4">
        <v>59742</v>
      </c>
      <c r="C779" s="57">
        <v>140.72</v>
      </c>
    </row>
    <row r="780" spans="1:3" x14ac:dyDescent="0.25">
      <c r="A780" s="196">
        <v>41592</v>
      </c>
      <c r="B780" s="4">
        <v>59743</v>
      </c>
      <c r="C780" s="57">
        <v>103.89</v>
      </c>
    </row>
    <row r="781" spans="1:3" x14ac:dyDescent="0.25">
      <c r="A781" s="196">
        <v>41592</v>
      </c>
      <c r="B781" s="4">
        <v>59744</v>
      </c>
      <c r="C781" s="57">
        <v>105.2</v>
      </c>
    </row>
    <row r="782" spans="1:3" x14ac:dyDescent="0.25">
      <c r="A782" s="196">
        <v>41592</v>
      </c>
      <c r="B782" s="4">
        <v>59745</v>
      </c>
      <c r="C782" s="57">
        <v>35.979999999999997</v>
      </c>
    </row>
    <row r="783" spans="1:3" x14ac:dyDescent="0.25">
      <c r="A783" s="196">
        <v>41593</v>
      </c>
      <c r="B783" s="4">
        <v>59746</v>
      </c>
      <c r="C783" s="57">
        <v>79.75</v>
      </c>
    </row>
    <row r="784" spans="1:3" x14ac:dyDescent="0.25">
      <c r="A784" s="196">
        <v>41593</v>
      </c>
      <c r="B784" s="4">
        <v>59747</v>
      </c>
      <c r="C784" s="57">
        <v>211.91</v>
      </c>
    </row>
    <row r="785" spans="1:3" x14ac:dyDescent="0.25">
      <c r="A785" s="196">
        <v>41593</v>
      </c>
      <c r="B785" s="4">
        <v>59748</v>
      </c>
      <c r="C785" s="57">
        <v>235.98</v>
      </c>
    </row>
    <row r="786" spans="1:3" x14ac:dyDescent="0.25">
      <c r="A786" s="196">
        <v>41593</v>
      </c>
      <c r="B786" s="4">
        <v>59749</v>
      </c>
      <c r="C786" s="57">
        <v>38.92</v>
      </c>
    </row>
    <row r="787" spans="1:3" x14ac:dyDescent="0.25">
      <c r="A787" s="196">
        <v>41593</v>
      </c>
      <c r="B787" s="4">
        <v>59750</v>
      </c>
      <c r="C787" s="57">
        <v>237.26</v>
      </c>
    </row>
    <row r="788" spans="1:3" x14ac:dyDescent="0.25">
      <c r="A788" s="196">
        <v>41593</v>
      </c>
      <c r="B788" s="4">
        <v>59751</v>
      </c>
      <c r="C788" s="57">
        <v>335.56</v>
      </c>
    </row>
    <row r="789" spans="1:3" x14ac:dyDescent="0.25">
      <c r="A789" s="196">
        <v>41593</v>
      </c>
      <c r="B789" s="4">
        <v>59752</v>
      </c>
      <c r="C789" s="57">
        <v>328.54</v>
      </c>
    </row>
    <row r="790" spans="1:3" x14ac:dyDescent="0.25">
      <c r="A790" s="196">
        <v>41593</v>
      </c>
      <c r="B790" s="4">
        <v>59753</v>
      </c>
      <c r="C790" s="57">
        <v>247.91</v>
      </c>
    </row>
    <row r="791" spans="1:3" x14ac:dyDescent="0.25">
      <c r="A791" s="196">
        <v>41593</v>
      </c>
      <c r="B791" s="4">
        <v>59754</v>
      </c>
      <c r="C791" s="57">
        <v>222.26</v>
      </c>
    </row>
    <row r="792" spans="1:3" x14ac:dyDescent="0.25">
      <c r="A792" s="196">
        <v>41593</v>
      </c>
      <c r="B792" s="4">
        <v>59755</v>
      </c>
      <c r="C792" s="57">
        <v>214.01</v>
      </c>
    </row>
    <row r="793" spans="1:3" x14ac:dyDescent="0.25">
      <c r="A793" s="196">
        <v>41593</v>
      </c>
      <c r="B793" s="4">
        <v>59756</v>
      </c>
      <c r="C793" s="57">
        <v>98.23</v>
      </c>
    </row>
    <row r="794" spans="1:3" x14ac:dyDescent="0.25">
      <c r="A794" s="196">
        <v>41593</v>
      </c>
      <c r="B794" s="4">
        <v>59757</v>
      </c>
      <c r="C794" s="57">
        <v>143.38999999999999</v>
      </c>
    </row>
    <row r="795" spans="1:3" x14ac:dyDescent="0.25">
      <c r="A795" s="196">
        <v>41593</v>
      </c>
      <c r="B795" s="4">
        <v>59758</v>
      </c>
      <c r="C795" s="57">
        <v>327.13</v>
      </c>
    </row>
    <row r="796" spans="1:3" x14ac:dyDescent="0.25">
      <c r="A796" s="196">
        <v>41593</v>
      </c>
      <c r="B796" s="4">
        <v>59759</v>
      </c>
      <c r="C796" s="57">
        <v>364.84</v>
      </c>
    </row>
    <row r="797" spans="1:3" x14ac:dyDescent="0.25">
      <c r="A797" s="196">
        <v>41593</v>
      </c>
      <c r="B797" s="4">
        <v>59760</v>
      </c>
      <c r="C797" s="57">
        <v>195.28</v>
      </c>
    </row>
    <row r="798" spans="1:3" x14ac:dyDescent="0.25">
      <c r="A798" s="196">
        <v>41593</v>
      </c>
      <c r="B798" s="4">
        <v>59761</v>
      </c>
      <c r="C798" s="57">
        <v>35.08</v>
      </c>
    </row>
    <row r="799" spans="1:3" x14ac:dyDescent="0.25">
      <c r="A799" s="196">
        <v>41593</v>
      </c>
      <c r="B799" s="4">
        <v>59762</v>
      </c>
      <c r="C799" s="57">
        <v>88.7</v>
      </c>
    </row>
    <row r="800" spans="1:3" x14ac:dyDescent="0.25">
      <c r="A800" s="196">
        <v>41593</v>
      </c>
      <c r="B800" s="4">
        <v>59763</v>
      </c>
      <c r="C800" s="57">
        <v>98.44</v>
      </c>
    </row>
    <row r="801" spans="1:3" x14ac:dyDescent="0.25">
      <c r="A801" s="196">
        <v>41593</v>
      </c>
      <c r="B801" s="4">
        <v>59764</v>
      </c>
      <c r="C801" s="57">
        <v>344.86</v>
      </c>
    </row>
    <row r="802" spans="1:3" x14ac:dyDescent="0.25">
      <c r="A802" s="196">
        <v>41593</v>
      </c>
      <c r="B802" s="4">
        <v>59765</v>
      </c>
      <c r="C802" s="57">
        <v>38.42</v>
      </c>
    </row>
    <row r="803" spans="1:3" x14ac:dyDescent="0.25">
      <c r="A803" s="196">
        <v>41593</v>
      </c>
      <c r="B803" s="4">
        <v>59766</v>
      </c>
      <c r="C803" s="57">
        <v>183.44</v>
      </c>
    </row>
    <row r="804" spans="1:3" x14ac:dyDescent="0.25">
      <c r="A804" s="196">
        <v>41593</v>
      </c>
      <c r="B804" s="4">
        <v>59767</v>
      </c>
      <c r="C804" s="57">
        <v>227.2</v>
      </c>
    </row>
    <row r="805" spans="1:3" x14ac:dyDescent="0.25">
      <c r="A805" s="196">
        <v>41593</v>
      </c>
      <c r="B805" s="4">
        <v>59768</v>
      </c>
      <c r="C805" s="57">
        <v>365.95</v>
      </c>
    </row>
    <row r="806" spans="1:3" x14ac:dyDescent="0.25">
      <c r="A806" s="196">
        <v>41593</v>
      </c>
      <c r="B806" s="4">
        <v>59769</v>
      </c>
      <c r="C806" s="57">
        <v>129.94999999999999</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K6"/>
  <sheetViews>
    <sheetView zoomScale="145" zoomScaleNormal="145" workbookViewId="0">
      <selection activeCell="B6" sqref="B6"/>
    </sheetView>
  </sheetViews>
  <sheetFormatPr defaultRowHeight="15" x14ac:dyDescent="0.25"/>
  <cols>
    <col min="1" max="1" width="13.28515625" bestFit="1" customWidth="1"/>
    <col min="2" max="2" width="28.140625" customWidth="1"/>
  </cols>
  <sheetData>
    <row r="1" spans="1:11" x14ac:dyDescent="0.25">
      <c r="A1" s="63" t="s">
        <v>1427</v>
      </c>
      <c r="B1" s="64"/>
      <c r="C1" s="65"/>
      <c r="D1" s="64"/>
      <c r="E1" s="64"/>
      <c r="F1" s="64"/>
      <c r="G1" s="64"/>
      <c r="H1" s="64"/>
      <c r="I1" s="64"/>
      <c r="J1" s="64"/>
      <c r="K1" s="65"/>
    </row>
    <row r="4" spans="1:11" x14ac:dyDescent="0.25">
      <c r="A4" s="4" t="s">
        <v>1417</v>
      </c>
      <c r="B4" s="196">
        <v>41586</v>
      </c>
    </row>
    <row r="6" spans="1:11" ht="36.75" customHeight="1" x14ac:dyDescent="0.25">
      <c r="A6" s="4" t="s">
        <v>1426</v>
      </c>
      <c r="B6" s="103"/>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6"/>
  <sheetViews>
    <sheetView zoomScale="160" zoomScaleNormal="160" workbookViewId="0">
      <selection activeCell="B6" sqref="B6"/>
    </sheetView>
  </sheetViews>
  <sheetFormatPr defaultRowHeight="15" x14ac:dyDescent="0.25"/>
  <cols>
    <col min="1" max="1" width="13.28515625" bestFit="1" customWidth="1"/>
    <col min="2" max="2" width="28.140625" customWidth="1"/>
  </cols>
  <sheetData>
    <row r="1" spans="1:11" x14ac:dyDescent="0.25">
      <c r="A1" s="63" t="s">
        <v>1427</v>
      </c>
      <c r="B1" s="64"/>
      <c r="C1" s="65"/>
      <c r="D1" s="64"/>
      <c r="E1" s="64"/>
      <c r="F1" s="64"/>
      <c r="G1" s="64"/>
      <c r="H1" s="64"/>
      <c r="I1" s="64"/>
      <c r="J1" s="64"/>
      <c r="K1" s="65"/>
    </row>
    <row r="4" spans="1:11" x14ac:dyDescent="0.25">
      <c r="A4" s="4" t="s">
        <v>1417</v>
      </c>
      <c r="B4" s="196">
        <v>41586</v>
      </c>
    </row>
    <row r="6" spans="1:11" ht="30" x14ac:dyDescent="0.25">
      <c r="A6" s="4" t="s">
        <v>1426</v>
      </c>
      <c r="B6" s="103" t="str">
        <f>"The due date for the invoice is "&amp;TEXT(B4,"dddd, mmmm d, yyy")</f>
        <v>The due date for the invoice is Friday, November 8, 2013</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K8"/>
  <sheetViews>
    <sheetView zoomScale="115" zoomScaleNormal="115" workbookViewId="0">
      <selection activeCell="B5" sqref="B5:B8"/>
    </sheetView>
  </sheetViews>
  <sheetFormatPr defaultRowHeight="15" x14ac:dyDescent="0.25"/>
  <cols>
    <col min="1" max="1" width="12.7109375" customWidth="1"/>
    <col min="2" max="3" width="21.7109375" customWidth="1"/>
  </cols>
  <sheetData>
    <row r="1" spans="1:11" x14ac:dyDescent="0.25">
      <c r="A1" s="63" t="s">
        <v>1484</v>
      </c>
      <c r="B1" s="64"/>
      <c r="C1" s="64"/>
      <c r="D1" s="64"/>
      <c r="E1" s="64"/>
      <c r="F1" s="64"/>
      <c r="G1" s="64"/>
      <c r="H1" s="64"/>
      <c r="I1" s="64"/>
      <c r="J1" s="64"/>
      <c r="K1" s="65"/>
    </row>
    <row r="4" spans="1:11" x14ac:dyDescent="0.25">
      <c r="A4" s="11" t="s">
        <v>1478</v>
      </c>
      <c r="B4" s="11" t="s">
        <v>1479</v>
      </c>
    </row>
    <row r="5" spans="1:11" x14ac:dyDescent="0.25">
      <c r="A5" s="4" t="s">
        <v>1480</v>
      </c>
      <c r="B5" s="4">
        <v>24000000000</v>
      </c>
    </row>
    <row r="6" spans="1:11" x14ac:dyDescent="0.25">
      <c r="A6" s="4" t="s">
        <v>1481</v>
      </c>
      <c r="B6" s="4">
        <v>5000000000</v>
      </c>
    </row>
    <row r="7" spans="1:11" x14ac:dyDescent="0.25">
      <c r="A7" s="4" t="s">
        <v>1482</v>
      </c>
      <c r="B7" s="4">
        <v>17000000000</v>
      </c>
    </row>
    <row r="8" spans="1:11" x14ac:dyDescent="0.25">
      <c r="A8" s="4" t="s">
        <v>1483</v>
      </c>
      <c r="B8" s="4">
        <v>4500000000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8"/>
  <sheetViews>
    <sheetView zoomScale="115" zoomScaleNormal="115" workbookViewId="0">
      <selection sqref="A1:K1"/>
    </sheetView>
  </sheetViews>
  <sheetFormatPr defaultRowHeight="15" x14ac:dyDescent="0.25"/>
  <cols>
    <col min="1" max="1" width="12.7109375" customWidth="1"/>
    <col min="2" max="3" width="21.7109375" customWidth="1"/>
  </cols>
  <sheetData>
    <row r="1" spans="1:11" x14ac:dyDescent="0.25">
      <c r="A1" s="63" t="s">
        <v>1484</v>
      </c>
      <c r="B1" s="64"/>
      <c r="C1" s="64"/>
      <c r="D1" s="64"/>
      <c r="E1" s="64"/>
      <c r="F1" s="64"/>
      <c r="G1" s="64"/>
      <c r="H1" s="64"/>
      <c r="I1" s="64"/>
      <c r="J1" s="64"/>
      <c r="K1" s="65"/>
    </row>
    <row r="4" spans="1:11" x14ac:dyDescent="0.25">
      <c r="A4" s="11" t="s">
        <v>1478</v>
      </c>
      <c r="B4" s="11" t="s">
        <v>1479</v>
      </c>
    </row>
    <row r="5" spans="1:11" x14ac:dyDescent="0.25">
      <c r="A5" s="4" t="s">
        <v>1480</v>
      </c>
      <c r="B5" s="220">
        <v>24000000000</v>
      </c>
    </row>
    <row r="6" spans="1:11" x14ac:dyDescent="0.25">
      <c r="A6" s="4" t="s">
        <v>1481</v>
      </c>
      <c r="B6" s="220">
        <v>5000000000</v>
      </c>
    </row>
    <row r="7" spans="1:11" x14ac:dyDescent="0.25">
      <c r="A7" s="4" t="s">
        <v>1482</v>
      </c>
      <c r="B7" s="220">
        <v>17000000000</v>
      </c>
    </row>
    <row r="8" spans="1:11" x14ac:dyDescent="0.25">
      <c r="A8" s="4" t="s">
        <v>1483</v>
      </c>
      <c r="B8" s="220">
        <v>4500000000</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4:I35"/>
  <sheetViews>
    <sheetView zoomScale="85" zoomScaleNormal="85" workbookViewId="0">
      <selection activeCell="E5" sqref="E5"/>
    </sheetView>
  </sheetViews>
  <sheetFormatPr defaultRowHeight="15" x14ac:dyDescent="0.25"/>
  <cols>
    <col min="2" max="3" width="9.85546875" bestFit="1" customWidth="1"/>
    <col min="5" max="5" width="37.5703125" customWidth="1"/>
    <col min="6" max="6" width="12.7109375" customWidth="1"/>
  </cols>
  <sheetData>
    <row r="4" spans="1:9" ht="26.25" x14ac:dyDescent="0.25">
      <c r="A4" s="11" t="s">
        <v>833</v>
      </c>
      <c r="B4" s="26" t="s">
        <v>1397</v>
      </c>
      <c r="C4" s="26" t="s">
        <v>1122</v>
      </c>
      <c r="E4" s="63" t="s">
        <v>1398</v>
      </c>
      <c r="F4" s="65"/>
    </row>
    <row r="5" spans="1:9" x14ac:dyDescent="0.25">
      <c r="A5" s="4" t="s">
        <v>1118</v>
      </c>
      <c r="B5" s="57">
        <v>1944</v>
      </c>
      <c r="C5" s="57">
        <v>1166.4000000000001</v>
      </c>
      <c r="E5" s="191"/>
    </row>
    <row r="6" spans="1:9" x14ac:dyDescent="0.25">
      <c r="A6" s="4" t="s">
        <v>1120</v>
      </c>
      <c r="B6" s="57">
        <v>1570</v>
      </c>
      <c r="C6" s="57">
        <v>628</v>
      </c>
    </row>
    <row r="7" spans="1:9" x14ac:dyDescent="0.25">
      <c r="A7" s="4" t="s">
        <v>1118</v>
      </c>
      <c r="B7" s="57">
        <v>1012</v>
      </c>
      <c r="C7" s="57">
        <v>607.20000000000005</v>
      </c>
    </row>
    <row r="8" spans="1:9" x14ac:dyDescent="0.25">
      <c r="A8" s="4" t="s">
        <v>1118</v>
      </c>
      <c r="B8" s="57">
        <v>1088</v>
      </c>
      <c r="C8" s="57">
        <v>435.2</v>
      </c>
      <c r="E8" s="63" t="s">
        <v>1400</v>
      </c>
      <c r="F8" s="65"/>
    </row>
    <row r="9" spans="1:9" x14ac:dyDescent="0.25">
      <c r="A9" s="4" t="s">
        <v>1120</v>
      </c>
      <c r="B9" s="57">
        <v>759</v>
      </c>
      <c r="C9" s="57">
        <v>303.60000000000002</v>
      </c>
      <c r="E9" s="192" t="s">
        <v>833</v>
      </c>
      <c r="F9" s="192" t="s">
        <v>705</v>
      </c>
      <c r="I9" s="192" t="s">
        <v>705</v>
      </c>
    </row>
    <row r="10" spans="1:9" x14ac:dyDescent="0.25">
      <c r="A10" s="4" t="s">
        <v>1118</v>
      </c>
      <c r="B10" s="57">
        <v>484</v>
      </c>
      <c r="C10" s="57">
        <v>242</v>
      </c>
      <c r="E10" s="4" t="s">
        <v>1118</v>
      </c>
      <c r="F10" s="22"/>
      <c r="I10" s="22"/>
    </row>
    <row r="11" spans="1:9" x14ac:dyDescent="0.25">
      <c r="A11" s="4" t="s">
        <v>1120</v>
      </c>
      <c r="B11" s="57">
        <v>827</v>
      </c>
      <c r="C11" s="57">
        <v>413.5</v>
      </c>
      <c r="E11" s="4" t="s">
        <v>1120</v>
      </c>
      <c r="F11" s="22"/>
      <c r="H11" t="s">
        <v>829</v>
      </c>
      <c r="I11" s="22"/>
    </row>
    <row r="12" spans="1:9" x14ac:dyDescent="0.25">
      <c r="A12" s="4" t="s">
        <v>1120</v>
      </c>
      <c r="B12" s="57">
        <v>704</v>
      </c>
      <c r="C12" s="57">
        <v>281.60000000000002</v>
      </c>
    </row>
    <row r="13" spans="1:9" x14ac:dyDescent="0.25">
      <c r="A13" s="4" t="s">
        <v>1120</v>
      </c>
      <c r="B13" s="57">
        <v>1707</v>
      </c>
      <c r="C13" s="57">
        <v>1194.9000000000001</v>
      </c>
    </row>
    <row r="14" spans="1:9" x14ac:dyDescent="0.25">
      <c r="A14" s="4" t="s">
        <v>1118</v>
      </c>
      <c r="B14" s="57">
        <v>511</v>
      </c>
      <c r="C14" s="57">
        <v>255.5</v>
      </c>
      <c r="E14" s="63" t="s">
        <v>1401</v>
      </c>
      <c r="F14" s="65"/>
    </row>
    <row r="15" spans="1:9" x14ac:dyDescent="0.25">
      <c r="A15" s="4" t="s">
        <v>1118</v>
      </c>
      <c r="B15" s="57">
        <v>722</v>
      </c>
      <c r="C15" s="57">
        <v>505.4</v>
      </c>
      <c r="E15" s="192" t="s">
        <v>833</v>
      </c>
      <c r="F15" s="192" t="s">
        <v>704</v>
      </c>
      <c r="I15" s="192" t="s">
        <v>704</v>
      </c>
    </row>
    <row r="16" spans="1:9" x14ac:dyDescent="0.25">
      <c r="A16" s="4" t="s">
        <v>1120</v>
      </c>
      <c r="B16" s="57">
        <v>183</v>
      </c>
      <c r="C16" s="57">
        <v>109.8</v>
      </c>
      <c r="E16" s="4" t="s">
        <v>1118</v>
      </c>
      <c r="F16" s="22"/>
      <c r="I16" s="22"/>
    </row>
    <row r="17" spans="1:9" x14ac:dyDescent="0.25">
      <c r="A17" s="4" t="s">
        <v>1120</v>
      </c>
      <c r="B17" s="57">
        <v>1473</v>
      </c>
      <c r="C17" s="57">
        <v>736.5</v>
      </c>
      <c r="E17" s="4" t="s">
        <v>1120</v>
      </c>
      <c r="F17" s="22"/>
      <c r="H17" t="s">
        <v>829</v>
      </c>
      <c r="I17" s="22"/>
    </row>
    <row r="18" spans="1:9" x14ac:dyDescent="0.25">
      <c r="A18" s="4" t="s">
        <v>1120</v>
      </c>
      <c r="B18" s="57">
        <v>468</v>
      </c>
      <c r="C18" s="57">
        <v>327.60000000000002</v>
      </c>
    </row>
    <row r="20" spans="1:9" x14ac:dyDescent="0.25">
      <c r="E20" s="63" t="s">
        <v>1402</v>
      </c>
      <c r="F20" s="65"/>
    </row>
    <row r="21" spans="1:9" x14ac:dyDescent="0.25">
      <c r="E21" s="192" t="s">
        <v>833</v>
      </c>
      <c r="F21" s="192" t="s">
        <v>1399</v>
      </c>
    </row>
    <row r="22" spans="1:9" x14ac:dyDescent="0.25">
      <c r="E22" s="4" t="s">
        <v>1118</v>
      </c>
      <c r="F22" s="22"/>
    </row>
    <row r="23" spans="1:9" x14ac:dyDescent="0.25">
      <c r="E23" s="4" t="s">
        <v>1120</v>
      </c>
      <c r="F23" s="22"/>
      <c r="H23" t="s">
        <v>829</v>
      </c>
    </row>
    <row r="26" spans="1:9" x14ac:dyDescent="0.25">
      <c r="E26" s="63" t="s">
        <v>1412</v>
      </c>
      <c r="F26" s="65"/>
    </row>
    <row r="27" spans="1:9" ht="26.25" x14ac:dyDescent="0.25">
      <c r="E27" s="192" t="s">
        <v>833</v>
      </c>
      <c r="F27" s="192" t="s">
        <v>1399</v>
      </c>
      <c r="I27" s="192" t="s">
        <v>1399</v>
      </c>
    </row>
    <row r="28" spans="1:9" x14ac:dyDescent="0.25">
      <c r="E28" s="4" t="s">
        <v>1118</v>
      </c>
      <c r="F28" s="22"/>
      <c r="I28" s="22"/>
    </row>
    <row r="29" spans="1:9" x14ac:dyDescent="0.25">
      <c r="E29" s="4" t="s">
        <v>1120</v>
      </c>
      <c r="F29" s="22"/>
      <c r="I29" s="22"/>
    </row>
    <row r="32" spans="1:9" x14ac:dyDescent="0.25">
      <c r="E32" s="63" t="s">
        <v>1413</v>
      </c>
      <c r="F32" s="65"/>
    </row>
    <row r="33" spans="5:9" ht="26.25" x14ac:dyDescent="0.25">
      <c r="E33" s="192" t="s">
        <v>833</v>
      </c>
      <c r="F33" s="192" t="s">
        <v>1399</v>
      </c>
      <c r="I33" s="192" t="s">
        <v>1399</v>
      </c>
    </row>
    <row r="34" spans="5:9" x14ac:dyDescent="0.25">
      <c r="E34" s="4" t="s">
        <v>1118</v>
      </c>
      <c r="F34" s="22"/>
      <c r="I34" s="22"/>
    </row>
    <row r="35" spans="5:9" x14ac:dyDescent="0.25">
      <c r="E35" s="4" t="s">
        <v>1120</v>
      </c>
      <c r="F35" s="22"/>
      <c r="I35" s="22"/>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4:I35"/>
  <sheetViews>
    <sheetView zoomScale="85" zoomScaleNormal="85" workbookViewId="0">
      <selection activeCell="N38" sqref="N38"/>
    </sheetView>
  </sheetViews>
  <sheetFormatPr defaultRowHeight="15" x14ac:dyDescent="0.25"/>
  <cols>
    <col min="2" max="3" width="9.85546875" bestFit="1" customWidth="1"/>
    <col min="5" max="5" width="37.5703125" customWidth="1"/>
    <col min="6" max="6" width="12.7109375" customWidth="1"/>
  </cols>
  <sheetData>
    <row r="4" spans="1:9" ht="26.25" x14ac:dyDescent="0.25">
      <c r="A4" s="11" t="s">
        <v>833</v>
      </c>
      <c r="B4" s="26" t="s">
        <v>1397</v>
      </c>
      <c r="C4" s="26" t="s">
        <v>1122</v>
      </c>
      <c r="E4" s="63" t="s">
        <v>1398</v>
      </c>
      <c r="F4" s="65"/>
    </row>
    <row r="5" spans="1:9" x14ac:dyDescent="0.25">
      <c r="A5" s="4" t="s">
        <v>1118</v>
      </c>
      <c r="B5" s="57">
        <v>1944</v>
      </c>
      <c r="C5" s="57">
        <v>1166.4000000000001</v>
      </c>
      <c r="E5" s="191">
        <f>SUMPRODUCT(B5:B18-C5:C18)</f>
        <v>6244.8</v>
      </c>
    </row>
    <row r="6" spans="1:9" x14ac:dyDescent="0.25">
      <c r="A6" s="4" t="s">
        <v>1120</v>
      </c>
      <c r="B6" s="57">
        <v>1570</v>
      </c>
      <c r="C6" s="57">
        <v>628</v>
      </c>
    </row>
    <row r="7" spans="1:9" x14ac:dyDescent="0.25">
      <c r="A7" s="4" t="s">
        <v>1118</v>
      </c>
      <c r="B7" s="57">
        <v>1012</v>
      </c>
      <c r="C7" s="57">
        <v>607.20000000000005</v>
      </c>
    </row>
    <row r="8" spans="1:9" x14ac:dyDescent="0.25">
      <c r="A8" s="4" t="s">
        <v>1118</v>
      </c>
      <c r="B8" s="57">
        <v>1088</v>
      </c>
      <c r="C8" s="57">
        <v>435.2</v>
      </c>
      <c r="E8" s="63" t="s">
        <v>1400</v>
      </c>
      <c r="F8" s="65"/>
    </row>
    <row r="9" spans="1:9" x14ac:dyDescent="0.25">
      <c r="A9" s="4" t="s">
        <v>1120</v>
      </c>
      <c r="B9" s="57">
        <v>759</v>
      </c>
      <c r="C9" s="57">
        <v>303.60000000000002</v>
      </c>
      <c r="E9" s="192" t="s">
        <v>833</v>
      </c>
      <c r="F9" s="192" t="s">
        <v>705</v>
      </c>
      <c r="I9" s="192" t="s">
        <v>705</v>
      </c>
    </row>
    <row r="10" spans="1:9" x14ac:dyDescent="0.25">
      <c r="A10" s="4" t="s">
        <v>1118</v>
      </c>
      <c r="B10" s="57">
        <v>484</v>
      </c>
      <c r="C10" s="57">
        <v>242</v>
      </c>
      <c r="E10" s="4" t="s">
        <v>1118</v>
      </c>
      <c r="F10" s="22">
        <f t="array" ref="F10">MAX(IF($A$5:$A$18=E10,$B$5:$B$18-$C$5:$C$18))</f>
        <v>777.59999999999991</v>
      </c>
      <c r="I10" s="22">
        <f>_xlfn.AGGREGATE(14,4,($A$5:$A$18=E10)*($B$5:$B$18-$C$5:$C$18),1)</f>
        <v>777.59999999999991</v>
      </c>
    </row>
    <row r="11" spans="1:9" x14ac:dyDescent="0.25">
      <c r="A11" s="4" t="s">
        <v>1120</v>
      </c>
      <c r="B11" s="57">
        <v>827</v>
      </c>
      <c r="C11" s="57">
        <v>413.5</v>
      </c>
      <c r="E11" s="4" t="s">
        <v>1120</v>
      </c>
      <c r="F11" s="22">
        <f t="array" ref="F11">MAX(IF($A$5:$A$18=E11,$B$5:$B$18-$C$5:$C$18))</f>
        <v>942</v>
      </c>
      <c r="H11" t="s">
        <v>829</v>
      </c>
      <c r="I11" s="22">
        <f>_xlfn.AGGREGATE(14,4,($A$5:$A$18=E11)*($B$5:$B$18-$C$5:$C$18),1)</f>
        <v>942</v>
      </c>
    </row>
    <row r="12" spans="1:9" x14ac:dyDescent="0.25">
      <c r="A12" s="4" t="s">
        <v>1120</v>
      </c>
      <c r="B12" s="57">
        <v>704</v>
      </c>
      <c r="C12" s="57">
        <v>281.60000000000002</v>
      </c>
    </row>
    <row r="13" spans="1:9" x14ac:dyDescent="0.25">
      <c r="A13" s="4" t="s">
        <v>1120</v>
      </c>
      <c r="B13" s="57">
        <v>1707</v>
      </c>
      <c r="C13" s="57">
        <v>1194.9000000000001</v>
      </c>
    </row>
    <row r="14" spans="1:9" x14ac:dyDescent="0.25">
      <c r="A14" s="4" t="s">
        <v>1118</v>
      </c>
      <c r="B14" s="57">
        <v>511</v>
      </c>
      <c r="C14" s="57">
        <v>255.5</v>
      </c>
      <c r="E14" s="63" t="s">
        <v>1401</v>
      </c>
      <c r="F14" s="65"/>
    </row>
    <row r="15" spans="1:9" x14ac:dyDescent="0.25">
      <c r="A15" s="4" t="s">
        <v>1118</v>
      </c>
      <c r="B15" s="57">
        <v>722</v>
      </c>
      <c r="C15" s="57">
        <v>505.4</v>
      </c>
      <c r="E15" s="192" t="s">
        <v>833</v>
      </c>
      <c r="F15" s="192" t="s">
        <v>704</v>
      </c>
      <c r="I15" s="192" t="s">
        <v>704</v>
      </c>
    </row>
    <row r="16" spans="1:9" x14ac:dyDescent="0.25">
      <c r="A16" s="4" t="s">
        <v>1120</v>
      </c>
      <c r="B16" s="57">
        <v>183</v>
      </c>
      <c r="C16" s="57">
        <v>109.8</v>
      </c>
      <c r="E16" s="4" t="s">
        <v>1118</v>
      </c>
      <c r="F16" s="22">
        <f t="array" ref="F16">MIN(IF($A$5:$A$18=E16,$B$5:$B$18-$C$5:$C$18))</f>
        <v>216.60000000000002</v>
      </c>
      <c r="I16" s="22">
        <f>_xlfn.AGGREGATE(15,6,($B$5:$B$18-$C$5:$C$18)/($A$5:$A$18=E16),1)</f>
        <v>216.60000000000002</v>
      </c>
    </row>
    <row r="17" spans="1:9" x14ac:dyDescent="0.25">
      <c r="A17" s="4" t="s">
        <v>1120</v>
      </c>
      <c r="B17" s="57">
        <v>1473</v>
      </c>
      <c r="C17" s="57">
        <v>736.5</v>
      </c>
      <c r="E17" s="4" t="s">
        <v>1120</v>
      </c>
      <c r="F17" s="22">
        <f t="array" ref="F17">MIN(IF($A$5:$A$18=E17,$B$5:$B$18-$C$5:$C$18))</f>
        <v>73.2</v>
      </c>
      <c r="H17" t="s">
        <v>829</v>
      </c>
      <c r="I17" s="22">
        <f>_xlfn.AGGREGATE(15,6,($B$5:$B$18-$C$5:$C$18)/($A$5:$A$18=E17),1)</f>
        <v>73.2</v>
      </c>
    </row>
    <row r="18" spans="1:9" x14ac:dyDescent="0.25">
      <c r="A18" s="4" t="s">
        <v>1120</v>
      </c>
      <c r="B18" s="57">
        <v>468</v>
      </c>
      <c r="C18" s="57">
        <v>327.60000000000002</v>
      </c>
    </row>
    <row r="20" spans="1:9" x14ac:dyDescent="0.25">
      <c r="E20" s="63" t="s">
        <v>1402</v>
      </c>
      <c r="F20" s="65"/>
    </row>
    <row r="21" spans="1:9" x14ac:dyDescent="0.25">
      <c r="E21" s="192" t="s">
        <v>833</v>
      </c>
      <c r="F21" s="192" t="s">
        <v>1399</v>
      </c>
    </row>
    <row r="22" spans="1:9" x14ac:dyDescent="0.25">
      <c r="E22" s="4" t="s">
        <v>1118</v>
      </c>
      <c r="F22" s="22">
        <f t="array" ref="F22">AVERAGE(IF($A$5:$A$18=E22,$B$5:$B$18-$C$5:$C$18))</f>
        <v>424.88333333333327</v>
      </c>
    </row>
    <row r="23" spans="1:9" x14ac:dyDescent="0.25">
      <c r="E23" s="4" t="s">
        <v>1120</v>
      </c>
      <c r="F23" s="22">
        <f t="array" ref="F23">AVERAGE(IF($A$5:$A$18=E23,$B$5:$B$18-$C$5:$C$18))</f>
        <v>461.9375</v>
      </c>
      <c r="H23" t="s">
        <v>829</v>
      </c>
    </row>
    <row r="26" spans="1:9" x14ac:dyDescent="0.25">
      <c r="E26" s="63" t="s">
        <v>1412</v>
      </c>
      <c r="F26" s="65"/>
    </row>
    <row r="27" spans="1:9" ht="26.25" x14ac:dyDescent="0.25">
      <c r="E27" s="192" t="s">
        <v>833</v>
      </c>
      <c r="F27" s="192" t="s">
        <v>1399</v>
      </c>
      <c r="I27" s="192" t="s">
        <v>1399</v>
      </c>
    </row>
    <row r="28" spans="1:9" x14ac:dyDescent="0.25">
      <c r="E28" s="4" t="s">
        <v>1118</v>
      </c>
      <c r="F28" s="22">
        <f t="array" ref="F28">_xlfn.STDEV.S(IF($A$5:$A$18=E28,$B$5:$B$18-$C$5:$C$18))</f>
        <v>237.60360617353155</v>
      </c>
      <c r="I28" s="22">
        <f>SUMPRODUCT(--($A$5:$A$18=E10),$B$5:$B$18-$C$5:$C$18)</f>
        <v>2549.2999999999997</v>
      </c>
    </row>
    <row r="29" spans="1:9" x14ac:dyDescent="0.25">
      <c r="E29" s="4" t="s">
        <v>1120</v>
      </c>
      <c r="F29" s="22">
        <f t="array" ref="F29">_xlfn.STDEV.S(IF($A$5:$A$18=E29,$B$5:$B$18-$C$5:$C$18))</f>
        <v>284.55885626451942</v>
      </c>
      <c r="I29" s="22">
        <f>SUMPRODUCT(--($A$5:$A$18=E11),$B$5:$B$18-$C$5:$C$18)</f>
        <v>3695.5</v>
      </c>
    </row>
    <row r="32" spans="1:9" x14ac:dyDescent="0.25">
      <c r="E32" s="63" t="s">
        <v>1413</v>
      </c>
      <c r="F32" s="65"/>
    </row>
    <row r="33" spans="5:9" ht="26.25" x14ac:dyDescent="0.25">
      <c r="E33" s="192" t="s">
        <v>833</v>
      </c>
      <c r="F33" s="192" t="s">
        <v>1399</v>
      </c>
      <c r="I33" s="192" t="s">
        <v>1399</v>
      </c>
    </row>
    <row r="34" spans="5:9" x14ac:dyDescent="0.25">
      <c r="E34" s="4" t="s">
        <v>1118</v>
      </c>
      <c r="F34" s="22">
        <f t="array" ref="F34">MEDIAN(IF($A$5:$A$18=E34,$B$5:$B$18-$C$5:$C$18))</f>
        <v>330.15</v>
      </c>
      <c r="I34" s="22">
        <f>_xlfn.AGGREGATE(16,6,($B$5:$B$18-$C$5:$C$18)/($A$5:$A$18=E34),0.5)</f>
        <v>330.15</v>
      </c>
    </row>
    <row r="35" spans="5:9" x14ac:dyDescent="0.25">
      <c r="E35" s="4" t="s">
        <v>1120</v>
      </c>
      <c r="F35" s="22">
        <f t="array" ref="F35">MEDIAN(IF($A$5:$A$18=E35,$B$5:$B$18-$C$5:$C$18))</f>
        <v>438.9</v>
      </c>
      <c r="I35" s="22">
        <f>_xlfn.AGGREGATE(16,6,($B$5:$B$18-$C$5:$C$18)/($A$5:$A$18=E35),0.5)</f>
        <v>438.9</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B1:J7"/>
  <sheetViews>
    <sheetView zoomScale="115" zoomScaleNormal="115" workbookViewId="0">
      <selection activeCell="B3" sqref="B3"/>
    </sheetView>
  </sheetViews>
  <sheetFormatPr defaultRowHeight="15" x14ac:dyDescent="0.25"/>
  <cols>
    <col min="2" max="2" width="16.5703125" bestFit="1" customWidth="1"/>
    <col min="3" max="3" width="10.28515625" bestFit="1" customWidth="1"/>
    <col min="4" max="4" width="10.140625" bestFit="1" customWidth="1"/>
    <col min="5" max="6" width="10.28515625" bestFit="1" customWidth="1"/>
    <col min="7" max="8" width="10.140625" bestFit="1" customWidth="1"/>
  </cols>
  <sheetData>
    <row r="1" spans="2:10" x14ac:dyDescent="0.25">
      <c r="B1" s="63" t="s">
        <v>1432</v>
      </c>
      <c r="C1" s="64"/>
      <c r="D1" s="64"/>
      <c r="E1" s="64"/>
      <c r="F1" s="64"/>
      <c r="G1" s="64"/>
      <c r="H1" s="64"/>
      <c r="I1" s="64"/>
      <c r="J1" s="65"/>
    </row>
    <row r="3" spans="2:10" x14ac:dyDescent="0.25">
      <c r="B3" s="18" t="s">
        <v>1428</v>
      </c>
      <c r="C3" s="18" t="s">
        <v>1118</v>
      </c>
      <c r="D3" s="18" t="s">
        <v>95</v>
      </c>
      <c r="E3" s="18" t="s">
        <v>1157</v>
      </c>
      <c r="F3" s="18" t="s">
        <v>1430</v>
      </c>
      <c r="G3" s="18" t="s">
        <v>94</v>
      </c>
      <c r="H3" s="18" t="s">
        <v>1431</v>
      </c>
    </row>
    <row r="4" spans="2:10" x14ac:dyDescent="0.25">
      <c r="B4" s="18" t="s">
        <v>74</v>
      </c>
      <c r="C4" s="57">
        <v>2042.75</v>
      </c>
      <c r="D4" s="57">
        <v>134.79</v>
      </c>
      <c r="E4" s="57">
        <v>2032.99</v>
      </c>
      <c r="F4" s="57">
        <v>1045.55</v>
      </c>
      <c r="G4" s="57">
        <v>804.55</v>
      </c>
      <c r="H4" s="57">
        <v>852.51</v>
      </c>
    </row>
    <row r="5" spans="2:10" x14ac:dyDescent="0.25">
      <c r="B5" s="18" t="s">
        <v>75</v>
      </c>
      <c r="C5" s="57">
        <v>296.64</v>
      </c>
      <c r="D5" s="57">
        <v>120.89</v>
      </c>
      <c r="E5" s="57">
        <v>1439.23</v>
      </c>
      <c r="F5" s="57">
        <v>100.12</v>
      </c>
      <c r="G5" s="57">
        <v>1676.61</v>
      </c>
      <c r="H5" s="57">
        <v>1732.7</v>
      </c>
    </row>
    <row r="6" spans="2:10" x14ac:dyDescent="0.25">
      <c r="B6" s="18" t="s">
        <v>76</v>
      </c>
      <c r="C6" s="57">
        <v>520.63</v>
      </c>
      <c r="D6" s="57">
        <v>785.3</v>
      </c>
      <c r="E6" s="57">
        <v>666.5</v>
      </c>
      <c r="F6" s="57">
        <v>1356.3</v>
      </c>
      <c r="G6" s="57">
        <v>1007.96</v>
      </c>
      <c r="H6" s="57">
        <v>178.87</v>
      </c>
    </row>
    <row r="7" spans="2:10" x14ac:dyDescent="0.25">
      <c r="B7" s="18" t="s">
        <v>1429</v>
      </c>
      <c r="C7" s="57">
        <v>1698.67</v>
      </c>
      <c r="D7" s="57">
        <v>694.6</v>
      </c>
      <c r="E7" s="57">
        <v>166.44</v>
      </c>
      <c r="F7" s="57">
        <v>2176.94</v>
      </c>
      <c r="G7" s="57">
        <v>608.09</v>
      </c>
      <c r="H7" s="57">
        <v>1234.25</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J18"/>
  <sheetViews>
    <sheetView zoomScaleNormal="100" workbookViewId="0">
      <selection activeCell="I8" sqref="I8"/>
    </sheetView>
  </sheetViews>
  <sheetFormatPr defaultRowHeight="15" x14ac:dyDescent="0.25"/>
  <cols>
    <col min="2" max="2" width="16.5703125" bestFit="1" customWidth="1"/>
    <col min="3" max="3" width="10.28515625" bestFit="1" customWidth="1"/>
    <col min="4" max="4" width="10.140625" bestFit="1" customWidth="1"/>
    <col min="5" max="6" width="10.28515625" bestFit="1" customWidth="1"/>
    <col min="7" max="8" width="10.140625" bestFit="1" customWidth="1"/>
  </cols>
  <sheetData>
    <row r="1" spans="2:10" x14ac:dyDescent="0.25">
      <c r="B1" s="63" t="s">
        <v>1432</v>
      </c>
      <c r="C1" s="64"/>
      <c r="D1" s="64"/>
      <c r="E1" s="64"/>
      <c r="F1" s="64"/>
      <c r="G1" s="64"/>
      <c r="H1" s="64"/>
      <c r="I1" s="64"/>
      <c r="J1" s="65"/>
    </row>
    <row r="3" spans="2:10" x14ac:dyDescent="0.25">
      <c r="B3" s="18" t="s">
        <v>1428</v>
      </c>
      <c r="C3" s="18" t="s">
        <v>1118</v>
      </c>
      <c r="D3" s="18" t="s">
        <v>95</v>
      </c>
      <c r="E3" s="18" t="s">
        <v>1157</v>
      </c>
      <c r="F3" s="18" t="s">
        <v>1430</v>
      </c>
      <c r="G3" s="18" t="s">
        <v>94</v>
      </c>
      <c r="H3" s="18" t="s">
        <v>1431</v>
      </c>
    </row>
    <row r="4" spans="2:10" x14ac:dyDescent="0.25">
      <c r="B4" s="18" t="s">
        <v>74</v>
      </c>
      <c r="C4" s="57">
        <v>2042.75</v>
      </c>
      <c r="D4" s="57">
        <v>134.79</v>
      </c>
      <c r="E4" s="57">
        <v>2032.99</v>
      </c>
      <c r="F4" s="57">
        <v>1045.55</v>
      </c>
      <c r="G4" s="57">
        <v>804.55</v>
      </c>
      <c r="H4" s="57">
        <v>852.51</v>
      </c>
    </row>
    <row r="5" spans="2:10" x14ac:dyDescent="0.25">
      <c r="B5" s="18" t="s">
        <v>75</v>
      </c>
      <c r="C5" s="57">
        <v>296.64</v>
      </c>
      <c r="D5" s="57">
        <v>120.89</v>
      </c>
      <c r="E5" s="57">
        <v>1439.23</v>
      </c>
      <c r="F5" s="57">
        <v>100.12</v>
      </c>
      <c r="G5" s="57">
        <v>1676.61</v>
      </c>
      <c r="H5" s="57">
        <v>1732.7</v>
      </c>
    </row>
    <row r="6" spans="2:10" x14ac:dyDescent="0.25">
      <c r="B6" s="18" t="s">
        <v>76</v>
      </c>
      <c r="C6" s="57">
        <v>520.63</v>
      </c>
      <c r="D6" s="57">
        <v>785.3</v>
      </c>
      <c r="E6" s="57">
        <v>666.5</v>
      </c>
      <c r="F6" s="57">
        <v>1356.3</v>
      </c>
      <c r="G6" s="57">
        <v>1007.96</v>
      </c>
      <c r="H6" s="57">
        <v>178.87</v>
      </c>
    </row>
    <row r="7" spans="2:10" x14ac:dyDescent="0.25">
      <c r="B7" s="18" t="s">
        <v>1429</v>
      </c>
      <c r="C7" s="57">
        <v>1698.67</v>
      </c>
      <c r="D7" s="57">
        <v>694.6</v>
      </c>
      <c r="E7" s="57">
        <v>166.44</v>
      </c>
      <c r="F7" s="57">
        <v>2176.94</v>
      </c>
      <c r="G7" s="57">
        <v>608.09</v>
      </c>
      <c r="H7" s="57">
        <v>1234.25</v>
      </c>
    </row>
    <row r="12" spans="2:10" x14ac:dyDescent="0.25">
      <c r="B12" s="197" t="str">
        <f t="array" ref="B12:F18">TRANSPOSE(B3:H7)</f>
        <v>Region/Sales Rep</v>
      </c>
      <c r="C12" s="197" t="str">
        <v>West</v>
      </c>
      <c r="D12" s="197" t="str">
        <v>East</v>
      </c>
      <c r="E12" s="197" t="str">
        <v>South</v>
      </c>
      <c r="F12" s="197" t="str">
        <v>NorthWest</v>
      </c>
    </row>
    <row r="13" spans="2:10" x14ac:dyDescent="0.25">
      <c r="B13" s="197" t="str">
        <v>Jo</v>
      </c>
      <c r="C13" s="30">
        <v>2042.75</v>
      </c>
      <c r="D13" s="30">
        <v>296.64</v>
      </c>
      <c r="E13" s="30">
        <v>520.63</v>
      </c>
      <c r="F13" s="30">
        <v>1698.67</v>
      </c>
    </row>
    <row r="14" spans="2:10" x14ac:dyDescent="0.25">
      <c r="B14" s="197" t="str">
        <v>Phil</v>
      </c>
      <c r="C14" s="30">
        <v>134.79</v>
      </c>
      <c r="D14" s="30">
        <v>120.89</v>
      </c>
      <c r="E14" s="30">
        <v>785.3</v>
      </c>
      <c r="F14" s="30">
        <v>694.6</v>
      </c>
    </row>
    <row r="15" spans="2:10" x14ac:dyDescent="0.25">
      <c r="B15" s="197" t="str">
        <v>Dim</v>
      </c>
      <c r="C15" s="30">
        <v>2032.99</v>
      </c>
      <c r="D15" s="30">
        <v>1439.23</v>
      </c>
      <c r="E15" s="30">
        <v>666.5</v>
      </c>
      <c r="F15" s="30">
        <v>166.44</v>
      </c>
    </row>
    <row r="16" spans="2:10" x14ac:dyDescent="0.25">
      <c r="B16" s="197" t="str">
        <v>Chin</v>
      </c>
      <c r="C16" s="30">
        <v>1045.55</v>
      </c>
      <c r="D16" s="30">
        <v>100.12</v>
      </c>
      <c r="E16" s="30">
        <v>1356.3</v>
      </c>
      <c r="F16" s="30">
        <v>2176.94</v>
      </c>
    </row>
    <row r="17" spans="2:6" x14ac:dyDescent="0.25">
      <c r="B17" s="197" t="str">
        <v>Sioux</v>
      </c>
      <c r="C17" s="30">
        <v>804.55</v>
      </c>
      <c r="D17" s="30">
        <v>1676.61</v>
      </c>
      <c r="E17" s="30">
        <v>1007.96</v>
      </c>
      <c r="F17" s="30">
        <v>608.09</v>
      </c>
    </row>
    <row r="18" spans="2:6" x14ac:dyDescent="0.25">
      <c r="B18" s="197" t="str">
        <v>Timmy</v>
      </c>
      <c r="C18" s="30">
        <v>852.51</v>
      </c>
      <c r="D18" s="30">
        <v>1732.7</v>
      </c>
      <c r="E18" s="30">
        <v>178.87</v>
      </c>
      <c r="F18" s="30">
        <v>1234.25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9</vt:i4>
      </vt:variant>
    </vt:vector>
  </HeadingPairs>
  <TitlesOfParts>
    <vt:vector size="67" baseType="lpstr">
      <vt:lpstr>Topics</vt:lpstr>
      <vt:lpstr>Errors</vt:lpstr>
      <vt:lpstr>E(1)</vt:lpstr>
      <vt:lpstr>E(1an)</vt:lpstr>
      <vt:lpstr>E(2)</vt:lpstr>
      <vt:lpstr>E(2an)</vt:lpstr>
      <vt:lpstr>E(3)</vt:lpstr>
      <vt:lpstr>E(3an)</vt:lpstr>
      <vt:lpstr>E(4)</vt:lpstr>
      <vt:lpstr>E(4an)</vt:lpstr>
      <vt:lpstr>E(5 )</vt:lpstr>
      <vt:lpstr>E(5an)</vt:lpstr>
      <vt:lpstr>DV</vt:lpstr>
      <vt:lpstr>DV (an)</vt:lpstr>
      <vt:lpstr>Flash Fill</vt:lpstr>
      <vt:lpstr>Flash Fill (an)</vt:lpstr>
      <vt:lpstr>CNF-Notes</vt:lpstr>
      <vt:lpstr>CNF</vt:lpstr>
      <vt:lpstr>CNF (an)</vt:lpstr>
      <vt:lpstr>Text Formulas</vt:lpstr>
      <vt:lpstr>Text Formulas (an)</vt:lpstr>
      <vt:lpstr>Date Functions</vt:lpstr>
      <vt:lpstr>Date Functions (an)</vt:lpstr>
      <vt:lpstr>Array Formulas</vt:lpstr>
      <vt:lpstr>Array Formulas (an)</vt:lpstr>
      <vt:lpstr>Array Functions</vt:lpstr>
      <vt:lpstr>Array Functions (an)</vt:lpstr>
      <vt:lpstr>Homework ==&gt;&gt;</vt:lpstr>
      <vt:lpstr>HW(1)</vt:lpstr>
      <vt:lpstr>HW(1an)</vt:lpstr>
      <vt:lpstr>HW(2)</vt:lpstr>
      <vt:lpstr>HW(2an)</vt:lpstr>
      <vt:lpstr>HW(3)</vt:lpstr>
      <vt:lpstr>HW(3an)</vt:lpstr>
      <vt:lpstr>HW(4)</vt:lpstr>
      <vt:lpstr>HW(4an)</vt:lpstr>
      <vt:lpstr>HW(5)</vt:lpstr>
      <vt:lpstr>HW(5an)</vt:lpstr>
      <vt:lpstr>HW(6)</vt:lpstr>
      <vt:lpstr>HW(6an)</vt:lpstr>
      <vt:lpstr>HW(7)</vt:lpstr>
      <vt:lpstr>HW(7an)</vt:lpstr>
      <vt:lpstr>HW(8)</vt:lpstr>
      <vt:lpstr>HW(8an)</vt:lpstr>
      <vt:lpstr>HW(9)</vt:lpstr>
      <vt:lpstr>HW(9an)</vt:lpstr>
      <vt:lpstr>HW(10)</vt:lpstr>
      <vt:lpstr>HW(10an)</vt:lpstr>
      <vt:lpstr>HW(11)</vt:lpstr>
      <vt:lpstr>HW(11an)</vt:lpstr>
      <vt:lpstr>HW(12)</vt:lpstr>
      <vt:lpstr>HW(12an)</vt:lpstr>
      <vt:lpstr>HW(13)</vt:lpstr>
      <vt:lpstr>HW(13an)</vt:lpstr>
      <vt:lpstr>HW(14)</vt:lpstr>
      <vt:lpstr>HW(14an)</vt:lpstr>
      <vt:lpstr>HW(15)</vt:lpstr>
      <vt:lpstr>HW(15an)</vt:lpstr>
      <vt:lpstr>AussieANSWER</vt:lpstr>
      <vt:lpstr>FastANSWER</vt:lpstr>
      <vt:lpstr>FrannyANSWER</vt:lpstr>
      <vt:lpstr>FreestyleANSWER</vt:lpstr>
      <vt:lpstr>GigiANSWER</vt:lpstr>
      <vt:lpstr>JonnANSWER</vt:lpstr>
      <vt:lpstr>TinaANSWER</vt:lpstr>
      <vt:lpstr>TypeANSWER</vt:lpstr>
      <vt:lpstr>WindANSWER</vt:lpstr>
    </vt:vector>
  </TitlesOfParts>
  <Company>Highline Community College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Billy</cp:lastModifiedBy>
  <dcterms:created xsi:type="dcterms:W3CDTF">2013-11-01T15:10:53Z</dcterms:created>
  <dcterms:modified xsi:type="dcterms:W3CDTF">2016-05-03T21:23:01Z</dcterms:modified>
</cp:coreProperties>
</file>