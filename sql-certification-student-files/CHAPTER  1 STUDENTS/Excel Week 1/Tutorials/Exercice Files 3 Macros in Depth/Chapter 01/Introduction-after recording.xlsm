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1\"/>
    </mc:Choice>
  </mc:AlternateContent>
  <bookViews>
    <workbookView xWindow="9705" yWindow="-15" windowWidth="9540" windowHeight="7395" tabRatio="743"/>
  </bookViews>
  <sheets>
    <sheet name="CurrentStaff" sheetId="4" r:id="rId1"/>
    <sheet name="Formulas" sheetId="7" r:id="rId2"/>
    <sheet name="Budget2015" sheetId="5" r:id="rId3"/>
    <sheet name="MixedNames" sheetId="6" r:id="rId4"/>
    <sheet name="Profits" sheetId="8" r:id="rId5"/>
    <sheet name="Sheet1" sheetId="1" r:id="rId6"/>
    <sheet name="Sheet2" sheetId="2" r:id="rId7"/>
    <sheet name="Sheet3" sheetId="3" r:id="rId8"/>
  </sheets>
  <externalReferences>
    <externalReference r:id="rId9"/>
    <externalReference r:id="rId10"/>
  </externalReferences>
  <definedNames>
    <definedName name="_xlnm._FilterDatabase" localSheetId="0" hidden="1">CurrentStaff!$B:$B</definedName>
    <definedName name="BigTaxTable">[1]FifthLineFormatting!$F$3:$M$23</definedName>
    <definedName name="Dates">OFFSET([2]Dynamic!$A$2,0,0,COUNTA([2]Dynamic!$A$1:$A$65536)-1,1)</definedName>
    <definedName name="ee" localSheetId="2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2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2" hidden="1">{"FirstQ",#N/A,FALSE,"Budget2000";"SecondQ",#N/A,FALSE,"Budget2000"}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4" hidden="1">Profits!$B$4:$G$4,Profits!$B$5:$G$5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100</definedName>
    <definedName name="solver_lhs1" localSheetId="2" hidden="1">Budget2015!$B$4</definedName>
    <definedName name="solver_lhs1" localSheetId="4" hidden="1">Profits!$B$4:$G$4</definedName>
    <definedName name="solver_lhs2" localSheetId="2" hidden="1">Budget2015!$F$4</definedName>
    <definedName name="solver_lhs2" localSheetId="4" hidden="1">Profits!$B$5:$G$5</definedName>
    <definedName name="solver_lhs3" localSheetId="2" hidden="1">Budget2015!$J$4</definedName>
    <definedName name="solver_lhs4" localSheetId="2" hidden="1">Budget2015!$N$4</definedName>
    <definedName name="solver_lin" localSheetId="2" hidden="1">2</definedName>
    <definedName name="solver_lin" localSheetId="4" hidden="1">2</definedName>
    <definedName name="solver_neg" localSheetId="2" hidden="1">2</definedName>
    <definedName name="solver_neg" localSheetId="4" hidden="1">2</definedName>
    <definedName name="solver_num" localSheetId="2" hidden="1">0</definedName>
    <definedName name="solver_num" localSheetId="4" hidden="1">2</definedName>
    <definedName name="solver_nwt" localSheetId="2" hidden="1">1</definedName>
    <definedName name="solver_nwt" localSheetId="4" hidden="1">1</definedName>
    <definedName name="solver_opt" localSheetId="4" hidden="1">Profits!$H$6</definedName>
    <definedName name="solver_pre" localSheetId="2" hidden="1">0.000001</definedName>
    <definedName name="solver_pre" localSheetId="4" hidden="1">0.000001</definedName>
    <definedName name="solver_rel1" localSheetId="2" hidden="1">1</definedName>
    <definedName name="solver_rel1" localSheetId="4" hidden="1">1</definedName>
    <definedName name="solver_rel2" localSheetId="2" hidden="1">1</definedName>
    <definedName name="solver_rel2" localSheetId="4" hidden="1">1</definedName>
    <definedName name="solver_rel3" localSheetId="2" hidden="1">1</definedName>
    <definedName name="solver_rel4" localSheetId="2" hidden="1">1</definedName>
    <definedName name="solver_rhs1" localSheetId="2" hidden="1">0.02</definedName>
    <definedName name="solver_rhs1" localSheetId="4" hidden="1">500</definedName>
    <definedName name="solver_rhs2" localSheetId="2" hidden="1">0.04</definedName>
    <definedName name="solver_rhs2" localSheetId="4" hidden="1">350</definedName>
    <definedName name="solver_rhs3" localSheetId="2" hidden="1">0.03</definedName>
    <definedName name="solver_rhs4" localSheetId="2" hidden="1">0.04</definedName>
    <definedName name="solver_scl" localSheetId="2" hidden="1">2</definedName>
    <definedName name="solver_scl" localSheetId="4" hidden="1">2</definedName>
    <definedName name="solver_sho" localSheetId="2" hidden="1">2</definedName>
    <definedName name="solver_sho" localSheetId="4" hidden="1">1</definedName>
    <definedName name="solver_tim" localSheetId="2" hidden="1">100</definedName>
    <definedName name="solver_tim" localSheetId="4" hidden="1">100</definedName>
    <definedName name="solver_tol" localSheetId="2" hidden="1">0.05</definedName>
    <definedName name="solver_tol" localSheetId="4" hidden="1">0.05</definedName>
    <definedName name="solver_typ" localSheetId="2" hidden="1">1</definedName>
    <definedName name="solver_typ" localSheetId="4" hidden="1">3</definedName>
    <definedName name="solver_val" localSheetId="2" hidden="1">0</definedName>
    <definedName name="solver_val" localSheetId="4" hidden="1">500</definedName>
    <definedName name="wrn.AllData." localSheetId="2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2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2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2" hidden="1">Budget2015!$5:$6,Budget2015!$10:$12</definedName>
  </definedNames>
  <calcPr calcId="152511"/>
</workbook>
</file>

<file path=xl/calcChain.xml><?xml version="1.0" encoding="utf-8"?>
<calcChain xmlns="http://schemas.openxmlformats.org/spreadsheetml/2006/main">
  <c r="J30" i="7" l="1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H4" i="8" l="1"/>
  <c r="I4" i="8"/>
  <c r="H5" i="8"/>
  <c r="I5" i="8"/>
  <c r="B6" i="8"/>
  <c r="B7" i="8" s="1"/>
  <c r="C6" i="8"/>
  <c r="C15" i="8" s="1"/>
  <c r="D6" i="8"/>
  <c r="D15" i="8" s="1"/>
  <c r="E6" i="8"/>
  <c r="E11" i="8" s="1"/>
  <c r="F6" i="8"/>
  <c r="F14" i="8" s="1"/>
  <c r="G6" i="8"/>
  <c r="I11" i="8" s="1"/>
  <c r="C9" i="8"/>
  <c r="D9" i="8"/>
  <c r="E9" i="8"/>
  <c r="F9" i="8"/>
  <c r="G9" i="8"/>
  <c r="H9" i="8"/>
  <c r="I9" i="8"/>
  <c r="C10" i="8"/>
  <c r="D10" i="8"/>
  <c r="E10" i="8"/>
  <c r="F10" i="8"/>
  <c r="G10" i="8"/>
  <c r="H10" i="8"/>
  <c r="I10" i="8"/>
  <c r="C11" i="8"/>
  <c r="B13" i="8"/>
  <c r="C13" i="8"/>
  <c r="D13" i="8"/>
  <c r="E13" i="8"/>
  <c r="F13" i="8"/>
  <c r="G13" i="8"/>
  <c r="D14" i="8"/>
  <c r="G14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G19" i="7" s="1"/>
  <c r="L10" i="7"/>
  <c r="L12" i="7" s="1"/>
  <c r="B7" i="7"/>
  <c r="D13" i="7" s="1"/>
  <c r="M6" i="7"/>
  <c r="E5" i="7"/>
  <c r="I16" i="7" s="1"/>
  <c r="M3" i="7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AE2" i="6"/>
  <c r="AD2" i="6"/>
  <c r="E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B35" i="5" s="1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13" i="7" l="1"/>
  <c r="C7" i="8"/>
  <c r="D7" i="8" s="1"/>
  <c r="E7" i="8" s="1"/>
  <c r="F7" i="8" s="1"/>
  <c r="G7" i="8" s="1"/>
  <c r="H13" i="8"/>
  <c r="I5" i="7"/>
  <c r="F9" i="7"/>
  <c r="F10" i="7" s="1"/>
  <c r="F11" i="7" s="1"/>
  <c r="G26" i="7"/>
  <c r="G11" i="8"/>
  <c r="C13" i="5"/>
  <c r="B10" i="7"/>
  <c r="E43" i="7"/>
  <c r="E15" i="8"/>
  <c r="C14" i="8"/>
  <c r="D11" i="8"/>
  <c r="C7" i="5"/>
  <c r="I4" i="7"/>
  <c r="L23" i="7"/>
  <c r="L24" i="7" s="1"/>
  <c r="G31" i="7"/>
  <c r="G37" i="7" s="1"/>
  <c r="K27" i="7" s="1"/>
  <c r="I7" i="7"/>
  <c r="J7" i="7" s="1"/>
  <c r="H6" i="8"/>
  <c r="D5" i="5"/>
  <c r="D7" i="5" s="1"/>
  <c r="H14" i="8"/>
  <c r="H15" i="8"/>
  <c r="F11" i="8"/>
  <c r="I6" i="8"/>
  <c r="F15" i="8"/>
  <c r="B15" i="8"/>
  <c r="E14" i="8"/>
  <c r="H11" i="8"/>
  <c r="G15" i="8"/>
  <c r="B14" i="8"/>
  <c r="L19" i="7"/>
  <c r="L20" i="7" s="1"/>
  <c r="E13" i="7"/>
  <c r="I2" i="7"/>
  <c r="G5" i="7"/>
  <c r="I6" i="7"/>
  <c r="J6" i="7" s="1"/>
  <c r="G7" i="7"/>
  <c r="L9" i="7"/>
  <c r="L11" i="7" s="1"/>
  <c r="I13" i="7"/>
  <c r="I15" i="7"/>
  <c r="J15" i="7" s="1"/>
  <c r="E6" i="7"/>
  <c r="J16" i="7" s="1"/>
  <c r="I8" i="7"/>
  <c r="I10" i="7"/>
  <c r="I11" i="7"/>
  <c r="J11" i="7" s="1"/>
  <c r="I3" i="7"/>
  <c r="J3" i="7" s="1"/>
  <c r="I9" i="7"/>
  <c r="I12" i="7"/>
  <c r="I14" i="7"/>
  <c r="J14" i="7" s="1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5" i="5"/>
  <c r="F6" i="5"/>
  <c r="E11" i="5"/>
  <c r="E12" i="5"/>
  <c r="E5" i="5"/>
  <c r="D10" i="5"/>
  <c r="C14" i="5" l="1"/>
  <c r="I12" i="5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5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0" i="5" l="1"/>
  <c r="I21" i="5"/>
  <c r="I31" i="5"/>
  <c r="M11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Q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E35" i="5" s="1"/>
  <c r="I25" i="5"/>
  <c r="I20" i="5"/>
  <c r="I28" i="5"/>
  <c r="M12" i="5"/>
  <c r="I18" i="5"/>
  <c r="I26" i="5"/>
  <c r="M20" i="5" l="1"/>
  <c r="M22" i="5"/>
  <c r="M32" i="5"/>
  <c r="M27" i="5"/>
  <c r="R12" i="5"/>
  <c r="M31" i="5"/>
  <c r="M29" i="5"/>
  <c r="M21" i="5"/>
  <c r="G13" i="5"/>
  <c r="G14" i="5" s="1"/>
  <c r="G35" i="5" s="1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O27" i="5"/>
  <c r="P27" i="5" s="1"/>
  <c r="M23" i="5"/>
  <c r="M30" i="5"/>
  <c r="M24" i="5"/>
  <c r="Q11" i="5"/>
  <c r="R11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R21" i="5" l="1"/>
  <c r="Q26" i="5"/>
  <c r="R26" i="5" s="1"/>
  <c r="Q32" i="5"/>
  <c r="R32" i="5" s="1"/>
  <c r="I33" i="5"/>
  <c r="H33" i="5"/>
  <c r="J17" i="5"/>
  <c r="Q18" i="5"/>
  <c r="R18" i="5" s="1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H13" i="5"/>
  <c r="H14" i="5" s="1"/>
  <c r="H35" i="5" s="1"/>
  <c r="J10" i="5"/>
  <c r="R30" i="5"/>
  <c r="Q28" i="5"/>
  <c r="R28" i="5" s="1"/>
  <c r="Q22" i="5"/>
  <c r="R22" i="5" s="1"/>
  <c r="I35" i="5" l="1"/>
  <c r="J13" i="5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M14" i="5" s="1"/>
  <c r="L13" i="5"/>
  <c r="L14" i="5" s="1"/>
  <c r="N10" i="5"/>
  <c r="K35" i="5"/>
  <c r="M35" i="5" l="1"/>
  <c r="L35" i="5"/>
  <c r="N13" i="5"/>
  <c r="N14" i="5" s="1"/>
  <c r="O10" i="5"/>
  <c r="N33" i="5"/>
  <c r="O17" i="5"/>
  <c r="O7" i="5"/>
  <c r="P5" i="5"/>
  <c r="N35" i="5" l="1"/>
  <c r="P7" i="5"/>
  <c r="Q5" i="5"/>
  <c r="O13" i="5"/>
  <c r="P10" i="5"/>
  <c r="P13" i="5" s="1"/>
  <c r="O33" i="5"/>
  <c r="P17" i="5"/>
  <c r="O14" i="5"/>
  <c r="P14" i="5" l="1"/>
  <c r="P33" i="5"/>
  <c r="P35" i="5" s="1"/>
  <c r="Q17" i="5"/>
  <c r="Q7" i="5"/>
  <c r="R5" i="5"/>
  <c r="R7" i="5" s="1"/>
  <c r="Q10" i="5"/>
  <c r="O35" i="5"/>
  <c r="Q33" i="5" l="1"/>
  <c r="R17" i="5"/>
  <c r="R33" i="5" s="1"/>
  <c r="Q13" i="5"/>
  <c r="Q14" i="5" s="1"/>
  <c r="R10" i="5"/>
  <c r="R13" i="5" s="1"/>
  <c r="R14" i="5" s="1"/>
  <c r="R35" i="5" s="1"/>
  <c r="A2" i="5" s="1"/>
  <c r="Q35" i="5" l="1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<sst xmlns="http://schemas.openxmlformats.org/spreadsheetml/2006/main" count="2389" uniqueCount="921">
  <si>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</si>
  <si>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</si>
  <si>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</si>
  <si>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</si>
  <si>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</si>
  <si>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</si>
  <si>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</si>
  <si>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</si>
  <si>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</si>
  <si>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</si>
  <si>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</si>
  <si>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</si>
  <si>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</si>
  <si>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</si>
  <si>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</si>
  <si>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</si>
  <si>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</si>
  <si>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</si>
  <si>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</si>
  <si>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</si>
  <si>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</si>
  <si>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</si>
  <si>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</si>
  <si>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</si>
  <si>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</si>
  <si>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</si>
  <si>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</si>
  <si>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</si>
  <si>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</si>
  <si>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</si>
  <si>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</si>
  <si>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</si>
  <si>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</si>
  <si>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</si>
  <si>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</si>
  <si>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</si>
  <si>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</si>
  <si>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</si>
  <si>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</si>
  <si>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</si>
  <si>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</si>
  <si>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</si>
  <si>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</si>
  <si>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</si>
  <si>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</si>
  <si>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</si>
  <si>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</si>
  <si>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</si>
  <si>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</si>
  <si>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</si>
  <si>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</si>
  <si>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</si>
  <si>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</si>
  <si>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</si>
  <si>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</si>
  <si>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</si>
  <si>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</si>
  <si>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</si>
  <si>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</si>
  <si>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</si>
  <si>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</si>
  <si>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</si>
  <si>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</si>
  <si>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</si>
  <si>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</si>
  <si>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</si>
  <si>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</si>
  <si>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</si>
  <si>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</si>
  <si>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</si>
  <si>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</si>
  <si>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</si>
  <si>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</si>
  <si>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</si>
  <si>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</si>
  <si>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</si>
  <si>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</si>
  <si>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</si>
  <si>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</si>
  <si>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</si>
  <si>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</si>
  <si>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</si>
  <si>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</si>
  <si>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</si>
  <si>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</si>
  <si>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</si>
  <si>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</si>
  <si>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</si>
  <si>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</si>
  <si>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</si>
  <si>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</si>
  <si>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</si>
  <si>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</si>
  <si>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</si>
  <si>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</si>
  <si>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</si>
  <si>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</si>
  <si>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</si>
  <si>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</si>
  <si>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</si>
  <si>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</si>
  <si>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</si>
  <si>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</si>
  <si>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</si>
  <si>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</si>
  <si>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</si>
  <si>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</si>
  <si>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</si>
  <si>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</si>
  <si>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</si>
  <si>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</si>
  <si>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</si>
  <si>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</si>
  <si>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</si>
  <si>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</si>
  <si>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</si>
  <si>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</si>
  <si>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</si>
  <si>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</si>
  <si>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</si>
  <si>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</si>
  <si>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</si>
  <si>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</si>
  <si>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</si>
  <si>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</si>
  <si>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</si>
  <si>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</si>
  <si>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</si>
  <si>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</si>
  <si>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</si>
  <si>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</si>
  <si>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</si>
  <si>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</si>
  <si>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</si>
  <si>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</si>
  <si>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</si>
  <si>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</si>
  <si>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</si>
  <si>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</si>
  <si>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</si>
  <si>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</si>
  <si>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</si>
  <si>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</si>
  <si>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</si>
  <si>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</si>
  <si>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</si>
  <si>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</si>
  <si>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</si>
  <si>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</si>
  <si>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</si>
  <si>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</si>
  <si>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</si>
  <si>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</si>
  <si>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</si>
  <si>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</si>
  <si>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</si>
  <si>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</si>
  <si>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</si>
  <si>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</si>
  <si>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</si>
  <si>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</si>
  <si>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</si>
  <si>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</si>
  <si>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</si>
  <si>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</si>
  <si>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</si>
  <si>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</si>
  <si>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</si>
  <si>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</si>
  <si>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</si>
  <si>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</si>
  <si>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</si>
  <si>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</si>
  <si>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</si>
  <si>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</si>
  <si>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</si>
  <si>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</si>
  <si>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</si>
  <si>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</si>
  <si>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</si>
  <si>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</si>
  <si>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</si>
  <si>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</si>
  <si>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</si>
  <si>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</si>
  <si>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</si>
  <si>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</si>
  <si>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</si>
  <si>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</si>
  <si>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</si>
  <si>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</si>
  <si>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</si>
  <si>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</si>
  <si>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</si>
  <si>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</si>
  <si>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</si>
  <si>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</si>
  <si>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</si>
  <si>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</si>
  <si>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</si>
  <si>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</si>
  <si>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</si>
  <si>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</si>
  <si>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</si>
  <si>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</si>
  <si>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</si>
  <si>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</si>
  <si>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</si>
  <si>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</si>
  <si>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</si>
  <si>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</si>
  <si>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</si>
  <si>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</si>
  <si>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</si>
  <si>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</si>
  <si>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</si>
  <si>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</si>
  <si>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</si>
  <si>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</si>
  <si>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</si>
  <si>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</si>
  <si>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</si>
  <si>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</si>
  <si>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</si>
  <si>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</si>
  <si>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</si>
  <si>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</si>
  <si>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</si>
  <si>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</si>
  <si>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</si>
  <si>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</si>
  <si>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</si>
  <si>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</si>
  <si>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</si>
  <si>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</si>
  <si>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</si>
  <si>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</si>
  <si>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</si>
  <si>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</si>
  <si>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</si>
  <si>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</si>
  <si>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</si>
  <si>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</si>
  <si>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</si>
  <si>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</si>
  <si>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</si>
  <si>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</si>
  <si>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</si>
  <si>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</si>
  <si>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</si>
  <si>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</si>
  <si>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</si>
  <si>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</si>
  <si>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</si>
  <si>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</si>
  <si>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</si>
  <si>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</si>
  <si>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</si>
  <si>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</si>
  <si>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</si>
  <si>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</si>
  <si>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</si>
  <si>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</si>
  <si>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</si>
  <si>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</si>
  <si>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</si>
  <si>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</si>
  <si>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</si>
  <si>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</si>
  <si>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</si>
  <si>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</si>
  <si>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</si>
  <si>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</si>
  <si>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</si>
  <si>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</si>
  <si>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</si>
  <si>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</si>
  <si>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</si>
  <si>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</si>
  <si>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</si>
  <si>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</si>
  <si>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</si>
  <si>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</si>
  <si>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</si>
  <si>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</si>
  <si>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</si>
  <si>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</si>
  <si>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</si>
  <si>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</si>
  <si>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</si>
  <si>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</si>
  <si>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</si>
  <si>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</si>
  <si>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</si>
  <si>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</si>
  <si>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</si>
  <si>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</si>
  <si>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</si>
  <si>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</si>
  <si>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</si>
  <si>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</si>
  <si>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</si>
  <si>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</si>
  <si>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</si>
  <si>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</si>
  <si>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</si>
  <si>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</si>
  <si>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</si>
  <si>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</si>
  <si>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</si>
  <si>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</si>
  <si>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</si>
  <si>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</si>
  <si>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</si>
  <si>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</si>
  <si>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</si>
  <si>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</si>
  <si>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</si>
  <si>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</si>
  <si>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</si>
  <si>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</si>
  <si>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</si>
  <si>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</si>
  <si>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</si>
  <si>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</si>
  <si>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</si>
  <si>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</si>
  <si>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</si>
  <si>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</si>
  <si>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</si>
  <si>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</si>
  <si>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</si>
  <si>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</si>
  <si>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</si>
  <si>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</si>
  <si>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</si>
  <si>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</si>
  <si>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</si>
  <si>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</si>
  <si>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</si>
  <si>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</si>
  <si>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</si>
  <si>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</si>
  <si>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</si>
  <si>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</si>
  <si>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</si>
  <si>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</si>
  <si>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</si>
  <si>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</si>
  <si>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</si>
  <si>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</si>
  <si>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</si>
  <si>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</si>
  <si>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</si>
  <si>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</si>
  <si>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</si>
  <si>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</si>
  <si>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</si>
  <si>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</si>
  <si>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</si>
  <si>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</si>
  <si>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</si>
  <si>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</si>
  <si>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</si>
  <si>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</si>
  <si>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</si>
  <si>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</si>
  <si>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</si>
  <si>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</si>
  <si>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</si>
  <si>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</si>
  <si>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</si>
  <si>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</si>
  <si>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</si>
  <si>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</si>
  <si>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</si>
  <si>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</si>
  <si>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</si>
  <si>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</si>
  <si>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</si>
  <si>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</si>
  <si>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</si>
  <si>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</si>
  <si>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</si>
  <si>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</si>
  <si>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</si>
  <si>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</si>
  <si>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</si>
  <si>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</si>
  <si>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</si>
  <si>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</si>
  <si>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</si>
  <si>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</si>
  <si>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</si>
  <si>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</si>
  <si>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</si>
  <si>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</si>
  <si>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</si>
  <si>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</si>
  <si>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</si>
  <si>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</si>
  <si>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</si>
  <si>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</si>
  <si>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</si>
  <si>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</si>
  <si>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</si>
  <si>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</si>
  <si>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</si>
  <si>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</si>
  <si>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</si>
  <si>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</si>
  <si>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</si>
  <si>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</si>
  <si>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</si>
  <si>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</si>
  <si>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</si>
  <si>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</si>
  <si>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</si>
  <si>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</si>
  <si>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</si>
  <si>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</si>
  <si>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</si>
  <si>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</si>
  <si>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</si>
  <si>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</si>
  <si>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</si>
  <si>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</si>
  <si>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</si>
  <si>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</si>
  <si>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</si>
  <si>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</si>
  <si>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</si>
  <si>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</si>
  <si>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</si>
  <si>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</si>
  <si>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</si>
  <si>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</si>
  <si>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</si>
  <si>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</si>
  <si>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</si>
  <si>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</si>
  <si>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</si>
  <si>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</si>
  <si>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</si>
  <si>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</si>
  <si>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</si>
  <si>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</si>
  <si>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</si>
  <si>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</si>
  <si>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</si>
  <si>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</si>
  <si>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</si>
  <si>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</si>
  <si>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</si>
  <si>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</si>
  <si>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</si>
  <si>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</si>
  <si>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</si>
  <si>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</si>
  <si>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</si>
  <si>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</si>
  <si>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</si>
  <si>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</si>
  <si>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</si>
  <si>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</si>
  <si>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</si>
  <si>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</si>
  <si>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</si>
  <si>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</si>
  <si>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</si>
  <si>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</si>
  <si>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</si>
  <si>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</si>
  <si>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</si>
  <si>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</si>
  <si>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</si>
  <si>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</si>
  <si>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</si>
  <si>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</si>
  <si>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</si>
  <si>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</si>
  <si>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</si>
  <si>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</si>
  <si>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</si>
  <si>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</si>
  <si>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</si>
  <si>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</si>
  <si>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</si>
  <si>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</si>
  <si>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</si>
  <si>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</si>
  <si>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</si>
  <si>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</si>
  <si>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</si>
  <si>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</si>
  <si>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</si>
  <si>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</si>
  <si>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</si>
  <si>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</si>
  <si>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</si>
  <si>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</si>
  <si>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</si>
  <si>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</si>
  <si>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</si>
  <si>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</si>
  <si>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</si>
  <si>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</si>
  <si>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</si>
  <si>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</si>
  <si>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</si>
  <si>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</si>
  <si>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</si>
  <si>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</si>
  <si>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</si>
  <si>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</si>
  <si>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</si>
  <si>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</si>
  <si>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</si>
  <si>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</si>
  <si>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</si>
  <si>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</si>
  <si>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</si>
  <si>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</si>
  <si>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</si>
  <si>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</si>
  <si>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</si>
  <si>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</si>
  <si>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</si>
  <si>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</si>
  <si>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</si>
  <si>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</si>
  <si>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</si>
  <si>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</si>
  <si>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</si>
  <si>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</si>
  <si>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</si>
  <si>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</si>
  <si>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</si>
  <si>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</si>
  <si>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</si>
  <si>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</si>
  <si>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</si>
  <si>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</si>
  <si>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</si>
  <si>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</si>
  <si>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</si>
  <si>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</si>
  <si>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</si>
  <si>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</si>
  <si>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</si>
  <si>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</si>
  <si>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</si>
  <si>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</si>
  <si>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</si>
  <si>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</si>
  <si>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</si>
  <si>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</si>
  <si>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</si>
  <si>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</si>
  <si>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</si>
  <si>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</si>
  <si>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</si>
  <si>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</si>
  <si>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</si>
  <si>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</si>
  <si>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</si>
  <si>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</si>
  <si>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</si>
  <si>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</si>
  <si>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</si>
  <si>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</si>
  <si>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</si>
  <si>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</si>
  <si>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</si>
  <si>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</si>
  <si>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</si>
  <si>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</si>
  <si>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</si>
  <si>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</si>
  <si>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</si>
  <si>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</si>
  <si>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</si>
  <si>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</si>
  <si>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</si>
  <si>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</si>
  <si>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</si>
  <si>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</si>
  <si>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</si>
  <si>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</si>
  <si>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</si>
  <si>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</si>
  <si>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</si>
  <si>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</si>
  <si>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</si>
  <si>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</si>
  <si>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</si>
  <si>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</si>
  <si>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</si>
  <si>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</si>
  <si>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</si>
  <si>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</si>
  <si>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</si>
  <si>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</si>
  <si>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</si>
  <si>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</si>
  <si>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</si>
  <si>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</si>
  <si>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</si>
  <si>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</si>
  <si>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</si>
  <si>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</si>
  <si>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</si>
  <si>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</si>
  <si>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</si>
  <si>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</si>
  <si>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</si>
  <si>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</si>
  <si>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</si>
  <si>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</si>
  <si>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</si>
  <si>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</si>
  <si>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</si>
  <si>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</si>
  <si>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</si>
  <si>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</si>
  <si>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</si>
  <si>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</si>
  <si>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</si>
  <si>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</si>
  <si>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</si>
  <si>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</si>
  <si>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</si>
  <si>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</si>
  <si>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</si>
  <si>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</si>
  <si>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</si>
  <si>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</si>
  <si>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</si>
  <si>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</si>
  <si>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</si>
  <si>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</si>
  <si>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</si>
  <si>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</si>
  <si>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</si>
  <si>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</si>
  <si>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</si>
  <si>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</si>
  <si>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</si>
  <si>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</si>
  <si>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</si>
  <si>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</si>
  <si>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</si>
  <si>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</si>
  <si>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</si>
  <si>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</si>
  <si>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</si>
  <si>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</si>
  <si>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</si>
  <si>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</si>
  <si>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</si>
  <si>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</si>
  <si>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</si>
  <si>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</si>
  <si>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</si>
  <si>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</si>
  <si>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</si>
  <si>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</si>
  <si>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</si>
  <si>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</si>
  <si>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</si>
  <si>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</si>
  <si>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</si>
  <si>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</si>
  <si>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</si>
  <si>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</si>
  <si>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</si>
  <si>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</si>
  <si>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</si>
  <si>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</si>
  <si>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</si>
  <si>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</si>
  <si>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</si>
  <si>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</si>
  <si>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</si>
  <si>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</si>
  <si>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</si>
  <si>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</si>
  <si>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</si>
  <si>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</si>
  <si>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</si>
  <si>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</si>
  <si>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</si>
  <si>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</si>
  <si>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</si>
  <si>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</si>
  <si>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</si>
  <si>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</si>
  <si>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</si>
  <si>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</si>
  <si>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</si>
  <si>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</si>
  <si>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</si>
  <si>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</si>
  <si>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</si>
  <si>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</si>
  <si>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</si>
  <si>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</si>
  <si>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</si>
  <si>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</si>
  <si>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</si>
  <si>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</si>
  <si>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</si>
  <si>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</si>
  <si>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</si>
  <si>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</si>
  <si>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</si>
  <si>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</si>
  <si>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</si>
  <si>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</si>
  <si>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</si>
  <si>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</si>
  <si>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</si>
  <si>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</si>
  <si>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</si>
  <si>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</si>
  <si>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</si>
  <si>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</si>
  <si>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</si>
  <si>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</si>
  <si>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</si>
  <si>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</si>
  <si>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</si>
  <si>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</si>
  <si>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</si>
  <si>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</si>
  <si>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</si>
  <si>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</si>
  <si>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</si>
  <si>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</si>
  <si>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</si>
  <si>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</si>
  <si>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</si>
  <si>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</si>
  <si>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</si>
  <si>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</si>
  <si>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</si>
  <si>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</si>
  <si>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</si>
  <si>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</si>
  <si>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</si>
  <si>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</si>
  <si>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</si>
  <si>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</si>
  <si>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</si>
  <si>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</si>
  <si>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</si>
  <si>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</si>
  <si>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</si>
  <si>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</si>
  <si>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</si>
  <si>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</si>
  <si>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</si>
  <si>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</si>
  <si>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</si>
  <si>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</si>
  <si>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</si>
  <si>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</si>
  <si>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</si>
  <si>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</si>
  <si>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</si>
  <si>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</si>
  <si>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</si>
  <si>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</si>
  <si>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</si>
  <si>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</si>
  <si>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</si>
  <si>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</si>
  <si>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</si>
  <si>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</si>
  <si>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</si>
  <si>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</si>
  <si>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</si>
  <si>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</si>
  <si>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</si>
  <si>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</si>
  <si>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</si>
  <si>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</si>
  <si>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</si>
  <si>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</si>
  <si>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</si>
  <si>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</si>
  <si>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</si>
  <si>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</si>
  <si>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</si>
  <si>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</si>
  <si>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</si>
  <si>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</si>
  <si>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</si>
  <si>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</si>
  <si>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</si>
  <si>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</si>
  <si>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</si>
  <si>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</si>
  <si>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</si>
  <si>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</si>
  <si>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</si>
  <si>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</si>
  <si>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</si>
  <si>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</si>
  <si>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</si>
  <si>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</si>
  <si>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</si>
  <si>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</si>
  <si>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</si>
  <si>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</si>
  <si>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</si>
  <si>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</si>
  <si>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</si>
  <si>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</si>
  <si>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</si>
  <si>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</si>
  <si>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</si>
  <si>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</si>
  <si>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</si>
  <si>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</si>
  <si>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</si>
  <si>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</si>
  <si>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</si>
  <si>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</si>
  <si>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</si>
  <si>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</si>
  <si>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</si>
  <si>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</si>
  <si>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</si>
  <si>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</si>
  <si>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</si>
  <si>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</si>
  <si>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</si>
  <si>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</si>
  <si>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</si>
  <si>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</si>
  <si>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</si>
  <si>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</si>
  <si>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</si>
  <si>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</si>
  <si>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</si>
  <si>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</si>
  <si>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</si>
  <si>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</si>
  <si>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</si>
  <si>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</si>
  <si>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</si>
  <si>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</si>
  <si>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</si>
  <si>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</si>
  <si>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</si>
  <si>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</si>
  <si>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</si>
  <si>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</si>
  <si>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</si>
  <si>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</si>
  <si>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</si>
  <si>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</si>
  <si>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</si>
  <si>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</si>
  <si>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</si>
  <si>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</si>
  <si>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</si>
  <si>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</si>
  <si>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</si>
  <si>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</si>
  <si>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</si>
  <si>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</si>
  <si>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</si>
  <si>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</si>
  <si>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</si>
  <si>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</si>
  <si>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</si>
  <si>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</si>
  <si>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</si>
  <si>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</si>
  <si>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</si>
  <si>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</si>
  <si>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</si>
  <si>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</si>
  <si>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</si>
  <si>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</si>
  <si>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</si>
  <si>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</si>
  <si>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</si>
  <si>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</si>
  <si>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</si>
  <si>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</si>
  <si>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</si>
  <si>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</si>
  <si>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</si>
  <si>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</si>
  <si>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</si>
  <si>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</si>
  <si>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</si>
  <si>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</si>
  <si>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</si>
  <si>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</si>
  <si>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</si>
  <si>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</si>
  <si>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</si>
  <si>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</si>
  <si>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</si>
  <si>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</si>
  <si>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</si>
  <si>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</si>
  <si>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</si>
  <si>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</si>
  <si>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</si>
  <si>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</si>
  <si>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</si>
  <si>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</si>
  <si>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Excellerated Learning</t>
  </si>
  <si>
    <t>2015 Budget Projections- NextJob, Inc.</t>
  </si>
  <si>
    <t>(2014 - Thousands of Dollars)</t>
  </si>
  <si>
    <t>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</si>
</sst>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_);\(0\)"/>
    <numFmt numFmtId="167" formatCode="_(&quot;$&quot;* #,##0_);_(&quot;$&quot;* \(#,##0\);_(&quot;$&quot;* &quot;-&quot;??_);_(@_)"/>
    <numFmt numFmtId="168" formatCode="0.0%"/>
    <numFmt numFmtId="169" formatCode="_(&quot;$&quot;* #,##0.0000_);_(&quot;$&quot;* \(#,##0.0000\);_(&quot;$&quot;* &quot;-&quot;??_);_(@_)"/>
    <numFmt numFmtId="170" formatCode="_(&quot;$&quot;* #,##0.000_);_(&quot;$&quot;* \(#,##0.000\);_(&quot;$&quot;* &quot;-&quot;??_);_(@_)"/>
    <numFmt numFmtId="171" formatCode="0.000"/>
    <numFmt numFmtId="172" formatCode="_(* #,##0.000_);_(* \(#,##0.000\);_(* &quot;-&quot;??_);_(@_)"/>
    <numFmt numFmtId="173" formatCode="&quot;$&quot;#,##0"/>
    <numFmt numFmtId="174" formatCode="_(* #,##0.0_);_(* \(#,##0.0\);_(* &quot;-&quot;??_);_(@_)"/>
    <numFmt numFmtId="175" formatCode="0.0%;[Red]\-0.0%"/>
    <numFmt numFmtId="176" formatCode="000\-00\-0000"/>
    <numFmt numFmtId="177" formatCode="[&lt;=9999999]###\-####;\(###\)\ ###\-####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b/>
      <i/>
      <sz val="24"/>
      <color rgb="FFFFFF00"/>
      <name val="Calibri"/>
      <family val="2"/>
    </font>
    <font>
      <b/>
      <i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7"/>
      <name val="Calibri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4" borderId="3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5" fillId="8" borderId="0" xfId="7" applyFont="1" applyFill="1" applyAlignment="1">
      <alignment horizontal="center"/>
    </xf>
    <xf numFmtId="0" fontId="12" fillId="0" borderId="0" xfId="7" applyFont="1" applyAlignment="1">
      <alignment horizontal="center"/>
    </xf>
    <xf numFmtId="0" fontId="6" fillId="0" borderId="0" xfId="7" applyNumberFormat="1" applyFont="1" applyFill="1" applyBorder="1" applyAlignment="1"/>
    <xf numFmtId="0" fontId="4" fillId="0" borderId="0" xfId="7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7" applyFont="1"/>
    <xf numFmtId="167" fontId="9" fillId="5" borderId="4" xfId="11" applyNumberFormat="1" applyFont="1" applyFill="1" applyBorder="1" applyAlignment="1">
      <alignment horizontal="right"/>
    </xf>
    <xf numFmtId="0" fontId="12" fillId="0" borderId="0" xfId="7" applyFont="1" applyFill="1"/>
    <xf numFmtId="43" fontId="12" fillId="0" borderId="0" xfId="8" applyFont="1" applyFill="1"/>
    <xf numFmtId="0" fontId="12" fillId="0" borderId="0" xfId="7" applyFont="1"/>
    <xf numFmtId="0" fontId="12" fillId="0" borderId="0" xfId="7" applyFont="1" applyFill="1" applyBorder="1" applyAlignment="1">
      <alignment horizontal="right"/>
    </xf>
    <xf numFmtId="0" fontId="13" fillId="0" borderId="0" xfId="7" applyFont="1" applyFill="1" applyBorder="1" applyAlignment="1">
      <alignment horizontal="center"/>
    </xf>
    <xf numFmtId="0" fontId="13" fillId="0" borderId="0" xfId="7" applyFont="1" applyBorder="1"/>
    <xf numFmtId="44" fontId="12" fillId="0" borderId="0" xfId="11" applyFont="1" applyFill="1" applyBorder="1"/>
    <xf numFmtId="43" fontId="12" fillId="0" borderId="0" xfId="8" applyFont="1" applyFill="1" applyBorder="1"/>
    <xf numFmtId="14" fontId="12" fillId="0" borderId="0" xfId="7" applyNumberFormat="1" applyFont="1" applyFill="1"/>
    <xf numFmtId="18" fontId="12" fillId="0" borderId="0" xfId="7" applyNumberFormat="1" applyFont="1" applyFill="1"/>
    <xf numFmtId="40" fontId="12" fillId="0" borderId="0" xfId="7" applyNumberFormat="1" applyFont="1" applyFill="1" applyBorder="1"/>
    <xf numFmtId="0" fontId="12" fillId="0" borderId="0" xfId="7" applyFont="1" applyFill="1" applyBorder="1"/>
    <xf numFmtId="0" fontId="13" fillId="0" borderId="0" xfId="7" applyFont="1"/>
    <xf numFmtId="168" fontId="12" fillId="0" borderId="0" xfId="9" applyNumberFormat="1" applyFont="1" applyFill="1"/>
    <xf numFmtId="175" fontId="12" fillId="0" borderId="0" xfId="7" applyNumberFormat="1" applyFont="1" applyFill="1"/>
    <xf numFmtId="174" fontId="12" fillId="0" borderId="0" xfId="8" applyNumberFormat="1" applyFont="1" applyFill="1"/>
    <xf numFmtId="0" fontId="14" fillId="0" borderId="0" xfId="7" applyFont="1"/>
    <xf numFmtId="0" fontId="13" fillId="2" borderId="1" xfId="7" applyFont="1" applyFill="1" applyBorder="1" applyAlignment="1" applyProtection="1">
      <alignment horizontal="left" vertical="top"/>
    </xf>
    <xf numFmtId="0" fontId="13" fillId="2" borderId="1" xfId="7" applyFont="1" applyFill="1" applyBorder="1" applyAlignment="1" applyProtection="1">
      <alignment vertical="top"/>
    </xf>
    <xf numFmtId="176" fontId="13" fillId="2" borderId="1" xfId="7" applyNumberFormat="1" applyFont="1" applyFill="1" applyBorder="1" applyAlignment="1" applyProtection="1">
      <alignment horizontal="center" vertical="top"/>
    </xf>
    <xf numFmtId="177" fontId="13" fillId="2" borderId="1" xfId="7" applyNumberFormat="1" applyFont="1" applyFill="1" applyBorder="1" applyAlignment="1" applyProtection="1">
      <alignment horizontal="center" vertical="top"/>
    </xf>
    <xf numFmtId="0" fontId="13" fillId="2" borderId="1" xfId="7" applyFont="1" applyFill="1" applyBorder="1" applyAlignment="1" applyProtection="1">
      <alignment horizontal="right" vertical="top"/>
    </xf>
    <xf numFmtId="0" fontId="13" fillId="2" borderId="1" xfId="7" applyFont="1" applyFill="1" applyBorder="1" applyAlignment="1" applyProtection="1">
      <alignment horizontal="center" vertical="top"/>
    </xf>
    <xf numFmtId="164" fontId="13" fillId="2" borderId="1" xfId="8" applyNumberFormat="1" applyFont="1" applyFill="1" applyBorder="1" applyAlignment="1" applyProtection="1">
      <alignment horizontal="right" vertical="top"/>
    </xf>
    <xf numFmtId="0" fontId="12" fillId="0" borderId="0" xfId="7" applyFont="1" applyProtection="1"/>
    <xf numFmtId="0" fontId="12" fillId="0" borderId="0" xfId="7" applyFont="1" applyFill="1" applyProtection="1"/>
    <xf numFmtId="0" fontId="16" fillId="0" borderId="0" xfId="7" applyFont="1" applyAlignment="1" applyProtection="1"/>
    <xf numFmtId="0" fontId="16" fillId="0" borderId="0" xfId="7" applyFont="1" applyAlignment="1" applyProtection="1">
      <alignment horizontal="right"/>
    </xf>
    <xf numFmtId="0" fontId="13" fillId="2" borderId="1" xfId="7" applyNumberFormat="1" applyFont="1" applyFill="1" applyBorder="1" applyAlignment="1" applyProtection="1">
      <alignment vertical="top"/>
    </xf>
    <xf numFmtId="0" fontId="13" fillId="0" borderId="2" xfId="7" applyFont="1" applyBorder="1" applyAlignment="1" applyProtection="1">
      <alignment vertical="center"/>
    </xf>
    <xf numFmtId="176" fontId="12" fillId="0" borderId="0" xfId="7" applyNumberFormat="1" applyFont="1" applyAlignment="1" applyProtection="1">
      <alignment horizontal="right"/>
    </xf>
    <xf numFmtId="177" fontId="12" fillId="0" borderId="0" xfId="7" applyNumberFormat="1" applyFont="1" applyAlignment="1" applyProtection="1">
      <alignment horizontal="right"/>
    </xf>
    <xf numFmtId="165" fontId="12" fillId="0" borderId="0" xfId="9" applyNumberFormat="1" applyFont="1" applyProtection="1"/>
    <xf numFmtId="164" fontId="12" fillId="0" borderId="0" xfId="8" applyNumberFormat="1" applyFont="1" applyFill="1" applyProtection="1"/>
    <xf numFmtId="0" fontId="12" fillId="0" borderId="0" xfId="7" applyFont="1" applyAlignment="1" applyProtection="1">
      <alignment horizontal="center"/>
    </xf>
    <xf numFmtId="164" fontId="12" fillId="0" borderId="0" xfId="8" applyNumberFormat="1" applyFont="1" applyFill="1" applyAlignment="1" applyProtection="1">
      <alignment horizontal="left" indent="1"/>
    </xf>
    <xf numFmtId="0" fontId="12" fillId="0" borderId="1" xfId="7" applyFont="1" applyBorder="1" applyProtection="1"/>
    <xf numFmtId="164" fontId="12" fillId="0" borderId="0" xfId="8" applyNumberFormat="1" applyFont="1" applyProtection="1"/>
    <xf numFmtId="166" fontId="12" fillId="3" borderId="0" xfId="8" applyNumberFormat="1" applyFont="1" applyFill="1" applyBorder="1" applyProtection="1"/>
    <xf numFmtId="0" fontId="12" fillId="3" borderId="0" xfId="7" applyFont="1" applyFill="1" applyBorder="1" applyProtection="1"/>
    <xf numFmtId="18" fontId="12" fillId="0" borderId="0" xfId="7" applyNumberFormat="1" applyFont="1" applyFill="1" applyProtection="1"/>
    <xf numFmtId="164" fontId="12" fillId="3" borderId="0" xfId="8" applyNumberFormat="1" applyFont="1" applyFill="1" applyBorder="1" applyProtection="1"/>
    <xf numFmtId="9" fontId="12" fillId="3" borderId="0" xfId="7" applyNumberFormat="1" applyFont="1" applyFill="1" applyBorder="1" applyProtection="1"/>
    <xf numFmtId="0" fontId="12" fillId="0" borderId="0" xfId="7" applyNumberFormat="1" applyFont="1" applyProtection="1"/>
    <xf numFmtId="0" fontId="12" fillId="0" borderId="0" xfId="7" applyFont="1" applyAlignment="1" applyProtection="1"/>
    <xf numFmtId="176" fontId="12" fillId="0" borderId="0" xfId="7" applyNumberFormat="1" applyFont="1" applyProtection="1"/>
    <xf numFmtId="177" fontId="12" fillId="0" borderId="0" xfId="7" applyNumberFormat="1" applyFont="1" applyProtection="1"/>
    <xf numFmtId="164" fontId="12" fillId="0" borderId="0" xfId="8" applyNumberFormat="1" applyFont="1" applyAlignment="1" applyProtection="1"/>
    <xf numFmtId="0" fontId="12" fillId="0" borderId="0" xfId="7" applyFont="1" applyFill="1" applyBorder="1" applyAlignment="1">
      <alignment horizontal="center"/>
    </xf>
    <xf numFmtId="167" fontId="12" fillId="0" borderId="0" xfId="11" applyNumberFormat="1" applyFont="1" applyFill="1" applyBorder="1"/>
    <xf numFmtId="169" fontId="12" fillId="0" borderId="0" xfId="7" applyNumberFormat="1" applyFont="1" applyFill="1" applyBorder="1" applyAlignment="1">
      <alignment horizontal="center"/>
    </xf>
    <xf numFmtId="167" fontId="12" fillId="0" borderId="0" xfId="7" applyNumberFormat="1" applyFont="1" applyFill="1" applyBorder="1"/>
    <xf numFmtId="169" fontId="12" fillId="0" borderId="0" xfId="11" applyNumberFormat="1" applyFont="1" applyFill="1" applyBorder="1"/>
    <xf numFmtId="170" fontId="12" fillId="0" borderId="0" xfId="11" applyNumberFormat="1" applyFont="1" applyFill="1" applyBorder="1"/>
    <xf numFmtId="2" fontId="12" fillId="0" borderId="0" xfId="7" applyNumberFormat="1" applyFont="1" applyFill="1" applyBorder="1" applyAlignment="1">
      <alignment horizontal="center"/>
    </xf>
    <xf numFmtId="170" fontId="12" fillId="0" borderId="0" xfId="11" applyNumberFormat="1" applyFont="1" applyFill="1" applyBorder="1" applyAlignment="1">
      <alignment horizontal="center"/>
    </xf>
    <xf numFmtId="167" fontId="12" fillId="0" borderId="0" xfId="11" applyNumberFormat="1" applyFont="1" applyFill="1" applyBorder="1" applyAlignment="1">
      <alignment horizontal="center"/>
    </xf>
    <xf numFmtId="167" fontId="12" fillId="0" borderId="0" xfId="11" applyNumberFormat="1" applyFont="1" applyFill="1" applyBorder="1" applyAlignment="1">
      <alignment horizontal="right"/>
    </xf>
    <xf numFmtId="170" fontId="12" fillId="0" borderId="0" xfId="7" applyNumberFormat="1" applyFont="1" applyFill="1" applyBorder="1"/>
    <xf numFmtId="171" fontId="12" fillId="0" borderId="0" xfId="7" applyNumberFormat="1" applyFont="1" applyFill="1" applyBorder="1" applyAlignment="1">
      <alignment horizontal="left"/>
    </xf>
    <xf numFmtId="164" fontId="12" fillId="0" borderId="0" xfId="8" applyNumberFormat="1" applyFont="1" applyFill="1" applyBorder="1" applyAlignment="1">
      <alignment horizontal="center"/>
    </xf>
    <xf numFmtId="171" fontId="12" fillId="0" borderId="0" xfId="7" applyNumberFormat="1" applyFont="1" applyFill="1" applyBorder="1" applyAlignment="1">
      <alignment horizontal="center"/>
    </xf>
    <xf numFmtId="164" fontId="12" fillId="0" borderId="0" xfId="8" applyNumberFormat="1" applyFont="1" applyFill="1" applyBorder="1" applyAlignment="1">
      <alignment horizontal="right"/>
    </xf>
    <xf numFmtId="43" fontId="12" fillId="0" borderId="0" xfId="7" applyNumberFormat="1" applyFont="1" applyFill="1" applyBorder="1" applyAlignment="1">
      <alignment horizontal="right"/>
    </xf>
    <xf numFmtId="43" fontId="12" fillId="0" borderId="0" xfId="8" applyNumberFormat="1" applyFont="1" applyFill="1" applyBorder="1" applyAlignment="1">
      <alignment horizontal="center"/>
    </xf>
    <xf numFmtId="43" fontId="12" fillId="0" borderId="0" xfId="7" applyNumberFormat="1" applyFont="1" applyFill="1" applyBorder="1"/>
    <xf numFmtId="164" fontId="12" fillId="0" borderId="0" xfId="7" applyNumberFormat="1" applyFont="1" applyFill="1" applyBorder="1"/>
    <xf numFmtId="0" fontId="12" fillId="0" borderId="0" xfId="7" applyFont="1" applyFill="1" applyBorder="1" applyAlignment="1">
      <alignment horizontal="left"/>
    </xf>
    <xf numFmtId="164" fontId="12" fillId="0" borderId="0" xfId="8" applyNumberFormat="1" applyFont="1" applyFill="1" applyBorder="1" applyAlignment="1">
      <alignment horizontal="left"/>
    </xf>
    <xf numFmtId="164" fontId="12" fillId="0" borderId="0" xfId="8" applyNumberFormat="1" applyFont="1" applyFill="1" applyBorder="1"/>
    <xf numFmtId="0" fontId="13" fillId="0" borderId="0" xfId="7" applyFont="1" applyFill="1" applyBorder="1"/>
    <xf numFmtId="169" fontId="12" fillId="0" borderId="0" xfId="7" applyNumberFormat="1" applyFont="1" applyFill="1" applyBorder="1"/>
    <xf numFmtId="0" fontId="12" fillId="0" borderId="16" xfId="7" applyFont="1" applyFill="1" applyBorder="1"/>
    <xf numFmtId="0" fontId="12" fillId="0" borderId="17" xfId="7" applyFont="1" applyFill="1" applyBorder="1" applyAlignment="1">
      <alignment horizontal="center"/>
    </xf>
    <xf numFmtId="0" fontId="12" fillId="0" borderId="17" xfId="7" applyFont="1" applyFill="1" applyBorder="1"/>
    <xf numFmtId="0" fontId="12" fillId="0" borderId="18" xfId="7" applyFont="1" applyFill="1" applyBorder="1"/>
    <xf numFmtId="0" fontId="12" fillId="0" borderId="19" xfId="7" applyFont="1" applyFill="1" applyBorder="1"/>
    <xf numFmtId="172" fontId="12" fillId="0" borderId="0" xfId="8" applyNumberFormat="1" applyFont="1" applyFill="1" applyBorder="1" applyAlignment="1">
      <alignment horizontal="right"/>
    </xf>
    <xf numFmtId="0" fontId="12" fillId="0" borderId="20" xfId="7" applyFont="1" applyFill="1" applyBorder="1"/>
    <xf numFmtId="0" fontId="12" fillId="0" borderId="19" xfId="7" applyFont="1" applyFill="1" applyBorder="1" applyAlignment="1">
      <alignment horizontal="left"/>
    </xf>
    <xf numFmtId="164" fontId="12" fillId="0" borderId="0" xfId="7" applyNumberFormat="1" applyFont="1" applyFill="1" applyBorder="1" applyAlignment="1">
      <alignment horizontal="right"/>
    </xf>
    <xf numFmtId="0" fontId="12" fillId="0" borderId="21" xfId="7" applyFont="1" applyFill="1" applyBorder="1" applyAlignment="1">
      <alignment horizontal="left"/>
    </xf>
    <xf numFmtId="0" fontId="12" fillId="0" borderId="5" xfId="7" applyFont="1" applyFill="1" applyBorder="1" applyAlignment="1">
      <alignment horizontal="center"/>
    </xf>
    <xf numFmtId="164" fontId="12" fillId="0" borderId="5" xfId="7" applyNumberFormat="1" applyFont="1" applyFill="1" applyBorder="1" applyAlignment="1">
      <alignment horizontal="right"/>
    </xf>
    <xf numFmtId="0" fontId="12" fillId="0" borderId="22" xfId="7" applyFont="1" applyFill="1" applyBorder="1"/>
    <xf numFmtId="164" fontId="13" fillId="0" borderId="0" xfId="7" applyNumberFormat="1" applyFont="1" applyFill="1" applyBorder="1"/>
    <xf numFmtId="0" fontId="12" fillId="0" borderId="0" xfId="7" applyFont="1" applyFill="1" applyAlignment="1"/>
    <xf numFmtId="0" fontId="13" fillId="0" borderId="0" xfId="7" applyFont="1" applyFill="1" applyBorder="1" applyAlignment="1"/>
    <xf numFmtId="173" fontId="12" fillId="0" borderId="0" xfId="7" applyNumberFormat="1" applyFont="1" applyFill="1" applyBorder="1" applyAlignment="1"/>
    <xf numFmtId="0" fontId="13" fillId="0" borderId="0" xfId="7" applyFont="1" applyFill="1" applyBorder="1" applyAlignment="1">
      <alignment vertical="center"/>
    </xf>
    <xf numFmtId="173" fontId="12" fillId="0" borderId="0" xfId="7" applyNumberFormat="1" applyFont="1" applyFill="1" applyBorder="1" applyAlignment="1">
      <alignment vertical="center"/>
    </xf>
    <xf numFmtId="0" fontId="13" fillId="0" borderId="3" xfId="7" applyFont="1" applyFill="1" applyBorder="1" applyAlignment="1"/>
    <xf numFmtId="3" fontId="12" fillId="0" borderId="0" xfId="7" applyNumberFormat="1" applyFont="1" applyFill="1" applyBorder="1" applyAlignment="1"/>
    <xf numFmtId="6" fontId="13" fillId="0" borderId="0" xfId="7" applyNumberFormat="1" applyFont="1" applyFill="1" applyBorder="1" applyAlignment="1"/>
    <xf numFmtId="0" fontId="12" fillId="0" borderId="0" xfId="7" applyFont="1" applyFill="1" applyBorder="1" applyAlignment="1"/>
    <xf numFmtId="6" fontId="12" fillId="0" borderId="0" xfId="7" applyNumberFormat="1" applyFont="1" applyFill="1" applyBorder="1" applyAlignment="1"/>
    <xf numFmtId="173" fontId="13" fillId="0" borderId="0" xfId="7" applyNumberFormat="1" applyFont="1" applyFill="1" applyBorder="1" applyAlignment="1"/>
    <xf numFmtId="44" fontId="13" fillId="0" borderId="5" xfId="11" applyFont="1" applyFill="1" applyBorder="1" applyAlignment="1">
      <alignment horizontal="right"/>
    </xf>
    <xf numFmtId="0" fontId="12" fillId="3" borderId="6" xfId="4" applyFont="1" applyFill="1" applyBorder="1" applyAlignment="1">
      <alignment horizontal="right"/>
    </xf>
    <xf numFmtId="0" fontId="13" fillId="2" borderId="5" xfId="2" applyFont="1" applyFill="1" applyBorder="1" applyAlignment="1">
      <alignment horizontal="right"/>
    </xf>
    <xf numFmtId="0" fontId="17" fillId="0" borderId="0" xfId="11" applyNumberFormat="1" applyFont="1" applyFill="1" applyBorder="1" applyAlignment="1">
      <alignment horizontal="left"/>
    </xf>
    <xf numFmtId="44" fontId="12" fillId="0" borderId="0" xfId="11" applyFont="1" applyFill="1" applyBorder="1" applyAlignment="1"/>
    <xf numFmtId="0" fontId="12" fillId="0" borderId="7" xfId="4" applyFont="1" applyFill="1" applyBorder="1" applyAlignment="1"/>
    <xf numFmtId="0" fontId="13" fillId="0" borderId="1" xfId="2" applyFont="1" applyFill="1" applyBorder="1"/>
    <xf numFmtId="0" fontId="13" fillId="0" borderId="0" xfId="11" applyNumberFormat="1" applyFont="1" applyFill="1" applyBorder="1" applyAlignment="1">
      <alignment horizontal="left" indent="3"/>
    </xf>
    <xf numFmtId="167" fontId="12" fillId="0" borderId="0" xfId="11" applyNumberFormat="1" applyFont="1" applyFill="1" applyBorder="1" applyAlignment="1"/>
    <xf numFmtId="167" fontId="12" fillId="3" borderId="1" xfId="4" applyNumberFormat="1" applyFont="1" applyFill="1" applyBorder="1" applyAlignment="1"/>
    <xf numFmtId="167" fontId="13" fillId="6" borderId="1" xfId="2" applyNumberFormat="1" applyFont="1" applyFill="1" applyBorder="1" applyAlignment="1"/>
    <xf numFmtId="164" fontId="12" fillId="0" borderId="0" xfId="8" applyNumberFormat="1" applyFont="1" applyFill="1" applyBorder="1" applyAlignment="1"/>
    <xf numFmtId="164" fontId="12" fillId="3" borderId="8" xfId="4" applyNumberFormat="1" applyFont="1" applyFill="1" applyBorder="1" applyAlignment="1"/>
    <xf numFmtId="164" fontId="13" fillId="6" borderId="8" xfId="2" applyNumberFormat="1" applyFont="1" applyFill="1" applyBorder="1" applyAlignment="1"/>
    <xf numFmtId="0" fontId="12" fillId="0" borderId="0" xfId="5" applyNumberFormat="1" applyFont="1" applyFill="1" applyBorder="1" applyAlignment="1">
      <alignment horizontal="left" indent="1"/>
    </xf>
    <xf numFmtId="164" fontId="12" fillId="0" borderId="9" xfId="5" applyNumberFormat="1" applyFont="1" applyFill="1" applyBorder="1" applyAlignment="1"/>
    <xf numFmtId="164" fontId="12" fillId="3" borderId="6" xfId="4" applyNumberFormat="1" applyFont="1" applyFill="1" applyBorder="1" applyAlignment="1"/>
    <xf numFmtId="164" fontId="13" fillId="6" borderId="10" xfId="2" applyNumberFormat="1" applyFont="1" applyFill="1" applyBorder="1" applyAlignment="1"/>
    <xf numFmtId="0" fontId="12" fillId="0" borderId="0" xfId="7" applyNumberFormat="1" applyFont="1" applyFill="1" applyBorder="1" applyAlignment="1">
      <alignment horizontal="left" indent="1"/>
    </xf>
    <xf numFmtId="164" fontId="12" fillId="0" borderId="0" xfId="7" applyNumberFormat="1" applyFont="1" applyFill="1" applyBorder="1" applyAlignment="1"/>
    <xf numFmtId="164" fontId="12" fillId="0" borderId="11" xfId="4" applyNumberFormat="1" applyFont="1" applyFill="1" applyBorder="1" applyAlignment="1"/>
    <xf numFmtId="164" fontId="13" fillId="0" borderId="12" xfId="2" applyNumberFormat="1" applyFont="1" applyFill="1" applyBorder="1" applyAlignment="1"/>
    <xf numFmtId="167" fontId="12" fillId="0" borderId="1" xfId="4" applyNumberFormat="1" applyFont="1" applyFill="1" applyBorder="1" applyAlignment="1"/>
    <xf numFmtId="167" fontId="13" fillId="0" borderId="1" xfId="2" applyNumberFormat="1" applyFont="1" applyFill="1" applyBorder="1" applyAlignment="1"/>
    <xf numFmtId="164" fontId="12" fillId="3" borderId="1" xfId="4" applyNumberFormat="1" applyFont="1" applyFill="1" applyBorder="1" applyAlignment="1"/>
    <xf numFmtId="164" fontId="13" fillId="6" borderId="1" xfId="2" applyNumberFormat="1" applyFont="1" applyFill="1" applyBorder="1" applyAlignment="1"/>
    <xf numFmtId="0" fontId="12" fillId="0" borderId="0" xfId="3" applyNumberFormat="1" applyFont="1" applyFill="1" applyBorder="1" applyAlignment="1">
      <alignment horizontal="left" indent="1"/>
    </xf>
    <xf numFmtId="164" fontId="12" fillId="0" borderId="13" xfId="3" applyNumberFormat="1" applyFont="1" applyFill="1" applyBorder="1" applyAlignment="1"/>
    <xf numFmtId="164" fontId="12" fillId="3" borderId="14" xfId="3" applyNumberFormat="1" applyFont="1" applyFill="1" applyBorder="1" applyAlignment="1"/>
    <xf numFmtId="164" fontId="13" fillId="6" borderId="14" xfId="2" applyNumberFormat="1" applyFont="1" applyFill="1" applyBorder="1" applyAlignment="1"/>
    <xf numFmtId="0" fontId="13" fillId="0" borderId="0" xfId="7" applyNumberFormat="1" applyFont="1"/>
    <xf numFmtId="167" fontId="12" fillId="0" borderId="7" xfId="4" applyNumberFormat="1" applyFont="1" applyFill="1" applyBorder="1" applyAlignment="1"/>
    <xf numFmtId="167" fontId="13" fillId="0" borderId="7" xfId="2" applyNumberFormat="1" applyFont="1" applyFill="1" applyBorder="1" applyAlignment="1"/>
    <xf numFmtId="0" fontId="13" fillId="0" borderId="0" xfId="11" applyNumberFormat="1" applyFont="1" applyFill="1" applyBorder="1" applyAlignment="1">
      <alignment horizontal="left"/>
    </xf>
    <xf numFmtId="164" fontId="12" fillId="3" borderId="15" xfId="3" applyNumberFormat="1" applyFont="1" applyFill="1" applyBorder="1" applyAlignment="1"/>
    <xf numFmtId="164" fontId="13" fillId="6" borderId="15" xfId="2" applyNumberFormat="1" applyFont="1" applyFill="1" applyBorder="1" applyAlignment="1"/>
    <xf numFmtId="0" fontId="18" fillId="0" borderId="0" xfId="11" applyNumberFormat="1" applyFont="1" applyFill="1" applyBorder="1" applyAlignment="1">
      <alignment horizontal="left"/>
    </xf>
    <xf numFmtId="167" fontId="12" fillId="0" borderId="11" xfId="4" applyNumberFormat="1" applyFont="1" applyFill="1" applyBorder="1" applyAlignment="1"/>
    <xf numFmtId="167" fontId="13" fillId="0" borderId="11" xfId="2" applyNumberFormat="1" applyFont="1" applyFill="1" applyBorder="1" applyAlignment="1"/>
    <xf numFmtId="0" fontId="13" fillId="0" borderId="0" xfId="1" applyNumberFormat="1" applyFont="1" applyFill="1" applyBorder="1" applyAlignment="1">
      <alignment horizontal="left" indent="1"/>
    </xf>
    <xf numFmtId="167" fontId="13" fillId="0" borderId="1" xfId="1" applyNumberFormat="1" applyFont="1" applyFill="1" applyBorder="1" applyAlignment="1"/>
    <xf numFmtId="167" fontId="13" fillId="3" borderId="1" xfId="1" applyNumberFormat="1" applyFont="1" applyFill="1" applyBorder="1" applyAlignment="1"/>
    <xf numFmtId="167" fontId="13" fillId="6" borderId="1" xfId="1" applyNumberFormat="1" applyFont="1" applyFill="1" applyBorder="1" applyAlignment="1"/>
    <xf numFmtId="0" fontId="13" fillId="9" borderId="0" xfId="7" applyFont="1" applyFill="1"/>
    <xf numFmtId="0" fontId="13" fillId="7" borderId="0" xfId="7" applyFont="1" applyFill="1"/>
    <xf numFmtId="0" fontId="12" fillId="0" borderId="0" xfId="7" applyFont="1" applyFill="1" applyAlignment="1">
      <alignment vertical="top"/>
    </xf>
    <xf numFmtId="44" fontId="12" fillId="10" borderId="0" xfId="11" applyFont="1" applyFill="1" applyBorder="1"/>
    <xf numFmtId="43" fontId="12" fillId="10" borderId="0" xfId="8" applyFont="1" applyFill="1" applyBorder="1"/>
    <xf numFmtId="168" fontId="12" fillId="10" borderId="0" xfId="11" applyNumberFormat="1" applyFont="1" applyFill="1" applyBorder="1" applyAlignment="1"/>
    <xf numFmtId="168" fontId="12" fillId="10" borderId="0" xfId="7" applyNumberFormat="1" applyFont="1" applyFill="1" applyBorder="1"/>
    <xf numFmtId="167" fontId="12" fillId="10" borderId="0" xfId="11" applyNumberFormat="1" applyFont="1" applyFill="1" applyBorder="1" applyAlignment="1"/>
    <xf numFmtId="164" fontId="12" fillId="10" borderId="0" xfId="8" applyNumberFormat="1" applyFont="1" applyFill="1" applyBorder="1" applyAlignment="1"/>
    <xf numFmtId="164" fontId="12" fillId="10" borderId="0" xfId="8" applyNumberFormat="1" applyFont="1" applyFill="1" applyBorder="1"/>
    <xf numFmtId="167" fontId="12" fillId="10" borderId="0" xfId="11" applyNumberFormat="1" applyFont="1" applyFill="1" applyBorder="1"/>
    <xf numFmtId="164" fontId="12" fillId="0" borderId="0" xfId="6" applyNumberFormat="1" applyFont="1" applyFill="1" applyBorder="1"/>
  </cellXfs>
  <cellStyles count="12">
    <cellStyle name="ColLevel_1" xfId="2" builtinId="2" iLevel="0"/>
    <cellStyle name="ColLevel_2" xfId="4" builtinId="2" iLevel="1"/>
    <cellStyle name="Comma" xfId="6" builtinId="3"/>
    <cellStyle name="Comma 2" xfId="8"/>
    <cellStyle name="Currency 2" xfId="11"/>
    <cellStyle name="MyBlue" xfId="10"/>
    <cellStyle name="Normal" xfId="0" builtinId="0"/>
    <cellStyle name="Normal 2" xfId="7"/>
    <cellStyle name="Percent 2" xfId="9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48423544"/>
        <c:axId val="248423936"/>
      </c:barChart>
      <c:catAx>
        <c:axId val="248423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23936"/>
        <c:crosses val="autoZero"/>
        <c:auto val="1"/>
        <c:lblAlgn val="ctr"/>
        <c:lblOffset val="100"/>
        <c:noMultiLvlLbl val="0"/>
      </c:catAx>
      <c:valAx>
        <c:axId val="24842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23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usiness21Publishing/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___Excel%20Class%20Files/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H699"/>
  <sheetViews>
    <sheetView tabSelected="1" zoomScale="160" zoomScaleNormal="160" zoomScaleSheetLayoutView="100" workbookViewId="0"/>
  </sheetViews>
  <sheetFormatPr defaultColWidth="19.85546875" defaultRowHeight="15" x14ac:dyDescent="0.25"/>
  <cols>
    <col min="1" max="1" width="17.28515625" style="33" customWidth="1"/>
    <col min="2" max="2" width="23.5703125" style="33" customWidth="1"/>
    <col min="3" max="3" width="11.7109375" style="54" bestFit="1" customWidth="1"/>
    <col min="4" max="4" width="14" style="55" bestFit="1" customWidth="1"/>
    <col min="5" max="5" width="9.7109375" style="33" bestFit="1" customWidth="1"/>
    <col min="6" max="6" width="11" style="33" bestFit="1" customWidth="1"/>
    <col min="7" max="7" width="5.85546875" style="34" bestFit="1" customWidth="1"/>
    <col min="8" max="8" width="10" style="33" bestFit="1" customWidth="1"/>
    <col min="9" max="9" width="9.28515625" style="56" bestFit="1" customWidth="1"/>
    <col min="10" max="10" width="5.85546875" style="33" bestFit="1" customWidth="1"/>
    <col min="11" max="11" width="19.85546875" style="34" customWidth="1"/>
    <col min="12" max="12" width="7.85546875" style="33" bestFit="1" customWidth="1"/>
    <col min="13" max="13" width="4.28515625" style="33" bestFit="1" customWidth="1"/>
    <col min="14" max="14" width="9.28515625" style="33" customWidth="1"/>
    <col min="15" max="15" width="5.5703125" style="33" bestFit="1" customWidth="1"/>
    <col min="16" max="20" width="4.42578125" style="33" bestFit="1" customWidth="1"/>
    <col min="21" max="21" width="6.28515625" style="33" customWidth="1"/>
    <col min="22" max="22" width="5.140625" style="33" bestFit="1" customWidth="1"/>
    <col min="23" max="27" width="4.42578125" style="33" bestFit="1" customWidth="1"/>
    <col min="28" max="31" width="19.85546875" style="33"/>
    <col min="32" max="32" width="8.42578125" style="33" bestFit="1" customWidth="1"/>
    <col min="33" max="33" width="8.85546875" style="33" bestFit="1" customWidth="1"/>
    <col min="34" max="34" width="4.5703125" style="33" bestFit="1" customWidth="1"/>
    <col min="35" max="16384" width="19.85546875" style="33"/>
  </cols>
  <sheetData>
    <row r="1" spans="1:34" x14ac:dyDescent="0.25">
      <c r="A1" s="26" t="s">
        <v>0</v>
      </c>
      <c r="B1" s="27" t="s">
        <v>1</v>
      </c>
      <c r="C1" s="28" t="s">
        <v>2</v>
      </c>
      <c r="D1" s="29" t="s">
        <v>3</v>
      </c>
      <c r="E1" s="27" t="s">
        <v>4</v>
      </c>
      <c r="F1" s="30" t="s">
        <v>5</v>
      </c>
      <c r="G1" s="30" t="s">
        <v>6</v>
      </c>
      <c r="H1" s="31" t="s">
        <v>7</v>
      </c>
      <c r="I1" s="32" t="s">
        <v>920</v>
      </c>
      <c r="O1" s="35"/>
      <c r="P1" s="36" t="s">
        <v>8</v>
      </c>
      <c r="Q1" s="36" t="s">
        <v>9</v>
      </c>
      <c r="R1" s="36" t="s">
        <v>10</v>
      </c>
      <c r="S1" s="36" t="s">
        <v>11</v>
      </c>
      <c r="T1" s="36" t="s">
        <v>12</v>
      </c>
      <c r="V1" s="35"/>
      <c r="W1" s="36" t="s">
        <v>8</v>
      </c>
      <c r="X1" s="36" t="s">
        <v>9</v>
      </c>
      <c r="Y1" s="36" t="s">
        <v>10</v>
      </c>
      <c r="Z1" s="36" t="s">
        <v>11</v>
      </c>
      <c r="AA1" s="36" t="s">
        <v>12</v>
      </c>
      <c r="AF1" s="37" t="s">
        <v>13</v>
      </c>
      <c r="AG1" s="38" t="s">
        <v>14</v>
      </c>
      <c r="AH1" s="38"/>
    </row>
    <row r="2" spans="1:34" x14ac:dyDescent="0.25">
      <c r="A2" s="33" t="s">
        <v>15</v>
      </c>
      <c r="B2" s="33" t="s">
        <v>16</v>
      </c>
      <c r="C2" s="39">
        <v>130619578</v>
      </c>
      <c r="D2" s="40">
        <v>2071641031</v>
      </c>
      <c r="E2" s="33" t="s">
        <v>17</v>
      </c>
      <c r="F2" s="41">
        <v>40330</v>
      </c>
      <c r="G2" s="42">
        <f t="shared" ref="G2:G65" ca="1" si="0">DATEDIF(F2,TODAY(),"Y")</f>
        <v>3</v>
      </c>
      <c r="H2" s="43">
        <v>5</v>
      </c>
      <c r="I2" s="44">
        <v>47620</v>
      </c>
      <c r="AG2" s="45"/>
      <c r="AH2" s="45"/>
    </row>
    <row r="3" spans="1:34" x14ac:dyDescent="0.25">
      <c r="A3" s="33" t="s">
        <v>20</v>
      </c>
      <c r="B3" s="33" t="s">
        <v>21</v>
      </c>
      <c r="C3" s="39">
        <v>336025451</v>
      </c>
      <c r="D3" s="40">
        <v>5185295649</v>
      </c>
      <c r="E3" s="33" t="s">
        <v>22</v>
      </c>
      <c r="F3" s="41">
        <v>33003</v>
      </c>
      <c r="G3" s="42">
        <f t="shared" ca="1" si="0"/>
        <v>23</v>
      </c>
      <c r="H3" s="43">
        <v>5</v>
      </c>
      <c r="I3" s="44">
        <v>56900</v>
      </c>
      <c r="AG3" s="45"/>
      <c r="AH3" s="45"/>
    </row>
    <row r="4" spans="1:34" x14ac:dyDescent="0.25">
      <c r="A4" s="33" t="s">
        <v>25</v>
      </c>
      <c r="B4" s="33" t="s">
        <v>21</v>
      </c>
      <c r="C4" s="39">
        <v>894030119</v>
      </c>
      <c r="D4" s="40">
        <v>6126795200</v>
      </c>
      <c r="E4" s="33" t="s">
        <v>22</v>
      </c>
      <c r="F4" s="41">
        <v>41026</v>
      </c>
      <c r="G4" s="42">
        <f t="shared" ca="1" si="0"/>
        <v>1</v>
      </c>
      <c r="H4" s="43">
        <v>2</v>
      </c>
      <c r="I4" s="44">
        <v>34690</v>
      </c>
      <c r="AG4" s="45"/>
      <c r="AH4" s="45"/>
    </row>
    <row r="5" spans="1:34" x14ac:dyDescent="0.25">
      <c r="A5" s="33" t="s">
        <v>28</v>
      </c>
      <c r="B5" s="33" t="s">
        <v>16</v>
      </c>
      <c r="C5" s="39">
        <v>259573806</v>
      </c>
      <c r="D5" s="40">
        <v>5013748373</v>
      </c>
      <c r="E5" s="33" t="s">
        <v>22</v>
      </c>
      <c r="F5" s="41">
        <v>39599</v>
      </c>
      <c r="G5" s="42">
        <f t="shared" ca="1" si="0"/>
        <v>5</v>
      </c>
      <c r="H5" s="43">
        <v>4</v>
      </c>
      <c r="I5" s="44">
        <v>45260</v>
      </c>
      <c r="AG5" s="45"/>
      <c r="AH5" s="45"/>
    </row>
    <row r="6" spans="1:34" x14ac:dyDescent="0.25">
      <c r="A6" s="33" t="s">
        <v>31</v>
      </c>
      <c r="B6" s="33" t="s">
        <v>32</v>
      </c>
      <c r="C6" s="39">
        <v>995858336</v>
      </c>
      <c r="D6" s="40">
        <v>9078979762</v>
      </c>
      <c r="E6" s="33" t="s">
        <v>33</v>
      </c>
      <c r="F6" s="41">
        <v>38172</v>
      </c>
      <c r="G6" s="42">
        <f t="shared" ca="1" si="0"/>
        <v>9</v>
      </c>
      <c r="H6" s="43">
        <v>2</v>
      </c>
      <c r="I6" s="44">
        <v>31205</v>
      </c>
      <c r="AG6" s="45"/>
      <c r="AH6" s="45"/>
    </row>
    <row r="7" spans="1:34" x14ac:dyDescent="0.25">
      <c r="A7" s="33" t="s">
        <v>36</v>
      </c>
      <c r="B7" s="33" t="s">
        <v>32</v>
      </c>
      <c r="C7" s="39">
        <v>378882665</v>
      </c>
      <c r="D7" s="40">
        <v>9186101454</v>
      </c>
      <c r="E7" s="33" t="s">
        <v>22</v>
      </c>
      <c r="F7" s="41">
        <v>36745</v>
      </c>
      <c r="G7" s="42">
        <f t="shared" ca="1" si="0"/>
        <v>13</v>
      </c>
      <c r="H7" s="43">
        <v>4</v>
      </c>
      <c r="I7" s="44">
        <v>24340</v>
      </c>
      <c r="AG7" s="45"/>
      <c r="AH7" s="45"/>
    </row>
    <row r="8" spans="1:34" x14ac:dyDescent="0.25">
      <c r="A8" s="33" t="s">
        <v>39</v>
      </c>
      <c r="B8" s="33" t="s">
        <v>40</v>
      </c>
      <c r="C8" s="39">
        <v>559376297</v>
      </c>
      <c r="D8" s="40">
        <v>7161517218</v>
      </c>
      <c r="E8" s="33" t="s">
        <v>22</v>
      </c>
      <c r="F8" s="41">
        <v>37200</v>
      </c>
      <c r="G8" s="42">
        <f t="shared" ca="1" si="0"/>
        <v>12</v>
      </c>
      <c r="H8" s="43">
        <v>3</v>
      </c>
      <c r="I8" s="44">
        <v>48010</v>
      </c>
      <c r="AG8" s="45"/>
      <c r="AH8" s="45"/>
    </row>
    <row r="9" spans="1:34" x14ac:dyDescent="0.25">
      <c r="A9" s="33" t="s">
        <v>41</v>
      </c>
      <c r="B9" s="33" t="s">
        <v>21</v>
      </c>
      <c r="C9" s="39">
        <v>378281658</v>
      </c>
      <c r="D9" s="40">
        <v>2176092172</v>
      </c>
      <c r="E9" s="33" t="s">
        <v>22</v>
      </c>
      <c r="F9" s="41">
        <v>35220</v>
      </c>
      <c r="G9" s="42">
        <f t="shared" ca="1" si="0"/>
        <v>17</v>
      </c>
      <c r="H9" s="43">
        <v>5</v>
      </c>
      <c r="I9" s="44">
        <v>35460</v>
      </c>
      <c r="AG9" s="45"/>
      <c r="AH9" s="45"/>
    </row>
    <row r="10" spans="1:34" x14ac:dyDescent="0.25">
      <c r="A10" s="33" t="s">
        <v>42</v>
      </c>
      <c r="B10" s="33" t="s">
        <v>43</v>
      </c>
      <c r="C10" s="39">
        <v>767961463</v>
      </c>
      <c r="D10" s="40">
        <v>9015057530</v>
      </c>
      <c r="E10" s="33" t="s">
        <v>17</v>
      </c>
      <c r="F10" s="41">
        <v>37917</v>
      </c>
      <c r="G10" s="42">
        <f t="shared" ca="1" si="0"/>
        <v>10</v>
      </c>
      <c r="H10" s="43">
        <v>2</v>
      </c>
      <c r="I10" s="44">
        <v>60060</v>
      </c>
      <c r="AG10" s="45"/>
      <c r="AH10" s="45"/>
    </row>
    <row r="11" spans="1:34" x14ac:dyDescent="0.25">
      <c r="A11" s="33" t="s">
        <v>44</v>
      </c>
      <c r="B11" s="33" t="s">
        <v>32</v>
      </c>
      <c r="C11" s="39">
        <v>111616346</v>
      </c>
      <c r="D11" s="40">
        <v>3081282202</v>
      </c>
      <c r="E11" s="33" t="s">
        <v>33</v>
      </c>
      <c r="F11" s="41">
        <v>39811</v>
      </c>
      <c r="G11" s="42">
        <f t="shared" ca="1" si="0"/>
        <v>4</v>
      </c>
      <c r="H11" s="43">
        <v>5</v>
      </c>
      <c r="I11" s="44">
        <v>49355</v>
      </c>
      <c r="AG11" s="45"/>
      <c r="AH11" s="45"/>
    </row>
    <row r="12" spans="1:34" x14ac:dyDescent="0.25">
      <c r="A12" s="33" t="s">
        <v>45</v>
      </c>
      <c r="B12" s="33" t="s">
        <v>16</v>
      </c>
      <c r="C12" s="39">
        <v>503349830</v>
      </c>
      <c r="D12" s="40">
        <v>5028467597</v>
      </c>
      <c r="E12" s="33" t="s">
        <v>33</v>
      </c>
      <c r="F12" s="41">
        <v>32709</v>
      </c>
      <c r="G12" s="42">
        <f t="shared" ca="1" si="0"/>
        <v>24</v>
      </c>
      <c r="H12" s="43">
        <v>4</v>
      </c>
      <c r="I12" s="44">
        <v>13090</v>
      </c>
      <c r="AG12" s="45"/>
      <c r="AH12" s="45"/>
    </row>
    <row r="13" spans="1:34" x14ac:dyDescent="0.25">
      <c r="A13" s="33" t="s">
        <v>46</v>
      </c>
      <c r="B13" s="33" t="s">
        <v>40</v>
      </c>
      <c r="C13" s="39">
        <v>681596577</v>
      </c>
      <c r="D13" s="40">
        <v>2033695179</v>
      </c>
      <c r="E13" s="33" t="s">
        <v>22</v>
      </c>
      <c r="F13" s="41">
        <v>35166</v>
      </c>
      <c r="G13" s="42">
        <f t="shared" ca="1" si="0"/>
        <v>17</v>
      </c>
      <c r="H13" s="43">
        <v>4</v>
      </c>
      <c r="I13" s="44">
        <v>86320</v>
      </c>
    </row>
    <row r="14" spans="1:34" x14ac:dyDescent="0.25">
      <c r="A14" s="33" t="s">
        <v>47</v>
      </c>
      <c r="B14" s="33" t="s">
        <v>32</v>
      </c>
      <c r="C14" s="39">
        <v>948480407</v>
      </c>
      <c r="D14" s="40">
        <v>5137961953</v>
      </c>
      <c r="E14" s="33" t="s">
        <v>22</v>
      </c>
      <c r="F14" s="41">
        <v>32916</v>
      </c>
      <c r="G14" s="42">
        <f t="shared" ca="1" si="0"/>
        <v>23</v>
      </c>
      <c r="H14" s="43">
        <v>4</v>
      </c>
      <c r="I14" s="44">
        <v>79400</v>
      </c>
    </row>
    <row r="15" spans="1:34" x14ac:dyDescent="0.25">
      <c r="A15" s="33" t="s">
        <v>48</v>
      </c>
      <c r="B15" s="33" t="s">
        <v>40</v>
      </c>
      <c r="C15" s="39">
        <v>761337848</v>
      </c>
      <c r="D15" s="40">
        <v>9144944596</v>
      </c>
      <c r="E15" s="33" t="s">
        <v>17</v>
      </c>
      <c r="F15" s="41">
        <v>33516</v>
      </c>
      <c r="G15" s="42">
        <f t="shared" ca="1" si="0"/>
        <v>22</v>
      </c>
      <c r="H15" s="43">
        <v>3</v>
      </c>
      <c r="I15" s="44">
        <v>75550</v>
      </c>
    </row>
    <row r="16" spans="1:34" x14ac:dyDescent="0.25">
      <c r="A16" s="33" t="s">
        <v>49</v>
      </c>
      <c r="B16" s="33" t="s">
        <v>40</v>
      </c>
      <c r="C16" s="39">
        <v>651999482</v>
      </c>
      <c r="D16" s="40">
        <v>2183204992</v>
      </c>
      <c r="E16" s="33" t="s">
        <v>22</v>
      </c>
      <c r="F16" s="41">
        <v>33311</v>
      </c>
      <c r="G16" s="42">
        <f t="shared" ca="1" si="0"/>
        <v>22</v>
      </c>
      <c r="H16" s="43">
        <v>3</v>
      </c>
      <c r="I16" s="44">
        <v>32160</v>
      </c>
    </row>
    <row r="17" spans="1:34" x14ac:dyDescent="0.25">
      <c r="A17" s="33" t="s">
        <v>50</v>
      </c>
      <c r="B17" s="33" t="s">
        <v>21</v>
      </c>
      <c r="C17" s="39">
        <v>723930767</v>
      </c>
      <c r="D17" s="40">
        <v>4024532398</v>
      </c>
      <c r="E17" s="33" t="s">
        <v>17</v>
      </c>
      <c r="F17" s="41">
        <v>33443</v>
      </c>
      <c r="G17" s="42">
        <f t="shared" ca="1" si="0"/>
        <v>22</v>
      </c>
      <c r="H17" s="43">
        <v>4</v>
      </c>
      <c r="I17" s="44">
        <v>79220</v>
      </c>
    </row>
    <row r="18" spans="1:34" x14ac:dyDescent="0.25">
      <c r="A18" s="33" t="s">
        <v>51</v>
      </c>
      <c r="B18" s="33" t="s">
        <v>52</v>
      </c>
      <c r="C18" s="39">
        <v>719937584</v>
      </c>
      <c r="D18" s="40">
        <v>8064416232</v>
      </c>
      <c r="E18" s="33" t="s">
        <v>17</v>
      </c>
      <c r="F18" s="41">
        <v>35460</v>
      </c>
      <c r="G18" s="42">
        <f t="shared" ca="1" si="0"/>
        <v>16</v>
      </c>
      <c r="H18" s="43">
        <v>4</v>
      </c>
      <c r="I18" s="44">
        <v>59050</v>
      </c>
    </row>
    <row r="19" spans="1:34" x14ac:dyDescent="0.25">
      <c r="A19" s="33" t="s">
        <v>53</v>
      </c>
      <c r="B19" s="33" t="s">
        <v>21</v>
      </c>
      <c r="C19" s="39">
        <v>788832967</v>
      </c>
      <c r="D19" s="40">
        <v>7025299873</v>
      </c>
      <c r="E19" s="33" t="s">
        <v>17</v>
      </c>
      <c r="F19" s="41">
        <v>36119</v>
      </c>
      <c r="G19" s="42">
        <f t="shared" ca="1" si="0"/>
        <v>15</v>
      </c>
      <c r="H19" s="43">
        <v>1</v>
      </c>
      <c r="I19" s="44">
        <v>45420</v>
      </c>
    </row>
    <row r="20" spans="1:34" x14ac:dyDescent="0.25">
      <c r="A20" s="33" t="s">
        <v>54</v>
      </c>
      <c r="B20" s="33" t="s">
        <v>40</v>
      </c>
      <c r="C20" s="39">
        <v>297806507</v>
      </c>
      <c r="D20" s="40">
        <v>9114627771</v>
      </c>
      <c r="E20" s="33" t="s">
        <v>17</v>
      </c>
      <c r="F20" s="41">
        <v>34670</v>
      </c>
      <c r="G20" s="42">
        <f t="shared" ca="1" si="0"/>
        <v>19</v>
      </c>
      <c r="H20" s="43">
        <v>5</v>
      </c>
      <c r="I20" s="44">
        <v>41770</v>
      </c>
    </row>
    <row r="21" spans="1:34" x14ac:dyDescent="0.25">
      <c r="A21" s="33" t="s">
        <v>55</v>
      </c>
      <c r="B21" s="33" t="s">
        <v>21</v>
      </c>
      <c r="C21" s="39">
        <v>272036635</v>
      </c>
      <c r="D21" s="40">
        <v>3013938131</v>
      </c>
      <c r="E21" s="33" t="s">
        <v>17</v>
      </c>
      <c r="F21" s="41">
        <v>33209</v>
      </c>
      <c r="G21" s="42">
        <f t="shared" ca="1" si="0"/>
        <v>23</v>
      </c>
      <c r="H21" s="43">
        <v>2</v>
      </c>
      <c r="I21" s="44">
        <v>49530</v>
      </c>
    </row>
    <row r="22" spans="1:34" x14ac:dyDescent="0.25">
      <c r="A22" s="33" t="s">
        <v>56</v>
      </c>
      <c r="B22" s="33" t="s">
        <v>16</v>
      </c>
      <c r="C22" s="39">
        <v>755945415</v>
      </c>
      <c r="D22" s="40">
        <v>6194897618</v>
      </c>
      <c r="E22" s="33" t="s">
        <v>22</v>
      </c>
      <c r="F22" s="41">
        <v>32637</v>
      </c>
      <c r="G22" s="42">
        <f t="shared" ca="1" si="0"/>
        <v>24</v>
      </c>
      <c r="H22" s="43">
        <v>4</v>
      </c>
      <c r="I22" s="44">
        <v>62740</v>
      </c>
    </row>
    <row r="23" spans="1:34" x14ac:dyDescent="0.25">
      <c r="A23" s="33" t="s">
        <v>57</v>
      </c>
      <c r="B23" s="33" t="s">
        <v>58</v>
      </c>
      <c r="C23" s="39">
        <v>718930584</v>
      </c>
      <c r="D23" s="40">
        <v>9024378387</v>
      </c>
      <c r="E23" s="33" t="s">
        <v>17</v>
      </c>
      <c r="F23" s="41">
        <v>34837</v>
      </c>
      <c r="G23" s="42">
        <f t="shared" ca="1" si="0"/>
        <v>18</v>
      </c>
      <c r="H23" s="43">
        <v>4</v>
      </c>
      <c r="I23" s="44">
        <v>54190</v>
      </c>
    </row>
    <row r="24" spans="1:34" x14ac:dyDescent="0.25">
      <c r="A24" s="33" t="s">
        <v>59</v>
      </c>
      <c r="B24" s="33" t="s">
        <v>52</v>
      </c>
      <c r="C24" s="39">
        <v>164904130</v>
      </c>
      <c r="D24" s="40">
        <v>3122338778</v>
      </c>
      <c r="E24" s="33" t="s">
        <v>22</v>
      </c>
      <c r="F24" s="41">
        <v>38543</v>
      </c>
      <c r="G24" s="42">
        <f t="shared" ca="1" si="0"/>
        <v>8</v>
      </c>
      <c r="H24" s="43">
        <v>5</v>
      </c>
      <c r="I24" s="44">
        <v>43600</v>
      </c>
    </row>
    <row r="25" spans="1:34" x14ac:dyDescent="0.25">
      <c r="A25" s="33" t="s">
        <v>60</v>
      </c>
      <c r="B25" s="33" t="s">
        <v>61</v>
      </c>
      <c r="C25" s="39">
        <v>452255054</v>
      </c>
      <c r="D25" s="40">
        <v>4077317354</v>
      </c>
      <c r="E25" s="33" t="s">
        <v>33</v>
      </c>
      <c r="F25" s="41">
        <v>32892</v>
      </c>
      <c r="G25" s="42">
        <f t="shared" ca="1" si="0"/>
        <v>23</v>
      </c>
      <c r="H25" s="43">
        <v>4</v>
      </c>
      <c r="I25" s="44">
        <v>35045</v>
      </c>
    </row>
    <row r="26" spans="1:34" x14ac:dyDescent="0.25">
      <c r="A26" s="33" t="s">
        <v>62</v>
      </c>
      <c r="B26" s="33" t="s">
        <v>16</v>
      </c>
      <c r="C26" s="39">
        <v>163292583</v>
      </c>
      <c r="D26" s="40">
        <v>5192263363</v>
      </c>
      <c r="E26" s="33" t="s">
        <v>22</v>
      </c>
      <c r="F26" s="41">
        <v>36330</v>
      </c>
      <c r="G26" s="42">
        <f t="shared" ca="1" si="0"/>
        <v>14</v>
      </c>
      <c r="H26" s="43">
        <v>5</v>
      </c>
      <c r="I26" s="44">
        <v>48990</v>
      </c>
    </row>
    <row r="27" spans="1:34" x14ac:dyDescent="0.25">
      <c r="A27" s="33" t="s">
        <v>63</v>
      </c>
      <c r="B27" s="33" t="s">
        <v>64</v>
      </c>
      <c r="C27" s="39">
        <v>478004556</v>
      </c>
      <c r="D27" s="40">
        <v>7127936742</v>
      </c>
      <c r="E27" s="33" t="s">
        <v>22</v>
      </c>
      <c r="F27" s="41">
        <v>36398</v>
      </c>
      <c r="G27" s="42">
        <f t="shared" ca="1" si="0"/>
        <v>14</v>
      </c>
      <c r="H27" s="43">
        <v>4</v>
      </c>
      <c r="I27" s="44">
        <v>27180</v>
      </c>
    </row>
    <row r="28" spans="1:34" x14ac:dyDescent="0.25">
      <c r="A28" s="33" t="s">
        <v>65</v>
      </c>
      <c r="B28" s="33" t="s">
        <v>21</v>
      </c>
      <c r="C28" s="39">
        <v>458734969</v>
      </c>
      <c r="D28" s="40">
        <v>7087422559</v>
      </c>
      <c r="E28" s="33" t="s">
        <v>22</v>
      </c>
      <c r="F28" s="41">
        <v>34361</v>
      </c>
      <c r="G28" s="42">
        <f t="shared" ca="1" si="0"/>
        <v>19</v>
      </c>
      <c r="H28" s="43">
        <v>4</v>
      </c>
      <c r="I28" s="44">
        <v>67050</v>
      </c>
    </row>
    <row r="29" spans="1:34" x14ac:dyDescent="0.25">
      <c r="A29" s="33" t="s">
        <v>66</v>
      </c>
      <c r="B29" s="33" t="s">
        <v>52</v>
      </c>
      <c r="C29" s="39">
        <v>960967007</v>
      </c>
      <c r="D29" s="40">
        <v>3128211050</v>
      </c>
      <c r="E29" s="33" t="s">
        <v>22</v>
      </c>
      <c r="F29" s="41">
        <v>35680</v>
      </c>
      <c r="G29" s="42">
        <f t="shared" ca="1" si="0"/>
        <v>16</v>
      </c>
      <c r="H29" s="43">
        <v>3</v>
      </c>
      <c r="I29" s="44">
        <v>39000</v>
      </c>
    </row>
    <row r="30" spans="1:34" x14ac:dyDescent="0.25">
      <c r="A30" s="33" t="s">
        <v>67</v>
      </c>
      <c r="B30" s="33" t="s">
        <v>68</v>
      </c>
      <c r="C30" s="39">
        <v>495372474</v>
      </c>
      <c r="D30" s="40">
        <v>2018359862</v>
      </c>
      <c r="E30" s="33" t="s">
        <v>22</v>
      </c>
      <c r="F30" s="41">
        <v>35533</v>
      </c>
      <c r="G30" s="42">
        <f t="shared" ca="1" si="0"/>
        <v>16</v>
      </c>
      <c r="H30" s="43">
        <v>5</v>
      </c>
      <c r="I30" s="44">
        <v>72090</v>
      </c>
    </row>
    <row r="31" spans="1:34" x14ac:dyDescent="0.25">
      <c r="A31" s="33" t="s">
        <v>69</v>
      </c>
      <c r="B31" s="33" t="s">
        <v>52</v>
      </c>
      <c r="C31" s="39">
        <v>444159297</v>
      </c>
      <c r="D31" s="40">
        <v>7127172882</v>
      </c>
      <c r="E31" s="33" t="s">
        <v>22</v>
      </c>
      <c r="F31" s="41">
        <v>34841</v>
      </c>
      <c r="G31" s="42">
        <f t="shared" ca="1" si="0"/>
        <v>18</v>
      </c>
      <c r="H31" s="43">
        <v>1</v>
      </c>
      <c r="I31" s="44">
        <v>62965</v>
      </c>
    </row>
    <row r="32" spans="1:34" x14ac:dyDescent="0.25">
      <c r="A32" s="33" t="s">
        <v>70</v>
      </c>
      <c r="B32" s="33" t="s">
        <v>71</v>
      </c>
      <c r="C32" s="39">
        <v>147724014</v>
      </c>
      <c r="D32" s="40">
        <v>7041868104</v>
      </c>
      <c r="E32" s="33" t="s">
        <v>33</v>
      </c>
      <c r="F32" s="41">
        <v>32550</v>
      </c>
      <c r="G32" s="42">
        <f t="shared" ca="1" si="0"/>
        <v>24</v>
      </c>
      <c r="H32" s="43">
        <v>5</v>
      </c>
      <c r="I32" s="44">
        <v>39620</v>
      </c>
      <c r="O32" s="35" t="s">
        <v>18</v>
      </c>
      <c r="P32" s="46">
        <v>33</v>
      </c>
      <c r="Q32" s="46">
        <v>40</v>
      </c>
      <c r="R32" s="46">
        <v>37</v>
      </c>
      <c r="S32" s="46">
        <v>48</v>
      </c>
      <c r="T32" s="46">
        <v>48</v>
      </c>
      <c r="U32" s="46"/>
      <c r="V32" s="35" t="s">
        <v>19</v>
      </c>
      <c r="W32" s="46">
        <v>45</v>
      </c>
      <c r="X32" s="46">
        <v>47</v>
      </c>
      <c r="Y32" s="46">
        <v>35</v>
      </c>
      <c r="Z32" s="46">
        <v>49</v>
      </c>
      <c r="AA32" s="46">
        <v>37</v>
      </c>
      <c r="AF32" s="34"/>
      <c r="AG32" s="47">
        <v>0</v>
      </c>
      <c r="AH32" s="48">
        <v>0</v>
      </c>
    </row>
    <row r="33" spans="1:9" x14ac:dyDescent="0.25">
      <c r="A33" s="33" t="s">
        <v>72</v>
      </c>
      <c r="B33" s="33" t="s">
        <v>40</v>
      </c>
      <c r="C33" s="39">
        <v>289103201</v>
      </c>
      <c r="D33" s="40">
        <v>8014272773</v>
      </c>
      <c r="E33" s="33" t="s">
        <v>33</v>
      </c>
      <c r="F33" s="41">
        <v>33395</v>
      </c>
      <c r="G33" s="42">
        <f t="shared" ca="1" si="0"/>
        <v>22</v>
      </c>
      <c r="H33" s="43">
        <v>1</v>
      </c>
      <c r="I33" s="44">
        <v>19935</v>
      </c>
    </row>
    <row r="34" spans="1:9" x14ac:dyDescent="0.25">
      <c r="A34" s="33" t="s">
        <v>73</v>
      </c>
      <c r="B34" s="33" t="s">
        <v>74</v>
      </c>
      <c r="C34" s="39">
        <v>622274162</v>
      </c>
      <c r="D34" s="40">
        <v>8052474315</v>
      </c>
      <c r="E34" s="33" t="s">
        <v>22</v>
      </c>
      <c r="F34" s="41">
        <v>34643</v>
      </c>
      <c r="G34" s="42">
        <f t="shared" ca="1" si="0"/>
        <v>19</v>
      </c>
      <c r="H34" s="43">
        <v>5</v>
      </c>
      <c r="I34" s="44">
        <v>63780</v>
      </c>
    </row>
    <row r="35" spans="1:9" x14ac:dyDescent="0.25">
      <c r="A35" s="33" t="s">
        <v>75</v>
      </c>
      <c r="B35" s="33" t="s">
        <v>21</v>
      </c>
      <c r="C35" s="39">
        <v>277423593</v>
      </c>
      <c r="D35" s="40">
        <v>3164078104</v>
      </c>
      <c r="E35" s="33" t="s">
        <v>17</v>
      </c>
      <c r="F35" s="41">
        <v>38302</v>
      </c>
      <c r="G35" s="42">
        <f t="shared" ca="1" si="0"/>
        <v>9</v>
      </c>
      <c r="H35" s="43">
        <v>4</v>
      </c>
      <c r="I35" s="44">
        <v>80330</v>
      </c>
    </row>
    <row r="36" spans="1:9" x14ac:dyDescent="0.25">
      <c r="A36" s="33" t="s">
        <v>76</v>
      </c>
      <c r="B36" s="33" t="s">
        <v>21</v>
      </c>
      <c r="C36" s="39">
        <v>719165738</v>
      </c>
      <c r="D36" s="40">
        <v>7074402150</v>
      </c>
      <c r="E36" s="33" t="s">
        <v>22</v>
      </c>
      <c r="F36" s="41">
        <v>34746</v>
      </c>
      <c r="G36" s="42">
        <f t="shared" ca="1" si="0"/>
        <v>18</v>
      </c>
      <c r="H36" s="43">
        <v>4</v>
      </c>
      <c r="I36" s="44">
        <v>45480</v>
      </c>
    </row>
    <row r="37" spans="1:9" x14ac:dyDescent="0.25">
      <c r="A37" s="33" t="s">
        <v>77</v>
      </c>
      <c r="B37" s="33" t="s">
        <v>40</v>
      </c>
      <c r="C37" s="39">
        <v>261920277</v>
      </c>
      <c r="D37" s="40">
        <v>2173838954</v>
      </c>
      <c r="E37" s="33" t="s">
        <v>33</v>
      </c>
      <c r="F37" s="41">
        <v>32781</v>
      </c>
      <c r="G37" s="42">
        <f t="shared" ca="1" si="0"/>
        <v>24</v>
      </c>
      <c r="H37" s="43">
        <v>2</v>
      </c>
      <c r="I37" s="44">
        <v>13455</v>
      </c>
    </row>
    <row r="38" spans="1:9" x14ac:dyDescent="0.25">
      <c r="A38" s="33" t="s">
        <v>78</v>
      </c>
      <c r="B38" s="33" t="s">
        <v>64</v>
      </c>
      <c r="C38" s="39">
        <v>243350742</v>
      </c>
      <c r="D38" s="40">
        <v>7133294956</v>
      </c>
      <c r="E38" s="33" t="s">
        <v>17</v>
      </c>
      <c r="F38" s="41">
        <v>38430</v>
      </c>
      <c r="G38" s="42">
        <f t="shared" ca="1" si="0"/>
        <v>8</v>
      </c>
      <c r="H38" s="43">
        <v>4</v>
      </c>
      <c r="I38" s="44">
        <v>62150</v>
      </c>
    </row>
    <row r="39" spans="1:9" x14ac:dyDescent="0.25">
      <c r="A39" s="33" t="s">
        <v>79</v>
      </c>
      <c r="B39" s="33" t="s">
        <v>80</v>
      </c>
      <c r="C39" s="39">
        <v>415228597</v>
      </c>
      <c r="D39" s="40">
        <v>7146593848</v>
      </c>
      <c r="E39" s="33" t="s">
        <v>81</v>
      </c>
      <c r="F39" s="41">
        <v>35909</v>
      </c>
      <c r="G39" s="42">
        <f t="shared" ca="1" si="0"/>
        <v>15</v>
      </c>
      <c r="H39" s="43">
        <v>5</v>
      </c>
      <c r="I39" s="44">
        <v>61860</v>
      </c>
    </row>
    <row r="40" spans="1:9" x14ac:dyDescent="0.25">
      <c r="A40" s="33" t="s">
        <v>82</v>
      </c>
      <c r="B40" s="33" t="s">
        <v>83</v>
      </c>
      <c r="C40" s="39">
        <v>147683641</v>
      </c>
      <c r="D40" s="40">
        <v>7161854525</v>
      </c>
      <c r="E40" s="33" t="s">
        <v>22</v>
      </c>
      <c r="F40" s="41">
        <v>37326</v>
      </c>
      <c r="G40" s="42">
        <f t="shared" ca="1" si="0"/>
        <v>11</v>
      </c>
      <c r="H40" s="43">
        <v>2</v>
      </c>
      <c r="I40" s="44">
        <v>53870</v>
      </c>
    </row>
    <row r="41" spans="1:9" x14ac:dyDescent="0.25">
      <c r="A41" s="33" t="s">
        <v>84</v>
      </c>
      <c r="B41" s="33" t="s">
        <v>83</v>
      </c>
      <c r="C41" s="39">
        <v>724193735</v>
      </c>
      <c r="D41" s="40">
        <v>9144555389</v>
      </c>
      <c r="E41" s="33" t="s">
        <v>22</v>
      </c>
      <c r="F41" s="41">
        <v>39703</v>
      </c>
      <c r="G41" s="42">
        <f t="shared" ca="1" si="0"/>
        <v>5</v>
      </c>
      <c r="H41" s="43">
        <v>5</v>
      </c>
      <c r="I41" s="44">
        <v>27250</v>
      </c>
    </row>
    <row r="42" spans="1:9" x14ac:dyDescent="0.25">
      <c r="A42" s="33" t="s">
        <v>85</v>
      </c>
      <c r="B42" s="33" t="s">
        <v>64</v>
      </c>
      <c r="C42" s="39">
        <v>387517948</v>
      </c>
      <c r="D42" s="40">
        <v>2136306545</v>
      </c>
      <c r="E42" s="33" t="s">
        <v>17</v>
      </c>
      <c r="F42" s="41">
        <v>34509</v>
      </c>
      <c r="G42" s="42">
        <f t="shared" ca="1" si="0"/>
        <v>19</v>
      </c>
      <c r="H42" s="43">
        <v>2</v>
      </c>
      <c r="I42" s="44">
        <v>64390</v>
      </c>
    </row>
    <row r="43" spans="1:9" x14ac:dyDescent="0.25">
      <c r="A43" s="33" t="s">
        <v>86</v>
      </c>
      <c r="B43" s="33" t="s">
        <v>16</v>
      </c>
      <c r="C43" s="39">
        <v>368385341</v>
      </c>
      <c r="D43" s="40">
        <v>3196007063</v>
      </c>
      <c r="E43" s="33" t="s">
        <v>33</v>
      </c>
      <c r="F43" s="41">
        <v>36528</v>
      </c>
      <c r="G43" s="42">
        <f t="shared" ca="1" si="0"/>
        <v>13</v>
      </c>
      <c r="H43" s="43">
        <v>1</v>
      </c>
      <c r="I43" s="44">
        <v>31110</v>
      </c>
    </row>
    <row r="44" spans="1:9" x14ac:dyDescent="0.25">
      <c r="A44" s="33" t="s">
        <v>87</v>
      </c>
      <c r="B44" s="33" t="s">
        <v>40</v>
      </c>
      <c r="C44" s="39">
        <v>526188716</v>
      </c>
      <c r="D44" s="40">
        <v>5158842613</v>
      </c>
      <c r="E44" s="33" t="s">
        <v>17</v>
      </c>
      <c r="F44" s="41">
        <v>33924</v>
      </c>
      <c r="G44" s="42">
        <f t="shared" ca="1" si="0"/>
        <v>21</v>
      </c>
      <c r="H44" s="43">
        <v>1</v>
      </c>
      <c r="I44" s="44">
        <v>45105</v>
      </c>
    </row>
    <row r="45" spans="1:9" x14ac:dyDescent="0.25">
      <c r="A45" s="33" t="s">
        <v>88</v>
      </c>
      <c r="B45" s="33" t="s">
        <v>52</v>
      </c>
      <c r="C45" s="39">
        <v>281005046</v>
      </c>
      <c r="D45" s="40">
        <v>3164160215</v>
      </c>
      <c r="E45" s="33" t="s">
        <v>22</v>
      </c>
      <c r="F45" s="41">
        <v>33550</v>
      </c>
      <c r="G45" s="42">
        <f t="shared" ca="1" si="0"/>
        <v>22</v>
      </c>
      <c r="H45" s="43">
        <v>4</v>
      </c>
      <c r="I45" s="44">
        <v>54200</v>
      </c>
    </row>
    <row r="46" spans="1:9" x14ac:dyDescent="0.25">
      <c r="A46" s="33" t="s">
        <v>89</v>
      </c>
      <c r="B46" s="33" t="s">
        <v>52</v>
      </c>
      <c r="C46" s="39">
        <v>948195711</v>
      </c>
      <c r="D46" s="40">
        <v>6077904981</v>
      </c>
      <c r="E46" s="33" t="s">
        <v>22</v>
      </c>
      <c r="F46" s="41">
        <v>34763</v>
      </c>
      <c r="G46" s="42">
        <f t="shared" ca="1" si="0"/>
        <v>18</v>
      </c>
      <c r="H46" s="43">
        <v>3</v>
      </c>
      <c r="I46" s="44">
        <v>66440</v>
      </c>
    </row>
    <row r="47" spans="1:9" x14ac:dyDescent="0.25">
      <c r="A47" s="33" t="s">
        <v>90</v>
      </c>
      <c r="B47" s="33" t="s">
        <v>61</v>
      </c>
      <c r="C47" s="39">
        <v>820244290</v>
      </c>
      <c r="D47" s="40">
        <v>4065699651</v>
      </c>
      <c r="E47" s="33" t="s">
        <v>22</v>
      </c>
      <c r="F47" s="41">
        <v>33318</v>
      </c>
      <c r="G47" s="42">
        <f t="shared" ca="1" si="0"/>
        <v>22</v>
      </c>
      <c r="H47" s="43">
        <v>1</v>
      </c>
      <c r="I47" s="44">
        <v>68010</v>
      </c>
    </row>
    <row r="48" spans="1:9" x14ac:dyDescent="0.25">
      <c r="A48" s="33" t="s">
        <v>91</v>
      </c>
      <c r="B48" s="33" t="s">
        <v>40</v>
      </c>
      <c r="C48" s="39">
        <v>523758324</v>
      </c>
      <c r="D48" s="40">
        <v>3128742282</v>
      </c>
      <c r="E48" s="33" t="s">
        <v>22</v>
      </c>
      <c r="F48" s="41">
        <v>40070</v>
      </c>
      <c r="G48" s="42">
        <f t="shared" ca="1" si="0"/>
        <v>4</v>
      </c>
      <c r="H48" s="43">
        <v>4</v>
      </c>
      <c r="I48" s="44">
        <v>23030</v>
      </c>
    </row>
    <row r="49" spans="1:9" x14ac:dyDescent="0.25">
      <c r="A49" s="33" t="s">
        <v>92</v>
      </c>
      <c r="B49" s="33" t="s">
        <v>58</v>
      </c>
      <c r="C49" s="39">
        <v>959750235</v>
      </c>
      <c r="D49" s="40">
        <v>5088097539</v>
      </c>
      <c r="E49" s="33" t="s">
        <v>33</v>
      </c>
      <c r="F49" s="41">
        <v>35351</v>
      </c>
      <c r="G49" s="42">
        <f t="shared" ca="1" si="0"/>
        <v>17</v>
      </c>
      <c r="H49" s="43">
        <v>3</v>
      </c>
      <c r="I49" s="44">
        <v>20500</v>
      </c>
    </row>
    <row r="50" spans="1:9" x14ac:dyDescent="0.25">
      <c r="A50" s="33" t="s">
        <v>93</v>
      </c>
      <c r="B50" s="33" t="s">
        <v>40</v>
      </c>
      <c r="C50" s="39">
        <v>195245117</v>
      </c>
      <c r="D50" s="40">
        <v>2142636516</v>
      </c>
      <c r="E50" s="33" t="s">
        <v>17</v>
      </c>
      <c r="F50" s="41">
        <v>33525</v>
      </c>
      <c r="G50" s="42">
        <f t="shared" ca="1" si="0"/>
        <v>22</v>
      </c>
      <c r="H50" s="43">
        <v>1</v>
      </c>
      <c r="I50" s="44">
        <v>78590</v>
      </c>
    </row>
    <row r="51" spans="1:9" x14ac:dyDescent="0.25">
      <c r="A51" s="33" t="s">
        <v>94</v>
      </c>
      <c r="B51" s="33" t="s">
        <v>16</v>
      </c>
      <c r="C51" s="39">
        <v>351268538</v>
      </c>
      <c r="D51" s="40">
        <v>5025724528</v>
      </c>
      <c r="E51" s="33" t="s">
        <v>22</v>
      </c>
      <c r="F51" s="41">
        <v>33567</v>
      </c>
      <c r="G51" s="42">
        <f t="shared" ca="1" si="0"/>
        <v>22</v>
      </c>
      <c r="H51" s="43">
        <v>2</v>
      </c>
      <c r="I51" s="44">
        <v>65250</v>
      </c>
    </row>
    <row r="52" spans="1:9" x14ac:dyDescent="0.25">
      <c r="A52" s="33" t="s">
        <v>95</v>
      </c>
      <c r="B52" s="33" t="s">
        <v>71</v>
      </c>
      <c r="C52" s="39">
        <v>291274360</v>
      </c>
      <c r="D52" s="40">
        <v>4134316324</v>
      </c>
      <c r="E52" s="33" t="s">
        <v>22</v>
      </c>
      <c r="F52" s="41">
        <v>32830</v>
      </c>
      <c r="G52" s="42">
        <f t="shared" ca="1" si="0"/>
        <v>24</v>
      </c>
      <c r="H52" s="43">
        <v>5</v>
      </c>
      <c r="I52" s="44">
        <v>69400</v>
      </c>
    </row>
    <row r="53" spans="1:9" x14ac:dyDescent="0.25">
      <c r="A53" s="33" t="s">
        <v>96</v>
      </c>
      <c r="B53" s="33" t="s">
        <v>40</v>
      </c>
      <c r="C53" s="39">
        <v>914428485</v>
      </c>
      <c r="D53" s="40">
        <v>6187103200</v>
      </c>
      <c r="E53" s="33" t="s">
        <v>22</v>
      </c>
      <c r="F53" s="41">
        <v>39069</v>
      </c>
      <c r="G53" s="42">
        <f t="shared" ca="1" si="0"/>
        <v>6</v>
      </c>
      <c r="H53" s="43">
        <v>5</v>
      </c>
      <c r="I53" s="44">
        <v>22820</v>
      </c>
    </row>
    <row r="54" spans="1:9" x14ac:dyDescent="0.25">
      <c r="A54" s="33" t="s">
        <v>97</v>
      </c>
      <c r="B54" s="33" t="s">
        <v>74</v>
      </c>
      <c r="C54" s="39">
        <v>452692136</v>
      </c>
      <c r="D54" s="40">
        <v>3037345539</v>
      </c>
      <c r="E54" s="33" t="s">
        <v>22</v>
      </c>
      <c r="F54" s="41">
        <v>34995</v>
      </c>
      <c r="G54" s="42">
        <f t="shared" ca="1" si="0"/>
        <v>18</v>
      </c>
      <c r="H54" s="43">
        <v>1</v>
      </c>
      <c r="I54" s="44">
        <v>56870</v>
      </c>
    </row>
    <row r="55" spans="1:9" x14ac:dyDescent="0.25">
      <c r="A55" s="33" t="s">
        <v>98</v>
      </c>
      <c r="B55" s="33" t="s">
        <v>80</v>
      </c>
      <c r="C55" s="39">
        <v>855663308</v>
      </c>
      <c r="D55" s="40">
        <v>7176188082</v>
      </c>
      <c r="E55" s="33" t="s">
        <v>22</v>
      </c>
      <c r="F55" s="41">
        <v>36433</v>
      </c>
      <c r="G55" s="42">
        <f t="shared" ca="1" si="0"/>
        <v>14</v>
      </c>
      <c r="H55" s="43">
        <v>1</v>
      </c>
      <c r="I55" s="44">
        <v>45150</v>
      </c>
    </row>
    <row r="56" spans="1:9" x14ac:dyDescent="0.25">
      <c r="A56" s="33" t="s">
        <v>99</v>
      </c>
      <c r="B56" s="33" t="s">
        <v>21</v>
      </c>
      <c r="C56" s="39">
        <v>475256935</v>
      </c>
      <c r="D56" s="40">
        <v>6017852326</v>
      </c>
      <c r="E56" s="33" t="s">
        <v>22</v>
      </c>
      <c r="F56" s="41">
        <v>35474</v>
      </c>
      <c r="G56" s="42">
        <f t="shared" ca="1" si="0"/>
        <v>16</v>
      </c>
      <c r="H56" s="43">
        <v>4</v>
      </c>
      <c r="I56" s="44">
        <v>33210</v>
      </c>
    </row>
    <row r="57" spans="1:9" x14ac:dyDescent="0.25">
      <c r="A57" s="33" t="s">
        <v>100</v>
      </c>
      <c r="B57" s="33" t="s">
        <v>21</v>
      </c>
      <c r="C57" s="39">
        <v>984570981</v>
      </c>
      <c r="D57" s="40">
        <v>7168561612</v>
      </c>
      <c r="E57" s="33" t="s">
        <v>17</v>
      </c>
      <c r="F57" s="41">
        <v>37463</v>
      </c>
      <c r="G57" s="42">
        <f t="shared" ca="1" si="0"/>
        <v>11</v>
      </c>
      <c r="H57" s="43">
        <v>2</v>
      </c>
      <c r="I57" s="44">
        <v>39300</v>
      </c>
    </row>
    <row r="58" spans="1:9" x14ac:dyDescent="0.25">
      <c r="A58" s="33" t="s">
        <v>101</v>
      </c>
      <c r="B58" s="33" t="s">
        <v>68</v>
      </c>
      <c r="C58" s="39">
        <v>981106829</v>
      </c>
      <c r="D58" s="40">
        <v>5188472270</v>
      </c>
      <c r="E58" s="33" t="s">
        <v>22</v>
      </c>
      <c r="F58" s="41">
        <v>39094</v>
      </c>
      <c r="G58" s="42">
        <f t="shared" ca="1" si="0"/>
        <v>6</v>
      </c>
      <c r="H58" s="43">
        <v>5</v>
      </c>
      <c r="I58" s="44">
        <v>58290</v>
      </c>
    </row>
    <row r="59" spans="1:9" x14ac:dyDescent="0.25">
      <c r="A59" s="33" t="s">
        <v>102</v>
      </c>
      <c r="B59" s="33" t="s">
        <v>71</v>
      </c>
      <c r="C59" s="39">
        <v>869524136</v>
      </c>
      <c r="D59" s="40">
        <v>4086446519</v>
      </c>
      <c r="E59" s="33" t="s">
        <v>22</v>
      </c>
      <c r="F59" s="41">
        <v>32710</v>
      </c>
      <c r="G59" s="42">
        <f t="shared" ca="1" si="0"/>
        <v>24</v>
      </c>
      <c r="H59" s="43">
        <v>3</v>
      </c>
      <c r="I59" s="44">
        <v>35320</v>
      </c>
    </row>
    <row r="60" spans="1:9" x14ac:dyDescent="0.25">
      <c r="A60" s="33" t="s">
        <v>103</v>
      </c>
      <c r="B60" s="33" t="s">
        <v>104</v>
      </c>
      <c r="C60" s="39">
        <v>750006979</v>
      </c>
      <c r="D60" s="40">
        <v>3124743535</v>
      </c>
      <c r="E60" s="33" t="s">
        <v>22</v>
      </c>
      <c r="F60" s="41">
        <v>35572</v>
      </c>
      <c r="G60" s="42">
        <f t="shared" ca="1" si="0"/>
        <v>16</v>
      </c>
      <c r="H60" s="43">
        <v>5</v>
      </c>
      <c r="I60" s="44">
        <v>68300</v>
      </c>
    </row>
    <row r="61" spans="1:9" x14ac:dyDescent="0.25">
      <c r="A61" s="33" t="s">
        <v>105</v>
      </c>
      <c r="B61" s="33" t="s">
        <v>21</v>
      </c>
      <c r="C61" s="39">
        <v>319449613</v>
      </c>
      <c r="D61" s="40">
        <v>7035013435</v>
      </c>
      <c r="E61" s="33" t="s">
        <v>17</v>
      </c>
      <c r="F61" s="41">
        <v>36094</v>
      </c>
      <c r="G61" s="42">
        <f t="shared" ca="1" si="0"/>
        <v>15</v>
      </c>
      <c r="H61" s="43">
        <v>3</v>
      </c>
      <c r="I61" s="44">
        <v>57760</v>
      </c>
    </row>
    <row r="62" spans="1:9" x14ac:dyDescent="0.25">
      <c r="A62" s="33" t="s">
        <v>106</v>
      </c>
      <c r="B62" s="33" t="s">
        <v>40</v>
      </c>
      <c r="C62" s="39">
        <v>470935648</v>
      </c>
      <c r="D62" s="40">
        <v>5137722509</v>
      </c>
      <c r="E62" s="33" t="s">
        <v>22</v>
      </c>
      <c r="F62" s="41">
        <v>33676</v>
      </c>
      <c r="G62" s="42">
        <f t="shared" ca="1" si="0"/>
        <v>21</v>
      </c>
      <c r="H62" s="43">
        <v>1</v>
      </c>
      <c r="I62" s="44">
        <v>87220</v>
      </c>
    </row>
    <row r="63" spans="1:9" x14ac:dyDescent="0.25">
      <c r="A63" s="33" t="s">
        <v>107</v>
      </c>
      <c r="B63" s="33" t="s">
        <v>32</v>
      </c>
      <c r="C63" s="39">
        <v>113377726</v>
      </c>
      <c r="D63" s="40">
        <v>2121389906</v>
      </c>
      <c r="E63" s="33" t="s">
        <v>22</v>
      </c>
      <c r="F63" s="41">
        <v>33539</v>
      </c>
      <c r="G63" s="42">
        <f t="shared" ca="1" si="0"/>
        <v>22</v>
      </c>
      <c r="H63" s="43">
        <v>3</v>
      </c>
      <c r="I63" s="44">
        <v>63440</v>
      </c>
    </row>
    <row r="64" spans="1:9" x14ac:dyDescent="0.25">
      <c r="A64" s="33" t="s">
        <v>108</v>
      </c>
      <c r="B64" s="33" t="s">
        <v>40</v>
      </c>
      <c r="C64" s="39">
        <v>426014550</v>
      </c>
      <c r="D64" s="40">
        <v>3186757210</v>
      </c>
      <c r="E64" s="33" t="s">
        <v>17</v>
      </c>
      <c r="F64" s="41">
        <v>34113</v>
      </c>
      <c r="G64" s="42">
        <f t="shared" ca="1" si="0"/>
        <v>20</v>
      </c>
      <c r="H64" s="43">
        <v>3</v>
      </c>
      <c r="I64" s="44">
        <v>64263</v>
      </c>
    </row>
    <row r="65" spans="1:9" x14ac:dyDescent="0.25">
      <c r="A65" s="33" t="s">
        <v>109</v>
      </c>
      <c r="B65" s="33" t="s">
        <v>21</v>
      </c>
      <c r="C65" s="39">
        <v>917714039</v>
      </c>
      <c r="D65" s="40">
        <v>3037173558</v>
      </c>
      <c r="E65" s="33" t="s">
        <v>22</v>
      </c>
      <c r="F65" s="41">
        <v>34701</v>
      </c>
      <c r="G65" s="42">
        <f t="shared" ca="1" si="0"/>
        <v>18</v>
      </c>
      <c r="H65" s="43">
        <v>5</v>
      </c>
      <c r="I65" s="44">
        <v>39520</v>
      </c>
    </row>
    <row r="66" spans="1:9" x14ac:dyDescent="0.25">
      <c r="A66" s="33" t="s">
        <v>110</v>
      </c>
      <c r="B66" s="33" t="s">
        <v>111</v>
      </c>
      <c r="C66" s="39">
        <v>240241467</v>
      </c>
      <c r="D66" s="40">
        <v>9193122603</v>
      </c>
      <c r="E66" s="33" t="s">
        <v>22</v>
      </c>
      <c r="F66" s="41">
        <v>37441</v>
      </c>
      <c r="G66" s="42">
        <f t="shared" ref="G66:G129" ca="1" si="1">DATEDIF(F66,TODAY(),"Y")</f>
        <v>11</v>
      </c>
      <c r="H66" s="43">
        <v>1</v>
      </c>
      <c r="I66" s="44">
        <v>30350</v>
      </c>
    </row>
    <row r="67" spans="1:9" x14ac:dyDescent="0.25">
      <c r="A67" s="33" t="s">
        <v>112</v>
      </c>
      <c r="B67" s="33" t="s">
        <v>64</v>
      </c>
      <c r="C67" s="39">
        <v>682500261</v>
      </c>
      <c r="D67" s="40">
        <v>5113708610</v>
      </c>
      <c r="E67" s="33" t="s">
        <v>17</v>
      </c>
      <c r="F67" s="41">
        <v>32618</v>
      </c>
      <c r="G67" s="42">
        <f t="shared" ca="1" si="1"/>
        <v>24</v>
      </c>
      <c r="H67" s="43">
        <v>1</v>
      </c>
      <c r="I67" s="44">
        <v>42940</v>
      </c>
    </row>
    <row r="68" spans="1:9" x14ac:dyDescent="0.25">
      <c r="A68" s="33" t="s">
        <v>113</v>
      </c>
      <c r="B68" s="33" t="s">
        <v>64</v>
      </c>
      <c r="C68" s="39">
        <v>249760737</v>
      </c>
      <c r="D68" s="40">
        <v>2093492633</v>
      </c>
      <c r="E68" s="33" t="s">
        <v>17</v>
      </c>
      <c r="F68" s="41">
        <v>39312</v>
      </c>
      <c r="G68" s="42">
        <f t="shared" ca="1" si="1"/>
        <v>6</v>
      </c>
      <c r="H68" s="43">
        <v>3</v>
      </c>
      <c r="I68" s="44">
        <v>25790</v>
      </c>
    </row>
    <row r="69" spans="1:9" x14ac:dyDescent="0.25">
      <c r="A69" s="33" t="s">
        <v>114</v>
      </c>
      <c r="B69" s="33" t="s">
        <v>64</v>
      </c>
      <c r="C69" s="39">
        <v>808012612</v>
      </c>
      <c r="D69" s="40">
        <v>5055627374</v>
      </c>
      <c r="E69" s="33" t="s">
        <v>22</v>
      </c>
      <c r="F69" s="41">
        <v>34597</v>
      </c>
      <c r="G69" s="42">
        <f t="shared" ca="1" si="1"/>
        <v>19</v>
      </c>
      <c r="H69" s="43">
        <v>3</v>
      </c>
      <c r="I69" s="44">
        <v>77580</v>
      </c>
    </row>
    <row r="70" spans="1:9" x14ac:dyDescent="0.25">
      <c r="A70" s="33" t="s">
        <v>115</v>
      </c>
      <c r="B70" s="33" t="s">
        <v>64</v>
      </c>
      <c r="C70" s="39">
        <v>856215418</v>
      </c>
      <c r="D70" s="40">
        <v>4036194175</v>
      </c>
      <c r="E70" s="33" t="s">
        <v>81</v>
      </c>
      <c r="F70" s="41">
        <v>35449</v>
      </c>
      <c r="G70" s="42">
        <f t="shared" ca="1" si="1"/>
        <v>16</v>
      </c>
      <c r="H70" s="43">
        <v>5</v>
      </c>
      <c r="I70" s="44">
        <v>18500</v>
      </c>
    </row>
    <row r="71" spans="1:9" x14ac:dyDescent="0.25">
      <c r="A71" s="33" t="s">
        <v>116</v>
      </c>
      <c r="B71" s="33" t="s">
        <v>32</v>
      </c>
      <c r="C71" s="39">
        <v>217968415</v>
      </c>
      <c r="D71" s="40">
        <v>4082911046</v>
      </c>
      <c r="E71" s="33" t="s">
        <v>17</v>
      </c>
      <c r="F71" s="41">
        <v>35476</v>
      </c>
      <c r="G71" s="42">
        <f t="shared" ca="1" si="1"/>
        <v>16</v>
      </c>
      <c r="H71" s="43">
        <v>1</v>
      </c>
      <c r="I71" s="44">
        <v>47520</v>
      </c>
    </row>
    <row r="72" spans="1:9" x14ac:dyDescent="0.25">
      <c r="A72" s="33" t="s">
        <v>117</v>
      </c>
      <c r="B72" s="33" t="s">
        <v>40</v>
      </c>
      <c r="C72" s="39">
        <v>251824309</v>
      </c>
      <c r="D72" s="40">
        <v>6163539786</v>
      </c>
      <c r="E72" s="33" t="s">
        <v>22</v>
      </c>
      <c r="F72" s="41">
        <v>40027</v>
      </c>
      <c r="G72" s="42">
        <f t="shared" ca="1" si="1"/>
        <v>4</v>
      </c>
      <c r="H72" s="43">
        <v>3</v>
      </c>
      <c r="I72" s="44">
        <v>86640</v>
      </c>
    </row>
    <row r="73" spans="1:9" x14ac:dyDescent="0.25">
      <c r="A73" s="33" t="s">
        <v>118</v>
      </c>
      <c r="B73" s="33" t="s">
        <v>40</v>
      </c>
      <c r="C73" s="39">
        <v>799754905</v>
      </c>
      <c r="D73" s="40">
        <v>7115526537</v>
      </c>
      <c r="E73" s="33" t="s">
        <v>22</v>
      </c>
      <c r="F73" s="41">
        <v>38673</v>
      </c>
      <c r="G73" s="42">
        <f t="shared" ca="1" si="1"/>
        <v>8</v>
      </c>
      <c r="H73" s="43">
        <v>3</v>
      </c>
      <c r="I73" s="44">
        <v>24980</v>
      </c>
    </row>
    <row r="74" spans="1:9" x14ac:dyDescent="0.25">
      <c r="A74" s="33" t="s">
        <v>119</v>
      </c>
      <c r="B74" s="33" t="s">
        <v>32</v>
      </c>
      <c r="C74" s="39">
        <v>466400098</v>
      </c>
      <c r="D74" s="40">
        <v>7147553017</v>
      </c>
      <c r="E74" s="33" t="s">
        <v>17</v>
      </c>
      <c r="F74" s="41">
        <v>35089</v>
      </c>
      <c r="G74" s="42">
        <f t="shared" ca="1" si="1"/>
        <v>17</v>
      </c>
      <c r="H74" s="43">
        <v>2</v>
      </c>
      <c r="I74" s="44">
        <v>36230</v>
      </c>
    </row>
    <row r="75" spans="1:9" x14ac:dyDescent="0.25">
      <c r="A75" s="33" t="s">
        <v>120</v>
      </c>
      <c r="B75" s="33" t="s">
        <v>52</v>
      </c>
      <c r="C75" s="39">
        <v>202815919</v>
      </c>
      <c r="D75" s="40">
        <v>3172778445</v>
      </c>
      <c r="E75" s="33" t="s">
        <v>17</v>
      </c>
      <c r="F75" s="41">
        <v>35196</v>
      </c>
      <c r="G75" s="42">
        <f t="shared" ca="1" si="1"/>
        <v>17</v>
      </c>
      <c r="H75" s="43">
        <v>4</v>
      </c>
      <c r="I75" s="44">
        <v>86100</v>
      </c>
    </row>
    <row r="76" spans="1:9" x14ac:dyDescent="0.25">
      <c r="A76" s="33" t="s">
        <v>121</v>
      </c>
      <c r="B76" s="33" t="s">
        <v>32</v>
      </c>
      <c r="C76" s="39">
        <v>292993080</v>
      </c>
      <c r="D76" s="40">
        <v>5164563177</v>
      </c>
      <c r="E76" s="33" t="s">
        <v>17</v>
      </c>
      <c r="F76" s="41">
        <v>34691</v>
      </c>
      <c r="G76" s="42">
        <f t="shared" ca="1" si="1"/>
        <v>18</v>
      </c>
      <c r="H76" s="43">
        <v>2</v>
      </c>
      <c r="I76" s="44">
        <v>60070</v>
      </c>
    </row>
    <row r="77" spans="1:9" x14ac:dyDescent="0.25">
      <c r="A77" s="33" t="s">
        <v>122</v>
      </c>
      <c r="B77" s="33" t="s">
        <v>71</v>
      </c>
      <c r="C77" s="39">
        <v>505966230</v>
      </c>
      <c r="D77" s="40">
        <v>2188552110</v>
      </c>
      <c r="E77" s="33" t="s">
        <v>22</v>
      </c>
      <c r="F77" s="41">
        <v>32569</v>
      </c>
      <c r="G77" s="42">
        <f t="shared" ca="1" si="1"/>
        <v>24</v>
      </c>
      <c r="H77" s="43">
        <v>2</v>
      </c>
      <c r="I77" s="44">
        <v>43110</v>
      </c>
    </row>
    <row r="78" spans="1:9" x14ac:dyDescent="0.25">
      <c r="A78" s="33" t="s">
        <v>123</v>
      </c>
      <c r="B78" s="33" t="s">
        <v>52</v>
      </c>
      <c r="C78" s="39">
        <v>160662505</v>
      </c>
      <c r="D78" s="40">
        <v>2162238881</v>
      </c>
      <c r="E78" s="33" t="s">
        <v>22</v>
      </c>
      <c r="F78" s="41">
        <v>35402</v>
      </c>
      <c r="G78" s="42">
        <f t="shared" ca="1" si="1"/>
        <v>17</v>
      </c>
      <c r="H78" s="43">
        <v>1</v>
      </c>
      <c r="I78" s="44">
        <v>78950</v>
      </c>
    </row>
    <row r="79" spans="1:9" x14ac:dyDescent="0.25">
      <c r="A79" s="33" t="s">
        <v>124</v>
      </c>
      <c r="B79" s="33" t="s">
        <v>58</v>
      </c>
      <c r="C79" s="39">
        <v>333947685</v>
      </c>
      <c r="D79" s="40">
        <v>7145261239</v>
      </c>
      <c r="E79" s="33" t="s">
        <v>17</v>
      </c>
      <c r="F79" s="41">
        <v>36626</v>
      </c>
      <c r="G79" s="42">
        <f t="shared" ca="1" si="1"/>
        <v>13</v>
      </c>
      <c r="H79" s="43">
        <v>3</v>
      </c>
      <c r="I79" s="44">
        <v>29540</v>
      </c>
    </row>
    <row r="80" spans="1:9" x14ac:dyDescent="0.25">
      <c r="A80" s="33" t="s">
        <v>125</v>
      </c>
      <c r="B80" s="33" t="s">
        <v>126</v>
      </c>
      <c r="C80" s="39">
        <v>863736129</v>
      </c>
      <c r="D80" s="40">
        <v>6026299247</v>
      </c>
      <c r="E80" s="33" t="s">
        <v>33</v>
      </c>
      <c r="F80" s="41">
        <v>32680</v>
      </c>
      <c r="G80" s="42">
        <f t="shared" ca="1" si="1"/>
        <v>24</v>
      </c>
      <c r="H80" s="43">
        <v>4</v>
      </c>
      <c r="I80" s="44">
        <v>26795</v>
      </c>
    </row>
    <row r="81" spans="1:34" x14ac:dyDescent="0.25">
      <c r="A81" s="33" t="s">
        <v>127</v>
      </c>
      <c r="B81" s="33" t="s">
        <v>21</v>
      </c>
      <c r="C81" s="39">
        <v>557568959</v>
      </c>
      <c r="D81" s="40">
        <v>2151487375</v>
      </c>
      <c r="E81" s="33" t="s">
        <v>33</v>
      </c>
      <c r="F81" s="41">
        <v>35659</v>
      </c>
      <c r="G81" s="42">
        <f t="shared" ca="1" si="1"/>
        <v>16</v>
      </c>
      <c r="H81" s="43">
        <v>1</v>
      </c>
      <c r="I81" s="44">
        <v>48190</v>
      </c>
    </row>
    <row r="82" spans="1:34" x14ac:dyDescent="0.25">
      <c r="A82" s="33" t="s">
        <v>128</v>
      </c>
      <c r="B82" s="33" t="s">
        <v>58</v>
      </c>
      <c r="C82" s="39">
        <v>456946966</v>
      </c>
      <c r="D82" s="40">
        <v>2167405629</v>
      </c>
      <c r="E82" s="33" t="s">
        <v>17</v>
      </c>
      <c r="F82" s="41">
        <v>39723</v>
      </c>
      <c r="G82" s="42">
        <f t="shared" ca="1" si="1"/>
        <v>5</v>
      </c>
      <c r="H82" s="43">
        <v>2</v>
      </c>
      <c r="I82" s="44">
        <v>74020</v>
      </c>
      <c r="AF82" s="49"/>
      <c r="AG82" s="50">
        <v>65000</v>
      </c>
      <c r="AH82" s="51">
        <v>0.1</v>
      </c>
    </row>
    <row r="83" spans="1:34" x14ac:dyDescent="0.25">
      <c r="A83" s="33" t="s">
        <v>129</v>
      </c>
      <c r="B83" s="33" t="s">
        <v>40</v>
      </c>
      <c r="C83" s="39">
        <v>219245495</v>
      </c>
      <c r="D83" s="40">
        <v>3012924678</v>
      </c>
      <c r="E83" s="33" t="s">
        <v>22</v>
      </c>
      <c r="F83" s="41">
        <v>38992</v>
      </c>
      <c r="G83" s="42">
        <f t="shared" ca="1" si="1"/>
        <v>7</v>
      </c>
      <c r="H83" s="43">
        <v>5</v>
      </c>
      <c r="I83" s="44">
        <v>79380</v>
      </c>
    </row>
    <row r="84" spans="1:34" x14ac:dyDescent="0.25">
      <c r="A84" s="33" t="s">
        <v>130</v>
      </c>
      <c r="B84" s="33" t="s">
        <v>21</v>
      </c>
      <c r="C84" s="39">
        <v>380343690</v>
      </c>
      <c r="D84" s="40">
        <v>2156166452</v>
      </c>
      <c r="E84" s="33" t="s">
        <v>22</v>
      </c>
      <c r="F84" s="41">
        <v>34981</v>
      </c>
      <c r="G84" s="42">
        <f t="shared" ca="1" si="1"/>
        <v>18</v>
      </c>
      <c r="H84" s="43">
        <v>2</v>
      </c>
      <c r="I84" s="44">
        <v>61150</v>
      </c>
    </row>
    <row r="85" spans="1:34" x14ac:dyDescent="0.25">
      <c r="A85" s="33" t="s">
        <v>131</v>
      </c>
      <c r="B85" s="33" t="s">
        <v>40</v>
      </c>
      <c r="C85" s="39">
        <v>167646549</v>
      </c>
      <c r="D85" s="40">
        <v>6082381391</v>
      </c>
      <c r="E85" s="33" t="s">
        <v>22</v>
      </c>
      <c r="F85" s="41">
        <v>36357</v>
      </c>
      <c r="G85" s="42">
        <f t="shared" ca="1" si="1"/>
        <v>14</v>
      </c>
      <c r="H85" s="43">
        <v>4</v>
      </c>
      <c r="I85" s="44">
        <v>63060</v>
      </c>
    </row>
    <row r="86" spans="1:34" x14ac:dyDescent="0.25">
      <c r="A86" s="33" t="s">
        <v>132</v>
      </c>
      <c r="B86" s="33" t="s">
        <v>111</v>
      </c>
      <c r="C86" s="39">
        <v>462650472</v>
      </c>
      <c r="D86" s="40">
        <v>5067474942</v>
      </c>
      <c r="E86" s="33" t="s">
        <v>22</v>
      </c>
      <c r="F86" s="41">
        <v>39496</v>
      </c>
      <c r="G86" s="42">
        <f t="shared" ca="1" si="1"/>
        <v>5</v>
      </c>
      <c r="H86" s="43">
        <v>3</v>
      </c>
      <c r="I86" s="44">
        <v>51180</v>
      </c>
    </row>
    <row r="87" spans="1:34" x14ac:dyDescent="0.25">
      <c r="A87" s="33" t="s">
        <v>133</v>
      </c>
      <c r="B87" s="33" t="s">
        <v>52</v>
      </c>
      <c r="C87" s="39">
        <v>332302868</v>
      </c>
      <c r="D87" s="40">
        <v>8125228252</v>
      </c>
      <c r="E87" s="33" t="s">
        <v>22</v>
      </c>
      <c r="F87" s="41">
        <v>35702</v>
      </c>
      <c r="G87" s="42">
        <f t="shared" ca="1" si="1"/>
        <v>16</v>
      </c>
      <c r="H87" s="43">
        <v>4</v>
      </c>
      <c r="I87" s="44">
        <v>69200</v>
      </c>
    </row>
    <row r="88" spans="1:34" x14ac:dyDescent="0.25">
      <c r="A88" s="33" t="s">
        <v>134</v>
      </c>
      <c r="B88" s="33" t="s">
        <v>40</v>
      </c>
      <c r="C88" s="39">
        <v>311309049</v>
      </c>
      <c r="D88" s="40">
        <v>3044752921</v>
      </c>
      <c r="E88" s="33" t="s">
        <v>33</v>
      </c>
      <c r="F88" s="41">
        <v>35755</v>
      </c>
      <c r="G88" s="42">
        <f t="shared" ca="1" si="1"/>
        <v>16</v>
      </c>
      <c r="H88" s="43">
        <v>2</v>
      </c>
      <c r="I88" s="44">
        <v>19825</v>
      </c>
    </row>
    <row r="89" spans="1:34" x14ac:dyDescent="0.25">
      <c r="A89" s="33" t="s">
        <v>135</v>
      </c>
      <c r="B89" s="33" t="s">
        <v>21</v>
      </c>
      <c r="C89" s="39">
        <v>647552282</v>
      </c>
      <c r="D89" s="40">
        <v>3013089561</v>
      </c>
      <c r="E89" s="33" t="s">
        <v>22</v>
      </c>
      <c r="F89" s="41">
        <v>34751</v>
      </c>
      <c r="G89" s="42">
        <f t="shared" ca="1" si="1"/>
        <v>18</v>
      </c>
      <c r="H89" s="43">
        <v>4</v>
      </c>
      <c r="I89" s="44">
        <v>59320</v>
      </c>
    </row>
    <row r="90" spans="1:34" x14ac:dyDescent="0.25">
      <c r="A90" s="33" t="s">
        <v>136</v>
      </c>
      <c r="B90" s="33" t="s">
        <v>74</v>
      </c>
      <c r="C90" s="39">
        <v>923665952</v>
      </c>
      <c r="D90" s="40">
        <v>8177288082</v>
      </c>
      <c r="E90" s="33" t="s">
        <v>17</v>
      </c>
      <c r="F90" s="41">
        <v>39444</v>
      </c>
      <c r="G90" s="42">
        <f t="shared" ca="1" si="1"/>
        <v>5</v>
      </c>
      <c r="H90" s="43">
        <v>4</v>
      </c>
      <c r="I90" s="44">
        <v>56920</v>
      </c>
    </row>
    <row r="91" spans="1:34" x14ac:dyDescent="0.25">
      <c r="A91" s="33" t="s">
        <v>137</v>
      </c>
      <c r="B91" s="33" t="s">
        <v>40</v>
      </c>
      <c r="C91" s="39">
        <v>291841866</v>
      </c>
      <c r="D91" s="40">
        <v>6044442142</v>
      </c>
      <c r="E91" s="33" t="s">
        <v>22</v>
      </c>
      <c r="F91" s="41">
        <v>32669</v>
      </c>
      <c r="G91" s="42">
        <f t="shared" ca="1" si="1"/>
        <v>24</v>
      </c>
      <c r="H91" s="43">
        <v>5</v>
      </c>
      <c r="I91" s="44">
        <v>24200</v>
      </c>
    </row>
    <row r="92" spans="1:34" x14ac:dyDescent="0.25">
      <c r="A92" s="33" t="s">
        <v>138</v>
      </c>
      <c r="B92" s="33" t="s">
        <v>64</v>
      </c>
      <c r="C92" s="39">
        <v>294161481</v>
      </c>
      <c r="D92" s="40">
        <v>7014589262</v>
      </c>
      <c r="E92" s="33" t="s">
        <v>22</v>
      </c>
      <c r="F92" s="41">
        <v>33864</v>
      </c>
      <c r="G92" s="42">
        <f t="shared" ca="1" si="1"/>
        <v>21</v>
      </c>
      <c r="H92" s="43">
        <v>5</v>
      </c>
      <c r="I92" s="44">
        <v>74670</v>
      </c>
    </row>
    <row r="93" spans="1:34" x14ac:dyDescent="0.25">
      <c r="A93" s="33" t="s">
        <v>139</v>
      </c>
      <c r="B93" s="33" t="s">
        <v>64</v>
      </c>
      <c r="C93" s="39">
        <v>542051793</v>
      </c>
      <c r="D93" s="40">
        <v>2021259179</v>
      </c>
      <c r="E93" s="33" t="s">
        <v>17</v>
      </c>
      <c r="F93" s="41">
        <v>35477</v>
      </c>
      <c r="G93" s="42">
        <f t="shared" ca="1" si="1"/>
        <v>16</v>
      </c>
      <c r="H93" s="43">
        <v>1</v>
      </c>
      <c r="I93" s="44">
        <v>76930</v>
      </c>
    </row>
    <row r="94" spans="1:34" x14ac:dyDescent="0.25">
      <c r="A94" s="33" t="s">
        <v>140</v>
      </c>
      <c r="B94" s="33" t="s">
        <v>21</v>
      </c>
      <c r="C94" s="39">
        <v>855135948</v>
      </c>
      <c r="D94" s="40">
        <v>3146132408</v>
      </c>
      <c r="E94" s="33" t="s">
        <v>81</v>
      </c>
      <c r="F94" s="41">
        <v>39964</v>
      </c>
      <c r="G94" s="42">
        <f t="shared" ca="1" si="1"/>
        <v>4</v>
      </c>
      <c r="H94" s="43">
        <v>4</v>
      </c>
      <c r="I94" s="44">
        <v>28424</v>
      </c>
    </row>
    <row r="95" spans="1:34" x14ac:dyDescent="0.25">
      <c r="A95" s="33" t="s">
        <v>141</v>
      </c>
      <c r="B95" s="33" t="s">
        <v>40</v>
      </c>
      <c r="C95" s="39">
        <v>546159785</v>
      </c>
      <c r="D95" s="40">
        <v>9021267946</v>
      </c>
      <c r="E95" s="33" t="s">
        <v>17</v>
      </c>
      <c r="F95" s="41">
        <v>39913</v>
      </c>
      <c r="G95" s="42">
        <f t="shared" ca="1" si="1"/>
        <v>4</v>
      </c>
      <c r="H95" s="43">
        <v>4</v>
      </c>
      <c r="I95" s="44">
        <v>46570</v>
      </c>
    </row>
    <row r="96" spans="1:34" x14ac:dyDescent="0.25">
      <c r="A96" s="33" t="s">
        <v>142</v>
      </c>
      <c r="B96" s="33" t="s">
        <v>58</v>
      </c>
      <c r="C96" s="39">
        <v>931977751</v>
      </c>
      <c r="D96" s="40">
        <v>9197528456</v>
      </c>
      <c r="E96" s="33" t="s">
        <v>22</v>
      </c>
      <c r="F96" s="41">
        <v>33007</v>
      </c>
      <c r="G96" s="42">
        <f t="shared" ca="1" si="1"/>
        <v>23</v>
      </c>
      <c r="H96" s="43">
        <v>5</v>
      </c>
      <c r="I96" s="44">
        <v>39110</v>
      </c>
    </row>
    <row r="97" spans="1:9" x14ac:dyDescent="0.25">
      <c r="A97" s="33" t="s">
        <v>143</v>
      </c>
      <c r="B97" s="33" t="s">
        <v>83</v>
      </c>
      <c r="C97" s="39">
        <v>569701716</v>
      </c>
      <c r="D97" s="40">
        <v>4061664940</v>
      </c>
      <c r="E97" s="33" t="s">
        <v>17</v>
      </c>
      <c r="F97" s="41">
        <v>39682</v>
      </c>
      <c r="G97" s="42">
        <f t="shared" ca="1" si="1"/>
        <v>5</v>
      </c>
      <c r="H97" s="43">
        <v>2</v>
      </c>
      <c r="I97" s="44">
        <v>61890</v>
      </c>
    </row>
    <row r="98" spans="1:9" x14ac:dyDescent="0.25">
      <c r="A98" s="33" t="s">
        <v>144</v>
      </c>
      <c r="B98" s="33" t="s">
        <v>32</v>
      </c>
      <c r="C98" s="39">
        <v>371001908</v>
      </c>
      <c r="D98" s="40">
        <v>7166049607</v>
      </c>
      <c r="E98" s="33" t="s">
        <v>33</v>
      </c>
      <c r="F98" s="41">
        <v>39556</v>
      </c>
      <c r="G98" s="42">
        <f t="shared" ca="1" si="1"/>
        <v>5</v>
      </c>
      <c r="H98" s="43">
        <v>5</v>
      </c>
      <c r="I98" s="44">
        <v>25245</v>
      </c>
    </row>
    <row r="99" spans="1:9" x14ac:dyDescent="0.25">
      <c r="A99" s="33" t="s">
        <v>145</v>
      </c>
      <c r="B99" s="33" t="s">
        <v>126</v>
      </c>
      <c r="C99" s="39">
        <v>546546374</v>
      </c>
      <c r="D99" s="40">
        <v>7021299076</v>
      </c>
      <c r="E99" s="33" t="s">
        <v>22</v>
      </c>
      <c r="F99" s="41">
        <v>38837</v>
      </c>
      <c r="G99" s="42">
        <f t="shared" ca="1" si="1"/>
        <v>7</v>
      </c>
      <c r="H99" s="43">
        <v>2</v>
      </c>
      <c r="I99" s="44">
        <v>72830</v>
      </c>
    </row>
    <row r="100" spans="1:9" x14ac:dyDescent="0.25">
      <c r="A100" s="33" t="s">
        <v>146</v>
      </c>
      <c r="B100" s="33" t="s">
        <v>147</v>
      </c>
      <c r="C100" s="39">
        <v>459522265</v>
      </c>
      <c r="D100" s="40">
        <v>6047451745</v>
      </c>
      <c r="E100" s="33" t="s">
        <v>33</v>
      </c>
      <c r="F100" s="41">
        <v>39542</v>
      </c>
      <c r="G100" s="42">
        <f t="shared" ca="1" si="1"/>
        <v>5</v>
      </c>
      <c r="H100" s="43">
        <v>1</v>
      </c>
      <c r="I100" s="44">
        <v>28680</v>
      </c>
    </row>
    <row r="101" spans="1:9" x14ac:dyDescent="0.25">
      <c r="A101" s="33" t="s">
        <v>148</v>
      </c>
      <c r="B101" s="33" t="s">
        <v>32</v>
      </c>
      <c r="C101" s="39">
        <v>622200296</v>
      </c>
      <c r="D101" s="40">
        <v>9012453666</v>
      </c>
      <c r="E101" s="33" t="s">
        <v>33</v>
      </c>
      <c r="F101" s="41">
        <v>35474</v>
      </c>
      <c r="G101" s="42">
        <f t="shared" ca="1" si="1"/>
        <v>16</v>
      </c>
      <c r="H101" s="43">
        <v>5</v>
      </c>
      <c r="I101" s="44">
        <v>45750</v>
      </c>
    </row>
    <row r="102" spans="1:9" x14ac:dyDescent="0.25">
      <c r="A102" s="33" t="s">
        <v>149</v>
      </c>
      <c r="B102" s="33" t="s">
        <v>61</v>
      </c>
      <c r="C102" s="39">
        <v>927043360</v>
      </c>
      <c r="D102" s="40">
        <v>4097429525</v>
      </c>
      <c r="E102" s="33" t="s">
        <v>22</v>
      </c>
      <c r="F102" s="41">
        <v>38794</v>
      </c>
      <c r="G102" s="42">
        <f t="shared" ca="1" si="1"/>
        <v>7</v>
      </c>
      <c r="H102" s="43">
        <v>4</v>
      </c>
      <c r="I102" s="44">
        <v>50990</v>
      </c>
    </row>
    <row r="103" spans="1:9" x14ac:dyDescent="0.25">
      <c r="A103" s="33" t="s">
        <v>150</v>
      </c>
      <c r="B103" s="33" t="s">
        <v>64</v>
      </c>
      <c r="C103" s="39">
        <v>659766304</v>
      </c>
      <c r="D103" s="40">
        <v>5113355152</v>
      </c>
      <c r="E103" s="33" t="s">
        <v>22</v>
      </c>
      <c r="F103" s="41">
        <v>34476</v>
      </c>
      <c r="G103" s="42">
        <f t="shared" ca="1" si="1"/>
        <v>19</v>
      </c>
      <c r="H103" s="43">
        <v>5</v>
      </c>
      <c r="I103" s="44">
        <v>77350</v>
      </c>
    </row>
    <row r="104" spans="1:9" x14ac:dyDescent="0.25">
      <c r="A104" s="33" t="s">
        <v>151</v>
      </c>
      <c r="B104" s="33" t="s">
        <v>152</v>
      </c>
      <c r="C104" s="39">
        <v>311883362</v>
      </c>
      <c r="D104" s="40">
        <v>7114854867</v>
      </c>
      <c r="E104" s="33" t="s">
        <v>17</v>
      </c>
      <c r="F104" s="41">
        <v>38145</v>
      </c>
      <c r="G104" s="42">
        <f t="shared" ca="1" si="1"/>
        <v>9</v>
      </c>
      <c r="H104" s="43">
        <v>2</v>
      </c>
      <c r="I104" s="44">
        <v>78860</v>
      </c>
    </row>
    <row r="105" spans="1:9" x14ac:dyDescent="0.25">
      <c r="A105" s="33" t="s">
        <v>153</v>
      </c>
      <c r="B105" s="33" t="s">
        <v>40</v>
      </c>
      <c r="C105" s="39">
        <v>291803431</v>
      </c>
      <c r="D105" s="40">
        <v>7044411859</v>
      </c>
      <c r="E105" s="33" t="s">
        <v>17</v>
      </c>
      <c r="F105" s="41">
        <v>37828</v>
      </c>
      <c r="G105" s="42">
        <f t="shared" ca="1" si="1"/>
        <v>10</v>
      </c>
      <c r="H105" s="43">
        <v>3</v>
      </c>
      <c r="I105" s="44">
        <v>32880</v>
      </c>
    </row>
    <row r="106" spans="1:9" x14ac:dyDescent="0.25">
      <c r="A106" s="33" t="s">
        <v>154</v>
      </c>
      <c r="B106" s="33" t="s">
        <v>21</v>
      </c>
      <c r="C106" s="39">
        <v>400260342</v>
      </c>
      <c r="D106" s="40">
        <v>2116466230</v>
      </c>
      <c r="E106" s="33" t="s">
        <v>22</v>
      </c>
      <c r="F106" s="41">
        <v>35588</v>
      </c>
      <c r="G106" s="42">
        <f t="shared" ca="1" si="1"/>
        <v>16</v>
      </c>
      <c r="H106" s="43">
        <v>2</v>
      </c>
      <c r="I106" s="44">
        <v>81400</v>
      </c>
    </row>
    <row r="107" spans="1:9" x14ac:dyDescent="0.25">
      <c r="A107" s="33" t="s">
        <v>155</v>
      </c>
      <c r="B107" s="33" t="s">
        <v>52</v>
      </c>
      <c r="C107" s="39">
        <v>380653169</v>
      </c>
      <c r="D107" s="40">
        <v>9136168483</v>
      </c>
      <c r="E107" s="33" t="s">
        <v>81</v>
      </c>
      <c r="F107" s="41">
        <v>35251</v>
      </c>
      <c r="G107" s="42">
        <f t="shared" ca="1" si="1"/>
        <v>17</v>
      </c>
      <c r="H107" s="43">
        <v>5</v>
      </c>
      <c r="I107" s="44">
        <v>12836</v>
      </c>
    </row>
    <row r="108" spans="1:9" x14ac:dyDescent="0.25">
      <c r="A108" s="33" t="s">
        <v>156</v>
      </c>
      <c r="B108" s="33" t="s">
        <v>61</v>
      </c>
      <c r="C108" s="39">
        <v>151532569</v>
      </c>
      <c r="D108" s="40">
        <v>3012005810</v>
      </c>
      <c r="E108" s="33" t="s">
        <v>22</v>
      </c>
      <c r="F108" s="41">
        <v>38306</v>
      </c>
      <c r="G108" s="42">
        <f t="shared" ca="1" si="1"/>
        <v>9</v>
      </c>
      <c r="H108" s="43">
        <v>2</v>
      </c>
      <c r="I108" s="44">
        <v>27560</v>
      </c>
    </row>
    <row r="109" spans="1:9" x14ac:dyDescent="0.25">
      <c r="A109" s="33" t="s">
        <v>157</v>
      </c>
      <c r="B109" s="33" t="s">
        <v>158</v>
      </c>
      <c r="C109" s="39">
        <v>277925508</v>
      </c>
      <c r="D109" s="40">
        <v>4134100997</v>
      </c>
      <c r="E109" s="33" t="s">
        <v>22</v>
      </c>
      <c r="F109" s="41">
        <v>33003</v>
      </c>
      <c r="G109" s="42">
        <f t="shared" ca="1" si="1"/>
        <v>23</v>
      </c>
      <c r="H109" s="43">
        <v>5</v>
      </c>
      <c r="I109" s="44">
        <v>82500</v>
      </c>
    </row>
    <row r="110" spans="1:9" x14ac:dyDescent="0.25">
      <c r="A110" s="33" t="s">
        <v>159</v>
      </c>
      <c r="B110" s="33" t="s">
        <v>40</v>
      </c>
      <c r="C110" s="39">
        <v>798466688</v>
      </c>
      <c r="D110" s="40">
        <v>3135520461</v>
      </c>
      <c r="E110" s="33" t="s">
        <v>22</v>
      </c>
      <c r="F110" s="41">
        <v>35939</v>
      </c>
      <c r="G110" s="42">
        <f t="shared" ca="1" si="1"/>
        <v>15</v>
      </c>
      <c r="H110" s="43">
        <v>1</v>
      </c>
      <c r="I110" s="44">
        <v>35460</v>
      </c>
    </row>
    <row r="111" spans="1:9" x14ac:dyDescent="0.25">
      <c r="A111" s="33" t="s">
        <v>160</v>
      </c>
      <c r="B111" s="33" t="s">
        <v>74</v>
      </c>
      <c r="C111" s="39">
        <v>247422007</v>
      </c>
      <c r="D111" s="40">
        <v>5043373445</v>
      </c>
      <c r="E111" s="33" t="s">
        <v>22</v>
      </c>
      <c r="F111" s="41">
        <v>38143</v>
      </c>
      <c r="G111" s="42">
        <f t="shared" ca="1" si="1"/>
        <v>9</v>
      </c>
      <c r="H111" s="43">
        <v>4</v>
      </c>
      <c r="I111" s="44">
        <v>22410</v>
      </c>
    </row>
    <row r="112" spans="1:9" x14ac:dyDescent="0.25">
      <c r="A112" s="33" t="s">
        <v>161</v>
      </c>
      <c r="B112" s="33" t="s">
        <v>126</v>
      </c>
      <c r="C112" s="39">
        <v>594680949</v>
      </c>
      <c r="D112" s="40">
        <v>7162042331</v>
      </c>
      <c r="E112" s="33" t="s">
        <v>17</v>
      </c>
      <c r="F112" s="41">
        <v>37807</v>
      </c>
      <c r="G112" s="42">
        <f t="shared" ca="1" si="1"/>
        <v>10</v>
      </c>
      <c r="H112" s="43">
        <v>5</v>
      </c>
      <c r="I112" s="44">
        <v>52540</v>
      </c>
    </row>
    <row r="113" spans="1:9" x14ac:dyDescent="0.25">
      <c r="A113" s="33" t="s">
        <v>162</v>
      </c>
      <c r="B113" s="33" t="s">
        <v>40</v>
      </c>
      <c r="C113" s="39">
        <v>499124019</v>
      </c>
      <c r="D113" s="40">
        <v>6188405900</v>
      </c>
      <c r="E113" s="33" t="s">
        <v>33</v>
      </c>
      <c r="F113" s="41">
        <v>36308</v>
      </c>
      <c r="G113" s="42">
        <f t="shared" ca="1" si="1"/>
        <v>14</v>
      </c>
      <c r="H113" s="43">
        <v>5</v>
      </c>
      <c r="I113" s="44">
        <v>17205</v>
      </c>
    </row>
    <row r="114" spans="1:9" x14ac:dyDescent="0.25">
      <c r="A114" s="33" t="s">
        <v>163</v>
      </c>
      <c r="B114" s="33" t="s">
        <v>74</v>
      </c>
      <c r="C114" s="39">
        <v>504914685</v>
      </c>
      <c r="D114" s="40">
        <v>7148502926</v>
      </c>
      <c r="E114" s="33" t="s">
        <v>22</v>
      </c>
      <c r="F114" s="41">
        <v>34891</v>
      </c>
      <c r="G114" s="42">
        <f t="shared" ca="1" si="1"/>
        <v>18</v>
      </c>
      <c r="H114" s="43">
        <v>5</v>
      </c>
      <c r="I114" s="44">
        <v>37750</v>
      </c>
    </row>
    <row r="115" spans="1:9" x14ac:dyDescent="0.25">
      <c r="A115" s="33" t="s">
        <v>164</v>
      </c>
      <c r="B115" s="33" t="s">
        <v>61</v>
      </c>
      <c r="C115" s="39">
        <v>616055292</v>
      </c>
      <c r="D115" s="40">
        <v>3042350434</v>
      </c>
      <c r="E115" s="33" t="s">
        <v>17</v>
      </c>
      <c r="F115" s="41">
        <v>40010</v>
      </c>
      <c r="G115" s="42">
        <f t="shared" ca="1" si="1"/>
        <v>4</v>
      </c>
      <c r="H115" s="43">
        <v>1</v>
      </c>
      <c r="I115" s="44">
        <v>84300</v>
      </c>
    </row>
    <row r="116" spans="1:9" x14ac:dyDescent="0.25">
      <c r="A116" s="33" t="s">
        <v>165</v>
      </c>
      <c r="B116" s="33" t="s">
        <v>16</v>
      </c>
      <c r="C116" s="39">
        <v>596008829</v>
      </c>
      <c r="D116" s="40">
        <v>8062094386</v>
      </c>
      <c r="E116" s="33" t="s">
        <v>22</v>
      </c>
      <c r="F116" s="41">
        <v>38547</v>
      </c>
      <c r="G116" s="42">
        <f t="shared" ca="1" si="1"/>
        <v>8</v>
      </c>
      <c r="H116" s="43">
        <v>4</v>
      </c>
      <c r="I116" s="44">
        <v>47610</v>
      </c>
    </row>
    <row r="117" spans="1:9" x14ac:dyDescent="0.25">
      <c r="A117" s="33" t="s">
        <v>166</v>
      </c>
      <c r="B117" s="33" t="s">
        <v>40</v>
      </c>
      <c r="C117" s="39">
        <v>765512793</v>
      </c>
      <c r="D117" s="40">
        <v>8085012757</v>
      </c>
      <c r="E117" s="33" t="s">
        <v>81</v>
      </c>
      <c r="F117" s="41">
        <v>34637</v>
      </c>
      <c r="G117" s="42">
        <f t="shared" ca="1" si="1"/>
        <v>19</v>
      </c>
      <c r="H117" s="43">
        <v>3</v>
      </c>
      <c r="I117" s="44">
        <v>33752</v>
      </c>
    </row>
    <row r="118" spans="1:9" x14ac:dyDescent="0.25">
      <c r="A118" s="33" t="s">
        <v>167</v>
      </c>
      <c r="B118" s="33" t="s">
        <v>16</v>
      </c>
      <c r="C118" s="39">
        <v>337943008</v>
      </c>
      <c r="D118" s="40">
        <v>6135344270</v>
      </c>
      <c r="E118" s="33" t="s">
        <v>33</v>
      </c>
      <c r="F118" s="41">
        <v>35761</v>
      </c>
      <c r="G118" s="42">
        <f t="shared" ca="1" si="1"/>
        <v>16</v>
      </c>
      <c r="H118" s="43">
        <v>2</v>
      </c>
      <c r="I118" s="44">
        <v>26790</v>
      </c>
    </row>
    <row r="119" spans="1:9" x14ac:dyDescent="0.25">
      <c r="A119" s="33" t="s">
        <v>168</v>
      </c>
      <c r="B119" s="33" t="s">
        <v>40</v>
      </c>
      <c r="C119" s="39">
        <v>925049144</v>
      </c>
      <c r="D119" s="40">
        <v>7117362525</v>
      </c>
      <c r="E119" s="33" t="s">
        <v>17</v>
      </c>
      <c r="F119" s="41">
        <v>33210</v>
      </c>
      <c r="G119" s="42">
        <f t="shared" ca="1" si="1"/>
        <v>23</v>
      </c>
      <c r="H119" s="43">
        <v>3</v>
      </c>
      <c r="I119" s="44">
        <v>70300</v>
      </c>
    </row>
    <row r="120" spans="1:9" x14ac:dyDescent="0.25">
      <c r="A120" s="33" t="s">
        <v>169</v>
      </c>
      <c r="B120" s="33" t="s">
        <v>21</v>
      </c>
      <c r="C120" s="39">
        <v>385074661</v>
      </c>
      <c r="D120" s="40">
        <v>6116213620</v>
      </c>
      <c r="E120" s="33" t="s">
        <v>17</v>
      </c>
      <c r="F120" s="41">
        <v>38264</v>
      </c>
      <c r="G120" s="42">
        <f t="shared" ca="1" si="1"/>
        <v>9</v>
      </c>
      <c r="H120" s="43">
        <v>4</v>
      </c>
      <c r="I120" s="44">
        <v>59330</v>
      </c>
    </row>
    <row r="121" spans="1:9" x14ac:dyDescent="0.25">
      <c r="A121" s="33" t="s">
        <v>170</v>
      </c>
      <c r="B121" s="33" t="s">
        <v>52</v>
      </c>
      <c r="C121" s="39">
        <v>207506781</v>
      </c>
      <c r="D121" s="40">
        <v>3042780847</v>
      </c>
      <c r="E121" s="33" t="s">
        <v>33</v>
      </c>
      <c r="F121" s="41">
        <v>35921</v>
      </c>
      <c r="G121" s="42">
        <f t="shared" ca="1" si="1"/>
        <v>15</v>
      </c>
      <c r="H121" s="43">
        <v>4</v>
      </c>
      <c r="I121" s="44">
        <v>20990</v>
      </c>
    </row>
    <row r="122" spans="1:9" x14ac:dyDescent="0.25">
      <c r="A122" s="33" t="s">
        <v>171</v>
      </c>
      <c r="B122" s="33" t="s">
        <v>16</v>
      </c>
      <c r="C122" s="39">
        <v>644862142</v>
      </c>
      <c r="D122" s="40">
        <v>8052921836</v>
      </c>
      <c r="E122" s="33" t="s">
        <v>22</v>
      </c>
      <c r="F122" s="41">
        <v>36052</v>
      </c>
      <c r="G122" s="42">
        <f t="shared" ca="1" si="1"/>
        <v>15</v>
      </c>
      <c r="H122" s="43">
        <v>4</v>
      </c>
      <c r="I122" s="44">
        <v>52490</v>
      </c>
    </row>
    <row r="123" spans="1:9" x14ac:dyDescent="0.25">
      <c r="A123" s="33" t="s">
        <v>172</v>
      </c>
      <c r="B123" s="33" t="s">
        <v>52</v>
      </c>
      <c r="C123" s="39">
        <v>212558012</v>
      </c>
      <c r="D123" s="40">
        <v>3182869792</v>
      </c>
      <c r="E123" s="33" t="s">
        <v>22</v>
      </c>
      <c r="F123" s="41">
        <v>37183</v>
      </c>
      <c r="G123" s="42">
        <f t="shared" ca="1" si="1"/>
        <v>12</v>
      </c>
      <c r="H123" s="43">
        <v>5</v>
      </c>
      <c r="I123" s="44">
        <v>29210</v>
      </c>
    </row>
    <row r="124" spans="1:9" x14ac:dyDescent="0.25">
      <c r="A124" s="33" t="s">
        <v>173</v>
      </c>
      <c r="B124" s="33" t="s">
        <v>174</v>
      </c>
      <c r="C124" s="39">
        <v>662974752</v>
      </c>
      <c r="D124" s="40">
        <v>7093482736</v>
      </c>
      <c r="E124" s="33" t="s">
        <v>17</v>
      </c>
      <c r="F124" s="41">
        <v>33393</v>
      </c>
      <c r="G124" s="42">
        <f t="shared" ca="1" si="1"/>
        <v>22</v>
      </c>
      <c r="H124" s="43">
        <v>2</v>
      </c>
      <c r="I124" s="44">
        <v>60760</v>
      </c>
    </row>
    <row r="125" spans="1:9" x14ac:dyDescent="0.25">
      <c r="A125" s="33" t="s">
        <v>175</v>
      </c>
      <c r="B125" s="33" t="s">
        <v>32</v>
      </c>
      <c r="C125" s="39">
        <v>867671341</v>
      </c>
      <c r="D125" s="40">
        <v>3156408497</v>
      </c>
      <c r="E125" s="33" t="s">
        <v>17</v>
      </c>
      <c r="F125" s="41">
        <v>36177</v>
      </c>
      <c r="G125" s="42">
        <f t="shared" ca="1" si="1"/>
        <v>14</v>
      </c>
      <c r="H125" s="43">
        <v>4</v>
      </c>
      <c r="I125" s="44">
        <v>89640</v>
      </c>
    </row>
    <row r="126" spans="1:9" x14ac:dyDescent="0.25">
      <c r="A126" s="33" t="s">
        <v>176</v>
      </c>
      <c r="B126" s="33" t="s">
        <v>21</v>
      </c>
      <c r="C126" s="39">
        <v>803776506</v>
      </c>
      <c r="D126" s="40">
        <v>6145617115</v>
      </c>
      <c r="E126" s="33" t="s">
        <v>81</v>
      </c>
      <c r="F126" s="41">
        <v>34880</v>
      </c>
      <c r="G126" s="42">
        <f t="shared" ca="1" si="1"/>
        <v>18</v>
      </c>
      <c r="H126" s="43">
        <v>1</v>
      </c>
      <c r="I126" s="44">
        <v>22472</v>
      </c>
    </row>
    <row r="127" spans="1:9" x14ac:dyDescent="0.25">
      <c r="A127" s="33" t="s">
        <v>177</v>
      </c>
      <c r="B127" s="33" t="s">
        <v>80</v>
      </c>
      <c r="C127" s="39">
        <v>643984096</v>
      </c>
      <c r="D127" s="40">
        <v>8072913490</v>
      </c>
      <c r="E127" s="33" t="s">
        <v>33</v>
      </c>
      <c r="F127" s="41">
        <v>36895</v>
      </c>
      <c r="G127" s="42">
        <f t="shared" ca="1" si="1"/>
        <v>12</v>
      </c>
      <c r="H127" s="43">
        <v>1</v>
      </c>
      <c r="I127" s="44">
        <v>51800</v>
      </c>
    </row>
    <row r="128" spans="1:9" x14ac:dyDescent="0.25">
      <c r="A128" s="33" t="s">
        <v>178</v>
      </c>
      <c r="B128" s="33" t="s">
        <v>52</v>
      </c>
      <c r="C128" s="39">
        <v>931105030</v>
      </c>
      <c r="D128" s="40">
        <v>7027508998</v>
      </c>
      <c r="E128" s="33" t="s">
        <v>22</v>
      </c>
      <c r="F128" s="41">
        <v>35916</v>
      </c>
      <c r="G128" s="42">
        <f t="shared" ca="1" si="1"/>
        <v>15</v>
      </c>
      <c r="H128" s="43">
        <v>4</v>
      </c>
      <c r="I128" s="44">
        <v>29260</v>
      </c>
    </row>
    <row r="129" spans="1:34" x14ac:dyDescent="0.25">
      <c r="A129" s="33" t="s">
        <v>179</v>
      </c>
      <c r="B129" s="33" t="s">
        <v>68</v>
      </c>
      <c r="C129" s="39">
        <v>554029540</v>
      </c>
      <c r="D129" s="40">
        <v>4161397811</v>
      </c>
      <c r="E129" s="33" t="s">
        <v>81</v>
      </c>
      <c r="F129" s="41">
        <v>32872</v>
      </c>
      <c r="G129" s="42">
        <f t="shared" ca="1" si="1"/>
        <v>23</v>
      </c>
      <c r="H129" s="43">
        <v>3</v>
      </c>
      <c r="I129" s="44">
        <v>29070</v>
      </c>
    </row>
    <row r="130" spans="1:34" x14ac:dyDescent="0.25">
      <c r="A130" s="33" t="s">
        <v>180</v>
      </c>
      <c r="B130" s="33" t="s">
        <v>40</v>
      </c>
      <c r="C130" s="39">
        <v>797431044</v>
      </c>
      <c r="D130" s="40">
        <v>4165511103</v>
      </c>
      <c r="E130" s="33" t="s">
        <v>33</v>
      </c>
      <c r="F130" s="41">
        <v>35443</v>
      </c>
      <c r="G130" s="42">
        <f t="shared" ref="G130:G193" ca="1" si="2">DATEDIF(F130,TODAY(),"Y")</f>
        <v>16</v>
      </c>
      <c r="H130" s="43">
        <v>5</v>
      </c>
      <c r="I130" s="44">
        <v>46105</v>
      </c>
    </row>
    <row r="131" spans="1:34" x14ac:dyDescent="0.25">
      <c r="A131" s="33" t="s">
        <v>181</v>
      </c>
      <c r="B131" s="33" t="s">
        <v>16</v>
      </c>
      <c r="C131" s="39">
        <v>110726520</v>
      </c>
      <c r="D131" s="40">
        <v>6171280865</v>
      </c>
      <c r="E131" s="33" t="s">
        <v>17</v>
      </c>
      <c r="F131" s="41">
        <v>38673</v>
      </c>
      <c r="G131" s="42">
        <f t="shared" ca="1" si="2"/>
        <v>8</v>
      </c>
      <c r="H131" s="43">
        <v>3</v>
      </c>
      <c r="I131" s="44">
        <v>74470</v>
      </c>
    </row>
    <row r="132" spans="1:34" x14ac:dyDescent="0.25">
      <c r="A132" s="33" t="s">
        <v>182</v>
      </c>
      <c r="B132" s="33" t="s">
        <v>52</v>
      </c>
      <c r="C132" s="39">
        <v>126492342</v>
      </c>
      <c r="D132" s="40">
        <v>5161620909</v>
      </c>
      <c r="E132" s="33" t="s">
        <v>22</v>
      </c>
      <c r="F132" s="41">
        <v>34190</v>
      </c>
      <c r="G132" s="42">
        <f t="shared" ca="1" si="2"/>
        <v>20</v>
      </c>
      <c r="H132" s="43">
        <v>3</v>
      </c>
      <c r="I132" s="44">
        <v>82700</v>
      </c>
    </row>
    <row r="133" spans="1:34" x14ac:dyDescent="0.25">
      <c r="A133" s="33" t="s">
        <v>183</v>
      </c>
      <c r="B133" s="33" t="s">
        <v>21</v>
      </c>
      <c r="C133" s="39">
        <v>561968668</v>
      </c>
      <c r="D133" s="40">
        <v>2051591006</v>
      </c>
      <c r="E133" s="33" t="s">
        <v>22</v>
      </c>
      <c r="F133" s="41">
        <v>33458</v>
      </c>
      <c r="G133" s="42">
        <f t="shared" ca="1" si="2"/>
        <v>22</v>
      </c>
      <c r="H133" s="43">
        <v>4</v>
      </c>
      <c r="I133" s="44">
        <v>23330</v>
      </c>
    </row>
    <row r="134" spans="1:34" x14ac:dyDescent="0.25">
      <c r="A134" s="33" t="s">
        <v>184</v>
      </c>
      <c r="B134" s="33" t="s">
        <v>52</v>
      </c>
      <c r="C134" s="39">
        <v>771110153</v>
      </c>
      <c r="D134" s="40">
        <v>2065089157</v>
      </c>
      <c r="E134" s="33" t="s">
        <v>22</v>
      </c>
      <c r="F134" s="41">
        <v>35750</v>
      </c>
      <c r="G134" s="42">
        <f t="shared" ca="1" si="2"/>
        <v>16</v>
      </c>
      <c r="H134" s="43">
        <v>1</v>
      </c>
      <c r="I134" s="44">
        <v>67020</v>
      </c>
    </row>
    <row r="135" spans="1:34" x14ac:dyDescent="0.25">
      <c r="A135" s="33" t="s">
        <v>185</v>
      </c>
      <c r="B135" s="33" t="s">
        <v>40</v>
      </c>
      <c r="C135" s="39">
        <v>330879921</v>
      </c>
      <c r="D135" s="40">
        <v>7015185281</v>
      </c>
      <c r="E135" s="33" t="s">
        <v>22</v>
      </c>
      <c r="F135" s="41">
        <v>36346</v>
      </c>
      <c r="G135" s="42">
        <f t="shared" ca="1" si="2"/>
        <v>14</v>
      </c>
      <c r="H135" s="43">
        <v>1</v>
      </c>
      <c r="I135" s="44">
        <v>49930</v>
      </c>
    </row>
    <row r="136" spans="1:34" x14ac:dyDescent="0.25">
      <c r="A136" s="33" t="s">
        <v>186</v>
      </c>
      <c r="B136" s="33" t="s">
        <v>32</v>
      </c>
      <c r="C136" s="39">
        <v>905675120</v>
      </c>
      <c r="D136" s="40">
        <v>2056969994</v>
      </c>
      <c r="E136" s="33" t="s">
        <v>17</v>
      </c>
      <c r="F136" s="41">
        <v>39800</v>
      </c>
      <c r="G136" s="42">
        <f t="shared" ca="1" si="2"/>
        <v>4</v>
      </c>
      <c r="H136" s="43">
        <v>4</v>
      </c>
      <c r="I136" s="44">
        <v>57680</v>
      </c>
    </row>
    <row r="137" spans="1:34" x14ac:dyDescent="0.25">
      <c r="A137" s="33" t="s">
        <v>187</v>
      </c>
      <c r="B137" s="33" t="s">
        <v>61</v>
      </c>
      <c r="C137" s="39">
        <v>895408697</v>
      </c>
      <c r="D137" s="40">
        <v>4096799516</v>
      </c>
      <c r="E137" s="33" t="s">
        <v>33</v>
      </c>
      <c r="F137" s="41">
        <v>36860</v>
      </c>
      <c r="G137" s="42">
        <f t="shared" ca="1" si="2"/>
        <v>13</v>
      </c>
      <c r="H137" s="43">
        <v>5</v>
      </c>
      <c r="I137" s="44">
        <v>33810</v>
      </c>
    </row>
    <row r="138" spans="1:34" x14ac:dyDescent="0.25">
      <c r="A138" s="33" t="s">
        <v>188</v>
      </c>
      <c r="B138" s="33" t="s">
        <v>40</v>
      </c>
      <c r="C138" s="39">
        <v>941937371</v>
      </c>
      <c r="D138" s="40">
        <v>5057785583</v>
      </c>
      <c r="E138" s="33" t="s">
        <v>17</v>
      </c>
      <c r="F138" s="41">
        <v>36531</v>
      </c>
      <c r="G138" s="42">
        <f t="shared" ca="1" si="2"/>
        <v>13</v>
      </c>
      <c r="H138" s="43">
        <v>3</v>
      </c>
      <c r="I138" s="44">
        <v>25530</v>
      </c>
    </row>
    <row r="139" spans="1:34" x14ac:dyDescent="0.25">
      <c r="A139" s="33" t="s">
        <v>189</v>
      </c>
      <c r="B139" s="33" t="s">
        <v>16</v>
      </c>
      <c r="C139" s="39">
        <v>462995574</v>
      </c>
      <c r="D139" s="40">
        <v>7087491979</v>
      </c>
      <c r="E139" s="33" t="s">
        <v>22</v>
      </c>
      <c r="F139" s="41">
        <v>34644</v>
      </c>
      <c r="G139" s="42">
        <f t="shared" ca="1" si="2"/>
        <v>19</v>
      </c>
      <c r="H139" s="43">
        <v>4</v>
      </c>
      <c r="I139" s="44">
        <v>48800</v>
      </c>
      <c r="AF139" s="34"/>
      <c r="AG139" s="50">
        <v>85000</v>
      </c>
      <c r="AH139" s="51">
        <v>0.12</v>
      </c>
    </row>
    <row r="140" spans="1:34" x14ac:dyDescent="0.25">
      <c r="A140" s="33" t="s">
        <v>190</v>
      </c>
      <c r="B140" s="33" t="s">
        <v>74</v>
      </c>
      <c r="C140" s="39">
        <v>460412180</v>
      </c>
      <c r="D140" s="40">
        <v>5157461285</v>
      </c>
      <c r="E140" s="33" t="s">
        <v>22</v>
      </c>
      <c r="F140" s="41">
        <v>35472</v>
      </c>
      <c r="G140" s="42">
        <f t="shared" ca="1" si="2"/>
        <v>16</v>
      </c>
      <c r="H140" s="43">
        <v>2</v>
      </c>
      <c r="I140" s="44">
        <v>82400</v>
      </c>
    </row>
    <row r="141" spans="1:34" x14ac:dyDescent="0.25">
      <c r="A141" s="33" t="s">
        <v>191</v>
      </c>
      <c r="B141" s="33" t="s">
        <v>21</v>
      </c>
      <c r="C141" s="39">
        <v>824046378</v>
      </c>
      <c r="D141" s="40">
        <v>5195770085</v>
      </c>
      <c r="E141" s="33" t="s">
        <v>22</v>
      </c>
      <c r="F141" s="41">
        <v>35722</v>
      </c>
      <c r="G141" s="42">
        <f t="shared" ca="1" si="2"/>
        <v>16</v>
      </c>
      <c r="H141" s="43">
        <v>2</v>
      </c>
      <c r="I141" s="44">
        <v>37760</v>
      </c>
    </row>
    <row r="142" spans="1:34" x14ac:dyDescent="0.25">
      <c r="A142" s="33" t="s">
        <v>192</v>
      </c>
      <c r="B142" s="33" t="s">
        <v>74</v>
      </c>
      <c r="C142" s="39">
        <v>317844971</v>
      </c>
      <c r="D142" s="40">
        <v>9064989537</v>
      </c>
      <c r="E142" s="33" t="s">
        <v>22</v>
      </c>
      <c r="F142" s="41">
        <v>39860</v>
      </c>
      <c r="G142" s="42">
        <f t="shared" ca="1" si="2"/>
        <v>4</v>
      </c>
      <c r="H142" s="43">
        <v>3</v>
      </c>
      <c r="I142" s="44">
        <v>42620</v>
      </c>
    </row>
    <row r="143" spans="1:34" x14ac:dyDescent="0.25">
      <c r="A143" s="33" t="s">
        <v>193</v>
      </c>
      <c r="B143" s="33" t="s">
        <v>40</v>
      </c>
      <c r="C143" s="39">
        <v>566726453</v>
      </c>
      <c r="D143" s="40">
        <v>2071653055</v>
      </c>
      <c r="E143" s="33" t="s">
        <v>81</v>
      </c>
      <c r="F143" s="41">
        <v>38036</v>
      </c>
      <c r="G143" s="42">
        <f t="shared" ca="1" si="2"/>
        <v>9</v>
      </c>
      <c r="H143" s="43">
        <v>2</v>
      </c>
      <c r="I143" s="44">
        <v>37344</v>
      </c>
    </row>
    <row r="144" spans="1:34" x14ac:dyDescent="0.25">
      <c r="A144" s="33" t="s">
        <v>194</v>
      </c>
      <c r="B144" s="33" t="s">
        <v>32</v>
      </c>
      <c r="C144" s="39">
        <v>641962645</v>
      </c>
      <c r="D144" s="40">
        <v>5042822520</v>
      </c>
      <c r="E144" s="33" t="s">
        <v>22</v>
      </c>
      <c r="F144" s="41">
        <v>34379</v>
      </c>
      <c r="G144" s="42">
        <f t="shared" ca="1" si="2"/>
        <v>19</v>
      </c>
      <c r="H144" s="43">
        <v>4</v>
      </c>
      <c r="I144" s="44">
        <v>50570</v>
      </c>
    </row>
    <row r="145" spans="1:9" x14ac:dyDescent="0.25">
      <c r="A145" s="33" t="s">
        <v>195</v>
      </c>
      <c r="B145" s="33" t="s">
        <v>61</v>
      </c>
      <c r="C145" s="39">
        <v>923123594</v>
      </c>
      <c r="D145" s="40">
        <v>6067280453</v>
      </c>
      <c r="E145" s="33" t="s">
        <v>22</v>
      </c>
      <c r="F145" s="41">
        <v>35293</v>
      </c>
      <c r="G145" s="42">
        <f t="shared" ca="1" si="2"/>
        <v>17</v>
      </c>
      <c r="H145" s="43">
        <v>5</v>
      </c>
      <c r="I145" s="44">
        <v>68520</v>
      </c>
    </row>
    <row r="146" spans="1:9" x14ac:dyDescent="0.25">
      <c r="A146" s="33" t="s">
        <v>196</v>
      </c>
      <c r="B146" s="33" t="s">
        <v>21</v>
      </c>
      <c r="C146" s="39">
        <v>974912089</v>
      </c>
      <c r="D146" s="40">
        <v>3028413271</v>
      </c>
      <c r="E146" s="33" t="s">
        <v>33</v>
      </c>
      <c r="F146" s="41">
        <v>35750</v>
      </c>
      <c r="G146" s="42">
        <f t="shared" ca="1" si="2"/>
        <v>16</v>
      </c>
      <c r="H146" s="43">
        <v>1</v>
      </c>
      <c r="I146" s="44">
        <v>11065</v>
      </c>
    </row>
    <row r="147" spans="1:9" x14ac:dyDescent="0.25">
      <c r="A147" s="33" t="s">
        <v>197</v>
      </c>
      <c r="B147" s="33" t="s">
        <v>52</v>
      </c>
      <c r="C147" s="39">
        <v>859204644</v>
      </c>
      <c r="D147" s="40">
        <v>2156224056</v>
      </c>
      <c r="E147" s="33" t="s">
        <v>22</v>
      </c>
      <c r="F147" s="41">
        <v>35105</v>
      </c>
      <c r="G147" s="42">
        <f t="shared" ca="1" si="2"/>
        <v>17</v>
      </c>
      <c r="H147" s="43">
        <v>1</v>
      </c>
      <c r="I147" s="44">
        <v>32120</v>
      </c>
    </row>
    <row r="148" spans="1:9" x14ac:dyDescent="0.25">
      <c r="A148" s="33" t="s">
        <v>198</v>
      </c>
      <c r="B148" s="33" t="s">
        <v>52</v>
      </c>
      <c r="C148" s="39">
        <v>303641529</v>
      </c>
      <c r="D148" s="40">
        <v>8064697218</v>
      </c>
      <c r="E148" s="33" t="s">
        <v>17</v>
      </c>
      <c r="F148" s="41">
        <v>39740</v>
      </c>
      <c r="G148" s="42">
        <f t="shared" ca="1" si="2"/>
        <v>5</v>
      </c>
      <c r="H148" s="43">
        <v>3</v>
      </c>
      <c r="I148" s="44">
        <v>21580</v>
      </c>
    </row>
    <row r="149" spans="1:9" x14ac:dyDescent="0.25">
      <c r="A149" s="33" t="s">
        <v>199</v>
      </c>
      <c r="B149" s="33" t="s">
        <v>21</v>
      </c>
      <c r="C149" s="39">
        <v>687623890</v>
      </c>
      <c r="D149" s="40">
        <v>3063876146</v>
      </c>
      <c r="E149" s="33" t="s">
        <v>22</v>
      </c>
      <c r="F149" s="41">
        <v>34410</v>
      </c>
      <c r="G149" s="42">
        <f t="shared" ca="1" si="2"/>
        <v>19</v>
      </c>
      <c r="H149" s="43">
        <v>2</v>
      </c>
      <c r="I149" s="44">
        <v>38940</v>
      </c>
    </row>
    <row r="150" spans="1:9" x14ac:dyDescent="0.25">
      <c r="A150" s="33" t="s">
        <v>200</v>
      </c>
      <c r="B150" s="33" t="s">
        <v>40</v>
      </c>
      <c r="C150" s="39">
        <v>924942231</v>
      </c>
      <c r="D150" s="40">
        <v>3017312659</v>
      </c>
      <c r="E150" s="33" t="s">
        <v>22</v>
      </c>
      <c r="F150" s="41">
        <v>34527</v>
      </c>
      <c r="G150" s="42">
        <f t="shared" ca="1" si="2"/>
        <v>19</v>
      </c>
      <c r="H150" s="43">
        <v>5</v>
      </c>
      <c r="I150" s="44">
        <v>33590</v>
      </c>
    </row>
    <row r="151" spans="1:9" x14ac:dyDescent="0.25">
      <c r="A151" s="33" t="s">
        <v>201</v>
      </c>
      <c r="B151" s="33" t="s">
        <v>74</v>
      </c>
      <c r="C151" s="39">
        <v>117896630</v>
      </c>
      <c r="D151" s="40">
        <v>9061535362</v>
      </c>
      <c r="E151" s="33" t="s">
        <v>22</v>
      </c>
      <c r="F151" s="41">
        <v>35379</v>
      </c>
      <c r="G151" s="42">
        <f t="shared" ca="1" si="2"/>
        <v>17</v>
      </c>
      <c r="H151" s="43">
        <v>5</v>
      </c>
      <c r="I151" s="44">
        <v>71010</v>
      </c>
    </row>
    <row r="152" spans="1:9" x14ac:dyDescent="0.25">
      <c r="A152" s="33" t="s">
        <v>202</v>
      </c>
      <c r="B152" s="33" t="s">
        <v>68</v>
      </c>
      <c r="C152" s="39">
        <v>468053610</v>
      </c>
      <c r="D152" s="40">
        <v>4087577867</v>
      </c>
      <c r="E152" s="33" t="s">
        <v>22</v>
      </c>
      <c r="F152" s="41">
        <v>34854</v>
      </c>
      <c r="G152" s="42">
        <f t="shared" ca="1" si="2"/>
        <v>18</v>
      </c>
      <c r="H152" s="43">
        <v>1</v>
      </c>
      <c r="I152" s="44">
        <v>60830</v>
      </c>
    </row>
    <row r="153" spans="1:9" x14ac:dyDescent="0.25">
      <c r="A153" s="33" t="s">
        <v>203</v>
      </c>
      <c r="B153" s="33" t="s">
        <v>21</v>
      </c>
      <c r="C153" s="39">
        <v>854806695</v>
      </c>
      <c r="D153" s="40">
        <v>2126126835</v>
      </c>
      <c r="E153" s="33" t="s">
        <v>17</v>
      </c>
      <c r="F153" s="41">
        <v>34769</v>
      </c>
      <c r="G153" s="42">
        <f t="shared" ca="1" si="2"/>
        <v>18</v>
      </c>
      <c r="H153" s="43">
        <v>2</v>
      </c>
      <c r="I153" s="44">
        <v>66010</v>
      </c>
    </row>
    <row r="154" spans="1:9" x14ac:dyDescent="0.25">
      <c r="A154" s="33" t="s">
        <v>204</v>
      </c>
      <c r="B154" s="33" t="s">
        <v>104</v>
      </c>
      <c r="C154" s="39">
        <v>797985708</v>
      </c>
      <c r="D154" s="40">
        <v>9165512521</v>
      </c>
      <c r="E154" s="33" t="s">
        <v>22</v>
      </c>
      <c r="F154" s="41">
        <v>34904</v>
      </c>
      <c r="G154" s="42">
        <f t="shared" ca="1" si="2"/>
        <v>18</v>
      </c>
      <c r="H154" s="43">
        <v>1</v>
      </c>
      <c r="I154" s="44">
        <v>26510</v>
      </c>
    </row>
    <row r="155" spans="1:9" x14ac:dyDescent="0.25">
      <c r="A155" s="33" t="s">
        <v>205</v>
      </c>
      <c r="B155" s="33" t="s">
        <v>21</v>
      </c>
      <c r="C155" s="39">
        <v>914330398</v>
      </c>
      <c r="D155" s="40">
        <v>9117077326</v>
      </c>
      <c r="E155" s="33" t="s">
        <v>81</v>
      </c>
      <c r="F155" s="41">
        <v>35219</v>
      </c>
      <c r="G155" s="42">
        <f t="shared" ca="1" si="2"/>
        <v>17</v>
      </c>
      <c r="H155" s="43">
        <v>3</v>
      </c>
      <c r="I155" s="44">
        <v>29176</v>
      </c>
    </row>
    <row r="156" spans="1:9" x14ac:dyDescent="0.25">
      <c r="A156" s="33" t="s">
        <v>206</v>
      </c>
      <c r="B156" s="33" t="s">
        <v>111</v>
      </c>
      <c r="C156" s="39">
        <v>796685092</v>
      </c>
      <c r="D156" s="40">
        <v>2075508095</v>
      </c>
      <c r="E156" s="33" t="s">
        <v>22</v>
      </c>
      <c r="F156" s="41">
        <v>34849</v>
      </c>
      <c r="G156" s="42">
        <f t="shared" ca="1" si="2"/>
        <v>18</v>
      </c>
      <c r="H156" s="43">
        <v>2</v>
      </c>
      <c r="I156" s="44">
        <v>49360</v>
      </c>
    </row>
    <row r="157" spans="1:9" x14ac:dyDescent="0.25">
      <c r="A157" s="33" t="s">
        <v>207</v>
      </c>
      <c r="B157" s="33" t="s">
        <v>40</v>
      </c>
      <c r="C157" s="39">
        <v>698472533</v>
      </c>
      <c r="D157" s="40">
        <v>2174075460</v>
      </c>
      <c r="E157" s="33" t="s">
        <v>22</v>
      </c>
      <c r="F157" s="41">
        <v>36233</v>
      </c>
      <c r="G157" s="42">
        <f t="shared" ca="1" si="2"/>
        <v>14</v>
      </c>
      <c r="H157" s="43">
        <v>3</v>
      </c>
      <c r="I157" s="44">
        <v>47630</v>
      </c>
    </row>
    <row r="158" spans="1:9" x14ac:dyDescent="0.25">
      <c r="A158" s="33" t="s">
        <v>208</v>
      </c>
      <c r="B158" s="33" t="s">
        <v>64</v>
      </c>
      <c r="C158" s="39">
        <v>433314045</v>
      </c>
      <c r="D158" s="40">
        <v>2066971022</v>
      </c>
      <c r="E158" s="33" t="s">
        <v>22</v>
      </c>
      <c r="F158" s="41">
        <v>37175</v>
      </c>
      <c r="G158" s="42">
        <f t="shared" ca="1" si="2"/>
        <v>12</v>
      </c>
      <c r="H158" s="43">
        <v>4</v>
      </c>
      <c r="I158" s="44">
        <v>87280</v>
      </c>
    </row>
    <row r="159" spans="1:9" x14ac:dyDescent="0.25">
      <c r="A159" s="33" t="s">
        <v>209</v>
      </c>
      <c r="B159" s="33" t="s">
        <v>21</v>
      </c>
      <c r="C159" s="39">
        <v>525699951</v>
      </c>
      <c r="D159" s="40">
        <v>7068801464</v>
      </c>
      <c r="E159" s="33" t="s">
        <v>17</v>
      </c>
      <c r="F159" s="41">
        <v>33164</v>
      </c>
      <c r="G159" s="42">
        <f t="shared" ca="1" si="2"/>
        <v>23</v>
      </c>
      <c r="H159" s="43">
        <v>3</v>
      </c>
      <c r="I159" s="44">
        <v>32190</v>
      </c>
    </row>
    <row r="160" spans="1:9" x14ac:dyDescent="0.25">
      <c r="A160" s="33" t="s">
        <v>210</v>
      </c>
      <c r="B160" s="33" t="s">
        <v>21</v>
      </c>
      <c r="C160" s="39">
        <v>858800513</v>
      </c>
      <c r="D160" s="40">
        <v>2086201509</v>
      </c>
      <c r="E160" s="33" t="s">
        <v>33</v>
      </c>
      <c r="F160" s="41">
        <v>35567</v>
      </c>
      <c r="G160" s="42">
        <f t="shared" ca="1" si="2"/>
        <v>16</v>
      </c>
      <c r="H160" s="43">
        <v>2</v>
      </c>
      <c r="I160" s="44">
        <v>21670</v>
      </c>
    </row>
    <row r="161" spans="1:9" x14ac:dyDescent="0.25">
      <c r="A161" s="33" t="s">
        <v>211</v>
      </c>
      <c r="B161" s="33" t="s">
        <v>16</v>
      </c>
      <c r="C161" s="39">
        <v>873100939</v>
      </c>
      <c r="D161" s="40">
        <v>3186514650</v>
      </c>
      <c r="E161" s="33" t="s">
        <v>22</v>
      </c>
      <c r="F161" s="41">
        <v>39751</v>
      </c>
      <c r="G161" s="42">
        <f t="shared" ca="1" si="2"/>
        <v>5</v>
      </c>
      <c r="H161" s="43">
        <v>2</v>
      </c>
      <c r="I161" s="44">
        <v>75780</v>
      </c>
    </row>
    <row r="162" spans="1:9" x14ac:dyDescent="0.25">
      <c r="A162" s="33" t="s">
        <v>212</v>
      </c>
      <c r="B162" s="33" t="s">
        <v>21</v>
      </c>
      <c r="C162" s="39">
        <v>252582122</v>
      </c>
      <c r="D162" s="40">
        <v>7083575849</v>
      </c>
      <c r="E162" s="33" t="s">
        <v>22</v>
      </c>
      <c r="F162" s="41">
        <v>37767</v>
      </c>
      <c r="G162" s="42">
        <f t="shared" ca="1" si="2"/>
        <v>10</v>
      </c>
      <c r="H162" s="43">
        <v>1</v>
      </c>
      <c r="I162" s="44">
        <v>87760</v>
      </c>
    </row>
    <row r="163" spans="1:9" x14ac:dyDescent="0.25">
      <c r="A163" s="33" t="s">
        <v>213</v>
      </c>
      <c r="B163" s="33" t="s">
        <v>74</v>
      </c>
      <c r="C163" s="39">
        <v>781913936</v>
      </c>
      <c r="D163" s="40">
        <v>8015230846</v>
      </c>
      <c r="E163" s="33" t="s">
        <v>17</v>
      </c>
      <c r="F163" s="41">
        <v>39649</v>
      </c>
      <c r="G163" s="42">
        <f t="shared" ca="1" si="2"/>
        <v>5</v>
      </c>
      <c r="H163" s="43">
        <v>3</v>
      </c>
      <c r="I163" s="44">
        <v>45710</v>
      </c>
    </row>
    <row r="164" spans="1:9" x14ac:dyDescent="0.25">
      <c r="A164" s="33" t="s">
        <v>214</v>
      </c>
      <c r="B164" s="33" t="s">
        <v>40</v>
      </c>
      <c r="C164" s="39">
        <v>914326052</v>
      </c>
      <c r="D164" s="40">
        <v>4087049910</v>
      </c>
      <c r="E164" s="33" t="s">
        <v>22</v>
      </c>
      <c r="F164" s="41">
        <v>37737</v>
      </c>
      <c r="G164" s="42">
        <f t="shared" ca="1" si="2"/>
        <v>10</v>
      </c>
      <c r="H164" s="43">
        <v>2</v>
      </c>
      <c r="I164" s="44">
        <v>81340</v>
      </c>
    </row>
    <row r="165" spans="1:9" x14ac:dyDescent="0.25">
      <c r="A165" s="33" t="s">
        <v>215</v>
      </c>
      <c r="B165" s="33" t="s">
        <v>21</v>
      </c>
      <c r="C165" s="39">
        <v>198564686</v>
      </c>
      <c r="D165" s="40">
        <v>7152749909</v>
      </c>
      <c r="E165" s="33" t="s">
        <v>22</v>
      </c>
      <c r="F165" s="41">
        <v>38702</v>
      </c>
      <c r="G165" s="42">
        <f t="shared" ca="1" si="2"/>
        <v>7</v>
      </c>
      <c r="H165" s="43">
        <v>3</v>
      </c>
      <c r="I165" s="44">
        <v>71030</v>
      </c>
    </row>
    <row r="166" spans="1:9" x14ac:dyDescent="0.25">
      <c r="A166" s="33" t="s">
        <v>216</v>
      </c>
      <c r="B166" s="33" t="s">
        <v>32</v>
      </c>
      <c r="C166" s="39">
        <v>659929807</v>
      </c>
      <c r="D166" s="40">
        <v>3153386758</v>
      </c>
      <c r="E166" s="33" t="s">
        <v>81</v>
      </c>
      <c r="F166" s="41">
        <v>35730</v>
      </c>
      <c r="G166" s="42">
        <f t="shared" ca="1" si="2"/>
        <v>16</v>
      </c>
      <c r="H166" s="43">
        <v>4</v>
      </c>
      <c r="I166" s="44">
        <v>37016</v>
      </c>
    </row>
    <row r="167" spans="1:9" x14ac:dyDescent="0.25">
      <c r="A167" s="33" t="s">
        <v>217</v>
      </c>
      <c r="B167" s="33" t="s">
        <v>52</v>
      </c>
      <c r="C167" s="39">
        <v>279097202</v>
      </c>
      <c r="D167" s="40">
        <v>9024125146</v>
      </c>
      <c r="E167" s="33" t="s">
        <v>17</v>
      </c>
      <c r="F167" s="41">
        <v>32811</v>
      </c>
      <c r="G167" s="42">
        <f t="shared" ca="1" si="2"/>
        <v>24</v>
      </c>
      <c r="H167" s="43">
        <v>2</v>
      </c>
      <c r="I167" s="44">
        <v>46650</v>
      </c>
    </row>
    <row r="168" spans="1:9" x14ac:dyDescent="0.25">
      <c r="A168" s="33" t="s">
        <v>218</v>
      </c>
      <c r="B168" s="33" t="s">
        <v>32</v>
      </c>
      <c r="C168" s="39">
        <v>443238477</v>
      </c>
      <c r="D168" s="40">
        <v>4017102355</v>
      </c>
      <c r="E168" s="33" t="s">
        <v>22</v>
      </c>
      <c r="F168" s="41">
        <v>35926</v>
      </c>
      <c r="G168" s="42">
        <f t="shared" ca="1" si="2"/>
        <v>15</v>
      </c>
      <c r="H168" s="43">
        <v>4</v>
      </c>
      <c r="I168" s="44">
        <v>62400</v>
      </c>
    </row>
    <row r="169" spans="1:9" x14ac:dyDescent="0.25">
      <c r="A169" s="33" t="s">
        <v>219</v>
      </c>
      <c r="B169" s="33" t="s">
        <v>71</v>
      </c>
      <c r="C169" s="39">
        <v>505680981</v>
      </c>
      <c r="D169" s="40">
        <v>6158527032</v>
      </c>
      <c r="E169" s="33" t="s">
        <v>81</v>
      </c>
      <c r="F169" s="41">
        <v>32548</v>
      </c>
      <c r="G169" s="42">
        <f t="shared" ca="1" si="2"/>
        <v>24</v>
      </c>
      <c r="H169" s="43">
        <v>4</v>
      </c>
      <c r="I169" s="44">
        <v>33232</v>
      </c>
    </row>
    <row r="170" spans="1:9" x14ac:dyDescent="0.25">
      <c r="A170" s="33" t="s">
        <v>220</v>
      </c>
      <c r="B170" s="33" t="s">
        <v>74</v>
      </c>
      <c r="C170" s="39">
        <v>929694686</v>
      </c>
      <c r="D170" s="40">
        <v>3157430732</v>
      </c>
      <c r="E170" s="33" t="s">
        <v>17</v>
      </c>
      <c r="F170" s="41">
        <v>37031</v>
      </c>
      <c r="G170" s="42">
        <f t="shared" ca="1" si="2"/>
        <v>12</v>
      </c>
      <c r="H170" s="43">
        <v>5</v>
      </c>
      <c r="I170" s="44">
        <v>31970</v>
      </c>
    </row>
    <row r="171" spans="1:9" x14ac:dyDescent="0.25">
      <c r="A171" s="33" t="s">
        <v>221</v>
      </c>
      <c r="B171" s="33" t="s">
        <v>222</v>
      </c>
      <c r="C171" s="39">
        <v>852430023</v>
      </c>
      <c r="D171" s="40">
        <v>3026109756</v>
      </c>
      <c r="E171" s="33" t="s">
        <v>17</v>
      </c>
      <c r="F171" s="41">
        <v>40109</v>
      </c>
      <c r="G171" s="42">
        <f t="shared" ca="1" si="2"/>
        <v>4</v>
      </c>
      <c r="H171" s="43">
        <v>4</v>
      </c>
      <c r="I171" s="44">
        <v>66132</v>
      </c>
    </row>
    <row r="172" spans="1:9" x14ac:dyDescent="0.25">
      <c r="A172" s="33" t="s">
        <v>223</v>
      </c>
      <c r="B172" s="33" t="s">
        <v>222</v>
      </c>
      <c r="C172" s="39">
        <v>600458368</v>
      </c>
      <c r="D172" s="40">
        <v>7052168237</v>
      </c>
      <c r="E172" s="33" t="s">
        <v>22</v>
      </c>
      <c r="F172" s="41">
        <v>36381</v>
      </c>
      <c r="G172" s="42">
        <f t="shared" ca="1" si="2"/>
        <v>14</v>
      </c>
      <c r="H172" s="43">
        <v>5</v>
      </c>
      <c r="I172" s="44">
        <v>63670</v>
      </c>
    </row>
    <row r="173" spans="1:9" x14ac:dyDescent="0.25">
      <c r="A173" s="33" t="s">
        <v>224</v>
      </c>
      <c r="B173" s="33" t="s">
        <v>52</v>
      </c>
      <c r="C173" s="39">
        <v>106099892</v>
      </c>
      <c r="D173" s="40">
        <v>6041240785</v>
      </c>
      <c r="E173" s="33" t="s">
        <v>22</v>
      </c>
      <c r="F173" s="41">
        <v>33411</v>
      </c>
      <c r="G173" s="42">
        <f t="shared" ca="1" si="2"/>
        <v>22</v>
      </c>
      <c r="H173" s="43">
        <v>2</v>
      </c>
      <c r="I173" s="44">
        <v>45110</v>
      </c>
    </row>
    <row r="174" spans="1:9" x14ac:dyDescent="0.25">
      <c r="A174" s="33" t="s">
        <v>225</v>
      </c>
      <c r="B174" s="33" t="s">
        <v>16</v>
      </c>
      <c r="C174" s="39">
        <v>816607187</v>
      </c>
      <c r="D174" s="40">
        <v>8145691314</v>
      </c>
      <c r="E174" s="33" t="s">
        <v>33</v>
      </c>
      <c r="F174" s="41">
        <v>36556</v>
      </c>
      <c r="G174" s="42">
        <f t="shared" ca="1" si="2"/>
        <v>13</v>
      </c>
      <c r="H174" s="43">
        <v>4</v>
      </c>
      <c r="I174" s="44">
        <v>47295</v>
      </c>
    </row>
    <row r="175" spans="1:9" x14ac:dyDescent="0.25">
      <c r="A175" s="33" t="s">
        <v>226</v>
      </c>
      <c r="B175" s="33" t="s">
        <v>52</v>
      </c>
      <c r="C175" s="39">
        <v>944793994</v>
      </c>
      <c r="D175" s="40">
        <v>5137819805</v>
      </c>
      <c r="E175" s="33" t="s">
        <v>22</v>
      </c>
      <c r="F175" s="41">
        <v>34144</v>
      </c>
      <c r="G175" s="42">
        <f t="shared" ca="1" si="2"/>
        <v>20</v>
      </c>
      <c r="H175" s="43">
        <v>5</v>
      </c>
      <c r="I175" s="44">
        <v>39000</v>
      </c>
    </row>
    <row r="176" spans="1:9" x14ac:dyDescent="0.25">
      <c r="A176" s="33" t="s">
        <v>227</v>
      </c>
      <c r="B176" s="33" t="s">
        <v>74</v>
      </c>
      <c r="C176" s="39">
        <v>512405919</v>
      </c>
      <c r="D176" s="40">
        <v>4128651774</v>
      </c>
      <c r="E176" s="33" t="s">
        <v>17</v>
      </c>
      <c r="F176" s="41">
        <v>34151</v>
      </c>
      <c r="G176" s="42">
        <f t="shared" ca="1" si="2"/>
        <v>20</v>
      </c>
      <c r="H176" s="43">
        <v>5</v>
      </c>
      <c r="I176" s="44">
        <v>45040</v>
      </c>
    </row>
    <row r="177" spans="1:9" x14ac:dyDescent="0.25">
      <c r="A177" s="33" t="s">
        <v>228</v>
      </c>
      <c r="B177" s="33" t="s">
        <v>21</v>
      </c>
      <c r="C177" s="39">
        <v>262585858</v>
      </c>
      <c r="D177" s="40">
        <v>7063858464</v>
      </c>
      <c r="E177" s="33" t="s">
        <v>22</v>
      </c>
      <c r="F177" s="41">
        <v>35104</v>
      </c>
      <c r="G177" s="42">
        <f t="shared" ca="1" si="2"/>
        <v>17</v>
      </c>
      <c r="H177" s="43">
        <v>3</v>
      </c>
      <c r="I177" s="44">
        <v>70020</v>
      </c>
    </row>
    <row r="178" spans="1:9" x14ac:dyDescent="0.25">
      <c r="A178" s="33" t="s">
        <v>229</v>
      </c>
      <c r="B178" s="33" t="s">
        <v>52</v>
      </c>
      <c r="C178" s="39">
        <v>787156286</v>
      </c>
      <c r="D178" s="40">
        <v>3025255121</v>
      </c>
      <c r="E178" s="33" t="s">
        <v>22</v>
      </c>
      <c r="F178" s="41">
        <v>33400</v>
      </c>
      <c r="G178" s="42">
        <f t="shared" ca="1" si="2"/>
        <v>22</v>
      </c>
      <c r="H178" s="43">
        <v>3</v>
      </c>
      <c r="I178" s="44">
        <v>54270</v>
      </c>
    </row>
    <row r="179" spans="1:9" x14ac:dyDescent="0.25">
      <c r="A179" s="33" t="s">
        <v>230</v>
      </c>
      <c r="B179" s="33" t="s">
        <v>32</v>
      </c>
      <c r="C179" s="39">
        <v>154984918</v>
      </c>
      <c r="D179" s="40">
        <v>6122064219</v>
      </c>
      <c r="E179" s="33" t="s">
        <v>17</v>
      </c>
      <c r="F179" s="41">
        <v>33339</v>
      </c>
      <c r="G179" s="42">
        <f t="shared" ca="1" si="2"/>
        <v>22</v>
      </c>
      <c r="H179" s="43">
        <v>2</v>
      </c>
      <c r="I179" s="44">
        <v>44720</v>
      </c>
    </row>
    <row r="180" spans="1:9" x14ac:dyDescent="0.25">
      <c r="A180" s="33" t="s">
        <v>231</v>
      </c>
      <c r="B180" s="33" t="s">
        <v>61</v>
      </c>
      <c r="C180" s="39">
        <v>617795992</v>
      </c>
      <c r="D180" s="40">
        <v>7152375580</v>
      </c>
      <c r="E180" s="33" t="s">
        <v>22</v>
      </c>
      <c r="F180" s="41">
        <v>34291</v>
      </c>
      <c r="G180" s="42">
        <f t="shared" ca="1" si="2"/>
        <v>20</v>
      </c>
      <c r="H180" s="43">
        <v>5</v>
      </c>
      <c r="I180" s="44">
        <v>25830</v>
      </c>
    </row>
    <row r="181" spans="1:9" x14ac:dyDescent="0.25">
      <c r="A181" s="33" t="s">
        <v>232</v>
      </c>
      <c r="B181" s="33" t="s">
        <v>32</v>
      </c>
      <c r="C181" s="39">
        <v>318068637</v>
      </c>
      <c r="D181" s="40">
        <v>7014998145</v>
      </c>
      <c r="E181" s="33" t="s">
        <v>17</v>
      </c>
      <c r="F181" s="41">
        <v>34931</v>
      </c>
      <c r="G181" s="42">
        <f t="shared" ca="1" si="2"/>
        <v>18</v>
      </c>
      <c r="H181" s="43">
        <v>4</v>
      </c>
      <c r="I181" s="44">
        <v>49530</v>
      </c>
    </row>
    <row r="182" spans="1:9" x14ac:dyDescent="0.25">
      <c r="A182" s="33" t="s">
        <v>233</v>
      </c>
      <c r="B182" s="33" t="s">
        <v>21</v>
      </c>
      <c r="C182" s="39">
        <v>665773893</v>
      </c>
      <c r="D182" s="40">
        <v>9073517837</v>
      </c>
      <c r="E182" s="33" t="s">
        <v>22</v>
      </c>
      <c r="F182" s="41">
        <v>38199</v>
      </c>
      <c r="G182" s="42">
        <f t="shared" ca="1" si="2"/>
        <v>9</v>
      </c>
      <c r="H182" s="43">
        <v>1</v>
      </c>
      <c r="I182" s="44">
        <v>76584</v>
      </c>
    </row>
    <row r="183" spans="1:9" x14ac:dyDescent="0.25">
      <c r="A183" s="33" t="s">
        <v>234</v>
      </c>
      <c r="B183" s="33" t="s">
        <v>158</v>
      </c>
      <c r="C183" s="39">
        <v>738946277</v>
      </c>
      <c r="D183" s="40">
        <v>2054680033</v>
      </c>
      <c r="E183" s="33" t="s">
        <v>17</v>
      </c>
      <c r="F183" s="41">
        <v>35566</v>
      </c>
      <c r="G183" s="42">
        <f t="shared" ca="1" si="2"/>
        <v>16</v>
      </c>
      <c r="H183" s="43">
        <v>5</v>
      </c>
      <c r="I183" s="44">
        <v>32940</v>
      </c>
    </row>
    <row r="184" spans="1:9" x14ac:dyDescent="0.25">
      <c r="A184" s="33" t="s">
        <v>235</v>
      </c>
      <c r="B184" s="33" t="s">
        <v>21</v>
      </c>
      <c r="C184" s="39">
        <v>870601943</v>
      </c>
      <c r="D184" s="40">
        <v>8046479087</v>
      </c>
      <c r="E184" s="33" t="s">
        <v>22</v>
      </c>
      <c r="F184" s="41">
        <v>39362</v>
      </c>
      <c r="G184" s="42">
        <f t="shared" ca="1" si="2"/>
        <v>6</v>
      </c>
      <c r="H184" s="43">
        <v>5</v>
      </c>
      <c r="I184" s="44">
        <v>78170</v>
      </c>
    </row>
    <row r="185" spans="1:9" x14ac:dyDescent="0.25">
      <c r="A185" s="33" t="s">
        <v>236</v>
      </c>
      <c r="B185" s="33" t="s">
        <v>21</v>
      </c>
      <c r="C185" s="39">
        <v>304068732</v>
      </c>
      <c r="D185" s="40">
        <v>6064734960</v>
      </c>
      <c r="E185" s="33" t="s">
        <v>22</v>
      </c>
      <c r="F185" s="41">
        <v>33873</v>
      </c>
      <c r="G185" s="42">
        <f t="shared" ca="1" si="2"/>
        <v>21</v>
      </c>
      <c r="H185" s="43">
        <v>4</v>
      </c>
      <c r="I185" s="44">
        <v>81010</v>
      </c>
    </row>
    <row r="186" spans="1:9" x14ac:dyDescent="0.25">
      <c r="A186" s="33" t="s">
        <v>237</v>
      </c>
      <c r="B186" s="33" t="s">
        <v>21</v>
      </c>
      <c r="C186" s="39">
        <v>138607245</v>
      </c>
      <c r="D186" s="40">
        <v>9141711684</v>
      </c>
      <c r="E186" s="33" t="s">
        <v>22</v>
      </c>
      <c r="F186" s="41">
        <v>34910</v>
      </c>
      <c r="G186" s="42">
        <f t="shared" ca="1" si="2"/>
        <v>18</v>
      </c>
      <c r="H186" s="43">
        <v>2</v>
      </c>
      <c r="I186" s="44">
        <v>79730</v>
      </c>
    </row>
    <row r="187" spans="1:9" x14ac:dyDescent="0.25">
      <c r="A187" s="33" t="s">
        <v>238</v>
      </c>
      <c r="B187" s="33" t="s">
        <v>52</v>
      </c>
      <c r="C187" s="39">
        <v>513140687</v>
      </c>
      <c r="D187" s="40">
        <v>6048652588</v>
      </c>
      <c r="E187" s="33" t="s">
        <v>22</v>
      </c>
      <c r="F187" s="41">
        <v>39971</v>
      </c>
      <c r="G187" s="42">
        <f t="shared" ca="1" si="2"/>
        <v>4</v>
      </c>
      <c r="H187" s="43">
        <v>3</v>
      </c>
      <c r="I187" s="44">
        <v>80260</v>
      </c>
    </row>
    <row r="188" spans="1:9" x14ac:dyDescent="0.25">
      <c r="A188" s="33" t="s">
        <v>239</v>
      </c>
      <c r="B188" s="33" t="s">
        <v>68</v>
      </c>
      <c r="C188" s="39">
        <v>970466937</v>
      </c>
      <c r="D188" s="40">
        <v>6088399625</v>
      </c>
      <c r="E188" s="33" t="s">
        <v>22</v>
      </c>
      <c r="F188" s="41">
        <v>36794</v>
      </c>
      <c r="G188" s="42">
        <f t="shared" ca="1" si="2"/>
        <v>13</v>
      </c>
      <c r="H188" s="43">
        <v>4</v>
      </c>
      <c r="I188" s="44">
        <v>30780</v>
      </c>
    </row>
    <row r="189" spans="1:9" x14ac:dyDescent="0.25">
      <c r="A189" s="33" t="s">
        <v>240</v>
      </c>
      <c r="B189" s="33" t="s">
        <v>58</v>
      </c>
      <c r="C189" s="39">
        <v>843299208</v>
      </c>
      <c r="D189" s="40">
        <v>8196060038</v>
      </c>
      <c r="E189" s="33" t="s">
        <v>33</v>
      </c>
      <c r="F189" s="41">
        <v>34540</v>
      </c>
      <c r="G189" s="42">
        <f t="shared" ca="1" si="2"/>
        <v>19</v>
      </c>
      <c r="H189" s="43">
        <v>4</v>
      </c>
      <c r="I189" s="44">
        <v>49405</v>
      </c>
    </row>
    <row r="190" spans="1:9" x14ac:dyDescent="0.25">
      <c r="A190" s="33" t="s">
        <v>241</v>
      </c>
      <c r="B190" s="33" t="s">
        <v>52</v>
      </c>
      <c r="C190" s="39">
        <v>904790184</v>
      </c>
      <c r="D190" s="40">
        <v>6066965088</v>
      </c>
      <c r="E190" s="33" t="s">
        <v>22</v>
      </c>
      <c r="F190" s="41">
        <v>38292</v>
      </c>
      <c r="G190" s="42">
        <f t="shared" ca="1" si="2"/>
        <v>9</v>
      </c>
      <c r="H190" s="43">
        <v>3</v>
      </c>
      <c r="I190" s="44">
        <v>73560</v>
      </c>
    </row>
    <row r="191" spans="1:9" x14ac:dyDescent="0.25">
      <c r="A191" s="33" t="s">
        <v>242</v>
      </c>
      <c r="B191" s="33" t="s">
        <v>243</v>
      </c>
      <c r="C191" s="39">
        <v>793256568</v>
      </c>
      <c r="D191" s="40">
        <v>4015394899</v>
      </c>
      <c r="E191" s="33" t="s">
        <v>17</v>
      </c>
      <c r="F191" s="41">
        <v>34957</v>
      </c>
      <c r="G191" s="42">
        <f t="shared" ca="1" si="2"/>
        <v>18</v>
      </c>
      <c r="H191" s="43">
        <v>4</v>
      </c>
      <c r="I191" s="44">
        <v>44820</v>
      </c>
    </row>
    <row r="192" spans="1:9" x14ac:dyDescent="0.25">
      <c r="A192" s="33" t="s">
        <v>244</v>
      </c>
      <c r="B192" s="33" t="s">
        <v>21</v>
      </c>
      <c r="C192" s="39">
        <v>733413074</v>
      </c>
      <c r="D192" s="40">
        <v>9034629606</v>
      </c>
      <c r="E192" s="33" t="s">
        <v>22</v>
      </c>
      <c r="F192" s="41">
        <v>35491</v>
      </c>
      <c r="G192" s="42">
        <f t="shared" ca="1" si="2"/>
        <v>16</v>
      </c>
      <c r="H192" s="43">
        <v>5</v>
      </c>
      <c r="I192" s="44">
        <v>88240</v>
      </c>
    </row>
    <row r="193" spans="1:9" x14ac:dyDescent="0.25">
      <c r="A193" s="33" t="s">
        <v>245</v>
      </c>
      <c r="B193" s="33" t="s">
        <v>21</v>
      </c>
      <c r="C193" s="39">
        <v>828395582</v>
      </c>
      <c r="D193" s="40">
        <v>2185818082</v>
      </c>
      <c r="E193" s="33" t="s">
        <v>22</v>
      </c>
      <c r="F193" s="41">
        <v>38211</v>
      </c>
      <c r="G193" s="42">
        <f t="shared" ca="1" si="2"/>
        <v>9</v>
      </c>
      <c r="H193" s="43">
        <v>1</v>
      </c>
      <c r="I193" s="44">
        <v>65720</v>
      </c>
    </row>
    <row r="194" spans="1:9" x14ac:dyDescent="0.25">
      <c r="A194" s="33" t="s">
        <v>246</v>
      </c>
      <c r="B194" s="33" t="s">
        <v>61</v>
      </c>
      <c r="C194" s="39">
        <v>221347766</v>
      </c>
      <c r="D194" s="40">
        <v>8182969056</v>
      </c>
      <c r="E194" s="33" t="s">
        <v>22</v>
      </c>
      <c r="F194" s="41">
        <v>33268</v>
      </c>
      <c r="G194" s="42">
        <f t="shared" ref="G194:G257" ca="1" si="3">DATEDIF(F194,TODAY(),"Y")</f>
        <v>22</v>
      </c>
      <c r="H194" s="43">
        <v>2</v>
      </c>
      <c r="I194" s="44">
        <v>75370</v>
      </c>
    </row>
    <row r="195" spans="1:9" x14ac:dyDescent="0.25">
      <c r="A195" s="33" t="s">
        <v>247</v>
      </c>
      <c r="B195" s="33" t="s">
        <v>40</v>
      </c>
      <c r="C195" s="39">
        <v>749768847</v>
      </c>
      <c r="D195" s="40">
        <v>5054733288</v>
      </c>
      <c r="E195" s="33" t="s">
        <v>17</v>
      </c>
      <c r="F195" s="41">
        <v>36489</v>
      </c>
      <c r="G195" s="42">
        <f t="shared" ca="1" si="3"/>
        <v>14</v>
      </c>
      <c r="H195" s="43">
        <v>5</v>
      </c>
      <c r="I195" s="44">
        <v>28270</v>
      </c>
    </row>
    <row r="196" spans="1:9" x14ac:dyDescent="0.25">
      <c r="A196" s="33" t="s">
        <v>248</v>
      </c>
      <c r="B196" s="33" t="s">
        <v>32</v>
      </c>
      <c r="C196" s="39">
        <v>290385638</v>
      </c>
      <c r="D196" s="40">
        <v>6144273090</v>
      </c>
      <c r="E196" s="33" t="s">
        <v>22</v>
      </c>
      <c r="F196" s="41">
        <v>39828</v>
      </c>
      <c r="G196" s="42">
        <f t="shared" ca="1" si="3"/>
        <v>4</v>
      </c>
      <c r="H196" s="43">
        <v>4</v>
      </c>
      <c r="I196" s="44">
        <v>59150</v>
      </c>
    </row>
    <row r="197" spans="1:9" x14ac:dyDescent="0.25">
      <c r="A197" s="33" t="s">
        <v>249</v>
      </c>
      <c r="B197" s="33" t="s">
        <v>32</v>
      </c>
      <c r="C197" s="39">
        <v>125540405</v>
      </c>
      <c r="D197" s="40">
        <v>9171614846</v>
      </c>
      <c r="E197" s="33" t="s">
        <v>22</v>
      </c>
      <c r="F197" s="41">
        <v>34918</v>
      </c>
      <c r="G197" s="42">
        <f t="shared" ca="1" si="3"/>
        <v>18</v>
      </c>
      <c r="H197" s="43">
        <v>1</v>
      </c>
      <c r="I197" s="44">
        <v>63270</v>
      </c>
    </row>
    <row r="198" spans="1:9" x14ac:dyDescent="0.25">
      <c r="A198" s="33" t="s">
        <v>250</v>
      </c>
      <c r="B198" s="33" t="s">
        <v>40</v>
      </c>
      <c r="C198" s="39">
        <v>449987941</v>
      </c>
      <c r="D198" s="40">
        <v>8057230063</v>
      </c>
      <c r="E198" s="33" t="s">
        <v>22</v>
      </c>
      <c r="F198" s="41">
        <v>38831</v>
      </c>
      <c r="G198" s="42">
        <f t="shared" ca="1" si="3"/>
        <v>7</v>
      </c>
      <c r="H198" s="43">
        <v>2</v>
      </c>
      <c r="I198" s="44">
        <v>68860</v>
      </c>
    </row>
    <row r="199" spans="1:9" x14ac:dyDescent="0.25">
      <c r="A199" s="33" t="s">
        <v>251</v>
      </c>
      <c r="B199" s="33" t="s">
        <v>64</v>
      </c>
      <c r="C199" s="39">
        <v>106966222</v>
      </c>
      <c r="D199" s="40">
        <v>5191257896</v>
      </c>
      <c r="E199" s="33" t="s">
        <v>22</v>
      </c>
      <c r="F199" s="41">
        <v>37350</v>
      </c>
      <c r="G199" s="42">
        <f t="shared" ca="1" si="3"/>
        <v>11</v>
      </c>
      <c r="H199" s="43">
        <v>5</v>
      </c>
      <c r="I199" s="44">
        <v>66890</v>
      </c>
    </row>
    <row r="200" spans="1:9" x14ac:dyDescent="0.25">
      <c r="A200" s="33" t="s">
        <v>252</v>
      </c>
      <c r="B200" s="33" t="s">
        <v>52</v>
      </c>
      <c r="C200" s="39">
        <v>357081517</v>
      </c>
      <c r="D200" s="40">
        <v>2115796953</v>
      </c>
      <c r="E200" s="33" t="s">
        <v>17</v>
      </c>
      <c r="F200" s="41">
        <v>35604</v>
      </c>
      <c r="G200" s="42">
        <f t="shared" ca="1" si="3"/>
        <v>16</v>
      </c>
      <c r="H200" s="43">
        <v>5</v>
      </c>
      <c r="I200" s="44">
        <v>53310</v>
      </c>
    </row>
    <row r="201" spans="1:9" x14ac:dyDescent="0.25">
      <c r="A201" s="33" t="s">
        <v>253</v>
      </c>
      <c r="B201" s="33" t="s">
        <v>21</v>
      </c>
      <c r="C201" s="39">
        <v>711445298</v>
      </c>
      <c r="D201" s="40">
        <v>5084361873</v>
      </c>
      <c r="E201" s="33" t="s">
        <v>17</v>
      </c>
      <c r="F201" s="41">
        <v>37210</v>
      </c>
      <c r="G201" s="42">
        <f t="shared" ca="1" si="3"/>
        <v>12</v>
      </c>
      <c r="H201" s="43">
        <v>1</v>
      </c>
      <c r="I201" s="44">
        <v>75420</v>
      </c>
    </row>
    <row r="202" spans="1:9" x14ac:dyDescent="0.25">
      <c r="A202" s="33" t="s">
        <v>254</v>
      </c>
      <c r="B202" s="33" t="s">
        <v>52</v>
      </c>
      <c r="C202" s="39">
        <v>967826310</v>
      </c>
      <c r="D202" s="40">
        <v>7118314799</v>
      </c>
      <c r="E202" s="33" t="s">
        <v>81</v>
      </c>
      <c r="F202" s="41">
        <v>34424</v>
      </c>
      <c r="G202" s="42">
        <f t="shared" ca="1" si="3"/>
        <v>19</v>
      </c>
      <c r="H202" s="43">
        <v>4</v>
      </c>
      <c r="I202" s="44">
        <v>23692</v>
      </c>
    </row>
    <row r="203" spans="1:9" x14ac:dyDescent="0.25">
      <c r="A203" s="33" t="s">
        <v>255</v>
      </c>
      <c r="B203" s="33" t="s">
        <v>16</v>
      </c>
      <c r="C203" s="39">
        <v>624234626</v>
      </c>
      <c r="D203" s="40">
        <v>8022490678</v>
      </c>
      <c r="E203" s="33" t="s">
        <v>22</v>
      </c>
      <c r="F203" s="41">
        <v>35246</v>
      </c>
      <c r="G203" s="42">
        <f t="shared" ca="1" si="3"/>
        <v>17</v>
      </c>
      <c r="H203" s="43">
        <v>3</v>
      </c>
      <c r="I203" s="44">
        <v>86830</v>
      </c>
    </row>
    <row r="204" spans="1:9" x14ac:dyDescent="0.25">
      <c r="A204" s="33" t="s">
        <v>256</v>
      </c>
      <c r="B204" s="33" t="s">
        <v>32</v>
      </c>
      <c r="C204" s="39">
        <v>150132247</v>
      </c>
      <c r="D204" s="40">
        <v>9111957923</v>
      </c>
      <c r="E204" s="33" t="s">
        <v>22</v>
      </c>
      <c r="F204" s="41">
        <v>38752</v>
      </c>
      <c r="G204" s="42">
        <f t="shared" ca="1" si="3"/>
        <v>7</v>
      </c>
      <c r="H204" s="43">
        <v>5</v>
      </c>
      <c r="I204" s="44">
        <v>42020</v>
      </c>
    </row>
    <row r="205" spans="1:9" x14ac:dyDescent="0.25">
      <c r="A205" s="33" t="s">
        <v>257</v>
      </c>
      <c r="B205" s="33" t="s">
        <v>64</v>
      </c>
      <c r="C205" s="39">
        <v>403504590</v>
      </c>
      <c r="D205" s="40">
        <v>2086500529</v>
      </c>
      <c r="E205" s="33" t="s">
        <v>22</v>
      </c>
      <c r="F205" s="41">
        <v>36631</v>
      </c>
      <c r="G205" s="42">
        <f t="shared" ca="1" si="3"/>
        <v>13</v>
      </c>
      <c r="H205" s="43">
        <v>5</v>
      </c>
      <c r="I205" s="44">
        <v>71950</v>
      </c>
    </row>
    <row r="206" spans="1:9" x14ac:dyDescent="0.25">
      <c r="A206" s="33" t="s">
        <v>258</v>
      </c>
      <c r="B206" s="33" t="s">
        <v>68</v>
      </c>
      <c r="C206" s="39">
        <v>822974734</v>
      </c>
      <c r="D206" s="40">
        <v>3065750692</v>
      </c>
      <c r="E206" s="33" t="s">
        <v>22</v>
      </c>
      <c r="F206" s="41">
        <v>35650</v>
      </c>
      <c r="G206" s="42">
        <f t="shared" ca="1" si="3"/>
        <v>16</v>
      </c>
      <c r="H206" s="43">
        <v>1</v>
      </c>
      <c r="I206" s="44">
        <v>75150</v>
      </c>
    </row>
    <row r="207" spans="1:9" x14ac:dyDescent="0.25">
      <c r="A207" s="33" t="s">
        <v>259</v>
      </c>
      <c r="B207" s="33" t="s">
        <v>21</v>
      </c>
      <c r="C207" s="39">
        <v>483483618</v>
      </c>
      <c r="D207" s="40">
        <v>2198046670</v>
      </c>
      <c r="E207" s="33" t="s">
        <v>22</v>
      </c>
      <c r="F207" s="41">
        <v>37326</v>
      </c>
      <c r="G207" s="42">
        <f t="shared" ca="1" si="3"/>
        <v>11</v>
      </c>
      <c r="H207" s="43">
        <v>5</v>
      </c>
      <c r="I207" s="44">
        <v>30920</v>
      </c>
    </row>
    <row r="208" spans="1:9" x14ac:dyDescent="0.25">
      <c r="A208" s="33" t="s">
        <v>260</v>
      </c>
      <c r="B208" s="33" t="s">
        <v>16</v>
      </c>
      <c r="C208" s="39">
        <v>487810878</v>
      </c>
      <c r="D208" s="40">
        <v>4058183445</v>
      </c>
      <c r="E208" s="33" t="s">
        <v>22</v>
      </c>
      <c r="F208" s="41">
        <v>34265</v>
      </c>
      <c r="G208" s="42">
        <f t="shared" ca="1" si="3"/>
        <v>20</v>
      </c>
      <c r="H208" s="43">
        <v>2</v>
      </c>
      <c r="I208" s="44">
        <v>66920</v>
      </c>
    </row>
    <row r="209" spans="1:9" x14ac:dyDescent="0.25">
      <c r="A209" s="33" t="s">
        <v>261</v>
      </c>
      <c r="B209" s="33" t="s">
        <v>21</v>
      </c>
      <c r="C209" s="39">
        <v>771277493</v>
      </c>
      <c r="D209" s="40">
        <v>2185119214</v>
      </c>
      <c r="E209" s="33" t="s">
        <v>22</v>
      </c>
      <c r="F209" s="41">
        <v>36458</v>
      </c>
      <c r="G209" s="42">
        <f t="shared" ca="1" si="3"/>
        <v>14</v>
      </c>
      <c r="H209" s="43">
        <v>5</v>
      </c>
      <c r="I209" s="44">
        <v>66010</v>
      </c>
    </row>
    <row r="210" spans="1:9" x14ac:dyDescent="0.25">
      <c r="A210" s="33" t="s">
        <v>262</v>
      </c>
      <c r="B210" s="33" t="s">
        <v>61</v>
      </c>
      <c r="C210" s="39">
        <v>829216164</v>
      </c>
      <c r="D210" s="40">
        <v>9015876028</v>
      </c>
      <c r="E210" s="33" t="s">
        <v>22</v>
      </c>
      <c r="F210" s="41">
        <v>34127</v>
      </c>
      <c r="G210" s="42">
        <f t="shared" ca="1" si="3"/>
        <v>20</v>
      </c>
      <c r="H210" s="43">
        <v>3</v>
      </c>
      <c r="I210" s="44">
        <v>88850</v>
      </c>
    </row>
    <row r="211" spans="1:9" x14ac:dyDescent="0.25">
      <c r="A211" s="33" t="s">
        <v>263</v>
      </c>
      <c r="B211" s="33" t="s">
        <v>21</v>
      </c>
      <c r="C211" s="39">
        <v>620336005</v>
      </c>
      <c r="D211" s="40">
        <v>8032416398</v>
      </c>
      <c r="E211" s="33" t="s">
        <v>22</v>
      </c>
      <c r="F211" s="41">
        <v>39660</v>
      </c>
      <c r="G211" s="42">
        <f t="shared" ca="1" si="3"/>
        <v>5</v>
      </c>
      <c r="H211" s="43">
        <v>5</v>
      </c>
      <c r="I211" s="44">
        <v>35300</v>
      </c>
    </row>
    <row r="212" spans="1:9" x14ac:dyDescent="0.25">
      <c r="A212" s="33" t="s">
        <v>264</v>
      </c>
      <c r="B212" s="33" t="s">
        <v>32</v>
      </c>
      <c r="C212" s="39">
        <v>243062914</v>
      </c>
      <c r="D212" s="40">
        <v>6033265407</v>
      </c>
      <c r="E212" s="33" t="s">
        <v>22</v>
      </c>
      <c r="F212" s="41">
        <v>35348</v>
      </c>
      <c r="G212" s="42">
        <f t="shared" ca="1" si="3"/>
        <v>17</v>
      </c>
      <c r="H212" s="43">
        <v>4</v>
      </c>
      <c r="I212" s="44">
        <v>61420</v>
      </c>
    </row>
    <row r="213" spans="1:9" x14ac:dyDescent="0.25">
      <c r="A213" s="33" t="s">
        <v>265</v>
      </c>
      <c r="B213" s="33" t="s">
        <v>32</v>
      </c>
      <c r="C213" s="39">
        <v>635767088</v>
      </c>
      <c r="D213" s="40">
        <v>8022712826</v>
      </c>
      <c r="E213" s="33" t="s">
        <v>22</v>
      </c>
      <c r="F213" s="41">
        <v>33612</v>
      </c>
      <c r="G213" s="42">
        <f t="shared" ca="1" si="3"/>
        <v>21</v>
      </c>
      <c r="H213" s="43">
        <v>2</v>
      </c>
      <c r="I213" s="44">
        <v>62688</v>
      </c>
    </row>
    <row r="214" spans="1:9" x14ac:dyDescent="0.25">
      <c r="A214" s="33" t="s">
        <v>266</v>
      </c>
      <c r="B214" s="33" t="s">
        <v>243</v>
      </c>
      <c r="C214" s="39">
        <v>294130565</v>
      </c>
      <c r="D214" s="40">
        <v>4034588703</v>
      </c>
      <c r="E214" s="33" t="s">
        <v>22</v>
      </c>
      <c r="F214" s="41">
        <v>34204</v>
      </c>
      <c r="G214" s="42">
        <f t="shared" ca="1" si="3"/>
        <v>20</v>
      </c>
      <c r="H214" s="43">
        <v>1</v>
      </c>
      <c r="I214" s="44">
        <v>63190</v>
      </c>
    </row>
    <row r="215" spans="1:9" x14ac:dyDescent="0.25">
      <c r="A215" s="33" t="s">
        <v>267</v>
      </c>
      <c r="B215" s="33" t="s">
        <v>80</v>
      </c>
      <c r="C215" s="39">
        <v>953109212</v>
      </c>
      <c r="D215" s="40">
        <v>2178038161</v>
      </c>
      <c r="E215" s="33" t="s">
        <v>17</v>
      </c>
      <c r="F215" s="41">
        <v>39653</v>
      </c>
      <c r="G215" s="42">
        <f t="shared" ca="1" si="3"/>
        <v>5</v>
      </c>
      <c r="H215" s="43">
        <v>4</v>
      </c>
      <c r="I215" s="44">
        <v>71190</v>
      </c>
    </row>
    <row r="216" spans="1:9" x14ac:dyDescent="0.25">
      <c r="A216" s="33" t="s">
        <v>268</v>
      </c>
      <c r="B216" s="33" t="s">
        <v>52</v>
      </c>
      <c r="C216" s="39">
        <v>308317457</v>
      </c>
      <c r="D216" s="40">
        <v>4054747044</v>
      </c>
      <c r="E216" s="33" t="s">
        <v>22</v>
      </c>
      <c r="F216" s="41">
        <v>39205</v>
      </c>
      <c r="G216" s="42">
        <f t="shared" ca="1" si="3"/>
        <v>6</v>
      </c>
      <c r="H216" s="43">
        <v>2</v>
      </c>
      <c r="I216" s="44">
        <v>72060</v>
      </c>
    </row>
    <row r="217" spans="1:9" x14ac:dyDescent="0.25">
      <c r="A217" s="33" t="s">
        <v>269</v>
      </c>
      <c r="B217" s="33" t="s">
        <v>40</v>
      </c>
      <c r="C217" s="39">
        <v>264960848</v>
      </c>
      <c r="D217" s="40">
        <v>2023883919</v>
      </c>
      <c r="E217" s="33" t="s">
        <v>17</v>
      </c>
      <c r="F217" s="41">
        <v>32583</v>
      </c>
      <c r="G217" s="42">
        <f t="shared" ca="1" si="3"/>
        <v>24</v>
      </c>
      <c r="H217" s="43">
        <v>5</v>
      </c>
      <c r="I217" s="44">
        <v>63610</v>
      </c>
    </row>
    <row r="218" spans="1:9" x14ac:dyDescent="0.25">
      <c r="A218" s="33" t="s">
        <v>270</v>
      </c>
      <c r="B218" s="33" t="s">
        <v>21</v>
      </c>
      <c r="C218" s="39">
        <v>595022550</v>
      </c>
      <c r="D218" s="40">
        <v>8162053579</v>
      </c>
      <c r="E218" s="33" t="s">
        <v>17</v>
      </c>
      <c r="F218" s="41">
        <v>33655</v>
      </c>
      <c r="G218" s="42">
        <f t="shared" ca="1" si="3"/>
        <v>21</v>
      </c>
      <c r="H218" s="43">
        <v>3</v>
      </c>
      <c r="I218" s="44">
        <v>35460</v>
      </c>
    </row>
    <row r="219" spans="1:9" x14ac:dyDescent="0.25">
      <c r="A219" s="33" t="s">
        <v>271</v>
      </c>
      <c r="B219" s="33" t="s">
        <v>52</v>
      </c>
      <c r="C219" s="39">
        <v>775217609</v>
      </c>
      <c r="D219" s="40">
        <v>7085197037</v>
      </c>
      <c r="E219" s="33" t="s">
        <v>22</v>
      </c>
      <c r="F219" s="41">
        <v>39468</v>
      </c>
      <c r="G219" s="42">
        <f t="shared" ca="1" si="3"/>
        <v>5</v>
      </c>
      <c r="H219" s="43">
        <v>5</v>
      </c>
      <c r="I219" s="44">
        <v>23190</v>
      </c>
    </row>
    <row r="220" spans="1:9" x14ac:dyDescent="0.25">
      <c r="A220" s="33" t="s">
        <v>272</v>
      </c>
      <c r="B220" s="33" t="s">
        <v>21</v>
      </c>
      <c r="C220" s="39">
        <v>948252103</v>
      </c>
      <c r="D220" s="40">
        <v>5137950668</v>
      </c>
      <c r="E220" s="33" t="s">
        <v>22</v>
      </c>
      <c r="F220" s="41">
        <v>36899</v>
      </c>
      <c r="G220" s="42">
        <f t="shared" ca="1" si="3"/>
        <v>12</v>
      </c>
      <c r="H220" s="43">
        <v>3</v>
      </c>
      <c r="I220" s="44">
        <v>69080</v>
      </c>
    </row>
    <row r="221" spans="1:9" x14ac:dyDescent="0.25">
      <c r="A221" s="33" t="s">
        <v>273</v>
      </c>
      <c r="B221" s="33" t="s">
        <v>61</v>
      </c>
      <c r="C221" s="39">
        <v>129397083</v>
      </c>
      <c r="D221" s="40">
        <v>6131628807</v>
      </c>
      <c r="E221" s="33" t="s">
        <v>22</v>
      </c>
      <c r="F221" s="41">
        <v>34802</v>
      </c>
      <c r="G221" s="42">
        <f t="shared" ca="1" si="3"/>
        <v>18</v>
      </c>
      <c r="H221" s="43">
        <v>4</v>
      </c>
      <c r="I221" s="44">
        <v>77950</v>
      </c>
    </row>
    <row r="222" spans="1:9" x14ac:dyDescent="0.25">
      <c r="A222" s="33" t="s">
        <v>274</v>
      </c>
      <c r="B222" s="33" t="s">
        <v>40</v>
      </c>
      <c r="C222" s="39">
        <v>736688620</v>
      </c>
      <c r="D222" s="40">
        <v>4114630903</v>
      </c>
      <c r="E222" s="33" t="s">
        <v>33</v>
      </c>
      <c r="F222" s="41">
        <v>34908</v>
      </c>
      <c r="G222" s="42">
        <f t="shared" ca="1" si="3"/>
        <v>18</v>
      </c>
      <c r="H222" s="43">
        <v>5</v>
      </c>
      <c r="I222" s="44">
        <v>13690</v>
      </c>
    </row>
    <row r="223" spans="1:9" x14ac:dyDescent="0.25">
      <c r="A223" s="33" t="s">
        <v>275</v>
      </c>
      <c r="B223" s="33" t="s">
        <v>32</v>
      </c>
      <c r="C223" s="39">
        <v>983047016</v>
      </c>
      <c r="D223" s="40">
        <v>4098545681</v>
      </c>
      <c r="E223" s="33" t="s">
        <v>22</v>
      </c>
      <c r="F223" s="41">
        <v>39867</v>
      </c>
      <c r="G223" s="42">
        <f t="shared" ca="1" si="3"/>
        <v>4</v>
      </c>
      <c r="H223" s="43">
        <v>1</v>
      </c>
      <c r="I223" s="44">
        <v>63206</v>
      </c>
    </row>
    <row r="224" spans="1:9" x14ac:dyDescent="0.25">
      <c r="A224" s="33" t="s">
        <v>276</v>
      </c>
      <c r="B224" s="33" t="s">
        <v>21</v>
      </c>
      <c r="C224" s="39">
        <v>451159170</v>
      </c>
      <c r="D224" s="40">
        <v>5197237007</v>
      </c>
      <c r="E224" s="33" t="s">
        <v>22</v>
      </c>
      <c r="F224" s="41">
        <v>38054</v>
      </c>
      <c r="G224" s="42">
        <f t="shared" ca="1" si="3"/>
        <v>9</v>
      </c>
      <c r="H224" s="43">
        <v>5</v>
      </c>
      <c r="I224" s="44">
        <v>61060</v>
      </c>
    </row>
    <row r="225" spans="1:9" x14ac:dyDescent="0.25">
      <c r="A225" s="33" t="s">
        <v>277</v>
      </c>
      <c r="B225" s="33" t="s">
        <v>16</v>
      </c>
      <c r="C225" s="39">
        <v>548704405</v>
      </c>
      <c r="D225" s="40">
        <v>7051351512</v>
      </c>
      <c r="E225" s="33" t="s">
        <v>22</v>
      </c>
      <c r="F225" s="41">
        <v>35687</v>
      </c>
      <c r="G225" s="42">
        <f t="shared" ca="1" si="3"/>
        <v>16</v>
      </c>
      <c r="H225" s="43">
        <v>2</v>
      </c>
      <c r="I225" s="44">
        <v>46030</v>
      </c>
    </row>
    <row r="226" spans="1:9" x14ac:dyDescent="0.25">
      <c r="A226" s="33" t="s">
        <v>278</v>
      </c>
      <c r="B226" s="33" t="s">
        <v>74</v>
      </c>
      <c r="C226" s="39">
        <v>318723704</v>
      </c>
      <c r="D226" s="40">
        <v>2064999647</v>
      </c>
      <c r="E226" s="33" t="s">
        <v>33</v>
      </c>
      <c r="F226" s="41">
        <v>33099</v>
      </c>
      <c r="G226" s="42">
        <f t="shared" ca="1" si="3"/>
        <v>23</v>
      </c>
      <c r="H226" s="43">
        <v>4</v>
      </c>
      <c r="I226" s="44">
        <v>34110</v>
      </c>
    </row>
    <row r="227" spans="1:9" x14ac:dyDescent="0.25">
      <c r="A227" s="33" t="s">
        <v>279</v>
      </c>
      <c r="B227" s="33" t="s">
        <v>68</v>
      </c>
      <c r="C227" s="39">
        <v>684054281</v>
      </c>
      <c r="D227" s="40">
        <v>9173820411</v>
      </c>
      <c r="E227" s="33" t="s">
        <v>81</v>
      </c>
      <c r="F227" s="41">
        <v>39516</v>
      </c>
      <c r="G227" s="42">
        <f t="shared" ca="1" si="3"/>
        <v>5</v>
      </c>
      <c r="H227" s="43">
        <v>4</v>
      </c>
      <c r="I227" s="44">
        <v>10636</v>
      </c>
    </row>
    <row r="228" spans="1:9" x14ac:dyDescent="0.25">
      <c r="A228" s="33" t="s">
        <v>280</v>
      </c>
      <c r="B228" s="33" t="s">
        <v>152</v>
      </c>
      <c r="C228" s="39">
        <v>638495756</v>
      </c>
      <c r="D228" s="40">
        <v>2162729524</v>
      </c>
      <c r="E228" s="33" t="s">
        <v>17</v>
      </c>
      <c r="F228" s="41">
        <v>38919</v>
      </c>
      <c r="G228" s="42">
        <f t="shared" ca="1" si="3"/>
        <v>7</v>
      </c>
      <c r="H228" s="43">
        <v>4</v>
      </c>
      <c r="I228" s="44">
        <v>35620</v>
      </c>
    </row>
    <row r="229" spans="1:9" x14ac:dyDescent="0.25">
      <c r="A229" s="33" t="s">
        <v>281</v>
      </c>
      <c r="B229" s="33" t="s">
        <v>74</v>
      </c>
      <c r="C229" s="39">
        <v>975603308</v>
      </c>
      <c r="D229" s="40">
        <v>3098413896</v>
      </c>
      <c r="E229" s="33" t="s">
        <v>22</v>
      </c>
      <c r="F229" s="41">
        <v>36033</v>
      </c>
      <c r="G229" s="42">
        <f t="shared" ca="1" si="3"/>
        <v>15</v>
      </c>
      <c r="H229" s="43">
        <v>2</v>
      </c>
      <c r="I229" s="44">
        <v>71380</v>
      </c>
    </row>
    <row r="230" spans="1:9" x14ac:dyDescent="0.25">
      <c r="A230" s="33" t="s">
        <v>282</v>
      </c>
      <c r="B230" s="33" t="s">
        <v>52</v>
      </c>
      <c r="C230" s="39">
        <v>302854692</v>
      </c>
      <c r="D230" s="40">
        <v>8144694617</v>
      </c>
      <c r="E230" s="33" t="s">
        <v>22</v>
      </c>
      <c r="F230" s="41">
        <v>34887</v>
      </c>
      <c r="G230" s="42">
        <f t="shared" ca="1" si="3"/>
        <v>18</v>
      </c>
      <c r="H230" s="43">
        <v>4</v>
      </c>
      <c r="I230" s="44">
        <v>78710</v>
      </c>
    </row>
    <row r="231" spans="1:9" x14ac:dyDescent="0.25">
      <c r="A231" s="33" t="s">
        <v>283</v>
      </c>
      <c r="B231" s="33" t="s">
        <v>104</v>
      </c>
      <c r="C231" s="39">
        <v>920505896</v>
      </c>
      <c r="D231" s="40">
        <v>9077226463</v>
      </c>
      <c r="E231" s="33" t="s">
        <v>22</v>
      </c>
      <c r="F231" s="41">
        <v>35639</v>
      </c>
      <c r="G231" s="42">
        <f t="shared" ca="1" si="3"/>
        <v>16</v>
      </c>
      <c r="H231" s="43">
        <v>2</v>
      </c>
      <c r="I231" s="44">
        <v>49860</v>
      </c>
    </row>
    <row r="232" spans="1:9" x14ac:dyDescent="0.25">
      <c r="A232" s="33" t="s">
        <v>284</v>
      </c>
      <c r="B232" s="33" t="s">
        <v>21</v>
      </c>
      <c r="C232" s="39">
        <v>484217278</v>
      </c>
      <c r="D232" s="40">
        <v>3188138394</v>
      </c>
      <c r="E232" s="33" t="s">
        <v>22</v>
      </c>
      <c r="F232" s="41">
        <v>34175</v>
      </c>
      <c r="G232" s="42">
        <f t="shared" ca="1" si="3"/>
        <v>20</v>
      </c>
      <c r="H232" s="43">
        <v>3</v>
      </c>
      <c r="I232" s="44">
        <v>24300</v>
      </c>
    </row>
    <row r="233" spans="1:9" x14ac:dyDescent="0.25">
      <c r="A233" s="33" t="s">
        <v>285</v>
      </c>
      <c r="B233" s="33" t="s">
        <v>21</v>
      </c>
      <c r="C233" s="39">
        <v>247406371</v>
      </c>
      <c r="D233" s="40">
        <v>6133355100</v>
      </c>
      <c r="E233" s="33" t="s">
        <v>22</v>
      </c>
      <c r="F233" s="41">
        <v>33931</v>
      </c>
      <c r="G233" s="42">
        <f t="shared" ca="1" si="3"/>
        <v>21</v>
      </c>
      <c r="H233" s="43">
        <v>3</v>
      </c>
      <c r="I233" s="44">
        <v>34480</v>
      </c>
    </row>
    <row r="234" spans="1:9" x14ac:dyDescent="0.25">
      <c r="A234" s="33" t="s">
        <v>286</v>
      </c>
      <c r="B234" s="33" t="s">
        <v>80</v>
      </c>
      <c r="C234" s="39">
        <v>839899522</v>
      </c>
      <c r="D234" s="40">
        <v>3175978858</v>
      </c>
      <c r="E234" s="33" t="s">
        <v>81</v>
      </c>
      <c r="F234" s="41">
        <v>37336</v>
      </c>
      <c r="G234" s="42">
        <f t="shared" ca="1" si="3"/>
        <v>11</v>
      </c>
      <c r="H234" s="43">
        <v>5</v>
      </c>
      <c r="I234" s="44">
        <v>85130</v>
      </c>
    </row>
    <row r="235" spans="1:9" x14ac:dyDescent="0.25">
      <c r="A235" s="33" t="s">
        <v>287</v>
      </c>
      <c r="B235" s="33" t="s">
        <v>64</v>
      </c>
      <c r="C235" s="39">
        <v>710460589</v>
      </c>
      <c r="D235" s="40">
        <v>2024331646</v>
      </c>
      <c r="E235" s="33" t="s">
        <v>22</v>
      </c>
      <c r="F235" s="41">
        <v>36738</v>
      </c>
      <c r="G235" s="42">
        <f t="shared" ca="1" si="3"/>
        <v>13</v>
      </c>
      <c r="H235" s="43">
        <v>3</v>
      </c>
      <c r="I235" s="44">
        <v>85880</v>
      </c>
    </row>
    <row r="236" spans="1:9" x14ac:dyDescent="0.25">
      <c r="A236" s="33" t="s">
        <v>288</v>
      </c>
      <c r="B236" s="33" t="s">
        <v>21</v>
      </c>
      <c r="C236" s="39">
        <v>676030562</v>
      </c>
      <c r="D236" s="40">
        <v>4043613417</v>
      </c>
      <c r="E236" s="33" t="s">
        <v>17</v>
      </c>
      <c r="F236" s="41">
        <v>33539</v>
      </c>
      <c r="G236" s="42">
        <f t="shared" ca="1" si="3"/>
        <v>22</v>
      </c>
      <c r="H236" s="43">
        <v>5</v>
      </c>
      <c r="I236" s="44">
        <v>45770</v>
      </c>
    </row>
    <row r="237" spans="1:9" x14ac:dyDescent="0.25">
      <c r="A237" s="33" t="s">
        <v>289</v>
      </c>
      <c r="B237" s="33" t="s">
        <v>21</v>
      </c>
      <c r="C237" s="39">
        <v>405297884</v>
      </c>
      <c r="D237" s="40">
        <v>8096505454</v>
      </c>
      <c r="E237" s="33" t="s">
        <v>22</v>
      </c>
      <c r="F237" s="41">
        <v>34589</v>
      </c>
      <c r="G237" s="42">
        <f t="shared" ca="1" si="3"/>
        <v>19</v>
      </c>
      <c r="H237" s="43">
        <v>3</v>
      </c>
      <c r="I237" s="44">
        <v>73450</v>
      </c>
    </row>
    <row r="238" spans="1:9" x14ac:dyDescent="0.25">
      <c r="A238" s="33" t="s">
        <v>290</v>
      </c>
      <c r="B238" s="33" t="s">
        <v>21</v>
      </c>
      <c r="C238" s="39">
        <v>364404060</v>
      </c>
      <c r="D238" s="40">
        <v>6195866679</v>
      </c>
      <c r="E238" s="33" t="s">
        <v>22</v>
      </c>
      <c r="F238" s="41">
        <v>35663</v>
      </c>
      <c r="G238" s="42">
        <f t="shared" ca="1" si="3"/>
        <v>16</v>
      </c>
      <c r="H238" s="43">
        <v>4</v>
      </c>
      <c r="I238" s="44">
        <v>61330</v>
      </c>
    </row>
    <row r="239" spans="1:9" x14ac:dyDescent="0.25">
      <c r="A239" s="33" t="s">
        <v>291</v>
      </c>
      <c r="B239" s="33" t="s">
        <v>64</v>
      </c>
      <c r="C239" s="39">
        <v>100679868</v>
      </c>
      <c r="D239" s="40">
        <v>4081198851</v>
      </c>
      <c r="E239" s="33" t="s">
        <v>17</v>
      </c>
      <c r="F239" s="41">
        <v>34959</v>
      </c>
      <c r="G239" s="42">
        <f t="shared" ca="1" si="3"/>
        <v>18</v>
      </c>
      <c r="H239" s="43">
        <v>2</v>
      </c>
      <c r="I239" s="44">
        <v>84200</v>
      </c>
    </row>
    <row r="240" spans="1:9" x14ac:dyDescent="0.25">
      <c r="A240" s="33" t="s">
        <v>292</v>
      </c>
      <c r="B240" s="33" t="s">
        <v>40</v>
      </c>
      <c r="C240" s="39">
        <v>412159105</v>
      </c>
      <c r="D240" s="40">
        <v>9136563683</v>
      </c>
      <c r="E240" s="33" t="s">
        <v>17</v>
      </c>
      <c r="F240" s="41">
        <v>35583</v>
      </c>
      <c r="G240" s="42">
        <f t="shared" ca="1" si="3"/>
        <v>16</v>
      </c>
      <c r="H240" s="43">
        <v>2</v>
      </c>
      <c r="I240" s="44">
        <v>58250</v>
      </c>
    </row>
    <row r="241" spans="1:9" x14ac:dyDescent="0.25">
      <c r="A241" s="33" t="s">
        <v>293</v>
      </c>
      <c r="B241" s="33" t="s">
        <v>158</v>
      </c>
      <c r="C241" s="39">
        <v>213584397</v>
      </c>
      <c r="D241" s="40">
        <v>5182872439</v>
      </c>
      <c r="E241" s="33" t="s">
        <v>22</v>
      </c>
      <c r="F241" s="41">
        <v>32837</v>
      </c>
      <c r="G241" s="42">
        <f t="shared" ca="1" si="3"/>
        <v>24</v>
      </c>
      <c r="H241" s="43">
        <v>5</v>
      </c>
      <c r="I241" s="44">
        <v>37620</v>
      </c>
    </row>
    <row r="242" spans="1:9" x14ac:dyDescent="0.25">
      <c r="A242" s="33" t="s">
        <v>294</v>
      </c>
      <c r="B242" s="33" t="s">
        <v>40</v>
      </c>
      <c r="C242" s="39">
        <v>420739404</v>
      </c>
      <c r="D242" s="40">
        <v>7056698101</v>
      </c>
      <c r="E242" s="33" t="s">
        <v>22</v>
      </c>
      <c r="F242" s="41">
        <v>35017</v>
      </c>
      <c r="G242" s="42">
        <f t="shared" ca="1" si="3"/>
        <v>18</v>
      </c>
      <c r="H242" s="43">
        <v>2</v>
      </c>
      <c r="I242" s="44">
        <v>41380</v>
      </c>
    </row>
    <row r="243" spans="1:9" x14ac:dyDescent="0.25">
      <c r="A243" s="33" t="s">
        <v>295</v>
      </c>
      <c r="B243" s="33" t="s">
        <v>52</v>
      </c>
      <c r="C243" s="39">
        <v>427260216</v>
      </c>
      <c r="D243" s="40">
        <v>7126853122</v>
      </c>
      <c r="E243" s="33" t="s">
        <v>81</v>
      </c>
      <c r="F243" s="41">
        <v>33570</v>
      </c>
      <c r="G243" s="42">
        <f t="shared" ca="1" si="3"/>
        <v>22</v>
      </c>
      <c r="H243" s="43">
        <v>5</v>
      </c>
      <c r="I243" s="44">
        <v>26484</v>
      </c>
    </row>
    <row r="244" spans="1:9" x14ac:dyDescent="0.25">
      <c r="A244" s="33" t="s">
        <v>296</v>
      </c>
      <c r="B244" s="33" t="s">
        <v>68</v>
      </c>
      <c r="C244" s="39">
        <v>429283827</v>
      </c>
      <c r="D244" s="40">
        <v>9086966637</v>
      </c>
      <c r="E244" s="33" t="s">
        <v>33</v>
      </c>
      <c r="F244" s="41">
        <v>32864</v>
      </c>
      <c r="G244" s="42">
        <f t="shared" ca="1" si="3"/>
        <v>23</v>
      </c>
      <c r="H244" s="43">
        <v>1</v>
      </c>
      <c r="I244" s="44">
        <v>30445</v>
      </c>
    </row>
    <row r="245" spans="1:9" x14ac:dyDescent="0.25">
      <c r="A245" s="33" t="s">
        <v>297</v>
      </c>
      <c r="B245" s="33" t="s">
        <v>52</v>
      </c>
      <c r="C245" s="39">
        <v>592631929</v>
      </c>
      <c r="D245" s="40">
        <v>8191963194</v>
      </c>
      <c r="E245" s="33" t="s">
        <v>22</v>
      </c>
      <c r="F245" s="41">
        <v>34798</v>
      </c>
      <c r="G245" s="42">
        <f t="shared" ca="1" si="3"/>
        <v>18</v>
      </c>
      <c r="H245" s="43">
        <v>3</v>
      </c>
      <c r="I245" s="44">
        <v>34330</v>
      </c>
    </row>
    <row r="246" spans="1:9" x14ac:dyDescent="0.25">
      <c r="A246" s="33" t="s">
        <v>298</v>
      </c>
      <c r="B246" s="33" t="s">
        <v>71</v>
      </c>
      <c r="C246" s="39">
        <v>506577536</v>
      </c>
      <c r="D246" s="40">
        <v>8058566597</v>
      </c>
      <c r="E246" s="33" t="s">
        <v>33</v>
      </c>
      <c r="F246" s="41">
        <v>32502</v>
      </c>
      <c r="G246" s="42">
        <f t="shared" ca="1" si="3"/>
        <v>24</v>
      </c>
      <c r="H246" s="43">
        <v>1</v>
      </c>
      <c r="I246" s="44">
        <v>24815</v>
      </c>
    </row>
    <row r="247" spans="1:9" x14ac:dyDescent="0.25">
      <c r="A247" s="33" t="s">
        <v>299</v>
      </c>
      <c r="B247" s="33" t="s">
        <v>58</v>
      </c>
      <c r="C247" s="39">
        <v>879114558</v>
      </c>
      <c r="D247" s="40">
        <v>4196650531</v>
      </c>
      <c r="E247" s="33" t="s">
        <v>17</v>
      </c>
      <c r="F247" s="41">
        <v>39762</v>
      </c>
      <c r="G247" s="42">
        <f t="shared" ca="1" si="3"/>
        <v>5</v>
      </c>
      <c r="H247" s="43">
        <v>4</v>
      </c>
      <c r="I247" s="44">
        <v>75100</v>
      </c>
    </row>
    <row r="248" spans="1:9" x14ac:dyDescent="0.25">
      <c r="A248" s="33" t="s">
        <v>300</v>
      </c>
      <c r="B248" s="33" t="s">
        <v>21</v>
      </c>
      <c r="C248" s="39">
        <v>247276092</v>
      </c>
      <c r="D248" s="40">
        <v>2193327522</v>
      </c>
      <c r="E248" s="33" t="s">
        <v>17</v>
      </c>
      <c r="F248" s="41">
        <v>33421</v>
      </c>
      <c r="G248" s="42">
        <f t="shared" ca="1" si="3"/>
        <v>22</v>
      </c>
      <c r="H248" s="43">
        <v>4</v>
      </c>
      <c r="I248" s="44">
        <v>64430</v>
      </c>
    </row>
    <row r="249" spans="1:9" x14ac:dyDescent="0.25">
      <c r="A249" s="33" t="s">
        <v>301</v>
      </c>
      <c r="B249" s="33" t="s">
        <v>61</v>
      </c>
      <c r="C249" s="39">
        <v>585815837</v>
      </c>
      <c r="D249" s="40">
        <v>7191876990</v>
      </c>
      <c r="E249" s="33" t="s">
        <v>33</v>
      </c>
      <c r="F249" s="41">
        <v>34007</v>
      </c>
      <c r="G249" s="42">
        <f t="shared" ca="1" si="3"/>
        <v>20</v>
      </c>
      <c r="H249" s="43">
        <v>1</v>
      </c>
      <c r="I249" s="44">
        <v>13435</v>
      </c>
    </row>
    <row r="250" spans="1:9" x14ac:dyDescent="0.25">
      <c r="A250" s="33" t="s">
        <v>302</v>
      </c>
      <c r="B250" s="33" t="s">
        <v>64</v>
      </c>
      <c r="C250" s="39">
        <v>416394493</v>
      </c>
      <c r="D250" s="40">
        <v>2186657361</v>
      </c>
      <c r="E250" s="33" t="s">
        <v>17</v>
      </c>
      <c r="F250" s="41">
        <v>38360</v>
      </c>
      <c r="G250" s="42">
        <f t="shared" ca="1" si="3"/>
        <v>8</v>
      </c>
      <c r="H250" s="43">
        <v>3</v>
      </c>
      <c r="I250" s="44">
        <v>83070</v>
      </c>
    </row>
    <row r="251" spans="1:9" x14ac:dyDescent="0.25">
      <c r="A251" s="33" t="s">
        <v>303</v>
      </c>
      <c r="B251" s="33" t="s">
        <v>68</v>
      </c>
      <c r="C251" s="39">
        <v>366740174</v>
      </c>
      <c r="D251" s="40">
        <v>4115998691</v>
      </c>
      <c r="E251" s="33" t="s">
        <v>22</v>
      </c>
      <c r="F251" s="41">
        <v>37532</v>
      </c>
      <c r="G251" s="42">
        <f t="shared" ca="1" si="3"/>
        <v>11</v>
      </c>
      <c r="H251" s="43">
        <v>4</v>
      </c>
      <c r="I251" s="44">
        <v>49350</v>
      </c>
    </row>
    <row r="252" spans="1:9" x14ac:dyDescent="0.25">
      <c r="A252" s="33" t="s">
        <v>304</v>
      </c>
      <c r="B252" s="33" t="s">
        <v>21</v>
      </c>
      <c r="C252" s="39">
        <v>910964196</v>
      </c>
      <c r="D252" s="40">
        <v>5147045091</v>
      </c>
      <c r="E252" s="33" t="s">
        <v>22</v>
      </c>
      <c r="F252" s="41">
        <v>35093</v>
      </c>
      <c r="G252" s="42">
        <f t="shared" ca="1" si="3"/>
        <v>17</v>
      </c>
      <c r="H252" s="43">
        <v>2</v>
      </c>
      <c r="I252" s="44">
        <v>66430</v>
      </c>
    </row>
    <row r="253" spans="1:9" x14ac:dyDescent="0.25">
      <c r="A253" s="33" t="s">
        <v>305</v>
      </c>
      <c r="B253" s="33" t="s">
        <v>21</v>
      </c>
      <c r="C253" s="39">
        <v>393290045</v>
      </c>
      <c r="D253" s="40">
        <v>4086391402</v>
      </c>
      <c r="E253" s="33" t="s">
        <v>22</v>
      </c>
      <c r="F253" s="41">
        <v>38845</v>
      </c>
      <c r="G253" s="42">
        <f t="shared" ca="1" si="3"/>
        <v>7</v>
      </c>
      <c r="H253" s="43">
        <v>4</v>
      </c>
      <c r="I253" s="44">
        <v>59420</v>
      </c>
    </row>
    <row r="254" spans="1:9" x14ac:dyDescent="0.25">
      <c r="A254" s="33" t="s">
        <v>306</v>
      </c>
      <c r="B254" s="33" t="s">
        <v>52</v>
      </c>
      <c r="C254" s="39">
        <v>699053064</v>
      </c>
      <c r="D254" s="40">
        <v>7114125294</v>
      </c>
      <c r="E254" s="33" t="s">
        <v>22</v>
      </c>
      <c r="F254" s="41">
        <v>32938</v>
      </c>
      <c r="G254" s="42">
        <f t="shared" ca="1" si="3"/>
        <v>23</v>
      </c>
      <c r="H254" s="43">
        <v>3</v>
      </c>
      <c r="I254" s="44">
        <v>63050</v>
      </c>
    </row>
    <row r="255" spans="1:9" x14ac:dyDescent="0.25">
      <c r="A255" s="33" t="s">
        <v>307</v>
      </c>
      <c r="B255" s="33" t="s">
        <v>71</v>
      </c>
      <c r="C255" s="39">
        <v>469591073</v>
      </c>
      <c r="D255" s="40">
        <v>6117687161</v>
      </c>
      <c r="E255" s="33" t="s">
        <v>22</v>
      </c>
      <c r="F255" s="41">
        <v>32576</v>
      </c>
      <c r="G255" s="42">
        <f t="shared" ca="1" si="3"/>
        <v>24</v>
      </c>
      <c r="H255" s="43">
        <v>3</v>
      </c>
      <c r="I255" s="44">
        <v>40940</v>
      </c>
    </row>
    <row r="256" spans="1:9" x14ac:dyDescent="0.25">
      <c r="A256" s="33" t="s">
        <v>308</v>
      </c>
      <c r="B256" s="33" t="s">
        <v>21</v>
      </c>
      <c r="C256" s="39">
        <v>772163640</v>
      </c>
      <c r="D256" s="40">
        <v>6075157707</v>
      </c>
      <c r="E256" s="33" t="s">
        <v>17</v>
      </c>
      <c r="F256" s="41">
        <v>37024</v>
      </c>
      <c r="G256" s="42">
        <f t="shared" ca="1" si="3"/>
        <v>12</v>
      </c>
      <c r="H256" s="43">
        <v>3</v>
      </c>
      <c r="I256" s="44">
        <v>61370</v>
      </c>
    </row>
    <row r="257" spans="1:9" x14ac:dyDescent="0.25">
      <c r="A257" s="33" t="s">
        <v>309</v>
      </c>
      <c r="B257" s="33" t="s">
        <v>21</v>
      </c>
      <c r="C257" s="39">
        <v>518690148</v>
      </c>
      <c r="D257" s="40">
        <v>2148687353</v>
      </c>
      <c r="E257" s="33" t="s">
        <v>22</v>
      </c>
      <c r="F257" s="41">
        <v>33383</v>
      </c>
      <c r="G257" s="42">
        <f t="shared" ca="1" si="3"/>
        <v>22</v>
      </c>
      <c r="H257" s="43">
        <v>3</v>
      </c>
      <c r="I257" s="44">
        <v>45500</v>
      </c>
    </row>
    <row r="258" spans="1:9" x14ac:dyDescent="0.25">
      <c r="A258" s="33" t="s">
        <v>310</v>
      </c>
      <c r="B258" s="33" t="s">
        <v>80</v>
      </c>
      <c r="C258" s="39">
        <v>725801036</v>
      </c>
      <c r="D258" s="40">
        <v>5094603155</v>
      </c>
      <c r="E258" s="33" t="s">
        <v>22</v>
      </c>
      <c r="F258" s="41">
        <v>32775</v>
      </c>
      <c r="G258" s="42">
        <f t="shared" ref="G258:G321" ca="1" si="4">DATEDIF(F258,TODAY(),"Y")</f>
        <v>24</v>
      </c>
      <c r="H258" s="43">
        <v>1</v>
      </c>
      <c r="I258" s="44">
        <v>89140</v>
      </c>
    </row>
    <row r="259" spans="1:9" x14ac:dyDescent="0.25">
      <c r="A259" s="33" t="s">
        <v>311</v>
      </c>
      <c r="B259" s="33" t="s">
        <v>32</v>
      </c>
      <c r="C259" s="39">
        <v>542653222</v>
      </c>
      <c r="D259" s="40">
        <v>6091264786</v>
      </c>
      <c r="E259" s="33" t="s">
        <v>22</v>
      </c>
      <c r="F259" s="41">
        <v>39289</v>
      </c>
      <c r="G259" s="42">
        <f t="shared" ca="1" si="4"/>
        <v>6</v>
      </c>
      <c r="H259" s="43">
        <v>3</v>
      </c>
      <c r="I259" s="44">
        <v>24790</v>
      </c>
    </row>
    <row r="260" spans="1:9" x14ac:dyDescent="0.25">
      <c r="A260" s="33" t="s">
        <v>312</v>
      </c>
      <c r="B260" s="33" t="s">
        <v>61</v>
      </c>
      <c r="C260" s="39">
        <v>827277063</v>
      </c>
      <c r="D260" s="40">
        <v>5025804771</v>
      </c>
      <c r="E260" s="33" t="s">
        <v>22</v>
      </c>
      <c r="F260" s="41">
        <v>34092</v>
      </c>
      <c r="G260" s="42">
        <f t="shared" ca="1" si="4"/>
        <v>20</v>
      </c>
      <c r="H260" s="43">
        <v>3</v>
      </c>
      <c r="I260" s="44">
        <v>87030</v>
      </c>
    </row>
    <row r="261" spans="1:9" x14ac:dyDescent="0.25">
      <c r="A261" s="33" t="s">
        <v>313</v>
      </c>
      <c r="B261" s="33" t="s">
        <v>21</v>
      </c>
      <c r="C261" s="39">
        <v>379340654</v>
      </c>
      <c r="D261" s="40">
        <v>7056104400</v>
      </c>
      <c r="E261" s="33" t="s">
        <v>81</v>
      </c>
      <c r="F261" s="41">
        <v>37120</v>
      </c>
      <c r="G261" s="42">
        <f t="shared" ca="1" si="4"/>
        <v>12</v>
      </c>
      <c r="H261" s="43">
        <v>1</v>
      </c>
      <c r="I261" s="44">
        <v>8892</v>
      </c>
    </row>
    <row r="262" spans="1:9" x14ac:dyDescent="0.25">
      <c r="A262" s="33" t="s">
        <v>314</v>
      </c>
      <c r="B262" s="33" t="s">
        <v>61</v>
      </c>
      <c r="C262" s="39">
        <v>426812736</v>
      </c>
      <c r="D262" s="40">
        <v>5146801348</v>
      </c>
      <c r="E262" s="33" t="s">
        <v>22</v>
      </c>
      <c r="F262" s="41">
        <v>34523</v>
      </c>
      <c r="G262" s="42">
        <f t="shared" ca="1" si="4"/>
        <v>19</v>
      </c>
      <c r="H262" s="43">
        <v>5</v>
      </c>
      <c r="I262" s="44">
        <v>63080</v>
      </c>
    </row>
    <row r="263" spans="1:9" x14ac:dyDescent="0.25">
      <c r="A263" s="33" t="s">
        <v>315</v>
      </c>
      <c r="B263" s="33" t="s">
        <v>21</v>
      </c>
      <c r="C263" s="39">
        <v>399060898</v>
      </c>
      <c r="D263" s="40">
        <v>3046459263</v>
      </c>
      <c r="E263" s="33" t="s">
        <v>22</v>
      </c>
      <c r="F263" s="41">
        <v>34271</v>
      </c>
      <c r="G263" s="42">
        <f t="shared" ca="1" si="4"/>
        <v>20</v>
      </c>
      <c r="H263" s="43">
        <v>1</v>
      </c>
      <c r="I263" s="44">
        <v>63070</v>
      </c>
    </row>
    <row r="264" spans="1:9" x14ac:dyDescent="0.25">
      <c r="A264" s="33" t="s">
        <v>316</v>
      </c>
      <c r="B264" s="33" t="s">
        <v>21</v>
      </c>
      <c r="C264" s="39">
        <v>763182349</v>
      </c>
      <c r="D264" s="40">
        <v>8144944945</v>
      </c>
      <c r="E264" s="33" t="s">
        <v>22</v>
      </c>
      <c r="F264" s="41">
        <v>37333</v>
      </c>
      <c r="G264" s="42">
        <f t="shared" ca="1" si="4"/>
        <v>11</v>
      </c>
      <c r="H264" s="43">
        <v>3</v>
      </c>
      <c r="I264" s="44">
        <v>75176</v>
      </c>
    </row>
    <row r="265" spans="1:9" x14ac:dyDescent="0.25">
      <c r="A265" s="33" t="s">
        <v>317</v>
      </c>
      <c r="B265" s="33" t="s">
        <v>21</v>
      </c>
      <c r="C265" s="39">
        <v>870106287</v>
      </c>
      <c r="D265" s="40">
        <v>8116456972</v>
      </c>
      <c r="E265" s="33" t="s">
        <v>22</v>
      </c>
      <c r="F265" s="41">
        <v>34414</v>
      </c>
      <c r="G265" s="42">
        <f t="shared" ca="1" si="4"/>
        <v>19</v>
      </c>
      <c r="H265" s="43">
        <v>5</v>
      </c>
      <c r="I265" s="44">
        <v>73072</v>
      </c>
    </row>
    <row r="266" spans="1:9" x14ac:dyDescent="0.25">
      <c r="A266" s="33" t="s">
        <v>318</v>
      </c>
      <c r="B266" s="33" t="s">
        <v>21</v>
      </c>
      <c r="C266" s="39">
        <v>768215237</v>
      </c>
      <c r="D266" s="40">
        <v>8175060466</v>
      </c>
      <c r="E266" s="33" t="s">
        <v>22</v>
      </c>
      <c r="F266" s="41">
        <v>36619</v>
      </c>
      <c r="G266" s="42">
        <f t="shared" ca="1" si="4"/>
        <v>13</v>
      </c>
      <c r="H266" s="43">
        <v>4</v>
      </c>
      <c r="I266" s="44">
        <v>25310</v>
      </c>
    </row>
    <row r="267" spans="1:9" x14ac:dyDescent="0.25">
      <c r="A267" s="33" t="s">
        <v>319</v>
      </c>
      <c r="B267" s="33" t="s">
        <v>58</v>
      </c>
      <c r="C267" s="39">
        <v>415299442</v>
      </c>
      <c r="D267" s="40">
        <v>9176609693</v>
      </c>
      <c r="E267" s="33" t="s">
        <v>22</v>
      </c>
      <c r="F267" s="41">
        <v>35957</v>
      </c>
      <c r="G267" s="42">
        <f t="shared" ca="1" si="4"/>
        <v>15</v>
      </c>
      <c r="H267" s="43">
        <v>5</v>
      </c>
      <c r="I267" s="44">
        <v>45450</v>
      </c>
    </row>
    <row r="268" spans="1:9" x14ac:dyDescent="0.25">
      <c r="A268" s="33" t="s">
        <v>320</v>
      </c>
      <c r="B268" s="33" t="s">
        <v>68</v>
      </c>
      <c r="C268" s="39">
        <v>110184347</v>
      </c>
      <c r="D268" s="40">
        <v>6041276517</v>
      </c>
      <c r="E268" s="33" t="s">
        <v>33</v>
      </c>
      <c r="F268" s="41">
        <v>35607</v>
      </c>
      <c r="G268" s="42">
        <f t="shared" ca="1" si="4"/>
        <v>16</v>
      </c>
      <c r="H268" s="43">
        <v>1</v>
      </c>
      <c r="I268" s="44">
        <v>15240</v>
      </c>
    </row>
    <row r="269" spans="1:9" x14ac:dyDescent="0.25">
      <c r="A269" s="33" t="s">
        <v>321</v>
      </c>
      <c r="B269" s="33" t="s">
        <v>74</v>
      </c>
      <c r="C269" s="39">
        <v>510190628</v>
      </c>
      <c r="D269" s="40">
        <v>8158577225</v>
      </c>
      <c r="E269" s="33" t="s">
        <v>81</v>
      </c>
      <c r="F269" s="41">
        <v>39283</v>
      </c>
      <c r="G269" s="42">
        <f t="shared" ca="1" si="4"/>
        <v>6</v>
      </c>
      <c r="H269" s="43">
        <v>3</v>
      </c>
      <c r="I269" s="44">
        <v>15744</v>
      </c>
    </row>
    <row r="270" spans="1:9" x14ac:dyDescent="0.25">
      <c r="A270" s="33" t="s">
        <v>322</v>
      </c>
      <c r="B270" s="33" t="s">
        <v>64</v>
      </c>
      <c r="C270" s="39">
        <v>806508287</v>
      </c>
      <c r="D270" s="40">
        <v>2065621928</v>
      </c>
      <c r="E270" s="33" t="s">
        <v>22</v>
      </c>
      <c r="F270" s="41">
        <v>34587</v>
      </c>
      <c r="G270" s="42">
        <f t="shared" ca="1" si="4"/>
        <v>19</v>
      </c>
      <c r="H270" s="43">
        <v>5</v>
      </c>
      <c r="I270" s="44">
        <v>82120</v>
      </c>
    </row>
    <row r="271" spans="1:9" x14ac:dyDescent="0.25">
      <c r="A271" s="33" t="s">
        <v>323</v>
      </c>
      <c r="B271" s="33" t="s">
        <v>32</v>
      </c>
      <c r="C271" s="39">
        <v>851400058</v>
      </c>
      <c r="D271" s="40">
        <v>8116100410</v>
      </c>
      <c r="E271" s="33" t="s">
        <v>17</v>
      </c>
      <c r="F271" s="41">
        <v>36794</v>
      </c>
      <c r="G271" s="42">
        <f t="shared" ca="1" si="4"/>
        <v>13</v>
      </c>
      <c r="H271" s="43">
        <v>3</v>
      </c>
      <c r="I271" s="44">
        <v>60070</v>
      </c>
    </row>
    <row r="272" spans="1:9" x14ac:dyDescent="0.25">
      <c r="A272" s="33" t="s">
        <v>324</v>
      </c>
      <c r="B272" s="33" t="s">
        <v>21</v>
      </c>
      <c r="C272" s="39">
        <v>313651312</v>
      </c>
      <c r="D272" s="40">
        <v>8064924736</v>
      </c>
      <c r="E272" s="33" t="s">
        <v>81</v>
      </c>
      <c r="F272" s="41">
        <v>35457</v>
      </c>
      <c r="G272" s="42">
        <f t="shared" ca="1" si="4"/>
        <v>16</v>
      </c>
      <c r="H272" s="43">
        <v>4</v>
      </c>
      <c r="I272" s="44">
        <v>37612</v>
      </c>
    </row>
    <row r="273" spans="1:34" x14ac:dyDescent="0.25">
      <c r="A273" s="33" t="s">
        <v>325</v>
      </c>
      <c r="B273" s="33" t="s">
        <v>21</v>
      </c>
      <c r="C273" s="39">
        <v>650784238</v>
      </c>
      <c r="D273" s="40">
        <v>3033184277</v>
      </c>
      <c r="E273" s="33" t="s">
        <v>17</v>
      </c>
      <c r="F273" s="41">
        <v>38579</v>
      </c>
      <c r="G273" s="42">
        <f t="shared" ca="1" si="4"/>
        <v>8</v>
      </c>
      <c r="H273" s="43">
        <v>2</v>
      </c>
      <c r="I273" s="44">
        <v>63850</v>
      </c>
    </row>
    <row r="274" spans="1:34" x14ac:dyDescent="0.25">
      <c r="A274" s="33" t="s">
        <v>326</v>
      </c>
      <c r="B274" s="33" t="s">
        <v>58</v>
      </c>
      <c r="C274" s="39">
        <v>134557291</v>
      </c>
      <c r="D274" s="40">
        <v>4161658481</v>
      </c>
      <c r="E274" s="33" t="s">
        <v>22</v>
      </c>
      <c r="F274" s="41">
        <v>33131</v>
      </c>
      <c r="G274" s="42">
        <f t="shared" ca="1" si="4"/>
        <v>23</v>
      </c>
      <c r="H274" s="43">
        <v>5</v>
      </c>
      <c r="I274" s="44">
        <v>48550</v>
      </c>
    </row>
    <row r="275" spans="1:34" x14ac:dyDescent="0.25">
      <c r="A275" s="33" t="s">
        <v>327</v>
      </c>
      <c r="B275" s="33" t="s">
        <v>21</v>
      </c>
      <c r="C275" s="39">
        <v>781472289</v>
      </c>
      <c r="D275" s="40">
        <v>5115228292</v>
      </c>
      <c r="E275" s="33" t="s">
        <v>81</v>
      </c>
      <c r="F275" s="41">
        <v>35372</v>
      </c>
      <c r="G275" s="42">
        <f t="shared" ca="1" si="4"/>
        <v>17</v>
      </c>
      <c r="H275" s="43">
        <v>3</v>
      </c>
      <c r="I275" s="44">
        <v>8904</v>
      </c>
    </row>
    <row r="276" spans="1:34" x14ac:dyDescent="0.25">
      <c r="A276" s="33" t="s">
        <v>328</v>
      </c>
      <c r="B276" s="33" t="s">
        <v>158</v>
      </c>
      <c r="C276" s="39">
        <v>282972141</v>
      </c>
      <c r="D276" s="40">
        <v>2184248455</v>
      </c>
      <c r="E276" s="33" t="s">
        <v>22</v>
      </c>
      <c r="F276" s="41">
        <v>36503</v>
      </c>
      <c r="G276" s="42">
        <f t="shared" ca="1" si="4"/>
        <v>14</v>
      </c>
      <c r="H276" s="43">
        <v>4</v>
      </c>
      <c r="I276" s="44">
        <v>61150</v>
      </c>
    </row>
    <row r="277" spans="1:34" x14ac:dyDescent="0.25">
      <c r="A277" s="33" t="s">
        <v>329</v>
      </c>
      <c r="B277" s="33" t="s">
        <v>40</v>
      </c>
      <c r="C277" s="39">
        <v>354619285</v>
      </c>
      <c r="D277" s="40">
        <v>2125780571</v>
      </c>
      <c r="E277" s="33" t="s">
        <v>22</v>
      </c>
      <c r="F277" s="41">
        <v>33196</v>
      </c>
      <c r="G277" s="42">
        <f t="shared" ca="1" si="4"/>
        <v>23</v>
      </c>
      <c r="H277" s="43">
        <v>3</v>
      </c>
      <c r="I277" s="44">
        <v>62780</v>
      </c>
    </row>
    <row r="278" spans="1:34" x14ac:dyDescent="0.25">
      <c r="A278" s="33" t="s">
        <v>330</v>
      </c>
      <c r="B278" s="33" t="s">
        <v>71</v>
      </c>
      <c r="C278" s="39">
        <v>143534593</v>
      </c>
      <c r="D278" s="40">
        <v>3181774590</v>
      </c>
      <c r="E278" s="33" t="s">
        <v>22</v>
      </c>
      <c r="F278" s="41">
        <v>32903</v>
      </c>
      <c r="G278" s="42">
        <f t="shared" ca="1" si="4"/>
        <v>23</v>
      </c>
      <c r="H278" s="43">
        <v>2</v>
      </c>
      <c r="I278" s="44">
        <v>44560</v>
      </c>
    </row>
    <row r="279" spans="1:34" x14ac:dyDescent="0.25">
      <c r="A279" s="33" t="s">
        <v>331</v>
      </c>
      <c r="B279" s="33" t="s">
        <v>158</v>
      </c>
      <c r="C279" s="39">
        <v>494754997</v>
      </c>
      <c r="D279" s="40">
        <v>6158317543</v>
      </c>
      <c r="E279" s="33" t="s">
        <v>22</v>
      </c>
      <c r="F279" s="41">
        <v>35659</v>
      </c>
      <c r="G279" s="42">
        <f t="shared" ca="1" si="4"/>
        <v>16</v>
      </c>
      <c r="H279" s="43">
        <v>1</v>
      </c>
      <c r="I279" s="44">
        <v>61330</v>
      </c>
    </row>
    <row r="280" spans="1:34" x14ac:dyDescent="0.25">
      <c r="A280" s="33" t="s">
        <v>332</v>
      </c>
      <c r="B280" s="33" t="s">
        <v>61</v>
      </c>
      <c r="C280" s="39">
        <v>267218084</v>
      </c>
      <c r="D280" s="40">
        <v>3073919445</v>
      </c>
      <c r="E280" s="33" t="s">
        <v>22</v>
      </c>
      <c r="F280" s="41">
        <v>33501</v>
      </c>
      <c r="G280" s="42">
        <f t="shared" ca="1" si="4"/>
        <v>22</v>
      </c>
      <c r="H280" s="43">
        <v>5</v>
      </c>
      <c r="I280" s="44">
        <v>73030</v>
      </c>
      <c r="O280" s="35" t="s">
        <v>29</v>
      </c>
      <c r="P280" s="46">
        <v>35</v>
      </c>
      <c r="Q280" s="46">
        <v>46</v>
      </c>
      <c r="R280" s="46">
        <v>44</v>
      </c>
      <c r="S280" s="46">
        <v>48</v>
      </c>
      <c r="T280" s="46">
        <v>47</v>
      </c>
      <c r="U280" s="46"/>
      <c r="V280" s="35" t="s">
        <v>30</v>
      </c>
      <c r="W280" s="46">
        <v>46</v>
      </c>
      <c r="X280" s="46">
        <v>40</v>
      </c>
      <c r="Y280" s="46">
        <v>45</v>
      </c>
      <c r="Z280" s="46">
        <v>45</v>
      </c>
      <c r="AA280" s="46">
        <v>37</v>
      </c>
      <c r="AF280" s="34"/>
      <c r="AG280" s="50">
        <v>25000</v>
      </c>
      <c r="AH280" s="51">
        <v>0.05</v>
      </c>
    </row>
    <row r="281" spans="1:34" x14ac:dyDescent="0.25">
      <c r="A281" s="33" t="s">
        <v>333</v>
      </c>
      <c r="B281" s="33" t="s">
        <v>32</v>
      </c>
      <c r="C281" s="39">
        <v>661850671</v>
      </c>
      <c r="D281" s="40">
        <v>3173441810</v>
      </c>
      <c r="E281" s="33" t="s">
        <v>22</v>
      </c>
      <c r="F281" s="41">
        <v>38180</v>
      </c>
      <c r="G281" s="42">
        <f t="shared" ca="1" si="4"/>
        <v>9</v>
      </c>
      <c r="H281" s="43">
        <v>3</v>
      </c>
      <c r="I281" s="44">
        <v>62688</v>
      </c>
    </row>
    <row r="282" spans="1:34" x14ac:dyDescent="0.25">
      <c r="A282" s="33" t="s">
        <v>334</v>
      </c>
      <c r="B282" s="33" t="s">
        <v>21</v>
      </c>
      <c r="C282" s="39">
        <v>214234804</v>
      </c>
      <c r="D282" s="40">
        <v>7112888726</v>
      </c>
      <c r="E282" s="33" t="s">
        <v>17</v>
      </c>
      <c r="F282" s="41">
        <v>38928</v>
      </c>
      <c r="G282" s="42">
        <f t="shared" ca="1" si="4"/>
        <v>7</v>
      </c>
      <c r="H282" s="43">
        <v>4</v>
      </c>
      <c r="I282" s="44">
        <v>62780</v>
      </c>
    </row>
    <row r="283" spans="1:34" x14ac:dyDescent="0.25">
      <c r="A283" s="33" t="s">
        <v>335</v>
      </c>
      <c r="B283" s="33" t="s">
        <v>58</v>
      </c>
      <c r="C283" s="39">
        <v>625531462</v>
      </c>
      <c r="D283" s="40">
        <v>2122520526</v>
      </c>
      <c r="E283" s="33" t="s">
        <v>22</v>
      </c>
      <c r="F283" s="41">
        <v>35856</v>
      </c>
      <c r="G283" s="42">
        <f t="shared" ca="1" si="4"/>
        <v>15</v>
      </c>
      <c r="H283" s="43">
        <v>5</v>
      </c>
      <c r="I283" s="44">
        <v>68410</v>
      </c>
    </row>
    <row r="284" spans="1:34" x14ac:dyDescent="0.25">
      <c r="A284" s="33" t="s">
        <v>336</v>
      </c>
      <c r="B284" s="33" t="s">
        <v>52</v>
      </c>
      <c r="C284" s="39">
        <v>422463024</v>
      </c>
      <c r="D284" s="40">
        <v>4046711140</v>
      </c>
      <c r="E284" s="33" t="s">
        <v>17</v>
      </c>
      <c r="F284" s="41">
        <v>32672</v>
      </c>
      <c r="G284" s="42">
        <f t="shared" ca="1" si="4"/>
        <v>24</v>
      </c>
      <c r="H284" s="43">
        <v>2</v>
      </c>
      <c r="I284" s="44">
        <v>89450</v>
      </c>
    </row>
    <row r="285" spans="1:34" x14ac:dyDescent="0.25">
      <c r="A285" s="33" t="s">
        <v>337</v>
      </c>
      <c r="B285" s="33" t="s">
        <v>111</v>
      </c>
      <c r="C285" s="39">
        <v>210173249</v>
      </c>
      <c r="D285" s="40">
        <v>7042792063</v>
      </c>
      <c r="E285" s="33" t="s">
        <v>22</v>
      </c>
      <c r="F285" s="41">
        <v>36283</v>
      </c>
      <c r="G285" s="42">
        <f t="shared" ca="1" si="4"/>
        <v>14</v>
      </c>
      <c r="H285" s="43">
        <v>3</v>
      </c>
      <c r="I285" s="44">
        <v>33640</v>
      </c>
    </row>
    <row r="286" spans="1:34" x14ac:dyDescent="0.25">
      <c r="A286" s="33" t="s">
        <v>338</v>
      </c>
      <c r="B286" s="33" t="s">
        <v>64</v>
      </c>
      <c r="C286" s="39">
        <v>344090854</v>
      </c>
      <c r="D286" s="40">
        <v>4195478716</v>
      </c>
      <c r="E286" s="33" t="s">
        <v>17</v>
      </c>
      <c r="F286" s="41">
        <v>39349</v>
      </c>
      <c r="G286" s="42">
        <f t="shared" ca="1" si="4"/>
        <v>6</v>
      </c>
      <c r="H286" s="43">
        <v>5</v>
      </c>
      <c r="I286" s="44">
        <v>79460</v>
      </c>
    </row>
    <row r="287" spans="1:34" x14ac:dyDescent="0.25">
      <c r="A287" s="33" t="s">
        <v>339</v>
      </c>
      <c r="B287" s="33" t="s">
        <v>40</v>
      </c>
      <c r="C287" s="39">
        <v>360904659</v>
      </c>
      <c r="D287" s="40">
        <v>7145832994</v>
      </c>
      <c r="E287" s="33" t="s">
        <v>81</v>
      </c>
      <c r="F287" s="41">
        <v>35848</v>
      </c>
      <c r="G287" s="42">
        <f t="shared" ca="1" si="4"/>
        <v>15</v>
      </c>
      <c r="H287" s="43">
        <v>2</v>
      </c>
      <c r="I287" s="44">
        <v>32536</v>
      </c>
      <c r="AF287" s="34"/>
      <c r="AG287" s="50">
        <v>95000</v>
      </c>
      <c r="AH287" s="51">
        <v>0.13</v>
      </c>
    </row>
    <row r="288" spans="1:34" x14ac:dyDescent="0.25">
      <c r="A288" s="33" t="s">
        <v>340</v>
      </c>
      <c r="B288" s="33" t="s">
        <v>64</v>
      </c>
      <c r="C288" s="39">
        <v>800685434</v>
      </c>
      <c r="D288" s="40">
        <v>8135592950</v>
      </c>
      <c r="E288" s="33" t="s">
        <v>22</v>
      </c>
      <c r="F288" s="41">
        <v>35355</v>
      </c>
      <c r="G288" s="42">
        <f t="shared" ca="1" si="4"/>
        <v>17</v>
      </c>
      <c r="H288" s="43">
        <v>4</v>
      </c>
      <c r="I288" s="44">
        <v>34780</v>
      </c>
    </row>
    <row r="289" spans="1:9" x14ac:dyDescent="0.25">
      <c r="A289" s="33" t="s">
        <v>341</v>
      </c>
      <c r="B289" s="33" t="s">
        <v>16</v>
      </c>
      <c r="C289" s="39">
        <v>434927073</v>
      </c>
      <c r="D289" s="40">
        <v>7147038033</v>
      </c>
      <c r="E289" s="33" t="s">
        <v>33</v>
      </c>
      <c r="F289" s="41">
        <v>38488</v>
      </c>
      <c r="G289" s="42">
        <f t="shared" ca="1" si="4"/>
        <v>8</v>
      </c>
      <c r="H289" s="43">
        <v>5</v>
      </c>
      <c r="I289" s="44">
        <v>47705</v>
      </c>
    </row>
    <row r="290" spans="1:9" x14ac:dyDescent="0.25">
      <c r="A290" s="33" t="s">
        <v>342</v>
      </c>
      <c r="B290" s="33" t="s">
        <v>32</v>
      </c>
      <c r="C290" s="39">
        <v>863161920</v>
      </c>
      <c r="D290" s="40">
        <v>4146259106</v>
      </c>
      <c r="E290" s="33" t="s">
        <v>17</v>
      </c>
      <c r="F290" s="41">
        <v>33048</v>
      </c>
      <c r="G290" s="42">
        <f t="shared" ca="1" si="4"/>
        <v>23</v>
      </c>
      <c r="H290" s="43">
        <v>2</v>
      </c>
      <c r="I290" s="44">
        <v>60550</v>
      </c>
    </row>
    <row r="291" spans="1:9" x14ac:dyDescent="0.25">
      <c r="A291" s="33" t="s">
        <v>343</v>
      </c>
      <c r="B291" s="33" t="s">
        <v>21</v>
      </c>
      <c r="C291" s="39">
        <v>784064156</v>
      </c>
      <c r="D291" s="40">
        <v>2185252544</v>
      </c>
      <c r="E291" s="33" t="s">
        <v>22</v>
      </c>
      <c r="F291" s="41">
        <v>35399</v>
      </c>
      <c r="G291" s="42">
        <f t="shared" ca="1" si="4"/>
        <v>17</v>
      </c>
      <c r="H291" s="43">
        <v>5</v>
      </c>
      <c r="I291" s="44">
        <v>75120</v>
      </c>
    </row>
    <row r="292" spans="1:9" x14ac:dyDescent="0.25">
      <c r="A292" s="33" t="s">
        <v>344</v>
      </c>
      <c r="B292" s="33" t="s">
        <v>16</v>
      </c>
      <c r="C292" s="39">
        <v>708082156</v>
      </c>
      <c r="D292" s="40">
        <v>6044221208</v>
      </c>
      <c r="E292" s="33" t="s">
        <v>17</v>
      </c>
      <c r="F292" s="41">
        <v>33444</v>
      </c>
      <c r="G292" s="42">
        <f t="shared" ca="1" si="4"/>
        <v>22</v>
      </c>
      <c r="H292" s="43">
        <v>5</v>
      </c>
      <c r="I292" s="44">
        <v>29000</v>
      </c>
    </row>
    <row r="293" spans="1:9" x14ac:dyDescent="0.25">
      <c r="A293" s="33" t="s">
        <v>345</v>
      </c>
      <c r="B293" s="33" t="s">
        <v>32</v>
      </c>
      <c r="C293" s="39">
        <v>468953266</v>
      </c>
      <c r="D293" s="40">
        <v>7117682821</v>
      </c>
      <c r="E293" s="33" t="s">
        <v>22</v>
      </c>
      <c r="F293" s="41">
        <v>34484</v>
      </c>
      <c r="G293" s="42">
        <f t="shared" ca="1" si="4"/>
        <v>19</v>
      </c>
      <c r="H293" s="43">
        <v>2</v>
      </c>
      <c r="I293" s="44">
        <v>61148</v>
      </c>
    </row>
    <row r="294" spans="1:9" x14ac:dyDescent="0.25">
      <c r="A294" s="33" t="s">
        <v>346</v>
      </c>
      <c r="B294" s="33" t="s">
        <v>40</v>
      </c>
      <c r="C294" s="39">
        <v>254201611</v>
      </c>
      <c r="D294" s="40">
        <v>3073613559</v>
      </c>
      <c r="E294" s="33" t="s">
        <v>22</v>
      </c>
      <c r="F294" s="41">
        <v>39118</v>
      </c>
      <c r="G294" s="42">
        <f t="shared" ca="1" si="4"/>
        <v>6</v>
      </c>
      <c r="H294" s="43">
        <v>5</v>
      </c>
      <c r="I294" s="44">
        <v>82370</v>
      </c>
    </row>
    <row r="295" spans="1:9" x14ac:dyDescent="0.25">
      <c r="A295" s="33" t="s">
        <v>347</v>
      </c>
      <c r="B295" s="33" t="s">
        <v>32</v>
      </c>
      <c r="C295" s="39">
        <v>634954970</v>
      </c>
      <c r="D295" s="40">
        <v>2062687844</v>
      </c>
      <c r="E295" s="33" t="s">
        <v>22</v>
      </c>
      <c r="F295" s="41">
        <v>38437</v>
      </c>
      <c r="G295" s="42">
        <f t="shared" ca="1" si="4"/>
        <v>8</v>
      </c>
      <c r="H295" s="43">
        <v>5</v>
      </c>
      <c r="I295" s="44">
        <v>65880</v>
      </c>
    </row>
    <row r="296" spans="1:9" x14ac:dyDescent="0.25">
      <c r="A296" s="33" t="s">
        <v>348</v>
      </c>
      <c r="B296" s="33" t="s">
        <v>21</v>
      </c>
      <c r="C296" s="39">
        <v>995590510</v>
      </c>
      <c r="D296" s="40">
        <v>5128912054</v>
      </c>
      <c r="E296" s="33" t="s">
        <v>22</v>
      </c>
      <c r="F296" s="41">
        <v>35512</v>
      </c>
      <c r="G296" s="42">
        <f t="shared" ca="1" si="4"/>
        <v>16</v>
      </c>
      <c r="H296" s="43">
        <v>2</v>
      </c>
      <c r="I296" s="44">
        <v>22660</v>
      </c>
    </row>
    <row r="297" spans="1:9" x14ac:dyDescent="0.25">
      <c r="A297" s="33" t="s">
        <v>349</v>
      </c>
      <c r="B297" s="33" t="s">
        <v>21</v>
      </c>
      <c r="C297" s="39">
        <v>733358713</v>
      </c>
      <c r="D297" s="40">
        <v>9024626281</v>
      </c>
      <c r="E297" s="33" t="s">
        <v>22</v>
      </c>
      <c r="F297" s="41">
        <v>37536</v>
      </c>
      <c r="G297" s="42">
        <f t="shared" ca="1" si="4"/>
        <v>11</v>
      </c>
      <c r="H297" s="43">
        <v>2</v>
      </c>
      <c r="I297" s="44">
        <v>47340</v>
      </c>
    </row>
    <row r="298" spans="1:9" x14ac:dyDescent="0.25">
      <c r="A298" s="33" t="s">
        <v>350</v>
      </c>
      <c r="B298" s="33" t="s">
        <v>40</v>
      </c>
      <c r="C298" s="39">
        <v>100432924</v>
      </c>
      <c r="D298" s="40">
        <v>7111156902</v>
      </c>
      <c r="E298" s="33" t="s">
        <v>22</v>
      </c>
      <c r="F298" s="41">
        <v>34442</v>
      </c>
      <c r="G298" s="42">
        <f t="shared" ca="1" si="4"/>
        <v>19</v>
      </c>
      <c r="H298" s="43">
        <v>5</v>
      </c>
      <c r="I298" s="44">
        <v>64780</v>
      </c>
    </row>
    <row r="299" spans="1:9" x14ac:dyDescent="0.25">
      <c r="A299" s="33" t="s">
        <v>351</v>
      </c>
      <c r="B299" s="33" t="s">
        <v>243</v>
      </c>
      <c r="C299" s="39">
        <v>159594851</v>
      </c>
      <c r="D299" s="40">
        <v>7042172913</v>
      </c>
      <c r="E299" s="33" t="s">
        <v>17</v>
      </c>
      <c r="F299" s="41">
        <v>33798</v>
      </c>
      <c r="G299" s="42">
        <f t="shared" ca="1" si="4"/>
        <v>21</v>
      </c>
      <c r="H299" s="43">
        <v>2</v>
      </c>
      <c r="I299" s="44">
        <v>71700</v>
      </c>
    </row>
    <row r="300" spans="1:9" x14ac:dyDescent="0.25">
      <c r="A300" s="33" t="s">
        <v>352</v>
      </c>
      <c r="B300" s="33" t="s">
        <v>40</v>
      </c>
      <c r="C300" s="39">
        <v>283476654</v>
      </c>
      <c r="D300" s="40">
        <v>4044249228</v>
      </c>
      <c r="E300" s="33" t="s">
        <v>22</v>
      </c>
      <c r="F300" s="41">
        <v>39926</v>
      </c>
      <c r="G300" s="42">
        <f t="shared" ca="1" si="4"/>
        <v>4</v>
      </c>
      <c r="H300" s="43">
        <v>1</v>
      </c>
      <c r="I300" s="44">
        <v>70730</v>
      </c>
    </row>
    <row r="301" spans="1:9" x14ac:dyDescent="0.25">
      <c r="A301" s="33" t="s">
        <v>353</v>
      </c>
      <c r="B301" s="33" t="s">
        <v>21</v>
      </c>
      <c r="C301" s="39">
        <v>536516131</v>
      </c>
      <c r="D301" s="40">
        <v>7021163627</v>
      </c>
      <c r="E301" s="33" t="s">
        <v>22</v>
      </c>
      <c r="F301" s="41">
        <v>36826</v>
      </c>
      <c r="G301" s="42">
        <f t="shared" ca="1" si="4"/>
        <v>13</v>
      </c>
      <c r="H301" s="43">
        <v>1</v>
      </c>
      <c r="I301" s="44">
        <v>64130</v>
      </c>
    </row>
    <row r="302" spans="1:9" x14ac:dyDescent="0.25">
      <c r="A302" s="33" t="s">
        <v>354</v>
      </c>
      <c r="B302" s="33" t="s">
        <v>21</v>
      </c>
      <c r="C302" s="39">
        <v>269873478</v>
      </c>
      <c r="D302" s="40">
        <v>7063922629</v>
      </c>
      <c r="E302" s="33" t="s">
        <v>17</v>
      </c>
      <c r="F302" s="41">
        <v>37897</v>
      </c>
      <c r="G302" s="42">
        <f t="shared" ca="1" si="4"/>
        <v>10</v>
      </c>
      <c r="H302" s="43">
        <v>2</v>
      </c>
      <c r="I302" s="44">
        <v>40940</v>
      </c>
    </row>
    <row r="303" spans="1:9" x14ac:dyDescent="0.25">
      <c r="A303" s="33" t="s">
        <v>355</v>
      </c>
      <c r="B303" s="33" t="s">
        <v>32</v>
      </c>
      <c r="C303" s="39">
        <v>868364739</v>
      </c>
      <c r="D303" s="40">
        <v>3066422185</v>
      </c>
      <c r="E303" s="33" t="s">
        <v>22</v>
      </c>
      <c r="F303" s="41">
        <v>34676</v>
      </c>
      <c r="G303" s="42">
        <f t="shared" ca="1" si="4"/>
        <v>19</v>
      </c>
      <c r="H303" s="43">
        <v>5</v>
      </c>
      <c r="I303" s="44">
        <v>72700</v>
      </c>
    </row>
    <row r="304" spans="1:9" x14ac:dyDescent="0.25">
      <c r="A304" s="33" t="s">
        <v>356</v>
      </c>
      <c r="B304" s="33" t="s">
        <v>32</v>
      </c>
      <c r="C304" s="39">
        <v>168791562</v>
      </c>
      <c r="D304" s="40">
        <v>2152433774</v>
      </c>
      <c r="E304" s="33" t="s">
        <v>17</v>
      </c>
      <c r="F304" s="41">
        <v>39794</v>
      </c>
      <c r="G304" s="42">
        <f t="shared" ca="1" si="4"/>
        <v>4</v>
      </c>
      <c r="H304" s="43">
        <v>5</v>
      </c>
      <c r="I304" s="44">
        <v>39550</v>
      </c>
    </row>
    <row r="305" spans="1:9" x14ac:dyDescent="0.25">
      <c r="A305" s="33" t="s">
        <v>357</v>
      </c>
      <c r="B305" s="33" t="s">
        <v>83</v>
      </c>
      <c r="C305" s="39">
        <v>230192897</v>
      </c>
      <c r="D305" s="40">
        <v>9113040292</v>
      </c>
      <c r="E305" s="33" t="s">
        <v>22</v>
      </c>
      <c r="F305" s="41">
        <v>38428</v>
      </c>
      <c r="G305" s="42">
        <f t="shared" ca="1" si="4"/>
        <v>8</v>
      </c>
      <c r="H305" s="43">
        <v>4</v>
      </c>
      <c r="I305" s="44">
        <v>71400</v>
      </c>
    </row>
    <row r="306" spans="1:9" x14ac:dyDescent="0.25">
      <c r="A306" s="33" t="s">
        <v>358</v>
      </c>
      <c r="B306" s="33" t="s">
        <v>147</v>
      </c>
      <c r="C306" s="39">
        <v>831188207</v>
      </c>
      <c r="D306" s="40">
        <v>8085882405</v>
      </c>
      <c r="E306" s="33" t="s">
        <v>33</v>
      </c>
      <c r="F306" s="41">
        <v>38807</v>
      </c>
      <c r="G306" s="42">
        <f t="shared" ca="1" si="4"/>
        <v>7</v>
      </c>
      <c r="H306" s="43">
        <v>3</v>
      </c>
      <c r="I306" s="44">
        <v>46095</v>
      </c>
    </row>
    <row r="307" spans="1:9" x14ac:dyDescent="0.25">
      <c r="A307" s="33" t="s">
        <v>359</v>
      </c>
      <c r="B307" s="33" t="s">
        <v>32</v>
      </c>
      <c r="C307" s="39">
        <v>565952209</v>
      </c>
      <c r="D307" s="40">
        <v>3031630739</v>
      </c>
      <c r="E307" s="33" t="s">
        <v>22</v>
      </c>
      <c r="F307" s="41">
        <v>38836</v>
      </c>
      <c r="G307" s="42">
        <f t="shared" ca="1" si="4"/>
        <v>7</v>
      </c>
      <c r="H307" s="43">
        <v>1</v>
      </c>
      <c r="I307" s="44">
        <v>44650</v>
      </c>
    </row>
    <row r="308" spans="1:9" x14ac:dyDescent="0.25">
      <c r="A308" s="33" t="s">
        <v>360</v>
      </c>
      <c r="B308" s="33" t="s">
        <v>64</v>
      </c>
      <c r="C308" s="39">
        <v>110547055</v>
      </c>
      <c r="D308" s="40">
        <v>2011277028</v>
      </c>
      <c r="E308" s="33" t="s">
        <v>22</v>
      </c>
      <c r="F308" s="41">
        <v>39986</v>
      </c>
      <c r="G308" s="42">
        <f t="shared" ca="1" si="4"/>
        <v>4</v>
      </c>
      <c r="H308" s="43">
        <v>5</v>
      </c>
      <c r="I308" s="44">
        <v>68910</v>
      </c>
    </row>
    <row r="309" spans="1:9" x14ac:dyDescent="0.25">
      <c r="A309" s="33" t="s">
        <v>361</v>
      </c>
      <c r="B309" s="33" t="s">
        <v>52</v>
      </c>
      <c r="C309" s="39">
        <v>907491320</v>
      </c>
      <c r="D309" s="40">
        <v>9146999991</v>
      </c>
      <c r="E309" s="33" t="s">
        <v>17</v>
      </c>
      <c r="F309" s="41">
        <v>35869</v>
      </c>
      <c r="G309" s="42">
        <f t="shared" ca="1" si="4"/>
        <v>15</v>
      </c>
      <c r="H309" s="43">
        <v>4</v>
      </c>
      <c r="I309" s="44">
        <v>54840</v>
      </c>
    </row>
    <row r="310" spans="1:9" x14ac:dyDescent="0.25">
      <c r="A310" s="33" t="s">
        <v>362</v>
      </c>
      <c r="B310" s="33" t="s">
        <v>174</v>
      </c>
      <c r="C310" s="39">
        <v>145240921</v>
      </c>
      <c r="D310" s="40">
        <v>6091780498</v>
      </c>
      <c r="E310" s="33" t="s">
        <v>17</v>
      </c>
      <c r="F310" s="41">
        <v>33915</v>
      </c>
      <c r="G310" s="42">
        <f t="shared" ca="1" si="4"/>
        <v>21</v>
      </c>
      <c r="H310" s="43">
        <v>5</v>
      </c>
      <c r="I310" s="44">
        <v>64720</v>
      </c>
    </row>
    <row r="311" spans="1:9" x14ac:dyDescent="0.25">
      <c r="A311" s="33" t="s">
        <v>363</v>
      </c>
      <c r="B311" s="33" t="s">
        <v>40</v>
      </c>
      <c r="C311" s="39">
        <v>561530671</v>
      </c>
      <c r="D311" s="40">
        <v>5161534053</v>
      </c>
      <c r="E311" s="33" t="s">
        <v>33</v>
      </c>
      <c r="F311" s="41">
        <v>34856</v>
      </c>
      <c r="G311" s="42">
        <f t="shared" ca="1" si="4"/>
        <v>18</v>
      </c>
      <c r="H311" s="43">
        <v>4</v>
      </c>
      <c r="I311" s="44">
        <v>37660</v>
      </c>
    </row>
    <row r="312" spans="1:9" x14ac:dyDescent="0.25">
      <c r="A312" s="33" t="s">
        <v>364</v>
      </c>
      <c r="B312" s="33" t="s">
        <v>40</v>
      </c>
      <c r="C312" s="39">
        <v>135633006</v>
      </c>
      <c r="D312" s="40">
        <v>2121667727</v>
      </c>
      <c r="E312" s="33" t="s">
        <v>17</v>
      </c>
      <c r="F312" s="41">
        <v>33179</v>
      </c>
      <c r="G312" s="42">
        <f t="shared" ca="1" si="4"/>
        <v>23</v>
      </c>
      <c r="H312" s="43">
        <v>4</v>
      </c>
      <c r="I312" s="44">
        <v>59128</v>
      </c>
    </row>
    <row r="313" spans="1:9" x14ac:dyDescent="0.25">
      <c r="A313" s="33" t="s">
        <v>365</v>
      </c>
      <c r="B313" s="33" t="s">
        <v>52</v>
      </c>
      <c r="C313" s="39">
        <v>722630791</v>
      </c>
      <c r="D313" s="40">
        <v>4054483888</v>
      </c>
      <c r="E313" s="33" t="s">
        <v>22</v>
      </c>
      <c r="F313" s="41">
        <v>35904</v>
      </c>
      <c r="G313" s="42">
        <f t="shared" ca="1" si="4"/>
        <v>15</v>
      </c>
      <c r="H313" s="43">
        <v>3</v>
      </c>
      <c r="I313" s="44">
        <v>48250</v>
      </c>
    </row>
    <row r="314" spans="1:9" x14ac:dyDescent="0.25">
      <c r="A314" s="33" t="s">
        <v>366</v>
      </c>
      <c r="B314" s="33" t="s">
        <v>21</v>
      </c>
      <c r="C314" s="39">
        <v>425598783</v>
      </c>
      <c r="D314" s="40">
        <v>4176738901</v>
      </c>
      <c r="E314" s="33" t="s">
        <v>22</v>
      </c>
      <c r="F314" s="41">
        <v>33110</v>
      </c>
      <c r="G314" s="42">
        <f t="shared" ca="1" si="4"/>
        <v>23</v>
      </c>
      <c r="H314" s="43">
        <v>1</v>
      </c>
      <c r="I314" s="44">
        <v>58910</v>
      </c>
    </row>
    <row r="315" spans="1:9" x14ac:dyDescent="0.25">
      <c r="A315" s="33" t="s">
        <v>367</v>
      </c>
      <c r="B315" s="33" t="s">
        <v>71</v>
      </c>
      <c r="C315" s="39">
        <v>285295419</v>
      </c>
      <c r="D315" s="40">
        <v>5194252315</v>
      </c>
      <c r="E315" s="33" t="s">
        <v>22</v>
      </c>
      <c r="F315" s="41">
        <v>32850</v>
      </c>
      <c r="G315" s="42">
        <f t="shared" ca="1" si="4"/>
        <v>24</v>
      </c>
      <c r="H315" s="43">
        <v>3</v>
      </c>
      <c r="I315" s="44">
        <v>77720</v>
      </c>
    </row>
    <row r="316" spans="1:9" x14ac:dyDescent="0.25">
      <c r="A316" s="33" t="s">
        <v>368</v>
      </c>
      <c r="B316" s="33" t="s">
        <v>61</v>
      </c>
      <c r="C316" s="39">
        <v>418701946</v>
      </c>
      <c r="D316" s="40">
        <v>8166674988</v>
      </c>
      <c r="E316" s="33" t="s">
        <v>33</v>
      </c>
      <c r="F316" s="41">
        <v>39783</v>
      </c>
      <c r="G316" s="42">
        <f t="shared" ca="1" si="4"/>
        <v>5</v>
      </c>
      <c r="H316" s="43">
        <v>1</v>
      </c>
      <c r="I316" s="44">
        <v>16925</v>
      </c>
    </row>
    <row r="317" spans="1:9" x14ac:dyDescent="0.25">
      <c r="A317" s="33" t="s">
        <v>369</v>
      </c>
      <c r="B317" s="33" t="s">
        <v>21</v>
      </c>
      <c r="C317" s="39">
        <v>407299017</v>
      </c>
      <c r="D317" s="40">
        <v>9146532463</v>
      </c>
      <c r="E317" s="33" t="s">
        <v>22</v>
      </c>
      <c r="F317" s="41">
        <v>33111</v>
      </c>
      <c r="G317" s="42">
        <f t="shared" ca="1" si="4"/>
        <v>23</v>
      </c>
      <c r="H317" s="43">
        <v>5</v>
      </c>
      <c r="I317" s="44">
        <v>26190</v>
      </c>
    </row>
    <row r="318" spans="1:9" x14ac:dyDescent="0.25">
      <c r="A318" s="33" t="s">
        <v>370</v>
      </c>
      <c r="B318" s="33" t="s">
        <v>104</v>
      </c>
      <c r="C318" s="39">
        <v>696435191</v>
      </c>
      <c r="D318" s="40">
        <v>8134018412</v>
      </c>
      <c r="E318" s="33" t="s">
        <v>81</v>
      </c>
      <c r="F318" s="41">
        <v>39703</v>
      </c>
      <c r="G318" s="42">
        <f t="shared" ca="1" si="4"/>
        <v>5</v>
      </c>
      <c r="H318" s="43">
        <v>4</v>
      </c>
      <c r="I318" s="44">
        <v>27484</v>
      </c>
    </row>
    <row r="319" spans="1:9" x14ac:dyDescent="0.25">
      <c r="A319" s="33" t="s">
        <v>371</v>
      </c>
      <c r="B319" s="33" t="s">
        <v>104</v>
      </c>
      <c r="C319" s="39">
        <v>113252240</v>
      </c>
      <c r="D319" s="40">
        <v>8091384592</v>
      </c>
      <c r="E319" s="33" t="s">
        <v>33</v>
      </c>
      <c r="F319" s="41">
        <v>39962</v>
      </c>
      <c r="G319" s="42">
        <f t="shared" ca="1" si="4"/>
        <v>4</v>
      </c>
      <c r="H319" s="43">
        <v>4</v>
      </c>
      <c r="I319" s="44">
        <v>10520</v>
      </c>
    </row>
    <row r="320" spans="1:9" x14ac:dyDescent="0.25">
      <c r="A320" s="33" t="s">
        <v>372</v>
      </c>
      <c r="B320" s="33" t="s">
        <v>126</v>
      </c>
      <c r="C320" s="39">
        <v>828715080</v>
      </c>
      <c r="D320" s="40">
        <v>5015858234</v>
      </c>
      <c r="E320" s="33" t="s">
        <v>22</v>
      </c>
      <c r="F320" s="41">
        <v>35561</v>
      </c>
      <c r="G320" s="42">
        <f t="shared" ca="1" si="4"/>
        <v>16</v>
      </c>
      <c r="H320" s="43">
        <v>1</v>
      </c>
      <c r="I320" s="44">
        <v>44550</v>
      </c>
    </row>
    <row r="321" spans="1:9" x14ac:dyDescent="0.25">
      <c r="A321" s="33" t="s">
        <v>373</v>
      </c>
      <c r="B321" s="33" t="s">
        <v>16</v>
      </c>
      <c r="C321" s="39">
        <v>737152868</v>
      </c>
      <c r="D321" s="40">
        <v>8174679864</v>
      </c>
      <c r="E321" s="33" t="s">
        <v>17</v>
      </c>
      <c r="F321" s="41">
        <v>35589</v>
      </c>
      <c r="G321" s="42">
        <f t="shared" ca="1" si="4"/>
        <v>16</v>
      </c>
      <c r="H321" s="43">
        <v>5</v>
      </c>
      <c r="I321" s="44">
        <v>31270</v>
      </c>
    </row>
    <row r="322" spans="1:9" x14ac:dyDescent="0.25">
      <c r="A322" s="33" t="s">
        <v>374</v>
      </c>
      <c r="B322" s="33" t="s">
        <v>16</v>
      </c>
      <c r="C322" s="39">
        <v>135965371</v>
      </c>
      <c r="D322" s="40">
        <v>3031683770</v>
      </c>
      <c r="E322" s="33" t="s">
        <v>33</v>
      </c>
      <c r="F322" s="41">
        <v>39741</v>
      </c>
      <c r="G322" s="42">
        <f t="shared" ref="G322:G385" ca="1" si="5">DATEDIF(F322,TODAY(),"Y")</f>
        <v>5</v>
      </c>
      <c r="H322" s="43">
        <v>3</v>
      </c>
      <c r="I322" s="44">
        <v>20040</v>
      </c>
    </row>
    <row r="323" spans="1:9" x14ac:dyDescent="0.25">
      <c r="A323" s="33" t="s">
        <v>375</v>
      </c>
      <c r="B323" s="33" t="s">
        <v>64</v>
      </c>
      <c r="C323" s="39">
        <v>481336564</v>
      </c>
      <c r="D323" s="40">
        <v>9148012440</v>
      </c>
      <c r="E323" s="33" t="s">
        <v>33</v>
      </c>
      <c r="F323" s="41">
        <v>33938</v>
      </c>
      <c r="G323" s="42">
        <f t="shared" ca="1" si="5"/>
        <v>21</v>
      </c>
      <c r="H323" s="43">
        <v>4</v>
      </c>
      <c r="I323" s="44">
        <v>38920</v>
      </c>
    </row>
    <row r="324" spans="1:9" x14ac:dyDescent="0.25">
      <c r="A324" s="33" t="s">
        <v>376</v>
      </c>
      <c r="B324" s="33" t="s">
        <v>32</v>
      </c>
      <c r="C324" s="39">
        <v>717503282</v>
      </c>
      <c r="D324" s="40">
        <v>8054375399</v>
      </c>
      <c r="E324" s="33" t="s">
        <v>17</v>
      </c>
      <c r="F324" s="41">
        <v>35687</v>
      </c>
      <c r="G324" s="42">
        <f t="shared" ca="1" si="5"/>
        <v>16</v>
      </c>
      <c r="H324" s="43">
        <v>5</v>
      </c>
      <c r="I324" s="44">
        <v>57990</v>
      </c>
    </row>
    <row r="325" spans="1:9" x14ac:dyDescent="0.25">
      <c r="A325" s="33" t="s">
        <v>377</v>
      </c>
      <c r="B325" s="33" t="s">
        <v>152</v>
      </c>
      <c r="C325" s="39">
        <v>631405285</v>
      </c>
      <c r="D325" s="40">
        <v>2152683895</v>
      </c>
      <c r="E325" s="33" t="s">
        <v>17</v>
      </c>
      <c r="F325" s="41">
        <v>39643</v>
      </c>
      <c r="G325" s="42">
        <f t="shared" ca="1" si="5"/>
        <v>5</v>
      </c>
      <c r="H325" s="43">
        <v>5</v>
      </c>
      <c r="I325" s="44">
        <v>59350</v>
      </c>
    </row>
    <row r="326" spans="1:9" x14ac:dyDescent="0.25">
      <c r="A326" s="33" t="s">
        <v>378</v>
      </c>
      <c r="B326" s="33" t="s">
        <v>32</v>
      </c>
      <c r="C326" s="39">
        <v>668708287</v>
      </c>
      <c r="D326" s="40">
        <v>2093557946</v>
      </c>
      <c r="E326" s="33" t="s">
        <v>22</v>
      </c>
      <c r="F326" s="41">
        <v>35308</v>
      </c>
      <c r="G326" s="42">
        <f t="shared" ca="1" si="5"/>
        <v>17</v>
      </c>
      <c r="H326" s="43">
        <v>4</v>
      </c>
      <c r="I326" s="44">
        <v>73740</v>
      </c>
    </row>
    <row r="327" spans="1:9" x14ac:dyDescent="0.25">
      <c r="A327" s="33" t="s">
        <v>379</v>
      </c>
      <c r="B327" s="33" t="s">
        <v>52</v>
      </c>
      <c r="C327" s="39">
        <v>868128171</v>
      </c>
      <c r="D327" s="40">
        <v>4136410575</v>
      </c>
      <c r="E327" s="33" t="s">
        <v>81</v>
      </c>
      <c r="F327" s="41">
        <v>35947</v>
      </c>
      <c r="G327" s="42">
        <f t="shared" ca="1" si="5"/>
        <v>15</v>
      </c>
      <c r="H327" s="43">
        <v>4</v>
      </c>
      <c r="I327" s="44">
        <v>15552</v>
      </c>
    </row>
    <row r="328" spans="1:9" x14ac:dyDescent="0.25">
      <c r="A328" s="33" t="s">
        <v>380</v>
      </c>
      <c r="B328" s="33" t="s">
        <v>40</v>
      </c>
      <c r="C328" s="39">
        <v>102159909</v>
      </c>
      <c r="D328" s="40">
        <v>6111220758</v>
      </c>
      <c r="E328" s="33" t="s">
        <v>33</v>
      </c>
      <c r="F328" s="41">
        <v>34687</v>
      </c>
      <c r="G328" s="42">
        <f t="shared" ca="1" si="5"/>
        <v>18</v>
      </c>
      <c r="H328" s="43">
        <v>2</v>
      </c>
      <c r="I328" s="44">
        <v>38105</v>
      </c>
    </row>
    <row r="329" spans="1:9" x14ac:dyDescent="0.25">
      <c r="A329" s="33" t="s">
        <v>381</v>
      </c>
      <c r="B329" s="33" t="s">
        <v>32</v>
      </c>
      <c r="C329" s="39">
        <v>486016972</v>
      </c>
      <c r="D329" s="40">
        <v>2198159919</v>
      </c>
      <c r="E329" s="33" t="s">
        <v>22</v>
      </c>
      <c r="F329" s="41">
        <v>33559</v>
      </c>
      <c r="G329" s="42">
        <f t="shared" ca="1" si="5"/>
        <v>22</v>
      </c>
      <c r="H329" s="43">
        <v>2</v>
      </c>
      <c r="I329" s="44">
        <v>69420</v>
      </c>
    </row>
    <row r="330" spans="1:9" x14ac:dyDescent="0.25">
      <c r="A330" s="33" t="s">
        <v>382</v>
      </c>
      <c r="B330" s="33" t="s">
        <v>52</v>
      </c>
      <c r="C330" s="39">
        <v>291798311</v>
      </c>
      <c r="D330" s="40">
        <v>2074383168</v>
      </c>
      <c r="E330" s="33" t="s">
        <v>81</v>
      </c>
      <c r="F330" s="41">
        <v>33735</v>
      </c>
      <c r="G330" s="42">
        <f t="shared" ca="1" si="5"/>
        <v>21</v>
      </c>
      <c r="H330" s="43">
        <v>4</v>
      </c>
      <c r="I330" s="44">
        <v>36788</v>
      </c>
    </row>
    <row r="331" spans="1:9" x14ac:dyDescent="0.25">
      <c r="A331" s="33" t="s">
        <v>383</v>
      </c>
      <c r="B331" s="33" t="s">
        <v>32</v>
      </c>
      <c r="C331" s="39">
        <v>287476507</v>
      </c>
      <c r="D331" s="40">
        <v>3154264889</v>
      </c>
      <c r="E331" s="33" t="s">
        <v>17</v>
      </c>
      <c r="F331" s="41">
        <v>32624</v>
      </c>
      <c r="G331" s="42">
        <f t="shared" ca="1" si="5"/>
        <v>24</v>
      </c>
      <c r="H331" s="43">
        <v>4</v>
      </c>
      <c r="I331" s="44">
        <v>58650</v>
      </c>
    </row>
    <row r="332" spans="1:9" x14ac:dyDescent="0.25">
      <c r="A332" s="33" t="s">
        <v>384</v>
      </c>
      <c r="B332" s="33" t="s">
        <v>61</v>
      </c>
      <c r="C332" s="39">
        <v>120479503</v>
      </c>
      <c r="D332" s="40">
        <v>3171569304</v>
      </c>
      <c r="E332" s="33" t="s">
        <v>22</v>
      </c>
      <c r="F332" s="41">
        <v>32968</v>
      </c>
      <c r="G332" s="42">
        <f t="shared" ca="1" si="5"/>
        <v>23</v>
      </c>
      <c r="H332" s="43">
        <v>5</v>
      </c>
      <c r="I332" s="44">
        <v>43580</v>
      </c>
    </row>
    <row r="333" spans="1:9" x14ac:dyDescent="0.25">
      <c r="A333" s="33" t="s">
        <v>385</v>
      </c>
      <c r="B333" s="33" t="s">
        <v>40</v>
      </c>
      <c r="C333" s="39">
        <v>938508346</v>
      </c>
      <c r="D333" s="40">
        <v>7017764351</v>
      </c>
      <c r="E333" s="33" t="s">
        <v>22</v>
      </c>
      <c r="F333" s="41">
        <v>34666</v>
      </c>
      <c r="G333" s="42">
        <f t="shared" ca="1" si="5"/>
        <v>19</v>
      </c>
      <c r="H333" s="43">
        <v>5</v>
      </c>
      <c r="I333" s="44">
        <v>58370</v>
      </c>
    </row>
    <row r="334" spans="1:9" x14ac:dyDescent="0.25">
      <c r="A334" s="33" t="s">
        <v>386</v>
      </c>
      <c r="B334" s="33" t="s">
        <v>58</v>
      </c>
      <c r="C334" s="39">
        <v>548283920</v>
      </c>
      <c r="D334" s="40">
        <v>9181308831</v>
      </c>
      <c r="E334" s="33" t="s">
        <v>17</v>
      </c>
      <c r="F334" s="41">
        <v>37193</v>
      </c>
      <c r="G334" s="42">
        <f t="shared" ca="1" si="5"/>
        <v>12</v>
      </c>
      <c r="H334" s="43">
        <v>3</v>
      </c>
      <c r="I334" s="44">
        <v>78100</v>
      </c>
    </row>
    <row r="335" spans="1:9" x14ac:dyDescent="0.25">
      <c r="A335" s="33" t="s">
        <v>387</v>
      </c>
      <c r="B335" s="33" t="s">
        <v>61</v>
      </c>
      <c r="C335" s="39">
        <v>867100310</v>
      </c>
      <c r="D335" s="40">
        <v>2016354278</v>
      </c>
      <c r="E335" s="33" t="s">
        <v>22</v>
      </c>
      <c r="F335" s="41">
        <v>33026</v>
      </c>
      <c r="G335" s="42">
        <f t="shared" ca="1" si="5"/>
        <v>23</v>
      </c>
      <c r="H335" s="43">
        <v>1</v>
      </c>
      <c r="I335" s="44">
        <v>26360</v>
      </c>
    </row>
    <row r="336" spans="1:9" x14ac:dyDescent="0.25">
      <c r="A336" s="33" t="s">
        <v>388</v>
      </c>
      <c r="B336" s="33" t="s">
        <v>52</v>
      </c>
      <c r="C336" s="39">
        <v>658842625</v>
      </c>
      <c r="D336" s="40">
        <v>8023302808</v>
      </c>
      <c r="E336" s="33" t="s">
        <v>22</v>
      </c>
      <c r="F336" s="41">
        <v>37015</v>
      </c>
      <c r="G336" s="42">
        <f t="shared" ca="1" si="5"/>
        <v>12</v>
      </c>
      <c r="H336" s="43">
        <v>5</v>
      </c>
      <c r="I336" s="44">
        <v>82490</v>
      </c>
    </row>
    <row r="337" spans="1:34" x14ac:dyDescent="0.25">
      <c r="A337" s="33" t="s">
        <v>389</v>
      </c>
      <c r="B337" s="33" t="s">
        <v>158</v>
      </c>
      <c r="C337" s="39">
        <v>393051351</v>
      </c>
      <c r="D337" s="40">
        <v>3056345909</v>
      </c>
      <c r="E337" s="33" t="s">
        <v>17</v>
      </c>
      <c r="F337" s="41">
        <v>35349</v>
      </c>
      <c r="G337" s="42">
        <f t="shared" ca="1" si="5"/>
        <v>17</v>
      </c>
      <c r="H337" s="43">
        <v>3</v>
      </c>
      <c r="I337" s="44">
        <v>64470</v>
      </c>
    </row>
    <row r="338" spans="1:34" x14ac:dyDescent="0.25">
      <c r="A338" s="33" t="s">
        <v>390</v>
      </c>
      <c r="B338" s="33" t="s">
        <v>52</v>
      </c>
      <c r="C338" s="39">
        <v>930282755</v>
      </c>
      <c r="D338" s="40">
        <v>6177446192</v>
      </c>
      <c r="E338" s="33" t="s">
        <v>22</v>
      </c>
      <c r="F338" s="41">
        <v>32994</v>
      </c>
      <c r="G338" s="42">
        <f t="shared" ca="1" si="5"/>
        <v>23</v>
      </c>
      <c r="H338" s="43">
        <v>1</v>
      </c>
      <c r="I338" s="44">
        <v>54830</v>
      </c>
    </row>
    <row r="339" spans="1:34" x14ac:dyDescent="0.25">
      <c r="A339" s="33" t="s">
        <v>391</v>
      </c>
      <c r="B339" s="33" t="s">
        <v>74</v>
      </c>
      <c r="C339" s="39">
        <v>963028490</v>
      </c>
      <c r="D339" s="40">
        <v>7088252392</v>
      </c>
      <c r="E339" s="33" t="s">
        <v>33</v>
      </c>
      <c r="F339" s="41">
        <v>39158</v>
      </c>
      <c r="G339" s="42">
        <f t="shared" ca="1" si="5"/>
        <v>6</v>
      </c>
      <c r="H339" s="43">
        <v>5</v>
      </c>
      <c r="I339" s="44">
        <v>39515</v>
      </c>
    </row>
    <row r="340" spans="1:34" x14ac:dyDescent="0.25">
      <c r="A340" s="33" t="s">
        <v>392</v>
      </c>
      <c r="B340" s="33" t="s">
        <v>61</v>
      </c>
      <c r="C340" s="39">
        <v>834061135</v>
      </c>
      <c r="D340" s="40">
        <v>3155915044</v>
      </c>
      <c r="E340" s="33" t="s">
        <v>22</v>
      </c>
      <c r="F340" s="41">
        <v>34769</v>
      </c>
      <c r="G340" s="42">
        <f t="shared" ca="1" si="5"/>
        <v>18</v>
      </c>
      <c r="H340" s="43">
        <v>4</v>
      </c>
      <c r="I340" s="44">
        <v>67230</v>
      </c>
    </row>
    <row r="341" spans="1:34" x14ac:dyDescent="0.25">
      <c r="A341" s="33" t="s">
        <v>393</v>
      </c>
      <c r="B341" s="33" t="s">
        <v>64</v>
      </c>
      <c r="C341" s="39">
        <v>990843236</v>
      </c>
      <c r="D341" s="40">
        <v>7128624601</v>
      </c>
      <c r="E341" s="33" t="s">
        <v>22</v>
      </c>
      <c r="F341" s="41">
        <v>39965</v>
      </c>
      <c r="G341" s="42">
        <f t="shared" ca="1" si="5"/>
        <v>4</v>
      </c>
      <c r="H341" s="43">
        <v>2</v>
      </c>
      <c r="I341" s="44">
        <v>74710</v>
      </c>
    </row>
    <row r="342" spans="1:34" x14ac:dyDescent="0.25">
      <c r="A342" s="33" t="s">
        <v>394</v>
      </c>
      <c r="B342" s="33" t="s">
        <v>21</v>
      </c>
      <c r="C342" s="39">
        <v>443476169</v>
      </c>
      <c r="D342" s="40">
        <v>7037126482</v>
      </c>
      <c r="E342" s="33" t="s">
        <v>22</v>
      </c>
      <c r="F342" s="41">
        <v>35328</v>
      </c>
      <c r="G342" s="42">
        <f t="shared" ca="1" si="5"/>
        <v>17</v>
      </c>
      <c r="H342" s="43">
        <v>5</v>
      </c>
      <c r="I342" s="44">
        <v>55450</v>
      </c>
    </row>
    <row r="343" spans="1:34" x14ac:dyDescent="0.25">
      <c r="A343" s="33" t="s">
        <v>395</v>
      </c>
      <c r="B343" s="33" t="s">
        <v>52</v>
      </c>
      <c r="C343" s="39">
        <v>302598687</v>
      </c>
      <c r="D343" s="40">
        <v>4084663056</v>
      </c>
      <c r="E343" s="33" t="s">
        <v>22</v>
      </c>
      <c r="F343" s="41">
        <v>32659</v>
      </c>
      <c r="G343" s="42">
        <f t="shared" ca="1" si="5"/>
        <v>24</v>
      </c>
      <c r="H343" s="43">
        <v>1</v>
      </c>
      <c r="I343" s="44">
        <v>24840</v>
      </c>
      <c r="J343" s="52"/>
    </row>
    <row r="344" spans="1:34" x14ac:dyDescent="0.25">
      <c r="A344" s="33" t="s">
        <v>396</v>
      </c>
      <c r="B344" s="33" t="s">
        <v>64</v>
      </c>
      <c r="C344" s="39">
        <v>644489557</v>
      </c>
      <c r="D344" s="40">
        <v>4022917217</v>
      </c>
      <c r="E344" s="33" t="s">
        <v>22</v>
      </c>
      <c r="F344" s="41">
        <v>36566</v>
      </c>
      <c r="G344" s="42">
        <f t="shared" ca="1" si="5"/>
        <v>13</v>
      </c>
      <c r="H344" s="43">
        <v>2</v>
      </c>
      <c r="I344" s="44">
        <v>62790</v>
      </c>
    </row>
    <row r="345" spans="1:34" x14ac:dyDescent="0.25">
      <c r="A345" s="33" t="s">
        <v>397</v>
      </c>
      <c r="B345" s="33" t="s">
        <v>64</v>
      </c>
      <c r="C345" s="39">
        <v>174483231</v>
      </c>
      <c r="D345" s="40">
        <v>4172511732</v>
      </c>
      <c r="E345" s="33" t="s">
        <v>22</v>
      </c>
      <c r="F345" s="41">
        <v>35219</v>
      </c>
      <c r="G345" s="42">
        <f t="shared" ca="1" si="5"/>
        <v>17</v>
      </c>
      <c r="H345" s="43">
        <v>3</v>
      </c>
      <c r="I345" s="44">
        <v>61030</v>
      </c>
    </row>
    <row r="346" spans="1:34" x14ac:dyDescent="0.25">
      <c r="A346" s="33" t="s">
        <v>398</v>
      </c>
      <c r="B346" s="33" t="s">
        <v>52</v>
      </c>
      <c r="C346" s="39">
        <v>904497673</v>
      </c>
      <c r="D346" s="40">
        <v>2186865606</v>
      </c>
      <c r="E346" s="33" t="s">
        <v>33</v>
      </c>
      <c r="F346" s="41">
        <v>33280</v>
      </c>
      <c r="G346" s="42">
        <f t="shared" ca="1" si="5"/>
        <v>22</v>
      </c>
      <c r="H346" s="43">
        <v>5</v>
      </c>
      <c r="I346" s="44">
        <v>25885</v>
      </c>
    </row>
    <row r="347" spans="1:34" x14ac:dyDescent="0.25">
      <c r="A347" s="33" t="s">
        <v>399</v>
      </c>
      <c r="B347" s="33" t="s">
        <v>32</v>
      </c>
      <c r="C347" s="39">
        <v>372693786</v>
      </c>
      <c r="D347" s="40">
        <v>9146052545</v>
      </c>
      <c r="E347" s="33" t="s">
        <v>33</v>
      </c>
      <c r="F347" s="41">
        <v>33061</v>
      </c>
      <c r="G347" s="42">
        <f t="shared" ca="1" si="5"/>
        <v>23</v>
      </c>
      <c r="H347" s="43">
        <v>3</v>
      </c>
      <c r="I347" s="44">
        <v>46380</v>
      </c>
    </row>
    <row r="348" spans="1:34" x14ac:dyDescent="0.25">
      <c r="A348" s="33" t="s">
        <v>400</v>
      </c>
      <c r="B348" s="33" t="s">
        <v>52</v>
      </c>
      <c r="C348" s="39">
        <v>891224981</v>
      </c>
      <c r="D348" s="40">
        <v>5126756847</v>
      </c>
      <c r="E348" s="33" t="s">
        <v>22</v>
      </c>
      <c r="F348" s="41">
        <v>32612</v>
      </c>
      <c r="G348" s="42">
        <f t="shared" ca="1" si="5"/>
        <v>24</v>
      </c>
      <c r="H348" s="43">
        <v>5</v>
      </c>
      <c r="I348" s="44">
        <v>53900</v>
      </c>
    </row>
    <row r="349" spans="1:34" x14ac:dyDescent="0.25">
      <c r="A349" s="33" t="s">
        <v>401</v>
      </c>
      <c r="B349" s="33" t="s">
        <v>32</v>
      </c>
      <c r="C349" s="39">
        <v>894855096</v>
      </c>
      <c r="D349" s="40">
        <v>2076798743</v>
      </c>
      <c r="E349" s="33" t="s">
        <v>22</v>
      </c>
      <c r="F349" s="41">
        <v>32850</v>
      </c>
      <c r="G349" s="42">
        <f t="shared" ca="1" si="5"/>
        <v>24</v>
      </c>
      <c r="H349" s="43">
        <v>1</v>
      </c>
      <c r="I349" s="44">
        <v>77740</v>
      </c>
      <c r="O349" s="35" t="s">
        <v>23</v>
      </c>
      <c r="P349" s="46">
        <v>35</v>
      </c>
      <c r="Q349" s="46">
        <v>38</v>
      </c>
      <c r="R349" s="46">
        <v>36</v>
      </c>
      <c r="S349" s="46">
        <v>48</v>
      </c>
      <c r="T349" s="46">
        <v>41</v>
      </c>
      <c r="U349" s="46"/>
      <c r="V349" s="35" t="s">
        <v>24</v>
      </c>
      <c r="W349" s="46">
        <v>39</v>
      </c>
      <c r="X349" s="46">
        <v>35</v>
      </c>
      <c r="Y349" s="46">
        <v>45</v>
      </c>
      <c r="Z349" s="46">
        <v>34</v>
      </c>
      <c r="AA349" s="46">
        <v>37</v>
      </c>
      <c r="AF349" s="34"/>
      <c r="AG349" s="50">
        <v>5000</v>
      </c>
      <c r="AH349" s="51">
        <v>0.01</v>
      </c>
    </row>
    <row r="350" spans="1:34" x14ac:dyDescent="0.25">
      <c r="A350" s="33" t="s">
        <v>402</v>
      </c>
      <c r="B350" s="33" t="s">
        <v>21</v>
      </c>
      <c r="C350" s="39">
        <v>312019803</v>
      </c>
      <c r="D350" s="40">
        <v>9044877123</v>
      </c>
      <c r="E350" s="33" t="s">
        <v>17</v>
      </c>
      <c r="F350" s="41">
        <v>36367</v>
      </c>
      <c r="G350" s="42">
        <f t="shared" ca="1" si="5"/>
        <v>14</v>
      </c>
      <c r="H350" s="43">
        <v>5</v>
      </c>
      <c r="I350" s="44">
        <v>68510</v>
      </c>
    </row>
    <row r="351" spans="1:34" x14ac:dyDescent="0.25">
      <c r="A351" s="33" t="s">
        <v>403</v>
      </c>
      <c r="B351" s="33" t="s">
        <v>16</v>
      </c>
      <c r="C351" s="39">
        <v>683670378</v>
      </c>
      <c r="D351" s="40">
        <v>9013788281</v>
      </c>
      <c r="E351" s="33" t="s">
        <v>17</v>
      </c>
      <c r="F351" s="41">
        <v>35072</v>
      </c>
      <c r="G351" s="42">
        <f t="shared" ca="1" si="5"/>
        <v>17</v>
      </c>
      <c r="H351" s="43">
        <v>2</v>
      </c>
      <c r="I351" s="44">
        <v>63850</v>
      </c>
    </row>
    <row r="352" spans="1:34" x14ac:dyDescent="0.25">
      <c r="A352" s="33" t="s">
        <v>404</v>
      </c>
      <c r="B352" s="33" t="s">
        <v>52</v>
      </c>
      <c r="C352" s="39">
        <v>693965055</v>
      </c>
      <c r="D352" s="40">
        <v>3173957018</v>
      </c>
      <c r="E352" s="33" t="s">
        <v>17</v>
      </c>
      <c r="F352" s="41">
        <v>39110</v>
      </c>
      <c r="G352" s="42">
        <f t="shared" ca="1" si="5"/>
        <v>6</v>
      </c>
      <c r="H352" s="43">
        <v>5</v>
      </c>
      <c r="I352" s="44">
        <v>43320</v>
      </c>
    </row>
    <row r="353" spans="1:10" x14ac:dyDescent="0.25">
      <c r="A353" s="33" t="s">
        <v>405</v>
      </c>
      <c r="B353" s="33" t="s">
        <v>16</v>
      </c>
      <c r="C353" s="39">
        <v>656572514</v>
      </c>
      <c r="D353" s="40">
        <v>4173274978</v>
      </c>
      <c r="E353" s="33" t="s">
        <v>33</v>
      </c>
      <c r="F353" s="41">
        <v>35511</v>
      </c>
      <c r="G353" s="42">
        <f t="shared" ca="1" si="5"/>
        <v>16</v>
      </c>
      <c r="H353" s="43">
        <v>3</v>
      </c>
      <c r="I353" s="44">
        <v>28880</v>
      </c>
    </row>
    <row r="354" spans="1:10" x14ac:dyDescent="0.25">
      <c r="A354" s="33" t="s">
        <v>406</v>
      </c>
      <c r="B354" s="33" t="s">
        <v>21</v>
      </c>
      <c r="C354" s="39">
        <v>279591317</v>
      </c>
      <c r="D354" s="40">
        <v>5124138160</v>
      </c>
      <c r="E354" s="33" t="s">
        <v>17</v>
      </c>
      <c r="F354" s="41">
        <v>34750</v>
      </c>
      <c r="G354" s="42">
        <f t="shared" ca="1" si="5"/>
        <v>18</v>
      </c>
      <c r="H354" s="43">
        <v>5</v>
      </c>
      <c r="I354" s="44">
        <v>28260</v>
      </c>
    </row>
    <row r="355" spans="1:10" x14ac:dyDescent="0.25">
      <c r="A355" s="33" t="s">
        <v>407</v>
      </c>
      <c r="B355" s="33" t="s">
        <v>16</v>
      </c>
      <c r="C355" s="39">
        <v>278129861</v>
      </c>
      <c r="D355" s="40">
        <v>3124106437</v>
      </c>
      <c r="E355" s="33" t="s">
        <v>33</v>
      </c>
      <c r="F355" s="41">
        <v>37752</v>
      </c>
      <c r="G355" s="42">
        <f t="shared" ca="1" si="5"/>
        <v>10</v>
      </c>
      <c r="H355" s="43">
        <v>5</v>
      </c>
      <c r="I355" s="44">
        <v>31255</v>
      </c>
    </row>
    <row r="356" spans="1:10" x14ac:dyDescent="0.25">
      <c r="A356" s="33" t="s">
        <v>408</v>
      </c>
      <c r="B356" s="33" t="s">
        <v>21</v>
      </c>
      <c r="C356" s="39">
        <v>502200672</v>
      </c>
      <c r="D356" s="40">
        <v>7168439277</v>
      </c>
      <c r="E356" s="33" t="s">
        <v>22</v>
      </c>
      <c r="F356" s="41">
        <v>39593</v>
      </c>
      <c r="G356" s="42">
        <f t="shared" ca="1" si="5"/>
        <v>5</v>
      </c>
      <c r="H356" s="43">
        <v>5</v>
      </c>
      <c r="I356" s="44">
        <v>35600</v>
      </c>
      <c r="J356" s="52"/>
    </row>
    <row r="357" spans="1:10" x14ac:dyDescent="0.25">
      <c r="A357" s="33" t="s">
        <v>409</v>
      </c>
      <c r="B357" s="33" t="s">
        <v>104</v>
      </c>
      <c r="C357" s="39">
        <v>219740602</v>
      </c>
      <c r="D357" s="40">
        <v>3142939413</v>
      </c>
      <c r="E357" s="33" t="s">
        <v>22</v>
      </c>
      <c r="F357" s="41">
        <v>38537</v>
      </c>
      <c r="G357" s="42">
        <f t="shared" ca="1" si="5"/>
        <v>8</v>
      </c>
      <c r="H357" s="43">
        <v>5</v>
      </c>
      <c r="I357" s="44">
        <v>43680</v>
      </c>
    </row>
    <row r="358" spans="1:10" x14ac:dyDescent="0.25">
      <c r="A358" s="33" t="s">
        <v>410</v>
      </c>
      <c r="B358" s="33" t="s">
        <v>16</v>
      </c>
      <c r="C358" s="39">
        <v>144722757</v>
      </c>
      <c r="D358" s="40">
        <v>3061777060</v>
      </c>
      <c r="E358" s="33" t="s">
        <v>17</v>
      </c>
      <c r="F358" s="41">
        <v>34337</v>
      </c>
      <c r="G358" s="42">
        <f t="shared" ca="1" si="5"/>
        <v>19</v>
      </c>
      <c r="H358" s="43">
        <v>5</v>
      </c>
      <c r="I358" s="44">
        <v>81930</v>
      </c>
    </row>
    <row r="359" spans="1:10" x14ac:dyDescent="0.25">
      <c r="A359" s="33" t="s">
        <v>411</v>
      </c>
      <c r="B359" s="33" t="s">
        <v>21</v>
      </c>
      <c r="C359" s="39">
        <v>213741822</v>
      </c>
      <c r="D359" s="40">
        <v>3022881600</v>
      </c>
      <c r="E359" s="33" t="s">
        <v>81</v>
      </c>
      <c r="F359" s="41">
        <v>39137</v>
      </c>
      <c r="G359" s="42">
        <f t="shared" ca="1" si="5"/>
        <v>6</v>
      </c>
      <c r="H359" s="43">
        <v>4</v>
      </c>
      <c r="I359" s="44">
        <v>10572</v>
      </c>
    </row>
    <row r="360" spans="1:10" x14ac:dyDescent="0.25">
      <c r="A360" s="33" t="s">
        <v>412</v>
      </c>
      <c r="B360" s="33" t="s">
        <v>40</v>
      </c>
      <c r="C360" s="39">
        <v>337370590</v>
      </c>
      <c r="D360" s="40">
        <v>7045317859</v>
      </c>
      <c r="E360" s="33" t="s">
        <v>22</v>
      </c>
      <c r="F360" s="41">
        <v>34697</v>
      </c>
      <c r="G360" s="42">
        <f t="shared" ca="1" si="5"/>
        <v>18</v>
      </c>
      <c r="H360" s="43">
        <v>4</v>
      </c>
      <c r="I360" s="44">
        <v>31690</v>
      </c>
    </row>
    <row r="361" spans="1:10" x14ac:dyDescent="0.25">
      <c r="A361" s="33" t="s">
        <v>413</v>
      </c>
      <c r="B361" s="33" t="s">
        <v>21</v>
      </c>
      <c r="C361" s="39">
        <v>247555666</v>
      </c>
      <c r="D361" s="40">
        <v>5183383207</v>
      </c>
      <c r="E361" s="33" t="s">
        <v>33</v>
      </c>
      <c r="F361" s="41">
        <v>34733</v>
      </c>
      <c r="G361" s="42">
        <f t="shared" ca="1" si="5"/>
        <v>18</v>
      </c>
      <c r="H361" s="43">
        <v>5</v>
      </c>
      <c r="I361" s="44">
        <v>46645</v>
      </c>
    </row>
    <row r="362" spans="1:10" x14ac:dyDescent="0.25">
      <c r="A362" s="33" t="s">
        <v>414</v>
      </c>
      <c r="B362" s="33" t="s">
        <v>16</v>
      </c>
      <c r="C362" s="39">
        <v>261486180</v>
      </c>
      <c r="D362" s="40">
        <v>9163820613</v>
      </c>
      <c r="E362" s="33" t="s">
        <v>17</v>
      </c>
      <c r="F362" s="41">
        <v>37886</v>
      </c>
      <c r="G362" s="42">
        <f t="shared" ca="1" si="5"/>
        <v>10</v>
      </c>
      <c r="H362" s="43">
        <v>3</v>
      </c>
      <c r="I362" s="44">
        <v>57520</v>
      </c>
    </row>
    <row r="363" spans="1:10" x14ac:dyDescent="0.25">
      <c r="A363" s="33" t="s">
        <v>415</v>
      </c>
      <c r="B363" s="33" t="s">
        <v>52</v>
      </c>
      <c r="C363" s="39">
        <v>978154935</v>
      </c>
      <c r="D363" s="40">
        <v>7078449868</v>
      </c>
      <c r="E363" s="33" t="s">
        <v>22</v>
      </c>
      <c r="F363" s="41">
        <v>33075</v>
      </c>
      <c r="G363" s="42">
        <f t="shared" ca="1" si="5"/>
        <v>23</v>
      </c>
      <c r="H363" s="43">
        <v>3</v>
      </c>
      <c r="I363" s="44">
        <v>65571</v>
      </c>
    </row>
    <row r="364" spans="1:10" x14ac:dyDescent="0.25">
      <c r="A364" s="33" t="s">
        <v>416</v>
      </c>
      <c r="B364" s="33" t="s">
        <v>40</v>
      </c>
      <c r="C364" s="39">
        <v>991656720</v>
      </c>
      <c r="D364" s="40">
        <v>9128642893</v>
      </c>
      <c r="E364" s="33" t="s">
        <v>22</v>
      </c>
      <c r="F364" s="41">
        <v>33815</v>
      </c>
      <c r="G364" s="42">
        <f t="shared" ca="1" si="5"/>
        <v>21</v>
      </c>
      <c r="H364" s="43">
        <v>2</v>
      </c>
      <c r="I364" s="44">
        <v>73850</v>
      </c>
    </row>
    <row r="365" spans="1:10" x14ac:dyDescent="0.25">
      <c r="A365" s="33" t="s">
        <v>417</v>
      </c>
      <c r="B365" s="33" t="s">
        <v>21</v>
      </c>
      <c r="C365" s="39">
        <v>332494481</v>
      </c>
      <c r="D365" s="40">
        <v>6125236892</v>
      </c>
      <c r="E365" s="33" t="s">
        <v>17</v>
      </c>
      <c r="F365" s="41">
        <v>34739</v>
      </c>
      <c r="G365" s="42">
        <f t="shared" ca="1" si="5"/>
        <v>18</v>
      </c>
      <c r="H365" s="43">
        <v>4</v>
      </c>
      <c r="I365" s="44">
        <v>52940</v>
      </c>
    </row>
    <row r="366" spans="1:10" x14ac:dyDescent="0.25">
      <c r="A366" s="33" t="s">
        <v>418</v>
      </c>
      <c r="B366" s="33" t="s">
        <v>64</v>
      </c>
      <c r="C366" s="39">
        <v>765836666</v>
      </c>
      <c r="D366" s="40">
        <v>6115043141</v>
      </c>
      <c r="E366" s="33" t="s">
        <v>17</v>
      </c>
      <c r="F366" s="41">
        <v>35238</v>
      </c>
      <c r="G366" s="42">
        <f t="shared" ca="1" si="5"/>
        <v>17</v>
      </c>
      <c r="H366" s="43">
        <v>5</v>
      </c>
      <c r="I366" s="44">
        <v>85480</v>
      </c>
    </row>
    <row r="367" spans="1:10" x14ac:dyDescent="0.25">
      <c r="A367" s="33" t="s">
        <v>419</v>
      </c>
      <c r="B367" s="33" t="s">
        <v>71</v>
      </c>
      <c r="C367" s="39">
        <v>124203063</v>
      </c>
      <c r="D367" s="40">
        <v>8141603964</v>
      </c>
      <c r="E367" s="33" t="s">
        <v>22</v>
      </c>
      <c r="F367" s="41">
        <v>32636</v>
      </c>
      <c r="G367" s="42">
        <f t="shared" ca="1" si="5"/>
        <v>24</v>
      </c>
      <c r="H367" s="43">
        <v>1</v>
      </c>
      <c r="I367" s="44">
        <v>71730</v>
      </c>
    </row>
    <row r="368" spans="1:10" x14ac:dyDescent="0.25">
      <c r="A368" s="33" t="s">
        <v>420</v>
      </c>
      <c r="B368" s="33" t="s">
        <v>83</v>
      </c>
      <c r="C368" s="39">
        <v>349979288</v>
      </c>
      <c r="D368" s="40">
        <v>3185604891</v>
      </c>
      <c r="E368" s="33" t="s">
        <v>22</v>
      </c>
      <c r="F368" s="41">
        <v>36797</v>
      </c>
      <c r="G368" s="42">
        <f t="shared" ca="1" si="5"/>
        <v>13</v>
      </c>
      <c r="H368" s="43">
        <v>5</v>
      </c>
      <c r="I368" s="44">
        <v>59140</v>
      </c>
    </row>
    <row r="369" spans="1:9" x14ac:dyDescent="0.25">
      <c r="A369" s="33" t="s">
        <v>421</v>
      </c>
      <c r="B369" s="33" t="s">
        <v>21</v>
      </c>
      <c r="C369" s="39">
        <v>339488599</v>
      </c>
      <c r="D369" s="40">
        <v>8025402828</v>
      </c>
      <c r="E369" s="33" t="s">
        <v>22</v>
      </c>
      <c r="F369" s="41">
        <v>36721</v>
      </c>
      <c r="G369" s="42">
        <f t="shared" ca="1" si="5"/>
        <v>13</v>
      </c>
      <c r="H369" s="43">
        <v>3</v>
      </c>
      <c r="I369" s="44">
        <v>62750</v>
      </c>
    </row>
    <row r="370" spans="1:9" x14ac:dyDescent="0.25">
      <c r="A370" s="33" t="s">
        <v>422</v>
      </c>
      <c r="B370" s="33" t="s">
        <v>64</v>
      </c>
      <c r="C370" s="39">
        <v>720538680</v>
      </c>
      <c r="D370" s="40">
        <v>7094436681</v>
      </c>
      <c r="E370" s="33" t="s">
        <v>22</v>
      </c>
      <c r="F370" s="41">
        <v>34386</v>
      </c>
      <c r="G370" s="42">
        <f t="shared" ca="1" si="5"/>
        <v>19</v>
      </c>
      <c r="H370" s="43">
        <v>5</v>
      </c>
      <c r="I370" s="44">
        <v>67890</v>
      </c>
    </row>
    <row r="371" spans="1:9" x14ac:dyDescent="0.25">
      <c r="A371" s="33" t="s">
        <v>423</v>
      </c>
      <c r="B371" s="33" t="s">
        <v>32</v>
      </c>
      <c r="C371" s="39">
        <v>733881041</v>
      </c>
      <c r="D371" s="40">
        <v>3134629972</v>
      </c>
      <c r="E371" s="33" t="s">
        <v>33</v>
      </c>
      <c r="F371" s="41">
        <v>35607</v>
      </c>
      <c r="G371" s="42">
        <f t="shared" ca="1" si="5"/>
        <v>16</v>
      </c>
      <c r="H371" s="43">
        <v>4</v>
      </c>
      <c r="I371" s="44">
        <v>22475</v>
      </c>
    </row>
    <row r="372" spans="1:9" x14ac:dyDescent="0.25">
      <c r="A372" s="33" t="s">
        <v>424</v>
      </c>
      <c r="B372" s="33" t="s">
        <v>16</v>
      </c>
      <c r="C372" s="39">
        <v>165917010</v>
      </c>
      <c r="D372" s="40">
        <v>9172339143</v>
      </c>
      <c r="E372" s="33" t="s">
        <v>22</v>
      </c>
      <c r="F372" s="41">
        <v>33457</v>
      </c>
      <c r="G372" s="42">
        <f t="shared" ca="1" si="5"/>
        <v>22</v>
      </c>
      <c r="H372" s="43">
        <v>4</v>
      </c>
      <c r="I372" s="44">
        <v>86540</v>
      </c>
    </row>
    <row r="373" spans="1:9" x14ac:dyDescent="0.25">
      <c r="A373" s="33" t="s">
        <v>425</v>
      </c>
      <c r="B373" s="33" t="s">
        <v>61</v>
      </c>
      <c r="C373" s="39">
        <v>601942708</v>
      </c>
      <c r="D373" s="40">
        <v>6152212512</v>
      </c>
      <c r="E373" s="33" t="s">
        <v>17</v>
      </c>
      <c r="F373" s="41">
        <v>33201</v>
      </c>
      <c r="G373" s="42">
        <f t="shared" ca="1" si="5"/>
        <v>23</v>
      </c>
      <c r="H373" s="43">
        <v>1</v>
      </c>
      <c r="I373" s="44">
        <v>32650</v>
      </c>
    </row>
    <row r="374" spans="1:9" x14ac:dyDescent="0.25">
      <c r="A374" s="33" t="s">
        <v>426</v>
      </c>
      <c r="B374" s="33" t="s">
        <v>21</v>
      </c>
      <c r="C374" s="39">
        <v>962553692</v>
      </c>
      <c r="D374" s="40">
        <v>3088213594</v>
      </c>
      <c r="E374" s="33" t="s">
        <v>33</v>
      </c>
      <c r="F374" s="41">
        <v>37010</v>
      </c>
      <c r="G374" s="42">
        <f t="shared" ca="1" si="5"/>
        <v>12</v>
      </c>
      <c r="H374" s="43">
        <v>1</v>
      </c>
      <c r="I374" s="44">
        <v>24460</v>
      </c>
    </row>
    <row r="375" spans="1:9" x14ac:dyDescent="0.25">
      <c r="A375" s="33" t="s">
        <v>427</v>
      </c>
      <c r="B375" s="33" t="s">
        <v>61</v>
      </c>
      <c r="C375" s="39">
        <v>862698919</v>
      </c>
      <c r="D375" s="40">
        <v>4056252690</v>
      </c>
      <c r="E375" s="33" t="s">
        <v>81</v>
      </c>
      <c r="F375" s="41">
        <v>39793</v>
      </c>
      <c r="G375" s="42">
        <f t="shared" ca="1" si="5"/>
        <v>4</v>
      </c>
      <c r="H375" s="43">
        <v>5</v>
      </c>
      <c r="I375" s="44">
        <v>15056</v>
      </c>
    </row>
    <row r="376" spans="1:9" x14ac:dyDescent="0.25">
      <c r="A376" s="33" t="s">
        <v>428</v>
      </c>
      <c r="B376" s="33" t="s">
        <v>64</v>
      </c>
      <c r="C376" s="39">
        <v>900160539</v>
      </c>
      <c r="D376" s="40">
        <v>4136822349</v>
      </c>
      <c r="E376" s="33" t="s">
        <v>81</v>
      </c>
      <c r="F376" s="41">
        <v>35877</v>
      </c>
      <c r="G376" s="42">
        <f t="shared" ca="1" si="5"/>
        <v>15</v>
      </c>
      <c r="H376" s="43">
        <v>5</v>
      </c>
      <c r="I376" s="44">
        <v>33056</v>
      </c>
    </row>
    <row r="377" spans="1:9" x14ac:dyDescent="0.25">
      <c r="A377" s="33" t="s">
        <v>429</v>
      </c>
      <c r="B377" s="33" t="s">
        <v>126</v>
      </c>
      <c r="C377" s="39">
        <v>688769770</v>
      </c>
      <c r="D377" s="40">
        <v>5013883356</v>
      </c>
      <c r="E377" s="33" t="s">
        <v>81</v>
      </c>
      <c r="F377" s="41">
        <v>33236</v>
      </c>
      <c r="G377" s="42">
        <f t="shared" ca="1" si="5"/>
        <v>22</v>
      </c>
      <c r="H377" s="43">
        <v>2</v>
      </c>
      <c r="I377" s="44">
        <v>35680</v>
      </c>
    </row>
    <row r="378" spans="1:9" x14ac:dyDescent="0.25">
      <c r="A378" s="33" t="s">
        <v>430</v>
      </c>
      <c r="B378" s="33" t="s">
        <v>21</v>
      </c>
      <c r="C378" s="39">
        <v>963000861</v>
      </c>
      <c r="D378" s="40">
        <v>7148244224</v>
      </c>
      <c r="E378" s="33" t="s">
        <v>17</v>
      </c>
      <c r="F378" s="41">
        <v>37434</v>
      </c>
      <c r="G378" s="42">
        <f t="shared" ca="1" si="5"/>
        <v>11</v>
      </c>
      <c r="H378" s="43">
        <v>2</v>
      </c>
      <c r="I378" s="44">
        <v>57410</v>
      </c>
    </row>
    <row r="379" spans="1:9" x14ac:dyDescent="0.25">
      <c r="A379" s="33" t="s">
        <v>431</v>
      </c>
      <c r="B379" s="33" t="s">
        <v>174</v>
      </c>
      <c r="C379" s="39">
        <v>709234421</v>
      </c>
      <c r="D379" s="40">
        <v>5194323329</v>
      </c>
      <c r="E379" s="33" t="s">
        <v>33</v>
      </c>
      <c r="F379" s="41">
        <v>35947</v>
      </c>
      <c r="G379" s="42">
        <f t="shared" ca="1" si="5"/>
        <v>15</v>
      </c>
      <c r="H379" s="43">
        <v>2</v>
      </c>
      <c r="I379" s="44">
        <v>31250</v>
      </c>
    </row>
    <row r="380" spans="1:9" x14ac:dyDescent="0.25">
      <c r="A380" s="33" t="s">
        <v>432</v>
      </c>
      <c r="B380" s="33" t="s">
        <v>32</v>
      </c>
      <c r="C380" s="39">
        <v>619465100</v>
      </c>
      <c r="D380" s="40">
        <v>6182390604</v>
      </c>
      <c r="E380" s="33" t="s">
        <v>22</v>
      </c>
      <c r="F380" s="41">
        <v>35526</v>
      </c>
      <c r="G380" s="42">
        <f t="shared" ca="1" si="5"/>
        <v>16</v>
      </c>
      <c r="H380" s="43">
        <v>4</v>
      </c>
      <c r="I380" s="44">
        <v>45000</v>
      </c>
    </row>
    <row r="381" spans="1:9" x14ac:dyDescent="0.25">
      <c r="A381" s="33" t="s">
        <v>433</v>
      </c>
      <c r="B381" s="33" t="s">
        <v>158</v>
      </c>
      <c r="C381" s="39">
        <v>620072502</v>
      </c>
      <c r="D381" s="40">
        <v>5152400511</v>
      </c>
      <c r="E381" s="33" t="s">
        <v>17</v>
      </c>
      <c r="F381" s="41">
        <v>32635</v>
      </c>
      <c r="G381" s="42">
        <f t="shared" ca="1" si="5"/>
        <v>24</v>
      </c>
      <c r="H381" s="43">
        <v>2</v>
      </c>
      <c r="I381" s="44">
        <v>80050</v>
      </c>
    </row>
    <row r="382" spans="1:9" x14ac:dyDescent="0.25">
      <c r="A382" s="33" t="s">
        <v>434</v>
      </c>
      <c r="B382" s="33" t="s">
        <v>64</v>
      </c>
      <c r="C382" s="39">
        <v>728567428</v>
      </c>
      <c r="D382" s="40">
        <v>7064605984</v>
      </c>
      <c r="E382" s="33" t="s">
        <v>17</v>
      </c>
      <c r="F382" s="41">
        <v>34895</v>
      </c>
      <c r="G382" s="42">
        <f t="shared" ca="1" si="5"/>
        <v>18</v>
      </c>
      <c r="H382" s="43">
        <v>5</v>
      </c>
      <c r="I382" s="44">
        <v>74740</v>
      </c>
    </row>
    <row r="383" spans="1:9" x14ac:dyDescent="0.25">
      <c r="A383" s="33" t="s">
        <v>435</v>
      </c>
      <c r="B383" s="33" t="s">
        <v>16</v>
      </c>
      <c r="C383" s="39">
        <v>197789466</v>
      </c>
      <c r="D383" s="40">
        <v>3042715355</v>
      </c>
      <c r="E383" s="33" t="s">
        <v>22</v>
      </c>
      <c r="F383" s="41">
        <v>33424</v>
      </c>
      <c r="G383" s="42">
        <f t="shared" ca="1" si="5"/>
        <v>22</v>
      </c>
      <c r="H383" s="43">
        <v>5</v>
      </c>
      <c r="I383" s="44">
        <v>45180</v>
      </c>
    </row>
    <row r="384" spans="1:9" x14ac:dyDescent="0.25">
      <c r="A384" s="33" t="s">
        <v>436</v>
      </c>
      <c r="B384" s="33" t="s">
        <v>32</v>
      </c>
      <c r="C384" s="39">
        <v>999156829</v>
      </c>
      <c r="D384" s="40">
        <v>6048986390</v>
      </c>
      <c r="E384" s="33" t="s">
        <v>22</v>
      </c>
      <c r="F384" s="41">
        <v>37091</v>
      </c>
      <c r="G384" s="42">
        <f t="shared" ca="1" si="5"/>
        <v>12</v>
      </c>
      <c r="H384" s="43">
        <v>3</v>
      </c>
      <c r="I384" s="44">
        <v>23560</v>
      </c>
    </row>
    <row r="385" spans="1:9" x14ac:dyDescent="0.25">
      <c r="A385" s="33" t="s">
        <v>437</v>
      </c>
      <c r="B385" s="33" t="s">
        <v>64</v>
      </c>
      <c r="C385" s="39">
        <v>313358310</v>
      </c>
      <c r="D385" s="40">
        <v>5074914916</v>
      </c>
      <c r="E385" s="33" t="s">
        <v>22</v>
      </c>
      <c r="F385" s="41">
        <v>33136</v>
      </c>
      <c r="G385" s="42">
        <f t="shared" ca="1" si="5"/>
        <v>23</v>
      </c>
      <c r="H385" s="43">
        <v>3</v>
      </c>
      <c r="I385" s="44">
        <v>31830</v>
      </c>
    </row>
    <row r="386" spans="1:9" x14ac:dyDescent="0.25">
      <c r="A386" s="33" t="s">
        <v>438</v>
      </c>
      <c r="B386" s="33" t="s">
        <v>32</v>
      </c>
      <c r="C386" s="39">
        <v>796079833</v>
      </c>
      <c r="D386" s="40">
        <v>9035506190</v>
      </c>
      <c r="E386" s="33" t="s">
        <v>17</v>
      </c>
      <c r="F386" s="41">
        <v>33868</v>
      </c>
      <c r="G386" s="42">
        <f t="shared" ref="G386:G449" ca="1" si="6">DATEDIF(F386,TODAY(),"Y")</f>
        <v>21</v>
      </c>
      <c r="H386" s="43">
        <v>1</v>
      </c>
      <c r="I386" s="44">
        <v>56650</v>
      </c>
    </row>
    <row r="387" spans="1:9" x14ac:dyDescent="0.25">
      <c r="A387" s="33" t="s">
        <v>439</v>
      </c>
      <c r="B387" s="33" t="s">
        <v>68</v>
      </c>
      <c r="C387" s="39">
        <v>936730279</v>
      </c>
      <c r="D387" s="40">
        <v>8077713771</v>
      </c>
      <c r="E387" s="33" t="s">
        <v>33</v>
      </c>
      <c r="F387" s="41">
        <v>37172</v>
      </c>
      <c r="G387" s="42">
        <f t="shared" ca="1" si="6"/>
        <v>12</v>
      </c>
      <c r="H387" s="43">
        <v>3</v>
      </c>
      <c r="I387" s="44">
        <v>17735</v>
      </c>
    </row>
    <row r="388" spans="1:9" x14ac:dyDescent="0.25">
      <c r="A388" s="33" t="s">
        <v>440</v>
      </c>
      <c r="B388" s="33" t="s">
        <v>40</v>
      </c>
      <c r="C388" s="39">
        <v>741258203</v>
      </c>
      <c r="D388" s="40">
        <v>2054694995</v>
      </c>
      <c r="E388" s="33" t="s">
        <v>22</v>
      </c>
      <c r="F388" s="41">
        <v>36062</v>
      </c>
      <c r="G388" s="42">
        <f t="shared" ca="1" si="6"/>
        <v>15</v>
      </c>
      <c r="H388" s="43">
        <v>5</v>
      </c>
      <c r="I388" s="44">
        <v>65320</v>
      </c>
    </row>
    <row r="389" spans="1:9" x14ac:dyDescent="0.25">
      <c r="A389" s="33" t="s">
        <v>441</v>
      </c>
      <c r="B389" s="33" t="s">
        <v>40</v>
      </c>
      <c r="C389" s="39">
        <v>475671127</v>
      </c>
      <c r="D389" s="40">
        <v>3137909707</v>
      </c>
      <c r="E389" s="33" t="s">
        <v>22</v>
      </c>
      <c r="F389" s="41">
        <v>33347</v>
      </c>
      <c r="G389" s="42">
        <f t="shared" ca="1" si="6"/>
        <v>22</v>
      </c>
      <c r="H389" s="43">
        <v>3</v>
      </c>
      <c r="I389" s="44">
        <v>59490</v>
      </c>
    </row>
    <row r="390" spans="1:9" x14ac:dyDescent="0.25">
      <c r="A390" s="33" t="s">
        <v>442</v>
      </c>
      <c r="B390" s="33" t="s">
        <v>64</v>
      </c>
      <c r="C390" s="39">
        <v>365117800</v>
      </c>
      <c r="D390" s="40">
        <v>7135918708</v>
      </c>
      <c r="E390" s="33" t="s">
        <v>22</v>
      </c>
      <c r="F390" s="41">
        <v>33285</v>
      </c>
      <c r="G390" s="42">
        <f t="shared" ca="1" si="6"/>
        <v>22</v>
      </c>
      <c r="H390" s="43">
        <v>4</v>
      </c>
      <c r="I390" s="44">
        <v>71670</v>
      </c>
    </row>
    <row r="391" spans="1:9" x14ac:dyDescent="0.25">
      <c r="A391" s="33" t="s">
        <v>443</v>
      </c>
      <c r="B391" s="33" t="s">
        <v>61</v>
      </c>
      <c r="C391" s="39">
        <v>470719383</v>
      </c>
      <c r="D391" s="40">
        <v>3087710498</v>
      </c>
      <c r="E391" s="33" t="s">
        <v>22</v>
      </c>
      <c r="F391" s="41">
        <v>33010</v>
      </c>
      <c r="G391" s="42">
        <f t="shared" ca="1" si="6"/>
        <v>23</v>
      </c>
      <c r="H391" s="43">
        <v>2</v>
      </c>
      <c r="I391" s="44">
        <v>43190</v>
      </c>
    </row>
    <row r="392" spans="1:9" x14ac:dyDescent="0.25">
      <c r="A392" s="33" t="s">
        <v>444</v>
      </c>
      <c r="B392" s="33" t="s">
        <v>52</v>
      </c>
      <c r="C392" s="39">
        <v>759471070</v>
      </c>
      <c r="D392" s="40">
        <v>3054919822</v>
      </c>
      <c r="E392" s="33" t="s">
        <v>33</v>
      </c>
      <c r="F392" s="41">
        <v>35232</v>
      </c>
      <c r="G392" s="42">
        <f t="shared" ca="1" si="6"/>
        <v>17</v>
      </c>
      <c r="H392" s="43">
        <v>5</v>
      </c>
      <c r="I392" s="44">
        <v>39530</v>
      </c>
    </row>
    <row r="393" spans="1:9" x14ac:dyDescent="0.25">
      <c r="A393" s="33" t="s">
        <v>445</v>
      </c>
      <c r="B393" s="33" t="s">
        <v>52</v>
      </c>
      <c r="C393" s="39">
        <v>876082195</v>
      </c>
      <c r="D393" s="40">
        <v>8086530760</v>
      </c>
      <c r="E393" s="33" t="s">
        <v>22</v>
      </c>
      <c r="F393" s="41">
        <v>33101</v>
      </c>
      <c r="G393" s="42">
        <f t="shared" ca="1" si="6"/>
        <v>23</v>
      </c>
      <c r="H393" s="43">
        <v>4</v>
      </c>
      <c r="I393" s="44">
        <v>68470</v>
      </c>
    </row>
    <row r="394" spans="1:9" x14ac:dyDescent="0.25">
      <c r="A394" s="33" t="s">
        <v>446</v>
      </c>
      <c r="B394" s="33" t="s">
        <v>32</v>
      </c>
      <c r="C394" s="39">
        <v>377194926</v>
      </c>
      <c r="D394" s="40">
        <v>9146079829</v>
      </c>
      <c r="E394" s="33" t="s">
        <v>81</v>
      </c>
      <c r="F394" s="41">
        <v>35418</v>
      </c>
      <c r="G394" s="42">
        <f t="shared" ca="1" si="6"/>
        <v>16</v>
      </c>
      <c r="H394" s="43">
        <v>3</v>
      </c>
      <c r="I394" s="44">
        <v>16688</v>
      </c>
    </row>
    <row r="395" spans="1:9" x14ac:dyDescent="0.25">
      <c r="A395" s="33" t="s">
        <v>447</v>
      </c>
      <c r="B395" s="33" t="s">
        <v>158</v>
      </c>
      <c r="C395" s="39">
        <v>577239513</v>
      </c>
      <c r="D395" s="40">
        <v>7021806180</v>
      </c>
      <c r="E395" s="33" t="s">
        <v>22</v>
      </c>
      <c r="F395" s="41">
        <v>34877</v>
      </c>
      <c r="G395" s="42">
        <f t="shared" ca="1" si="6"/>
        <v>18</v>
      </c>
      <c r="H395" s="43">
        <v>4</v>
      </c>
      <c r="I395" s="44">
        <v>80120</v>
      </c>
    </row>
    <row r="396" spans="1:9" x14ac:dyDescent="0.25">
      <c r="A396" s="33" t="s">
        <v>448</v>
      </c>
      <c r="B396" s="33" t="s">
        <v>64</v>
      </c>
      <c r="C396" s="39">
        <v>639314672</v>
      </c>
      <c r="D396" s="40">
        <v>7032783818</v>
      </c>
      <c r="E396" s="33" t="s">
        <v>17</v>
      </c>
      <c r="F396" s="41">
        <v>35860</v>
      </c>
      <c r="G396" s="42">
        <f t="shared" ca="1" si="6"/>
        <v>15</v>
      </c>
      <c r="H396" s="43">
        <v>3</v>
      </c>
      <c r="I396" s="44">
        <v>23560</v>
      </c>
    </row>
    <row r="397" spans="1:9" x14ac:dyDescent="0.25">
      <c r="A397" s="33" t="s">
        <v>449</v>
      </c>
      <c r="B397" s="33" t="s">
        <v>40</v>
      </c>
      <c r="C397" s="39">
        <v>252276921</v>
      </c>
      <c r="D397" s="40">
        <v>7133542524</v>
      </c>
      <c r="E397" s="33" t="s">
        <v>17</v>
      </c>
      <c r="F397" s="41">
        <v>35216</v>
      </c>
      <c r="G397" s="42">
        <f t="shared" ca="1" si="6"/>
        <v>17</v>
      </c>
      <c r="H397" s="43">
        <v>3</v>
      </c>
      <c r="I397" s="44">
        <v>45030</v>
      </c>
    </row>
    <row r="398" spans="1:9" x14ac:dyDescent="0.25">
      <c r="A398" s="33" t="s">
        <v>450</v>
      </c>
      <c r="B398" s="33" t="s">
        <v>40</v>
      </c>
      <c r="C398" s="39">
        <v>999789446</v>
      </c>
      <c r="D398" s="40">
        <v>4038999194</v>
      </c>
      <c r="E398" s="33" t="s">
        <v>22</v>
      </c>
      <c r="F398" s="41">
        <v>35633</v>
      </c>
      <c r="G398" s="42">
        <f t="shared" ca="1" si="6"/>
        <v>16</v>
      </c>
      <c r="H398" s="43">
        <v>3</v>
      </c>
      <c r="I398" s="44">
        <v>77680</v>
      </c>
    </row>
    <row r="399" spans="1:9" x14ac:dyDescent="0.25">
      <c r="A399" s="33" t="s">
        <v>451</v>
      </c>
      <c r="B399" s="33" t="s">
        <v>158</v>
      </c>
      <c r="C399" s="39">
        <v>932787692</v>
      </c>
      <c r="D399" s="40">
        <v>4177662359</v>
      </c>
      <c r="E399" s="33" t="s">
        <v>22</v>
      </c>
      <c r="F399" s="41">
        <v>33213</v>
      </c>
      <c r="G399" s="42">
        <f t="shared" ca="1" si="6"/>
        <v>23</v>
      </c>
      <c r="H399" s="43">
        <v>4</v>
      </c>
      <c r="I399" s="44">
        <v>82760</v>
      </c>
    </row>
    <row r="400" spans="1:9" x14ac:dyDescent="0.25">
      <c r="A400" s="33" t="s">
        <v>452</v>
      </c>
      <c r="B400" s="33" t="s">
        <v>40</v>
      </c>
      <c r="C400" s="39">
        <v>186821354</v>
      </c>
      <c r="D400" s="40">
        <v>9062612740</v>
      </c>
      <c r="E400" s="33" t="s">
        <v>22</v>
      </c>
      <c r="F400" s="41">
        <v>36885</v>
      </c>
      <c r="G400" s="42">
        <f t="shared" ca="1" si="6"/>
        <v>12</v>
      </c>
      <c r="H400" s="43">
        <v>2</v>
      </c>
      <c r="I400" s="44">
        <v>60300</v>
      </c>
    </row>
    <row r="401" spans="1:34" x14ac:dyDescent="0.25">
      <c r="A401" s="33" t="s">
        <v>453</v>
      </c>
      <c r="B401" s="33" t="s">
        <v>32</v>
      </c>
      <c r="C401" s="39">
        <v>180095803</v>
      </c>
      <c r="D401" s="40">
        <v>9182551469</v>
      </c>
      <c r="E401" s="33" t="s">
        <v>22</v>
      </c>
      <c r="F401" s="41">
        <v>32751</v>
      </c>
      <c r="G401" s="42">
        <f t="shared" ca="1" si="6"/>
        <v>24</v>
      </c>
      <c r="H401" s="43">
        <v>4</v>
      </c>
      <c r="I401" s="44">
        <v>24090</v>
      </c>
    </row>
    <row r="402" spans="1:34" x14ac:dyDescent="0.25">
      <c r="A402" s="33" t="s">
        <v>454</v>
      </c>
      <c r="B402" s="33" t="s">
        <v>64</v>
      </c>
      <c r="C402" s="39">
        <v>466293520</v>
      </c>
      <c r="D402" s="40">
        <v>2067515181</v>
      </c>
      <c r="E402" s="33" t="s">
        <v>33</v>
      </c>
      <c r="F402" s="41">
        <v>32862</v>
      </c>
      <c r="G402" s="42">
        <f t="shared" ca="1" si="6"/>
        <v>23</v>
      </c>
      <c r="H402" s="43">
        <v>3</v>
      </c>
      <c r="I402" s="44">
        <v>13800</v>
      </c>
    </row>
    <row r="403" spans="1:34" x14ac:dyDescent="0.25">
      <c r="A403" s="33" t="s">
        <v>455</v>
      </c>
      <c r="B403" s="33" t="s">
        <v>21</v>
      </c>
      <c r="C403" s="39">
        <v>296641985</v>
      </c>
      <c r="D403" s="40">
        <v>4174618773</v>
      </c>
      <c r="E403" s="33" t="s">
        <v>33</v>
      </c>
      <c r="F403" s="41">
        <v>35197</v>
      </c>
      <c r="G403" s="42">
        <f t="shared" ca="1" si="6"/>
        <v>17</v>
      </c>
      <c r="H403" s="43">
        <v>5</v>
      </c>
      <c r="I403" s="44">
        <v>48835</v>
      </c>
    </row>
    <row r="404" spans="1:34" x14ac:dyDescent="0.25">
      <c r="A404" s="33" t="s">
        <v>456</v>
      </c>
      <c r="B404" s="33" t="s">
        <v>52</v>
      </c>
      <c r="C404" s="39">
        <v>964243524</v>
      </c>
      <c r="D404" s="40">
        <v>5168253211</v>
      </c>
      <c r="E404" s="33" t="s">
        <v>22</v>
      </c>
      <c r="F404" s="41">
        <v>34959</v>
      </c>
      <c r="G404" s="42">
        <f t="shared" ca="1" si="6"/>
        <v>18</v>
      </c>
      <c r="H404" s="43">
        <v>5</v>
      </c>
      <c r="I404" s="44">
        <v>37770</v>
      </c>
    </row>
    <row r="405" spans="1:34" x14ac:dyDescent="0.25">
      <c r="A405" s="33" t="s">
        <v>457</v>
      </c>
      <c r="B405" s="33" t="s">
        <v>40</v>
      </c>
      <c r="C405" s="39">
        <v>983891302</v>
      </c>
      <c r="D405" s="40">
        <v>6068561246</v>
      </c>
      <c r="E405" s="33" t="s">
        <v>17</v>
      </c>
      <c r="F405" s="41">
        <v>33549</v>
      </c>
      <c r="G405" s="42">
        <f t="shared" ca="1" si="6"/>
        <v>22</v>
      </c>
      <c r="H405" s="43">
        <v>3</v>
      </c>
      <c r="I405" s="44">
        <v>35240</v>
      </c>
    </row>
    <row r="406" spans="1:34" x14ac:dyDescent="0.25">
      <c r="A406" s="33" t="s">
        <v>458</v>
      </c>
      <c r="B406" s="33" t="s">
        <v>21</v>
      </c>
      <c r="C406" s="39">
        <v>552528553</v>
      </c>
      <c r="D406" s="40">
        <v>5161376854</v>
      </c>
      <c r="E406" s="33" t="s">
        <v>33</v>
      </c>
      <c r="F406" s="41">
        <v>35893</v>
      </c>
      <c r="G406" s="42">
        <f t="shared" ca="1" si="6"/>
        <v>15</v>
      </c>
      <c r="H406" s="43">
        <v>1</v>
      </c>
      <c r="I406" s="44">
        <v>41615</v>
      </c>
    </row>
    <row r="407" spans="1:34" x14ac:dyDescent="0.25">
      <c r="A407" s="33" t="s">
        <v>459</v>
      </c>
      <c r="B407" s="33" t="s">
        <v>32</v>
      </c>
      <c r="C407" s="39">
        <v>369210573</v>
      </c>
      <c r="D407" s="40">
        <v>4016026842</v>
      </c>
      <c r="E407" s="33" t="s">
        <v>17</v>
      </c>
      <c r="F407" s="41">
        <v>33028</v>
      </c>
      <c r="G407" s="42">
        <f t="shared" ca="1" si="6"/>
        <v>23</v>
      </c>
      <c r="H407" s="43">
        <v>3</v>
      </c>
      <c r="I407" s="44">
        <v>47590</v>
      </c>
    </row>
    <row r="408" spans="1:34" x14ac:dyDescent="0.25">
      <c r="A408" s="33" t="s">
        <v>460</v>
      </c>
      <c r="B408" s="33" t="s">
        <v>40</v>
      </c>
      <c r="C408" s="39">
        <v>683222853</v>
      </c>
      <c r="D408" s="40">
        <v>4083744359</v>
      </c>
      <c r="E408" s="33" t="s">
        <v>22</v>
      </c>
      <c r="F408" s="41">
        <v>40070</v>
      </c>
      <c r="G408" s="42">
        <f t="shared" ca="1" si="6"/>
        <v>4</v>
      </c>
      <c r="H408" s="43">
        <v>5</v>
      </c>
      <c r="I408" s="44">
        <v>40260</v>
      </c>
    </row>
    <row r="409" spans="1:34" x14ac:dyDescent="0.25">
      <c r="A409" s="33" t="s">
        <v>461</v>
      </c>
      <c r="B409" s="33" t="s">
        <v>158</v>
      </c>
      <c r="C409" s="39">
        <v>148899089</v>
      </c>
      <c r="D409" s="40">
        <v>9151919147</v>
      </c>
      <c r="E409" s="33" t="s">
        <v>22</v>
      </c>
      <c r="F409" s="41">
        <v>35467</v>
      </c>
      <c r="G409" s="42">
        <f t="shared" ca="1" si="6"/>
        <v>16</v>
      </c>
      <c r="H409" s="43">
        <v>1</v>
      </c>
      <c r="I409" s="44">
        <v>50110</v>
      </c>
    </row>
    <row r="410" spans="1:34" x14ac:dyDescent="0.25">
      <c r="A410" s="33" t="s">
        <v>462</v>
      </c>
      <c r="B410" s="33" t="s">
        <v>32</v>
      </c>
      <c r="C410" s="39">
        <v>843875501</v>
      </c>
      <c r="D410" s="40">
        <v>4116082608</v>
      </c>
      <c r="E410" s="33" t="s">
        <v>22</v>
      </c>
      <c r="F410" s="41">
        <v>36528</v>
      </c>
      <c r="G410" s="42">
        <f t="shared" ca="1" si="6"/>
        <v>13</v>
      </c>
      <c r="H410" s="43">
        <v>1</v>
      </c>
      <c r="I410" s="44">
        <v>29130</v>
      </c>
      <c r="O410" s="35" t="s">
        <v>26</v>
      </c>
      <c r="P410" s="46">
        <v>49</v>
      </c>
      <c r="Q410" s="46">
        <v>36</v>
      </c>
      <c r="R410" s="46">
        <v>40</v>
      </c>
      <c r="S410" s="46">
        <v>35</v>
      </c>
      <c r="T410" s="46">
        <v>44</v>
      </c>
      <c r="U410" s="46"/>
      <c r="V410" s="35" t="s">
        <v>27</v>
      </c>
      <c r="W410" s="46">
        <v>30</v>
      </c>
      <c r="X410" s="46">
        <v>45</v>
      </c>
      <c r="Y410" s="46">
        <v>43</v>
      </c>
      <c r="Z410" s="46">
        <v>46</v>
      </c>
      <c r="AA410" s="46">
        <v>30</v>
      </c>
      <c r="AF410" s="34"/>
      <c r="AG410" s="50">
        <v>15000</v>
      </c>
      <c r="AH410" s="51">
        <v>0.03</v>
      </c>
    </row>
    <row r="411" spans="1:34" x14ac:dyDescent="0.25">
      <c r="A411" s="33" t="s">
        <v>463</v>
      </c>
      <c r="B411" s="33" t="s">
        <v>111</v>
      </c>
      <c r="C411" s="39">
        <v>933883118</v>
      </c>
      <c r="D411" s="40">
        <v>6057686976</v>
      </c>
      <c r="E411" s="33" t="s">
        <v>33</v>
      </c>
      <c r="F411" s="41">
        <v>34954</v>
      </c>
      <c r="G411" s="42">
        <f t="shared" ca="1" si="6"/>
        <v>18</v>
      </c>
      <c r="H411" s="43">
        <v>1</v>
      </c>
      <c r="I411" s="44">
        <v>11025</v>
      </c>
    </row>
    <row r="412" spans="1:34" x14ac:dyDescent="0.25">
      <c r="A412" s="33" t="s">
        <v>464</v>
      </c>
      <c r="B412" s="33" t="s">
        <v>40</v>
      </c>
      <c r="C412" s="39">
        <v>917195248</v>
      </c>
      <c r="D412" s="40">
        <v>8167146686</v>
      </c>
      <c r="E412" s="33" t="s">
        <v>17</v>
      </c>
      <c r="F412" s="41">
        <v>33367</v>
      </c>
      <c r="G412" s="42">
        <f t="shared" ca="1" si="6"/>
        <v>22</v>
      </c>
      <c r="H412" s="43">
        <v>5</v>
      </c>
      <c r="I412" s="44">
        <v>63290</v>
      </c>
    </row>
    <row r="413" spans="1:34" x14ac:dyDescent="0.25">
      <c r="A413" s="33" t="s">
        <v>465</v>
      </c>
      <c r="B413" s="33" t="s">
        <v>40</v>
      </c>
      <c r="C413" s="39">
        <v>746497232</v>
      </c>
      <c r="D413" s="40">
        <v>4194729409</v>
      </c>
      <c r="E413" s="33" t="s">
        <v>22</v>
      </c>
      <c r="F413" s="41">
        <v>33368</v>
      </c>
      <c r="G413" s="42">
        <f t="shared" ca="1" si="6"/>
        <v>22</v>
      </c>
      <c r="H413" s="43">
        <v>2</v>
      </c>
      <c r="I413" s="44">
        <v>46410</v>
      </c>
    </row>
    <row r="414" spans="1:34" x14ac:dyDescent="0.25">
      <c r="A414" s="33" t="s">
        <v>466</v>
      </c>
      <c r="B414" s="33" t="s">
        <v>21</v>
      </c>
      <c r="C414" s="39">
        <v>145495793</v>
      </c>
      <c r="D414" s="40">
        <v>5041789943</v>
      </c>
      <c r="E414" s="33" t="s">
        <v>22</v>
      </c>
      <c r="F414" s="41">
        <v>34916</v>
      </c>
      <c r="G414" s="42">
        <f t="shared" ca="1" si="6"/>
        <v>18</v>
      </c>
      <c r="H414" s="43">
        <v>2</v>
      </c>
      <c r="I414" s="44">
        <v>32390</v>
      </c>
    </row>
    <row r="415" spans="1:34" x14ac:dyDescent="0.25">
      <c r="A415" s="33" t="s">
        <v>467</v>
      </c>
      <c r="B415" s="33" t="s">
        <v>68</v>
      </c>
      <c r="C415" s="39">
        <v>978092408</v>
      </c>
      <c r="D415" s="40">
        <v>6178443818</v>
      </c>
      <c r="E415" s="33" t="s">
        <v>22</v>
      </c>
      <c r="F415" s="41">
        <v>35132</v>
      </c>
      <c r="G415" s="42">
        <f t="shared" ca="1" si="6"/>
        <v>17</v>
      </c>
      <c r="H415" s="43">
        <v>2</v>
      </c>
      <c r="I415" s="44">
        <v>85300</v>
      </c>
    </row>
    <row r="416" spans="1:34" x14ac:dyDescent="0.25">
      <c r="A416" s="33" t="s">
        <v>468</v>
      </c>
      <c r="B416" s="33" t="s">
        <v>21</v>
      </c>
      <c r="C416" s="39">
        <v>445693854</v>
      </c>
      <c r="D416" s="40">
        <v>7127194901</v>
      </c>
      <c r="E416" s="33" t="s">
        <v>17</v>
      </c>
      <c r="F416" s="41">
        <v>37679</v>
      </c>
      <c r="G416" s="42">
        <f t="shared" ca="1" si="6"/>
        <v>10</v>
      </c>
      <c r="H416" s="43">
        <v>3</v>
      </c>
      <c r="I416" s="44">
        <v>71830</v>
      </c>
    </row>
    <row r="417" spans="1:10" x14ac:dyDescent="0.25">
      <c r="A417" s="33" t="s">
        <v>469</v>
      </c>
      <c r="B417" s="33" t="s">
        <v>21</v>
      </c>
      <c r="C417" s="39">
        <v>237359447</v>
      </c>
      <c r="D417" s="40">
        <v>9183077504</v>
      </c>
      <c r="E417" s="33" t="s">
        <v>22</v>
      </c>
      <c r="F417" s="41">
        <v>36088</v>
      </c>
      <c r="G417" s="42">
        <f t="shared" ca="1" si="6"/>
        <v>15</v>
      </c>
      <c r="H417" s="43">
        <v>1</v>
      </c>
      <c r="I417" s="44">
        <v>23650</v>
      </c>
    </row>
    <row r="418" spans="1:10" x14ac:dyDescent="0.25">
      <c r="A418" s="33" t="s">
        <v>470</v>
      </c>
      <c r="B418" s="33" t="s">
        <v>40</v>
      </c>
      <c r="C418" s="39">
        <v>920265140</v>
      </c>
      <c r="D418" s="40">
        <v>4067187041</v>
      </c>
      <c r="E418" s="33" t="s">
        <v>22</v>
      </c>
      <c r="F418" s="41">
        <v>33071</v>
      </c>
      <c r="G418" s="42">
        <f t="shared" ca="1" si="6"/>
        <v>23</v>
      </c>
      <c r="H418" s="43">
        <v>4</v>
      </c>
      <c r="I418" s="44">
        <v>46550</v>
      </c>
    </row>
    <row r="419" spans="1:10" x14ac:dyDescent="0.25">
      <c r="A419" s="33" t="s">
        <v>471</v>
      </c>
      <c r="B419" s="33" t="s">
        <v>40</v>
      </c>
      <c r="C419" s="39">
        <v>889210902</v>
      </c>
      <c r="D419" s="40">
        <v>2086753698</v>
      </c>
      <c r="E419" s="33" t="s">
        <v>17</v>
      </c>
      <c r="F419" s="41">
        <v>33364</v>
      </c>
      <c r="G419" s="42">
        <f t="shared" ca="1" si="6"/>
        <v>22</v>
      </c>
      <c r="H419" s="43">
        <v>2</v>
      </c>
      <c r="I419" s="44">
        <v>70150</v>
      </c>
    </row>
    <row r="420" spans="1:10" x14ac:dyDescent="0.25">
      <c r="A420" s="33" t="s">
        <v>472</v>
      </c>
      <c r="B420" s="33" t="s">
        <v>21</v>
      </c>
      <c r="C420" s="39">
        <v>836953739</v>
      </c>
      <c r="D420" s="40">
        <v>4125968632</v>
      </c>
      <c r="E420" s="33" t="s">
        <v>81</v>
      </c>
      <c r="F420" s="41">
        <v>33141</v>
      </c>
      <c r="G420" s="42">
        <f t="shared" ca="1" si="6"/>
        <v>23</v>
      </c>
      <c r="H420" s="43">
        <v>4</v>
      </c>
      <c r="I420" s="44">
        <v>22344</v>
      </c>
    </row>
    <row r="421" spans="1:10" x14ac:dyDescent="0.25">
      <c r="A421" s="33" t="s">
        <v>473</v>
      </c>
      <c r="B421" s="33" t="s">
        <v>61</v>
      </c>
      <c r="C421" s="39">
        <v>404589373</v>
      </c>
      <c r="D421" s="40">
        <v>4166503334</v>
      </c>
      <c r="E421" s="33" t="s">
        <v>22</v>
      </c>
      <c r="F421" s="41">
        <v>39760</v>
      </c>
      <c r="G421" s="42">
        <f t="shared" ca="1" si="6"/>
        <v>5</v>
      </c>
      <c r="H421" s="43">
        <v>4</v>
      </c>
      <c r="I421" s="44">
        <v>66840</v>
      </c>
    </row>
    <row r="422" spans="1:10" x14ac:dyDescent="0.25">
      <c r="A422" s="33" t="s">
        <v>474</v>
      </c>
      <c r="B422" s="33" t="s">
        <v>71</v>
      </c>
      <c r="C422" s="39">
        <v>475517002</v>
      </c>
      <c r="D422" s="40">
        <v>4117853314</v>
      </c>
      <c r="E422" s="33" t="s">
        <v>17</v>
      </c>
      <c r="F422" s="41">
        <v>32676</v>
      </c>
      <c r="G422" s="42">
        <f t="shared" ca="1" si="6"/>
        <v>24</v>
      </c>
      <c r="H422" s="43">
        <v>3</v>
      </c>
      <c r="I422" s="44">
        <v>49070</v>
      </c>
    </row>
    <row r="423" spans="1:10" x14ac:dyDescent="0.25">
      <c r="A423" s="33" t="s">
        <v>475</v>
      </c>
      <c r="B423" s="33" t="s">
        <v>21</v>
      </c>
      <c r="C423" s="39">
        <v>551132018</v>
      </c>
      <c r="D423" s="40">
        <v>7081375297</v>
      </c>
      <c r="E423" s="33" t="s">
        <v>22</v>
      </c>
      <c r="F423" s="41">
        <v>35834</v>
      </c>
      <c r="G423" s="42">
        <f t="shared" ca="1" si="6"/>
        <v>15</v>
      </c>
      <c r="H423" s="43">
        <v>3</v>
      </c>
      <c r="I423" s="44">
        <v>67280</v>
      </c>
    </row>
    <row r="424" spans="1:10" x14ac:dyDescent="0.25">
      <c r="A424" s="33" t="s">
        <v>476</v>
      </c>
      <c r="B424" s="33" t="s">
        <v>21</v>
      </c>
      <c r="C424" s="39">
        <v>518009092</v>
      </c>
      <c r="D424" s="40">
        <v>6038678875</v>
      </c>
      <c r="E424" s="33" t="s">
        <v>22</v>
      </c>
      <c r="F424" s="41">
        <v>37767</v>
      </c>
      <c r="G424" s="42">
        <f t="shared" ca="1" si="6"/>
        <v>10</v>
      </c>
      <c r="H424" s="43">
        <v>3</v>
      </c>
      <c r="I424" s="44">
        <v>41060</v>
      </c>
    </row>
    <row r="425" spans="1:10" x14ac:dyDescent="0.25">
      <c r="A425" s="33" t="s">
        <v>477</v>
      </c>
      <c r="B425" s="33" t="s">
        <v>32</v>
      </c>
      <c r="C425" s="39">
        <v>875920441</v>
      </c>
      <c r="D425" s="40">
        <v>9086526117</v>
      </c>
      <c r="E425" s="33" t="s">
        <v>22</v>
      </c>
      <c r="F425" s="41">
        <v>38607</v>
      </c>
      <c r="G425" s="42">
        <f t="shared" ca="1" si="6"/>
        <v>8</v>
      </c>
      <c r="H425" s="43">
        <v>2</v>
      </c>
      <c r="I425" s="44">
        <v>73830</v>
      </c>
    </row>
    <row r="426" spans="1:10" x14ac:dyDescent="0.25">
      <c r="A426" s="33" t="s">
        <v>478</v>
      </c>
      <c r="B426" s="33" t="s">
        <v>64</v>
      </c>
      <c r="C426" s="39">
        <v>948189231</v>
      </c>
      <c r="D426" s="40">
        <v>7057889149</v>
      </c>
      <c r="E426" s="33" t="s">
        <v>17</v>
      </c>
      <c r="F426" s="41">
        <v>35330</v>
      </c>
      <c r="G426" s="42">
        <f t="shared" ca="1" si="6"/>
        <v>17</v>
      </c>
      <c r="H426" s="43">
        <v>5</v>
      </c>
      <c r="I426" s="44">
        <v>88000</v>
      </c>
    </row>
    <row r="427" spans="1:10" x14ac:dyDescent="0.25">
      <c r="A427" s="33" t="s">
        <v>479</v>
      </c>
      <c r="B427" s="33" t="s">
        <v>152</v>
      </c>
      <c r="C427" s="39">
        <v>489013842</v>
      </c>
      <c r="D427" s="40">
        <v>6198238755</v>
      </c>
      <c r="E427" s="33" t="s">
        <v>22</v>
      </c>
      <c r="F427" s="41">
        <v>38778</v>
      </c>
      <c r="G427" s="42">
        <f t="shared" ca="1" si="6"/>
        <v>7</v>
      </c>
      <c r="H427" s="43">
        <v>4</v>
      </c>
      <c r="I427" s="44">
        <v>71120</v>
      </c>
    </row>
    <row r="428" spans="1:10" x14ac:dyDescent="0.25">
      <c r="A428" s="33" t="s">
        <v>480</v>
      </c>
      <c r="B428" s="33" t="s">
        <v>61</v>
      </c>
      <c r="C428" s="39">
        <v>562497973</v>
      </c>
      <c r="D428" s="40">
        <v>4121617913</v>
      </c>
      <c r="E428" s="33" t="s">
        <v>22</v>
      </c>
      <c r="F428" s="41">
        <v>37617</v>
      </c>
      <c r="G428" s="42">
        <f t="shared" ca="1" si="6"/>
        <v>10</v>
      </c>
      <c r="H428" s="43">
        <v>3</v>
      </c>
      <c r="I428" s="44">
        <v>86200</v>
      </c>
    </row>
    <row r="429" spans="1:10" x14ac:dyDescent="0.25">
      <c r="A429" s="33" t="s">
        <v>481</v>
      </c>
      <c r="B429" s="33" t="s">
        <v>64</v>
      </c>
      <c r="C429" s="39">
        <v>343897392</v>
      </c>
      <c r="D429" s="40">
        <v>9125459665</v>
      </c>
      <c r="E429" s="33" t="s">
        <v>22</v>
      </c>
      <c r="F429" s="41">
        <v>35896</v>
      </c>
      <c r="G429" s="42">
        <f t="shared" ca="1" si="6"/>
        <v>15</v>
      </c>
      <c r="H429" s="43">
        <v>1</v>
      </c>
      <c r="I429" s="44">
        <v>32100</v>
      </c>
    </row>
    <row r="430" spans="1:10" x14ac:dyDescent="0.25">
      <c r="A430" s="33" t="s">
        <v>482</v>
      </c>
      <c r="B430" s="33" t="s">
        <v>40</v>
      </c>
      <c r="C430" s="39">
        <v>384454025</v>
      </c>
      <c r="D430" s="40">
        <v>7136196095</v>
      </c>
      <c r="E430" s="33" t="s">
        <v>17</v>
      </c>
      <c r="F430" s="41">
        <v>32952</v>
      </c>
      <c r="G430" s="42">
        <f t="shared" ca="1" si="6"/>
        <v>23</v>
      </c>
      <c r="H430" s="43">
        <v>1</v>
      </c>
      <c r="I430" s="44">
        <v>57500</v>
      </c>
      <c r="J430" s="52"/>
    </row>
    <row r="431" spans="1:10" x14ac:dyDescent="0.25">
      <c r="A431" s="33" t="s">
        <v>483</v>
      </c>
      <c r="B431" s="33" t="s">
        <v>21</v>
      </c>
      <c r="C431" s="39">
        <v>328787467</v>
      </c>
      <c r="D431" s="40">
        <v>9085165289</v>
      </c>
      <c r="E431" s="33" t="s">
        <v>33</v>
      </c>
      <c r="F431" s="41">
        <v>33973</v>
      </c>
      <c r="G431" s="42">
        <f t="shared" ca="1" si="6"/>
        <v>20</v>
      </c>
      <c r="H431" s="43">
        <v>2</v>
      </c>
      <c r="I431" s="44">
        <v>15260</v>
      </c>
    </row>
    <row r="432" spans="1:10" x14ac:dyDescent="0.25">
      <c r="A432" s="33" t="s">
        <v>484</v>
      </c>
      <c r="B432" s="33" t="s">
        <v>243</v>
      </c>
      <c r="C432" s="39">
        <v>881242432</v>
      </c>
      <c r="D432" s="40">
        <v>8066689962</v>
      </c>
      <c r="E432" s="33" t="s">
        <v>17</v>
      </c>
      <c r="F432" s="41">
        <v>34841</v>
      </c>
      <c r="G432" s="42">
        <f t="shared" ca="1" si="6"/>
        <v>18</v>
      </c>
      <c r="H432" s="43">
        <v>2</v>
      </c>
      <c r="I432" s="44">
        <v>25120</v>
      </c>
    </row>
    <row r="433" spans="1:9" x14ac:dyDescent="0.25">
      <c r="A433" s="33" t="s">
        <v>485</v>
      </c>
      <c r="B433" s="33" t="s">
        <v>58</v>
      </c>
      <c r="C433" s="39">
        <v>157257652</v>
      </c>
      <c r="D433" s="40">
        <v>2012126686</v>
      </c>
      <c r="E433" s="33" t="s">
        <v>17</v>
      </c>
      <c r="F433" s="41">
        <v>35437</v>
      </c>
      <c r="G433" s="42">
        <f t="shared" ca="1" si="6"/>
        <v>16</v>
      </c>
      <c r="H433" s="43">
        <v>2</v>
      </c>
      <c r="I433" s="44">
        <v>72480</v>
      </c>
    </row>
    <row r="434" spans="1:9" x14ac:dyDescent="0.25">
      <c r="A434" s="33" t="s">
        <v>486</v>
      </c>
      <c r="B434" s="33" t="s">
        <v>40</v>
      </c>
      <c r="C434" s="39">
        <v>324622113</v>
      </c>
      <c r="D434" s="40">
        <v>2125085320</v>
      </c>
      <c r="E434" s="33" t="s">
        <v>22</v>
      </c>
      <c r="F434" s="41">
        <v>35720</v>
      </c>
      <c r="G434" s="42">
        <f t="shared" ca="1" si="6"/>
        <v>16</v>
      </c>
      <c r="H434" s="43">
        <v>2</v>
      </c>
      <c r="I434" s="44">
        <v>61850</v>
      </c>
    </row>
    <row r="435" spans="1:9" x14ac:dyDescent="0.25">
      <c r="A435" s="33" t="s">
        <v>487</v>
      </c>
      <c r="B435" s="33" t="s">
        <v>222</v>
      </c>
      <c r="C435" s="39">
        <v>657835603</v>
      </c>
      <c r="D435" s="40">
        <v>5113279828</v>
      </c>
      <c r="E435" s="33" t="s">
        <v>22</v>
      </c>
      <c r="F435" s="41">
        <v>36463</v>
      </c>
      <c r="G435" s="42">
        <f t="shared" ca="1" si="6"/>
        <v>14</v>
      </c>
      <c r="H435" s="43">
        <v>5</v>
      </c>
      <c r="I435" s="44">
        <v>40680</v>
      </c>
    </row>
    <row r="436" spans="1:9" x14ac:dyDescent="0.25">
      <c r="A436" s="33" t="s">
        <v>488</v>
      </c>
      <c r="B436" s="33" t="s">
        <v>16</v>
      </c>
      <c r="C436" s="39">
        <v>861884260</v>
      </c>
      <c r="D436" s="40">
        <v>3076245634</v>
      </c>
      <c r="E436" s="33" t="s">
        <v>22</v>
      </c>
      <c r="F436" s="41">
        <v>34610</v>
      </c>
      <c r="G436" s="42">
        <f t="shared" ca="1" si="6"/>
        <v>19</v>
      </c>
      <c r="H436" s="43">
        <v>4</v>
      </c>
      <c r="I436" s="44">
        <v>70480</v>
      </c>
    </row>
    <row r="437" spans="1:9" x14ac:dyDescent="0.25">
      <c r="A437" s="33" t="s">
        <v>489</v>
      </c>
      <c r="B437" s="33" t="s">
        <v>40</v>
      </c>
      <c r="C437" s="39">
        <v>667812117</v>
      </c>
      <c r="D437" s="40">
        <v>9163552027</v>
      </c>
      <c r="E437" s="33" t="s">
        <v>22</v>
      </c>
      <c r="F437" s="41">
        <v>35415</v>
      </c>
      <c r="G437" s="42">
        <f t="shared" ca="1" si="6"/>
        <v>16</v>
      </c>
      <c r="H437" s="43">
        <v>5</v>
      </c>
      <c r="I437" s="44">
        <v>64470</v>
      </c>
    </row>
    <row r="438" spans="1:9" x14ac:dyDescent="0.25">
      <c r="A438" s="33" t="s">
        <v>490</v>
      </c>
      <c r="B438" s="33" t="s">
        <v>40</v>
      </c>
      <c r="C438" s="39">
        <v>422957475</v>
      </c>
      <c r="D438" s="40">
        <v>7136718651</v>
      </c>
      <c r="E438" s="33" t="s">
        <v>33</v>
      </c>
      <c r="F438" s="41">
        <v>38925</v>
      </c>
      <c r="G438" s="42">
        <f t="shared" ca="1" si="6"/>
        <v>7</v>
      </c>
      <c r="H438" s="43">
        <v>5</v>
      </c>
      <c r="I438" s="44">
        <v>49080</v>
      </c>
    </row>
    <row r="439" spans="1:9" x14ac:dyDescent="0.25">
      <c r="A439" s="33" t="s">
        <v>491</v>
      </c>
      <c r="B439" s="33" t="s">
        <v>40</v>
      </c>
      <c r="C439" s="39">
        <v>580960042</v>
      </c>
      <c r="D439" s="40">
        <v>4061838930</v>
      </c>
      <c r="E439" s="33" t="s">
        <v>22</v>
      </c>
      <c r="F439" s="41">
        <v>39958</v>
      </c>
      <c r="G439" s="42">
        <f t="shared" ca="1" si="6"/>
        <v>4</v>
      </c>
      <c r="H439" s="43">
        <v>5</v>
      </c>
      <c r="I439" s="44">
        <v>46390</v>
      </c>
    </row>
    <row r="440" spans="1:9" x14ac:dyDescent="0.25">
      <c r="A440" s="33" t="s">
        <v>492</v>
      </c>
      <c r="B440" s="33" t="s">
        <v>52</v>
      </c>
      <c r="C440" s="39">
        <v>627678686</v>
      </c>
      <c r="D440" s="40">
        <v>9122602559</v>
      </c>
      <c r="E440" s="33" t="s">
        <v>22</v>
      </c>
      <c r="F440" s="41">
        <v>34746</v>
      </c>
      <c r="G440" s="42">
        <f t="shared" ca="1" si="6"/>
        <v>18</v>
      </c>
      <c r="H440" s="43">
        <v>1</v>
      </c>
      <c r="I440" s="44">
        <v>63030</v>
      </c>
    </row>
    <row r="441" spans="1:9" x14ac:dyDescent="0.25">
      <c r="A441" s="33" t="s">
        <v>493</v>
      </c>
      <c r="B441" s="33" t="s">
        <v>147</v>
      </c>
      <c r="C441" s="39">
        <v>474999228</v>
      </c>
      <c r="D441" s="40">
        <v>4077838614</v>
      </c>
      <c r="E441" s="33" t="s">
        <v>22</v>
      </c>
      <c r="F441" s="41">
        <v>33103</v>
      </c>
      <c r="G441" s="42">
        <f t="shared" ca="1" si="6"/>
        <v>23</v>
      </c>
      <c r="H441" s="43">
        <v>3</v>
      </c>
      <c r="I441" s="44">
        <v>46220</v>
      </c>
    </row>
    <row r="442" spans="1:9" x14ac:dyDescent="0.25">
      <c r="A442" s="33" t="s">
        <v>494</v>
      </c>
      <c r="B442" s="33" t="s">
        <v>52</v>
      </c>
      <c r="C442" s="39">
        <v>708108747</v>
      </c>
      <c r="D442" s="40">
        <v>2034310812</v>
      </c>
      <c r="E442" s="33" t="s">
        <v>17</v>
      </c>
      <c r="F442" s="41">
        <v>38183</v>
      </c>
      <c r="G442" s="42">
        <f t="shared" ca="1" si="6"/>
        <v>9</v>
      </c>
      <c r="H442" s="43">
        <v>2</v>
      </c>
      <c r="I442" s="44">
        <v>85930</v>
      </c>
    </row>
    <row r="443" spans="1:9" x14ac:dyDescent="0.25">
      <c r="A443" s="33" t="s">
        <v>495</v>
      </c>
      <c r="B443" s="33" t="s">
        <v>80</v>
      </c>
      <c r="C443" s="39">
        <v>676534152</v>
      </c>
      <c r="D443" s="40">
        <v>2033640748</v>
      </c>
      <c r="E443" s="33" t="s">
        <v>33</v>
      </c>
      <c r="F443" s="41">
        <v>33791</v>
      </c>
      <c r="G443" s="42">
        <f t="shared" ca="1" si="6"/>
        <v>21</v>
      </c>
      <c r="H443" s="43">
        <v>4</v>
      </c>
      <c r="I443" s="44">
        <v>89780</v>
      </c>
    </row>
    <row r="444" spans="1:9" x14ac:dyDescent="0.25">
      <c r="A444" s="33" t="s">
        <v>496</v>
      </c>
      <c r="B444" s="33" t="s">
        <v>21</v>
      </c>
      <c r="C444" s="39">
        <v>242099349</v>
      </c>
      <c r="D444" s="40">
        <v>7063173691</v>
      </c>
      <c r="E444" s="33" t="s">
        <v>22</v>
      </c>
      <c r="F444" s="41">
        <v>34919</v>
      </c>
      <c r="G444" s="42">
        <f t="shared" ca="1" si="6"/>
        <v>18</v>
      </c>
      <c r="H444" s="43">
        <v>1</v>
      </c>
      <c r="I444" s="44">
        <v>44920</v>
      </c>
    </row>
    <row r="445" spans="1:9" x14ac:dyDescent="0.25">
      <c r="A445" s="33" t="s">
        <v>497</v>
      </c>
      <c r="B445" s="33" t="s">
        <v>21</v>
      </c>
      <c r="C445" s="39">
        <v>383616821</v>
      </c>
      <c r="D445" s="40">
        <v>9186169135</v>
      </c>
      <c r="E445" s="33" t="s">
        <v>81</v>
      </c>
      <c r="F445" s="41">
        <v>38477</v>
      </c>
      <c r="G445" s="42">
        <f t="shared" ca="1" si="6"/>
        <v>8</v>
      </c>
      <c r="H445" s="43">
        <v>4</v>
      </c>
      <c r="I445" s="44">
        <v>14416</v>
      </c>
    </row>
    <row r="446" spans="1:9" x14ac:dyDescent="0.25">
      <c r="A446" s="33" t="s">
        <v>498</v>
      </c>
      <c r="B446" s="33" t="s">
        <v>21</v>
      </c>
      <c r="C446" s="39">
        <v>528258211</v>
      </c>
      <c r="D446" s="40">
        <v>6198908079</v>
      </c>
      <c r="E446" s="33" t="s">
        <v>17</v>
      </c>
      <c r="F446" s="41">
        <v>36027</v>
      </c>
      <c r="G446" s="42">
        <f t="shared" ca="1" si="6"/>
        <v>15</v>
      </c>
      <c r="H446" s="43">
        <v>3</v>
      </c>
      <c r="I446" s="44">
        <v>57600</v>
      </c>
    </row>
    <row r="447" spans="1:9" x14ac:dyDescent="0.25">
      <c r="A447" s="33" t="s">
        <v>499</v>
      </c>
      <c r="B447" s="33" t="s">
        <v>74</v>
      </c>
      <c r="C447" s="39">
        <v>292006053</v>
      </c>
      <c r="D447" s="40">
        <v>7194442207</v>
      </c>
      <c r="E447" s="33" t="s">
        <v>22</v>
      </c>
      <c r="F447" s="41">
        <v>39789</v>
      </c>
      <c r="G447" s="42">
        <f t="shared" ca="1" si="6"/>
        <v>5</v>
      </c>
      <c r="H447" s="43">
        <v>4</v>
      </c>
      <c r="I447" s="44">
        <v>32640</v>
      </c>
    </row>
    <row r="448" spans="1:9" x14ac:dyDescent="0.25">
      <c r="A448" s="33" t="s">
        <v>500</v>
      </c>
      <c r="B448" s="33" t="s">
        <v>71</v>
      </c>
      <c r="C448" s="39">
        <v>466947318</v>
      </c>
      <c r="D448" s="40">
        <v>9087557761</v>
      </c>
      <c r="E448" s="33" t="s">
        <v>22</v>
      </c>
      <c r="F448" s="41">
        <v>32978</v>
      </c>
      <c r="G448" s="42">
        <f t="shared" ca="1" si="6"/>
        <v>23</v>
      </c>
      <c r="H448" s="43">
        <v>5</v>
      </c>
      <c r="I448" s="44">
        <v>44620</v>
      </c>
    </row>
    <row r="449" spans="1:9" x14ac:dyDescent="0.25">
      <c r="A449" s="33" t="s">
        <v>501</v>
      </c>
      <c r="B449" s="33" t="s">
        <v>21</v>
      </c>
      <c r="C449" s="39">
        <v>707553376</v>
      </c>
      <c r="D449" s="40">
        <v>6044161772</v>
      </c>
      <c r="E449" s="33" t="s">
        <v>17</v>
      </c>
      <c r="F449" s="41">
        <v>33815</v>
      </c>
      <c r="G449" s="42">
        <f t="shared" ca="1" si="6"/>
        <v>21</v>
      </c>
      <c r="H449" s="43">
        <v>3</v>
      </c>
      <c r="I449" s="44">
        <v>63310</v>
      </c>
    </row>
    <row r="450" spans="1:9" x14ac:dyDescent="0.25">
      <c r="A450" s="33" t="s">
        <v>502</v>
      </c>
      <c r="B450" s="33" t="s">
        <v>32</v>
      </c>
      <c r="C450" s="39">
        <v>471064761</v>
      </c>
      <c r="D450" s="40">
        <v>5087726916</v>
      </c>
      <c r="E450" s="33" t="s">
        <v>33</v>
      </c>
      <c r="F450" s="41">
        <v>39118</v>
      </c>
      <c r="G450" s="42">
        <f t="shared" ref="G450:G513" ca="1" si="7">DATEDIF(F450,TODAY(),"Y")</f>
        <v>6</v>
      </c>
      <c r="H450" s="43">
        <v>1</v>
      </c>
      <c r="I450" s="44">
        <v>45565</v>
      </c>
    </row>
    <row r="451" spans="1:9" x14ac:dyDescent="0.25">
      <c r="A451" s="33" t="s">
        <v>503</v>
      </c>
      <c r="B451" s="33" t="s">
        <v>52</v>
      </c>
      <c r="C451" s="39">
        <v>571120098</v>
      </c>
      <c r="D451" s="40">
        <v>5061715499</v>
      </c>
      <c r="E451" s="33" t="s">
        <v>33</v>
      </c>
      <c r="F451" s="41">
        <v>35078</v>
      </c>
      <c r="G451" s="42">
        <f t="shared" ca="1" si="7"/>
        <v>17</v>
      </c>
      <c r="H451" s="43">
        <v>2</v>
      </c>
      <c r="I451" s="44">
        <v>42740</v>
      </c>
    </row>
    <row r="452" spans="1:9" x14ac:dyDescent="0.25">
      <c r="A452" s="33" t="s">
        <v>504</v>
      </c>
      <c r="B452" s="33" t="s">
        <v>16</v>
      </c>
      <c r="C452" s="39">
        <v>387131597</v>
      </c>
      <c r="D452" s="40">
        <v>9166228199</v>
      </c>
      <c r="E452" s="33" t="s">
        <v>33</v>
      </c>
      <c r="F452" s="41">
        <v>35484</v>
      </c>
      <c r="G452" s="42">
        <f t="shared" ca="1" si="7"/>
        <v>16</v>
      </c>
      <c r="H452" s="43">
        <v>1</v>
      </c>
      <c r="I452" s="44">
        <v>47885</v>
      </c>
    </row>
    <row r="453" spans="1:9" x14ac:dyDescent="0.25">
      <c r="A453" s="33" t="s">
        <v>505</v>
      </c>
      <c r="B453" s="33" t="s">
        <v>74</v>
      </c>
      <c r="C453" s="39">
        <v>174159111</v>
      </c>
      <c r="D453" s="40">
        <v>2182456406</v>
      </c>
      <c r="E453" s="33" t="s">
        <v>17</v>
      </c>
      <c r="F453" s="41">
        <v>35329</v>
      </c>
      <c r="G453" s="42">
        <f t="shared" ca="1" si="7"/>
        <v>17</v>
      </c>
      <c r="H453" s="43">
        <v>5</v>
      </c>
      <c r="I453" s="44">
        <v>25120</v>
      </c>
    </row>
    <row r="454" spans="1:9" x14ac:dyDescent="0.25">
      <c r="A454" s="33" t="s">
        <v>506</v>
      </c>
      <c r="B454" s="33" t="s">
        <v>58</v>
      </c>
      <c r="C454" s="39">
        <v>842774592</v>
      </c>
      <c r="D454" s="40">
        <v>6145993367</v>
      </c>
      <c r="E454" s="33" t="s">
        <v>81</v>
      </c>
      <c r="F454" s="41">
        <v>37217</v>
      </c>
      <c r="G454" s="42">
        <f t="shared" ca="1" si="7"/>
        <v>12</v>
      </c>
      <c r="H454" s="43">
        <v>2</v>
      </c>
      <c r="I454" s="44">
        <v>11044</v>
      </c>
    </row>
    <row r="455" spans="1:9" x14ac:dyDescent="0.25">
      <c r="A455" s="33" t="s">
        <v>507</v>
      </c>
      <c r="B455" s="33" t="s">
        <v>16</v>
      </c>
      <c r="C455" s="39">
        <v>489667166</v>
      </c>
      <c r="D455" s="40">
        <v>9198249735</v>
      </c>
      <c r="E455" s="33" t="s">
        <v>81</v>
      </c>
      <c r="F455" s="41">
        <v>32695</v>
      </c>
      <c r="G455" s="42">
        <f t="shared" ca="1" si="7"/>
        <v>24</v>
      </c>
      <c r="H455" s="43">
        <v>4</v>
      </c>
      <c r="I455" s="44">
        <v>36844</v>
      </c>
    </row>
    <row r="456" spans="1:9" x14ac:dyDescent="0.25">
      <c r="A456" s="33" t="s">
        <v>508</v>
      </c>
      <c r="B456" s="33" t="s">
        <v>111</v>
      </c>
      <c r="C456" s="39">
        <v>653843221</v>
      </c>
      <c r="D456" s="40">
        <v>9173262077</v>
      </c>
      <c r="E456" s="33" t="s">
        <v>22</v>
      </c>
      <c r="F456" s="41">
        <v>36009</v>
      </c>
      <c r="G456" s="42">
        <f t="shared" ca="1" si="7"/>
        <v>15</v>
      </c>
      <c r="H456" s="43">
        <v>1</v>
      </c>
      <c r="I456" s="44">
        <v>56440</v>
      </c>
    </row>
    <row r="457" spans="1:9" x14ac:dyDescent="0.25">
      <c r="A457" s="33" t="s">
        <v>509</v>
      </c>
      <c r="B457" s="33" t="s">
        <v>32</v>
      </c>
      <c r="C457" s="39">
        <v>618535019</v>
      </c>
      <c r="D457" s="40">
        <v>9182376215</v>
      </c>
      <c r="E457" s="33" t="s">
        <v>33</v>
      </c>
      <c r="F457" s="41">
        <v>38113</v>
      </c>
      <c r="G457" s="42">
        <f t="shared" ca="1" si="7"/>
        <v>9</v>
      </c>
      <c r="H457" s="43">
        <v>3</v>
      </c>
      <c r="I457" s="44">
        <v>10630</v>
      </c>
    </row>
    <row r="458" spans="1:9" x14ac:dyDescent="0.25">
      <c r="A458" s="33" t="s">
        <v>510</v>
      </c>
      <c r="B458" s="33" t="s">
        <v>83</v>
      </c>
      <c r="C458" s="39">
        <v>627977314</v>
      </c>
      <c r="D458" s="40">
        <v>5062672603</v>
      </c>
      <c r="E458" s="33" t="s">
        <v>17</v>
      </c>
      <c r="F458" s="41">
        <v>36155</v>
      </c>
      <c r="G458" s="42">
        <f t="shared" ca="1" si="7"/>
        <v>14</v>
      </c>
      <c r="H458" s="43">
        <v>4</v>
      </c>
      <c r="I458" s="44">
        <v>74500</v>
      </c>
    </row>
    <row r="459" spans="1:9" x14ac:dyDescent="0.25">
      <c r="A459" s="33" t="s">
        <v>511</v>
      </c>
      <c r="B459" s="33" t="s">
        <v>58</v>
      </c>
      <c r="C459" s="39">
        <v>590896401</v>
      </c>
      <c r="D459" s="40">
        <v>2111919478</v>
      </c>
      <c r="E459" s="33" t="s">
        <v>17</v>
      </c>
      <c r="F459" s="41">
        <v>35114</v>
      </c>
      <c r="G459" s="42">
        <f t="shared" ca="1" si="7"/>
        <v>17</v>
      </c>
      <c r="H459" s="43">
        <v>4</v>
      </c>
      <c r="I459" s="44">
        <v>86470</v>
      </c>
    </row>
    <row r="460" spans="1:9" x14ac:dyDescent="0.25">
      <c r="A460" s="33" t="s">
        <v>512</v>
      </c>
      <c r="B460" s="33" t="s">
        <v>40</v>
      </c>
      <c r="C460" s="39">
        <v>121688720</v>
      </c>
      <c r="D460" s="40">
        <v>5061588597</v>
      </c>
      <c r="E460" s="33" t="s">
        <v>22</v>
      </c>
      <c r="F460" s="41">
        <v>36399</v>
      </c>
      <c r="G460" s="42">
        <f t="shared" ca="1" si="7"/>
        <v>14</v>
      </c>
      <c r="H460" s="43">
        <v>2</v>
      </c>
      <c r="I460" s="44">
        <v>78710</v>
      </c>
    </row>
    <row r="461" spans="1:9" x14ac:dyDescent="0.25">
      <c r="A461" s="33" t="s">
        <v>513</v>
      </c>
      <c r="B461" s="33" t="s">
        <v>40</v>
      </c>
      <c r="C461" s="39">
        <v>121173068</v>
      </c>
      <c r="D461" s="40">
        <v>2081575684</v>
      </c>
      <c r="E461" s="33" t="s">
        <v>22</v>
      </c>
      <c r="F461" s="41">
        <v>38016</v>
      </c>
      <c r="G461" s="42">
        <f t="shared" ca="1" si="7"/>
        <v>9</v>
      </c>
      <c r="H461" s="43">
        <v>2</v>
      </c>
      <c r="I461" s="44">
        <v>44530</v>
      </c>
    </row>
    <row r="462" spans="1:9" x14ac:dyDescent="0.25">
      <c r="A462" s="33" t="s">
        <v>514</v>
      </c>
      <c r="B462" s="33" t="s">
        <v>61</v>
      </c>
      <c r="C462" s="39">
        <v>843632637</v>
      </c>
      <c r="D462" s="40">
        <v>2016069116</v>
      </c>
      <c r="E462" s="33" t="s">
        <v>81</v>
      </c>
      <c r="F462" s="41">
        <v>37101</v>
      </c>
      <c r="G462" s="42">
        <f t="shared" ca="1" si="7"/>
        <v>12</v>
      </c>
      <c r="H462" s="43">
        <v>2</v>
      </c>
      <c r="I462" s="44">
        <v>21648</v>
      </c>
    </row>
    <row r="463" spans="1:9" x14ac:dyDescent="0.25">
      <c r="A463" s="33" t="s">
        <v>515</v>
      </c>
      <c r="B463" s="33" t="s">
        <v>74</v>
      </c>
      <c r="C463" s="39">
        <v>313648228</v>
      </c>
      <c r="D463" s="40">
        <v>4164919418</v>
      </c>
      <c r="E463" s="33" t="s">
        <v>17</v>
      </c>
      <c r="F463" s="41">
        <v>34302</v>
      </c>
      <c r="G463" s="42">
        <f t="shared" ca="1" si="7"/>
        <v>20</v>
      </c>
      <c r="H463" s="43">
        <v>5</v>
      </c>
      <c r="I463" s="44">
        <v>40560</v>
      </c>
    </row>
    <row r="464" spans="1:9" x14ac:dyDescent="0.25">
      <c r="A464" s="33" t="s">
        <v>516</v>
      </c>
      <c r="B464" s="33" t="s">
        <v>111</v>
      </c>
      <c r="C464" s="39">
        <v>332289257</v>
      </c>
      <c r="D464" s="40">
        <v>3135227751</v>
      </c>
      <c r="E464" s="33" t="s">
        <v>81</v>
      </c>
      <c r="F464" s="41">
        <v>35064</v>
      </c>
      <c r="G464" s="42">
        <f t="shared" ca="1" si="7"/>
        <v>17</v>
      </c>
      <c r="H464" s="43">
        <v>4</v>
      </c>
      <c r="I464" s="44">
        <v>20028</v>
      </c>
    </row>
    <row r="465" spans="1:10" x14ac:dyDescent="0.25">
      <c r="A465" s="33" t="s">
        <v>517</v>
      </c>
      <c r="B465" s="33" t="s">
        <v>21</v>
      </c>
      <c r="C465" s="39">
        <v>304024314</v>
      </c>
      <c r="D465" s="40">
        <v>2094713634</v>
      </c>
      <c r="E465" s="33" t="s">
        <v>22</v>
      </c>
      <c r="F465" s="41">
        <v>36784</v>
      </c>
      <c r="G465" s="42">
        <f t="shared" ca="1" si="7"/>
        <v>13</v>
      </c>
      <c r="H465" s="43">
        <v>3</v>
      </c>
      <c r="I465" s="44">
        <v>28970</v>
      </c>
    </row>
    <row r="466" spans="1:10" x14ac:dyDescent="0.25">
      <c r="A466" s="33" t="s">
        <v>518</v>
      </c>
      <c r="B466" s="33" t="s">
        <v>21</v>
      </c>
      <c r="C466" s="39">
        <v>759350847</v>
      </c>
      <c r="D466" s="40">
        <v>7184900864</v>
      </c>
      <c r="E466" s="33" t="s">
        <v>17</v>
      </c>
      <c r="F466" s="41">
        <v>34061</v>
      </c>
      <c r="G466" s="42">
        <f t="shared" ca="1" si="7"/>
        <v>20</v>
      </c>
      <c r="H466" s="43">
        <v>3</v>
      </c>
      <c r="I466" s="44">
        <v>80690</v>
      </c>
    </row>
    <row r="467" spans="1:10" x14ac:dyDescent="0.25">
      <c r="A467" s="33" t="s">
        <v>519</v>
      </c>
      <c r="B467" s="33" t="s">
        <v>21</v>
      </c>
      <c r="C467" s="39">
        <v>338977629</v>
      </c>
      <c r="D467" s="40">
        <v>6065368383</v>
      </c>
      <c r="E467" s="33" t="s">
        <v>22</v>
      </c>
      <c r="F467" s="41">
        <v>39968</v>
      </c>
      <c r="G467" s="42">
        <f t="shared" ca="1" si="7"/>
        <v>4</v>
      </c>
      <c r="H467" s="43">
        <v>2</v>
      </c>
      <c r="I467" s="44">
        <v>43820</v>
      </c>
    </row>
    <row r="468" spans="1:10" x14ac:dyDescent="0.25">
      <c r="A468" s="33" t="s">
        <v>520</v>
      </c>
      <c r="B468" s="33" t="s">
        <v>32</v>
      </c>
      <c r="C468" s="39">
        <v>209846975</v>
      </c>
      <c r="D468" s="40">
        <v>6042787318</v>
      </c>
      <c r="E468" s="33" t="s">
        <v>33</v>
      </c>
      <c r="F468" s="41">
        <v>36639</v>
      </c>
      <c r="G468" s="42">
        <f t="shared" ca="1" si="7"/>
        <v>13</v>
      </c>
      <c r="H468" s="43">
        <v>4</v>
      </c>
      <c r="I468" s="44">
        <v>12545</v>
      </c>
    </row>
    <row r="469" spans="1:10" x14ac:dyDescent="0.25">
      <c r="A469" s="33" t="s">
        <v>521</v>
      </c>
      <c r="B469" s="33" t="s">
        <v>74</v>
      </c>
      <c r="C469" s="39">
        <v>356242235</v>
      </c>
      <c r="D469" s="40">
        <v>7155790872</v>
      </c>
      <c r="E469" s="33" t="s">
        <v>22</v>
      </c>
      <c r="F469" s="41">
        <v>36678</v>
      </c>
      <c r="G469" s="42">
        <f t="shared" ca="1" si="7"/>
        <v>13</v>
      </c>
      <c r="H469" s="43">
        <v>3</v>
      </c>
      <c r="I469" s="44">
        <v>42480</v>
      </c>
    </row>
    <row r="470" spans="1:10" x14ac:dyDescent="0.25">
      <c r="A470" s="33" t="s">
        <v>522</v>
      </c>
      <c r="B470" s="33" t="s">
        <v>52</v>
      </c>
      <c r="C470" s="39">
        <v>159415552</v>
      </c>
      <c r="D470" s="40">
        <v>5122153322</v>
      </c>
      <c r="E470" s="33" t="s">
        <v>22</v>
      </c>
      <c r="F470" s="41">
        <v>35286</v>
      </c>
      <c r="G470" s="42">
        <f t="shared" ca="1" si="7"/>
        <v>17</v>
      </c>
      <c r="H470" s="43">
        <v>3</v>
      </c>
      <c r="I470" s="44">
        <v>70280</v>
      </c>
    </row>
    <row r="471" spans="1:10" x14ac:dyDescent="0.25">
      <c r="A471" s="33" t="s">
        <v>523</v>
      </c>
      <c r="B471" s="33" t="s">
        <v>16</v>
      </c>
      <c r="C471" s="39">
        <v>116869057</v>
      </c>
      <c r="D471" s="40">
        <v>6061525844</v>
      </c>
      <c r="E471" s="33" t="s">
        <v>22</v>
      </c>
      <c r="F471" s="41">
        <v>33092</v>
      </c>
      <c r="G471" s="42">
        <f t="shared" ca="1" si="7"/>
        <v>23</v>
      </c>
      <c r="H471" s="43">
        <v>2</v>
      </c>
      <c r="I471" s="44">
        <v>37020</v>
      </c>
      <c r="J471" s="52"/>
    </row>
    <row r="472" spans="1:10" x14ac:dyDescent="0.25">
      <c r="A472" s="33" t="s">
        <v>524</v>
      </c>
      <c r="B472" s="33" t="s">
        <v>83</v>
      </c>
      <c r="C472" s="39">
        <v>422929693</v>
      </c>
      <c r="D472" s="40">
        <v>4186712695</v>
      </c>
      <c r="E472" s="33" t="s">
        <v>22</v>
      </c>
      <c r="F472" s="41">
        <v>33222</v>
      </c>
      <c r="G472" s="42">
        <f t="shared" ca="1" si="7"/>
        <v>22</v>
      </c>
      <c r="H472" s="43">
        <v>3</v>
      </c>
      <c r="I472" s="44">
        <v>39160</v>
      </c>
    </row>
    <row r="473" spans="1:10" x14ac:dyDescent="0.25">
      <c r="A473" s="33" t="s">
        <v>525</v>
      </c>
      <c r="B473" s="33" t="s">
        <v>68</v>
      </c>
      <c r="C473" s="39">
        <v>698869555</v>
      </c>
      <c r="D473" s="40">
        <v>9144084456</v>
      </c>
      <c r="E473" s="33" t="s">
        <v>17</v>
      </c>
      <c r="F473" s="41">
        <v>36167</v>
      </c>
      <c r="G473" s="42">
        <f t="shared" ca="1" si="7"/>
        <v>14</v>
      </c>
      <c r="H473" s="43">
        <v>3</v>
      </c>
      <c r="I473" s="44">
        <v>76690</v>
      </c>
    </row>
    <row r="474" spans="1:10" x14ac:dyDescent="0.25">
      <c r="A474" s="33" t="s">
        <v>526</v>
      </c>
      <c r="B474" s="33" t="s">
        <v>32</v>
      </c>
      <c r="C474" s="39">
        <v>503036433</v>
      </c>
      <c r="D474" s="40">
        <v>2078444054</v>
      </c>
      <c r="E474" s="33" t="s">
        <v>22</v>
      </c>
      <c r="F474" s="41">
        <v>34609</v>
      </c>
      <c r="G474" s="42">
        <f t="shared" ca="1" si="7"/>
        <v>19</v>
      </c>
      <c r="H474" s="43">
        <v>2</v>
      </c>
      <c r="I474" s="44">
        <v>47340</v>
      </c>
    </row>
    <row r="475" spans="1:10" x14ac:dyDescent="0.25">
      <c r="A475" s="33" t="s">
        <v>527</v>
      </c>
      <c r="B475" s="33" t="s">
        <v>174</v>
      </c>
      <c r="C475" s="39">
        <v>943671719</v>
      </c>
      <c r="D475" s="40">
        <v>9067803578</v>
      </c>
      <c r="E475" s="33" t="s">
        <v>22</v>
      </c>
      <c r="F475" s="41">
        <v>39774</v>
      </c>
      <c r="G475" s="42">
        <f t="shared" ca="1" si="7"/>
        <v>5</v>
      </c>
      <c r="H475" s="43">
        <v>1</v>
      </c>
      <c r="I475" s="44">
        <v>46680</v>
      </c>
    </row>
    <row r="476" spans="1:10" x14ac:dyDescent="0.25">
      <c r="A476" s="33" t="s">
        <v>528</v>
      </c>
      <c r="B476" s="33" t="s">
        <v>64</v>
      </c>
      <c r="C476" s="39">
        <v>802700229</v>
      </c>
      <c r="D476" s="40">
        <v>4195594427</v>
      </c>
      <c r="E476" s="33" t="s">
        <v>17</v>
      </c>
      <c r="F476" s="41">
        <v>34645</v>
      </c>
      <c r="G476" s="42">
        <f t="shared" ca="1" si="7"/>
        <v>19</v>
      </c>
      <c r="H476" s="43">
        <v>5</v>
      </c>
      <c r="I476" s="44">
        <v>89310</v>
      </c>
    </row>
    <row r="477" spans="1:10" x14ac:dyDescent="0.25">
      <c r="A477" s="33" t="s">
        <v>529</v>
      </c>
      <c r="B477" s="33" t="s">
        <v>52</v>
      </c>
      <c r="C477" s="39">
        <v>884025623</v>
      </c>
      <c r="D477" s="40">
        <v>7136699611</v>
      </c>
      <c r="E477" s="33" t="s">
        <v>17</v>
      </c>
      <c r="F477" s="41">
        <v>36472</v>
      </c>
      <c r="G477" s="42">
        <f t="shared" ca="1" si="7"/>
        <v>14</v>
      </c>
      <c r="H477" s="43">
        <v>2</v>
      </c>
      <c r="I477" s="44">
        <v>46780</v>
      </c>
    </row>
    <row r="478" spans="1:10" x14ac:dyDescent="0.25">
      <c r="A478" s="33" t="s">
        <v>530</v>
      </c>
      <c r="B478" s="33" t="s">
        <v>64</v>
      </c>
      <c r="C478" s="39">
        <v>534034571</v>
      </c>
      <c r="D478" s="40">
        <v>7151155509</v>
      </c>
      <c r="E478" s="33" t="s">
        <v>22</v>
      </c>
      <c r="F478" s="41">
        <v>32917</v>
      </c>
      <c r="G478" s="42">
        <f t="shared" ca="1" si="7"/>
        <v>23</v>
      </c>
      <c r="H478" s="43">
        <v>4</v>
      </c>
      <c r="I478" s="44">
        <v>85920</v>
      </c>
    </row>
    <row r="479" spans="1:10" x14ac:dyDescent="0.25">
      <c r="A479" s="33" t="s">
        <v>531</v>
      </c>
      <c r="B479" s="33" t="s">
        <v>40</v>
      </c>
      <c r="C479" s="39">
        <v>661397587</v>
      </c>
      <c r="D479" s="40">
        <v>3023392642</v>
      </c>
      <c r="E479" s="33" t="s">
        <v>17</v>
      </c>
      <c r="F479" s="41">
        <v>39118</v>
      </c>
      <c r="G479" s="42">
        <f t="shared" ca="1" si="7"/>
        <v>6</v>
      </c>
      <c r="H479" s="43">
        <v>5</v>
      </c>
      <c r="I479" s="44">
        <v>86040</v>
      </c>
    </row>
    <row r="480" spans="1:10" x14ac:dyDescent="0.25">
      <c r="A480" s="33" t="s">
        <v>532</v>
      </c>
      <c r="B480" s="33" t="s">
        <v>40</v>
      </c>
      <c r="C480" s="39">
        <v>239847790</v>
      </c>
      <c r="D480" s="40">
        <v>3033122083</v>
      </c>
      <c r="E480" s="33" t="s">
        <v>33</v>
      </c>
      <c r="F480" s="41">
        <v>35852</v>
      </c>
      <c r="G480" s="42">
        <f t="shared" ca="1" si="7"/>
        <v>15</v>
      </c>
      <c r="H480" s="43">
        <v>5</v>
      </c>
      <c r="I480" s="44">
        <v>26185</v>
      </c>
    </row>
    <row r="481" spans="1:10" x14ac:dyDescent="0.25">
      <c r="A481" s="33" t="s">
        <v>533</v>
      </c>
      <c r="B481" s="33" t="s">
        <v>52</v>
      </c>
      <c r="C481" s="39">
        <v>467030396</v>
      </c>
      <c r="D481" s="40">
        <v>7137560634</v>
      </c>
      <c r="E481" s="33" t="s">
        <v>22</v>
      </c>
      <c r="F481" s="41">
        <v>37743</v>
      </c>
      <c r="G481" s="42">
        <f t="shared" ca="1" si="7"/>
        <v>10</v>
      </c>
      <c r="H481" s="43">
        <v>3</v>
      </c>
      <c r="I481" s="44">
        <v>83710</v>
      </c>
    </row>
    <row r="482" spans="1:10" x14ac:dyDescent="0.25">
      <c r="A482" s="33" t="s">
        <v>534</v>
      </c>
      <c r="B482" s="33" t="s">
        <v>21</v>
      </c>
      <c r="C482" s="39">
        <v>723066626</v>
      </c>
      <c r="D482" s="40">
        <v>8064518022</v>
      </c>
      <c r="E482" s="33" t="s">
        <v>22</v>
      </c>
      <c r="F482" s="41">
        <v>40024</v>
      </c>
      <c r="G482" s="42">
        <f t="shared" ca="1" si="7"/>
        <v>4</v>
      </c>
      <c r="H482" s="43">
        <v>3</v>
      </c>
      <c r="I482" s="44">
        <v>47440</v>
      </c>
    </row>
    <row r="483" spans="1:10" x14ac:dyDescent="0.25">
      <c r="A483" s="33" t="s">
        <v>535</v>
      </c>
      <c r="B483" s="33" t="s">
        <v>74</v>
      </c>
      <c r="C483" s="39">
        <v>313128501</v>
      </c>
      <c r="D483" s="40">
        <v>6164907564</v>
      </c>
      <c r="E483" s="33" t="s">
        <v>22</v>
      </c>
      <c r="F483" s="41">
        <v>32469</v>
      </c>
      <c r="G483" s="42">
        <f t="shared" ca="1" si="7"/>
        <v>25</v>
      </c>
      <c r="H483" s="43">
        <v>4</v>
      </c>
      <c r="I483" s="44">
        <v>32360</v>
      </c>
    </row>
    <row r="484" spans="1:10" x14ac:dyDescent="0.25">
      <c r="A484" s="33" t="s">
        <v>536</v>
      </c>
      <c r="B484" s="33" t="s">
        <v>71</v>
      </c>
      <c r="C484" s="39">
        <v>260815239</v>
      </c>
      <c r="D484" s="40">
        <v>3043766803</v>
      </c>
      <c r="E484" s="33" t="s">
        <v>22</v>
      </c>
      <c r="F484" s="41">
        <v>32926</v>
      </c>
      <c r="G484" s="42">
        <f t="shared" ca="1" si="7"/>
        <v>23</v>
      </c>
      <c r="H484" s="43">
        <v>5</v>
      </c>
      <c r="I484" s="44">
        <v>81530</v>
      </c>
    </row>
    <row r="485" spans="1:10" x14ac:dyDescent="0.25">
      <c r="A485" s="33" t="s">
        <v>537</v>
      </c>
      <c r="B485" s="33" t="s">
        <v>58</v>
      </c>
      <c r="C485" s="39">
        <v>612295735</v>
      </c>
      <c r="D485" s="40">
        <v>9022244880</v>
      </c>
      <c r="E485" s="33" t="s">
        <v>22</v>
      </c>
      <c r="F485" s="41">
        <v>34511</v>
      </c>
      <c r="G485" s="42">
        <f t="shared" ca="1" si="7"/>
        <v>19</v>
      </c>
      <c r="H485" s="43">
        <v>5</v>
      </c>
      <c r="I485" s="44">
        <v>22860</v>
      </c>
      <c r="J485" s="52"/>
    </row>
    <row r="486" spans="1:10" x14ac:dyDescent="0.25">
      <c r="A486" s="33" t="s">
        <v>538</v>
      </c>
      <c r="B486" s="33" t="s">
        <v>21</v>
      </c>
      <c r="C486" s="39">
        <v>380304349</v>
      </c>
      <c r="D486" s="40">
        <v>2196129939</v>
      </c>
      <c r="E486" s="33" t="s">
        <v>22</v>
      </c>
      <c r="F486" s="41">
        <v>39086</v>
      </c>
      <c r="G486" s="42">
        <f t="shared" ca="1" si="7"/>
        <v>6</v>
      </c>
      <c r="H486" s="43">
        <v>3</v>
      </c>
      <c r="I486" s="44">
        <v>69320</v>
      </c>
    </row>
    <row r="487" spans="1:10" x14ac:dyDescent="0.25">
      <c r="A487" s="33" t="s">
        <v>539</v>
      </c>
      <c r="B487" s="33" t="s">
        <v>68</v>
      </c>
      <c r="C487" s="39">
        <v>794814501</v>
      </c>
      <c r="D487" s="40">
        <v>2075442791</v>
      </c>
      <c r="E487" s="33" t="s">
        <v>22</v>
      </c>
      <c r="F487" s="41">
        <v>38459</v>
      </c>
      <c r="G487" s="42">
        <f t="shared" ca="1" si="7"/>
        <v>8</v>
      </c>
      <c r="H487" s="43">
        <v>3</v>
      </c>
      <c r="I487" s="44">
        <v>37670</v>
      </c>
    </row>
    <row r="488" spans="1:10" x14ac:dyDescent="0.25">
      <c r="A488" s="33" t="s">
        <v>540</v>
      </c>
      <c r="B488" s="33" t="s">
        <v>21</v>
      </c>
      <c r="C488" s="39">
        <v>892040187</v>
      </c>
      <c r="D488" s="40">
        <v>9146778600</v>
      </c>
      <c r="E488" s="33" t="s">
        <v>22</v>
      </c>
      <c r="F488" s="41">
        <v>38123</v>
      </c>
      <c r="G488" s="42">
        <f t="shared" ca="1" si="7"/>
        <v>9</v>
      </c>
      <c r="H488" s="43">
        <v>4</v>
      </c>
      <c r="I488" s="44">
        <v>68710</v>
      </c>
    </row>
    <row r="489" spans="1:10" x14ac:dyDescent="0.25">
      <c r="A489" s="33" t="s">
        <v>541</v>
      </c>
      <c r="B489" s="33" t="s">
        <v>32</v>
      </c>
      <c r="C489" s="39">
        <v>934447306</v>
      </c>
      <c r="D489" s="40">
        <v>5117692593</v>
      </c>
      <c r="E489" s="33" t="s">
        <v>22</v>
      </c>
      <c r="F489" s="41">
        <v>32900</v>
      </c>
      <c r="G489" s="42">
        <f t="shared" ca="1" si="7"/>
        <v>23</v>
      </c>
      <c r="H489" s="43">
        <v>5</v>
      </c>
      <c r="I489" s="44">
        <v>54500</v>
      </c>
    </row>
    <row r="490" spans="1:10" x14ac:dyDescent="0.25">
      <c r="A490" s="33" t="s">
        <v>542</v>
      </c>
      <c r="B490" s="33" t="s">
        <v>21</v>
      </c>
      <c r="C490" s="39">
        <v>506165137</v>
      </c>
      <c r="D490" s="40">
        <v>5048560698</v>
      </c>
      <c r="E490" s="33" t="s">
        <v>17</v>
      </c>
      <c r="F490" s="41">
        <v>36716</v>
      </c>
      <c r="G490" s="42">
        <f t="shared" ca="1" si="7"/>
        <v>13</v>
      </c>
      <c r="H490" s="43">
        <v>2</v>
      </c>
      <c r="I490" s="44">
        <v>52770</v>
      </c>
    </row>
    <row r="491" spans="1:10" x14ac:dyDescent="0.25">
      <c r="A491" s="33" t="s">
        <v>543</v>
      </c>
      <c r="B491" s="33" t="s">
        <v>21</v>
      </c>
      <c r="C491" s="39">
        <v>378189642</v>
      </c>
      <c r="D491" s="40">
        <v>6066088101</v>
      </c>
      <c r="E491" s="33" t="s">
        <v>33</v>
      </c>
      <c r="F491" s="41">
        <v>35994</v>
      </c>
      <c r="G491" s="42">
        <f t="shared" ca="1" si="7"/>
        <v>15</v>
      </c>
      <c r="H491" s="43">
        <v>3</v>
      </c>
      <c r="I491" s="44">
        <v>46710</v>
      </c>
    </row>
    <row r="492" spans="1:10" x14ac:dyDescent="0.25">
      <c r="A492" s="33" t="s">
        <v>544</v>
      </c>
      <c r="B492" s="33" t="s">
        <v>21</v>
      </c>
      <c r="C492" s="39">
        <v>693214759</v>
      </c>
      <c r="D492" s="40">
        <v>5193936198</v>
      </c>
      <c r="E492" s="33" t="s">
        <v>81</v>
      </c>
      <c r="F492" s="41">
        <v>35695</v>
      </c>
      <c r="G492" s="42">
        <f t="shared" ca="1" si="7"/>
        <v>16</v>
      </c>
      <c r="H492" s="43">
        <v>4</v>
      </c>
      <c r="I492" s="44">
        <v>9424</v>
      </c>
    </row>
    <row r="493" spans="1:10" x14ac:dyDescent="0.25">
      <c r="A493" s="33" t="s">
        <v>545</v>
      </c>
      <c r="B493" s="33" t="s">
        <v>52</v>
      </c>
      <c r="C493" s="39">
        <v>292693795</v>
      </c>
      <c r="D493" s="40">
        <v>6084562999</v>
      </c>
      <c r="E493" s="33" t="s">
        <v>33</v>
      </c>
      <c r="F493" s="41">
        <v>37165</v>
      </c>
      <c r="G493" s="42">
        <f t="shared" ca="1" si="7"/>
        <v>12</v>
      </c>
      <c r="H493" s="43">
        <v>4</v>
      </c>
      <c r="I493" s="44">
        <v>28525</v>
      </c>
    </row>
    <row r="494" spans="1:10" x14ac:dyDescent="0.25">
      <c r="A494" s="33" t="s">
        <v>546</v>
      </c>
      <c r="B494" s="33" t="s">
        <v>64</v>
      </c>
      <c r="C494" s="39">
        <v>665006199</v>
      </c>
      <c r="D494" s="40">
        <v>4183498222</v>
      </c>
      <c r="E494" s="33" t="s">
        <v>17</v>
      </c>
      <c r="F494" s="41">
        <v>34550</v>
      </c>
      <c r="G494" s="42">
        <f t="shared" ca="1" si="7"/>
        <v>19</v>
      </c>
      <c r="H494" s="43">
        <v>2</v>
      </c>
      <c r="I494" s="44">
        <v>50550</v>
      </c>
    </row>
    <row r="495" spans="1:10" x14ac:dyDescent="0.25">
      <c r="A495" s="33" t="s">
        <v>547</v>
      </c>
      <c r="B495" s="33" t="s">
        <v>21</v>
      </c>
      <c r="C495" s="39">
        <v>618775364</v>
      </c>
      <c r="D495" s="40">
        <v>8052380636</v>
      </c>
      <c r="E495" s="33" t="s">
        <v>22</v>
      </c>
      <c r="F495" s="41">
        <v>34979</v>
      </c>
      <c r="G495" s="42">
        <f t="shared" ca="1" si="7"/>
        <v>18</v>
      </c>
      <c r="H495" s="43">
        <v>1</v>
      </c>
      <c r="I495" s="44">
        <v>60280</v>
      </c>
    </row>
    <row r="496" spans="1:10" x14ac:dyDescent="0.25">
      <c r="A496" s="33" t="s">
        <v>548</v>
      </c>
      <c r="B496" s="33" t="s">
        <v>52</v>
      </c>
      <c r="C496" s="39">
        <v>850210766</v>
      </c>
      <c r="D496" s="40">
        <v>6096098293</v>
      </c>
      <c r="E496" s="33" t="s">
        <v>81</v>
      </c>
      <c r="F496" s="41">
        <v>34792</v>
      </c>
      <c r="G496" s="42">
        <f t="shared" ca="1" si="7"/>
        <v>18</v>
      </c>
      <c r="H496" s="43">
        <v>4</v>
      </c>
      <c r="I496" s="44">
        <v>33508</v>
      </c>
    </row>
    <row r="497" spans="1:9" x14ac:dyDescent="0.25">
      <c r="A497" s="33" t="s">
        <v>549</v>
      </c>
      <c r="B497" s="33" t="s">
        <v>40</v>
      </c>
      <c r="C497" s="39">
        <v>828996583</v>
      </c>
      <c r="D497" s="40">
        <v>6145866887</v>
      </c>
      <c r="E497" s="33" t="s">
        <v>22</v>
      </c>
      <c r="F497" s="41">
        <v>39408</v>
      </c>
      <c r="G497" s="42">
        <f t="shared" ca="1" si="7"/>
        <v>6</v>
      </c>
      <c r="H497" s="43">
        <v>3</v>
      </c>
      <c r="I497" s="44">
        <v>34990</v>
      </c>
    </row>
    <row r="498" spans="1:9" x14ac:dyDescent="0.25">
      <c r="A498" s="33" t="s">
        <v>550</v>
      </c>
      <c r="B498" s="33" t="s">
        <v>16</v>
      </c>
      <c r="C498" s="39">
        <v>186346711</v>
      </c>
      <c r="D498" s="40">
        <v>6082604602</v>
      </c>
      <c r="E498" s="33" t="s">
        <v>22</v>
      </c>
      <c r="F498" s="41">
        <v>32996</v>
      </c>
      <c r="G498" s="42">
        <f t="shared" ca="1" si="7"/>
        <v>23</v>
      </c>
      <c r="H498" s="43">
        <v>3</v>
      </c>
      <c r="I498" s="44">
        <v>87120</v>
      </c>
    </row>
    <row r="499" spans="1:9" x14ac:dyDescent="0.25">
      <c r="A499" s="33" t="s">
        <v>551</v>
      </c>
      <c r="B499" s="33" t="s">
        <v>64</v>
      </c>
      <c r="C499" s="39">
        <v>479081328</v>
      </c>
      <c r="D499" s="40">
        <v>5198006736</v>
      </c>
      <c r="E499" s="33" t="s">
        <v>22</v>
      </c>
      <c r="F499" s="41">
        <v>39891</v>
      </c>
      <c r="G499" s="42">
        <f t="shared" ca="1" si="7"/>
        <v>4</v>
      </c>
      <c r="H499" s="43">
        <v>3</v>
      </c>
      <c r="I499" s="44">
        <v>77820</v>
      </c>
    </row>
    <row r="500" spans="1:9" x14ac:dyDescent="0.25">
      <c r="A500" s="33" t="s">
        <v>552</v>
      </c>
      <c r="B500" s="33" t="s">
        <v>158</v>
      </c>
      <c r="C500" s="39">
        <v>257249459</v>
      </c>
      <c r="D500" s="40">
        <v>6063631883</v>
      </c>
      <c r="E500" s="33" t="s">
        <v>33</v>
      </c>
      <c r="F500" s="41">
        <v>35747</v>
      </c>
      <c r="G500" s="42">
        <f t="shared" ca="1" si="7"/>
        <v>16</v>
      </c>
      <c r="H500" s="43">
        <v>1</v>
      </c>
      <c r="I500" s="44">
        <v>42905</v>
      </c>
    </row>
    <row r="501" spans="1:9" x14ac:dyDescent="0.25">
      <c r="A501" s="33" t="s">
        <v>553</v>
      </c>
      <c r="B501" s="33" t="s">
        <v>40</v>
      </c>
      <c r="C501" s="39">
        <v>581823751</v>
      </c>
      <c r="D501" s="40">
        <v>5161847141</v>
      </c>
      <c r="E501" s="33" t="s">
        <v>81</v>
      </c>
      <c r="F501" s="41">
        <v>34215</v>
      </c>
      <c r="G501" s="42">
        <f t="shared" ca="1" si="7"/>
        <v>20</v>
      </c>
      <c r="H501" s="43">
        <v>4</v>
      </c>
      <c r="I501" s="44">
        <v>26944</v>
      </c>
    </row>
    <row r="502" spans="1:9" x14ac:dyDescent="0.25">
      <c r="A502" s="33" t="s">
        <v>554</v>
      </c>
      <c r="B502" s="33" t="s">
        <v>61</v>
      </c>
      <c r="C502" s="39">
        <v>589649495</v>
      </c>
      <c r="D502" s="40">
        <v>2021888279</v>
      </c>
      <c r="E502" s="33" t="s">
        <v>22</v>
      </c>
      <c r="F502" s="41">
        <v>32847</v>
      </c>
      <c r="G502" s="42">
        <f t="shared" ca="1" si="7"/>
        <v>24</v>
      </c>
      <c r="H502" s="43">
        <v>5</v>
      </c>
      <c r="I502" s="44">
        <v>61470</v>
      </c>
    </row>
    <row r="503" spans="1:9" x14ac:dyDescent="0.25">
      <c r="A503" s="33" t="s">
        <v>555</v>
      </c>
      <c r="B503" s="33" t="s">
        <v>21</v>
      </c>
      <c r="C503" s="39">
        <v>649234799</v>
      </c>
      <c r="D503" s="40">
        <v>5073164024</v>
      </c>
      <c r="E503" s="33" t="s">
        <v>22</v>
      </c>
      <c r="F503" s="41">
        <v>35803</v>
      </c>
      <c r="G503" s="42">
        <f t="shared" ca="1" si="7"/>
        <v>15</v>
      </c>
      <c r="H503" s="43">
        <v>3</v>
      </c>
      <c r="I503" s="44">
        <v>40060</v>
      </c>
    </row>
    <row r="504" spans="1:9" x14ac:dyDescent="0.25">
      <c r="A504" s="33" t="s">
        <v>556</v>
      </c>
      <c r="B504" s="33" t="s">
        <v>158</v>
      </c>
      <c r="C504" s="39">
        <v>353414196</v>
      </c>
      <c r="D504" s="40">
        <v>9135777345</v>
      </c>
      <c r="E504" s="33" t="s">
        <v>17</v>
      </c>
      <c r="F504" s="41">
        <v>37057</v>
      </c>
      <c r="G504" s="42">
        <f t="shared" ca="1" si="7"/>
        <v>12</v>
      </c>
      <c r="H504" s="43">
        <v>2</v>
      </c>
      <c r="I504" s="44">
        <v>73390</v>
      </c>
    </row>
    <row r="505" spans="1:9" x14ac:dyDescent="0.25">
      <c r="A505" s="33" t="s">
        <v>557</v>
      </c>
      <c r="B505" s="33" t="s">
        <v>111</v>
      </c>
      <c r="C505" s="39">
        <v>161439267</v>
      </c>
      <c r="D505" s="40">
        <v>9132256131</v>
      </c>
      <c r="E505" s="33" t="s">
        <v>22</v>
      </c>
      <c r="F505" s="41">
        <v>33691</v>
      </c>
      <c r="G505" s="42">
        <f t="shared" ca="1" si="7"/>
        <v>21</v>
      </c>
      <c r="H505" s="43">
        <v>1</v>
      </c>
      <c r="I505" s="44">
        <v>73440</v>
      </c>
    </row>
    <row r="506" spans="1:9" x14ac:dyDescent="0.25">
      <c r="A506" s="33" t="s">
        <v>558</v>
      </c>
      <c r="B506" s="33" t="s">
        <v>40</v>
      </c>
      <c r="C506" s="39">
        <v>619456809</v>
      </c>
      <c r="D506" s="40">
        <v>4052387348</v>
      </c>
      <c r="E506" s="33" t="s">
        <v>81</v>
      </c>
      <c r="F506" s="41">
        <v>34966</v>
      </c>
      <c r="G506" s="42">
        <f t="shared" ca="1" si="7"/>
        <v>18</v>
      </c>
      <c r="H506" s="43">
        <v>3</v>
      </c>
      <c r="I506" s="44">
        <v>28768</v>
      </c>
    </row>
    <row r="507" spans="1:9" x14ac:dyDescent="0.25">
      <c r="A507" s="33" t="s">
        <v>559</v>
      </c>
      <c r="B507" s="33" t="s">
        <v>40</v>
      </c>
      <c r="C507" s="39">
        <v>291715078</v>
      </c>
      <c r="D507" s="40">
        <v>9024373324</v>
      </c>
      <c r="E507" s="33" t="s">
        <v>22</v>
      </c>
      <c r="F507" s="41">
        <v>34060</v>
      </c>
      <c r="G507" s="42">
        <f t="shared" ca="1" si="7"/>
        <v>20</v>
      </c>
      <c r="H507" s="43">
        <v>5</v>
      </c>
      <c r="I507" s="44">
        <v>69510</v>
      </c>
    </row>
    <row r="508" spans="1:9" x14ac:dyDescent="0.25">
      <c r="A508" s="33" t="s">
        <v>560</v>
      </c>
      <c r="B508" s="33" t="s">
        <v>74</v>
      </c>
      <c r="C508" s="39">
        <v>510700395</v>
      </c>
      <c r="D508" s="40">
        <v>5168611970</v>
      </c>
      <c r="E508" s="33" t="s">
        <v>33</v>
      </c>
      <c r="F508" s="41">
        <v>34145</v>
      </c>
      <c r="G508" s="42">
        <f t="shared" ca="1" si="7"/>
        <v>20</v>
      </c>
      <c r="H508" s="43">
        <v>4</v>
      </c>
      <c r="I508" s="44">
        <v>15005</v>
      </c>
    </row>
    <row r="509" spans="1:9" x14ac:dyDescent="0.25">
      <c r="A509" s="33" t="s">
        <v>561</v>
      </c>
      <c r="B509" s="33" t="s">
        <v>32</v>
      </c>
      <c r="C509" s="39">
        <v>168147877</v>
      </c>
      <c r="D509" s="40">
        <v>4132400087</v>
      </c>
      <c r="E509" s="33" t="s">
        <v>17</v>
      </c>
      <c r="F509" s="41">
        <v>34048</v>
      </c>
      <c r="G509" s="42">
        <f t="shared" ca="1" si="7"/>
        <v>20</v>
      </c>
      <c r="H509" s="43">
        <v>2</v>
      </c>
      <c r="I509" s="44">
        <v>85980</v>
      </c>
    </row>
    <row r="510" spans="1:9" x14ac:dyDescent="0.25">
      <c r="A510" s="33" t="s">
        <v>562</v>
      </c>
      <c r="B510" s="33" t="s">
        <v>158</v>
      </c>
      <c r="C510" s="39">
        <v>648911225</v>
      </c>
      <c r="D510" s="40">
        <v>7093123940</v>
      </c>
      <c r="E510" s="33" t="s">
        <v>17</v>
      </c>
      <c r="F510" s="41">
        <v>34540</v>
      </c>
      <c r="G510" s="42">
        <f t="shared" ca="1" si="7"/>
        <v>19</v>
      </c>
      <c r="H510" s="43">
        <v>2</v>
      </c>
      <c r="I510" s="44">
        <v>35260</v>
      </c>
    </row>
    <row r="511" spans="1:9" x14ac:dyDescent="0.25">
      <c r="A511" s="33" t="s">
        <v>563</v>
      </c>
      <c r="B511" s="33" t="s">
        <v>21</v>
      </c>
      <c r="C511" s="39">
        <v>903618594</v>
      </c>
      <c r="D511" s="40">
        <v>7176844371</v>
      </c>
      <c r="E511" s="33" t="s">
        <v>22</v>
      </c>
      <c r="F511" s="41">
        <v>35191</v>
      </c>
      <c r="G511" s="42">
        <f t="shared" ca="1" si="7"/>
        <v>17</v>
      </c>
      <c r="H511" s="43">
        <v>1</v>
      </c>
      <c r="I511" s="44">
        <v>78570</v>
      </c>
    </row>
    <row r="512" spans="1:9" x14ac:dyDescent="0.25">
      <c r="A512" s="33" t="s">
        <v>564</v>
      </c>
      <c r="B512" s="33" t="s">
        <v>16</v>
      </c>
      <c r="C512" s="39">
        <v>334574480</v>
      </c>
      <c r="D512" s="40">
        <v>7165268508</v>
      </c>
      <c r="E512" s="33" t="s">
        <v>17</v>
      </c>
      <c r="F512" s="41">
        <v>34908</v>
      </c>
      <c r="G512" s="42">
        <f t="shared" ca="1" si="7"/>
        <v>18</v>
      </c>
      <c r="H512" s="43">
        <v>2</v>
      </c>
      <c r="I512" s="44">
        <v>53870</v>
      </c>
    </row>
    <row r="513" spans="1:34" x14ac:dyDescent="0.25">
      <c r="A513" s="33" t="s">
        <v>565</v>
      </c>
      <c r="B513" s="33" t="s">
        <v>21</v>
      </c>
      <c r="C513" s="39">
        <v>627494412</v>
      </c>
      <c r="D513" s="40">
        <v>8122601200</v>
      </c>
      <c r="E513" s="33" t="s">
        <v>17</v>
      </c>
      <c r="F513" s="41">
        <v>33369</v>
      </c>
      <c r="G513" s="42">
        <f t="shared" ca="1" si="7"/>
        <v>22</v>
      </c>
      <c r="H513" s="43">
        <v>3</v>
      </c>
      <c r="I513" s="44">
        <v>73990</v>
      </c>
    </row>
    <row r="514" spans="1:34" x14ac:dyDescent="0.25">
      <c r="A514" s="33" t="s">
        <v>566</v>
      </c>
      <c r="B514" s="33" t="s">
        <v>32</v>
      </c>
      <c r="C514" s="39">
        <v>758001890</v>
      </c>
      <c r="D514" s="40">
        <v>3064900514</v>
      </c>
      <c r="E514" s="33" t="s">
        <v>17</v>
      </c>
      <c r="F514" s="41">
        <v>34116</v>
      </c>
      <c r="G514" s="42">
        <f t="shared" ref="G514:G577" ca="1" si="8">DATEDIF(F514,TODAY(),"Y")</f>
        <v>20</v>
      </c>
      <c r="H514" s="43">
        <v>2</v>
      </c>
      <c r="I514" s="44">
        <v>33120</v>
      </c>
    </row>
    <row r="515" spans="1:34" x14ac:dyDescent="0.25">
      <c r="A515" s="33" t="s">
        <v>567</v>
      </c>
      <c r="B515" s="33" t="s">
        <v>40</v>
      </c>
      <c r="C515" s="39">
        <v>525507320</v>
      </c>
      <c r="D515" s="40">
        <v>4048792521</v>
      </c>
      <c r="E515" s="33" t="s">
        <v>17</v>
      </c>
      <c r="F515" s="41">
        <v>32534</v>
      </c>
      <c r="G515" s="42">
        <f t="shared" ca="1" si="8"/>
        <v>24</v>
      </c>
      <c r="H515" s="43">
        <v>4</v>
      </c>
      <c r="I515" s="44">
        <v>23340</v>
      </c>
    </row>
    <row r="516" spans="1:34" x14ac:dyDescent="0.25">
      <c r="A516" s="33" t="s">
        <v>568</v>
      </c>
      <c r="B516" s="33" t="s">
        <v>21</v>
      </c>
      <c r="C516" s="39">
        <v>317749924</v>
      </c>
      <c r="D516" s="40">
        <v>7134982487</v>
      </c>
      <c r="E516" s="33" t="s">
        <v>17</v>
      </c>
      <c r="F516" s="41">
        <v>34575</v>
      </c>
      <c r="G516" s="42">
        <f t="shared" ca="1" si="8"/>
        <v>19</v>
      </c>
      <c r="H516" s="43">
        <v>3</v>
      </c>
      <c r="I516" s="44">
        <v>24410</v>
      </c>
    </row>
    <row r="517" spans="1:34" x14ac:dyDescent="0.25">
      <c r="A517" s="33" t="s">
        <v>569</v>
      </c>
      <c r="B517" s="33" t="s">
        <v>32</v>
      </c>
      <c r="C517" s="39">
        <v>120361975</v>
      </c>
      <c r="D517" s="40">
        <v>4161549933</v>
      </c>
      <c r="E517" s="33" t="s">
        <v>17</v>
      </c>
      <c r="F517" s="41">
        <v>34305</v>
      </c>
      <c r="G517" s="42">
        <f t="shared" ca="1" si="8"/>
        <v>20</v>
      </c>
      <c r="H517" s="43">
        <v>5</v>
      </c>
      <c r="I517" s="44">
        <v>76870</v>
      </c>
    </row>
    <row r="518" spans="1:34" x14ac:dyDescent="0.25">
      <c r="A518" s="33" t="s">
        <v>570</v>
      </c>
      <c r="B518" s="33" t="s">
        <v>58</v>
      </c>
      <c r="C518" s="39">
        <v>163350417</v>
      </c>
      <c r="D518" s="40">
        <v>9032304625</v>
      </c>
      <c r="E518" s="33" t="s">
        <v>81</v>
      </c>
      <c r="F518" s="41">
        <v>34771</v>
      </c>
      <c r="G518" s="42">
        <f t="shared" ca="1" si="8"/>
        <v>18</v>
      </c>
      <c r="H518" s="43">
        <v>3</v>
      </c>
      <c r="I518" s="44">
        <v>35312</v>
      </c>
    </row>
    <row r="519" spans="1:34" x14ac:dyDescent="0.25">
      <c r="A519" s="33" t="s">
        <v>571</v>
      </c>
      <c r="B519" s="33" t="s">
        <v>16</v>
      </c>
      <c r="C519" s="39">
        <v>972791650</v>
      </c>
      <c r="D519" s="40">
        <v>3138407416</v>
      </c>
      <c r="E519" s="33" t="s">
        <v>22</v>
      </c>
      <c r="F519" s="41">
        <v>32797</v>
      </c>
      <c r="G519" s="42">
        <f t="shared" ca="1" si="8"/>
        <v>24</v>
      </c>
      <c r="H519" s="43">
        <v>1</v>
      </c>
      <c r="I519" s="44">
        <v>22900</v>
      </c>
    </row>
    <row r="520" spans="1:34" x14ac:dyDescent="0.25">
      <c r="A520" s="33" t="s">
        <v>572</v>
      </c>
      <c r="B520" s="33" t="s">
        <v>21</v>
      </c>
      <c r="C520" s="39">
        <v>515543972</v>
      </c>
      <c r="D520" s="40">
        <v>2138669137</v>
      </c>
      <c r="E520" s="33" t="s">
        <v>22</v>
      </c>
      <c r="F520" s="41">
        <v>38780</v>
      </c>
      <c r="G520" s="42">
        <f t="shared" ca="1" si="8"/>
        <v>7</v>
      </c>
      <c r="H520" s="43">
        <v>5</v>
      </c>
      <c r="I520" s="44">
        <v>71490</v>
      </c>
    </row>
    <row r="521" spans="1:34" x14ac:dyDescent="0.25">
      <c r="A521" s="33" t="s">
        <v>573</v>
      </c>
      <c r="B521" s="33" t="s">
        <v>58</v>
      </c>
      <c r="C521" s="39">
        <v>488831244</v>
      </c>
      <c r="D521" s="40">
        <v>2048217409</v>
      </c>
      <c r="E521" s="33" t="s">
        <v>81</v>
      </c>
      <c r="F521" s="41">
        <v>35474</v>
      </c>
      <c r="G521" s="42">
        <f t="shared" ca="1" si="8"/>
        <v>16</v>
      </c>
      <c r="H521" s="43">
        <v>4</v>
      </c>
      <c r="I521" s="44">
        <v>21668</v>
      </c>
    </row>
    <row r="522" spans="1:34" x14ac:dyDescent="0.25">
      <c r="A522" s="33" t="s">
        <v>574</v>
      </c>
      <c r="B522" s="33" t="s">
        <v>61</v>
      </c>
      <c r="C522" s="39">
        <v>244171882</v>
      </c>
      <c r="D522" s="40">
        <v>6023324762</v>
      </c>
      <c r="E522" s="33" t="s">
        <v>17</v>
      </c>
      <c r="F522" s="41">
        <v>39173</v>
      </c>
      <c r="G522" s="42">
        <f t="shared" ca="1" si="8"/>
        <v>6</v>
      </c>
      <c r="H522" s="43">
        <v>3</v>
      </c>
      <c r="I522" s="44">
        <v>54000</v>
      </c>
    </row>
    <row r="523" spans="1:34" x14ac:dyDescent="0.25">
      <c r="A523" s="33" t="s">
        <v>575</v>
      </c>
      <c r="B523" s="33" t="s">
        <v>21</v>
      </c>
      <c r="C523" s="39">
        <v>920477476</v>
      </c>
      <c r="D523" s="40">
        <v>5137188067</v>
      </c>
      <c r="E523" s="33" t="s">
        <v>17</v>
      </c>
      <c r="F523" s="41">
        <v>39212</v>
      </c>
      <c r="G523" s="42">
        <f t="shared" ca="1" si="8"/>
        <v>6</v>
      </c>
      <c r="H523" s="43">
        <v>5</v>
      </c>
      <c r="I523" s="44">
        <v>60040</v>
      </c>
    </row>
    <row r="524" spans="1:34" x14ac:dyDescent="0.25">
      <c r="A524" s="33" t="s">
        <v>576</v>
      </c>
      <c r="B524" s="33" t="s">
        <v>40</v>
      </c>
      <c r="C524" s="39">
        <v>358017400</v>
      </c>
      <c r="D524" s="40">
        <v>2155829090</v>
      </c>
      <c r="E524" s="33" t="s">
        <v>17</v>
      </c>
      <c r="F524" s="41">
        <v>39724</v>
      </c>
      <c r="G524" s="42">
        <f t="shared" ca="1" si="8"/>
        <v>5</v>
      </c>
      <c r="H524" s="43">
        <v>1</v>
      </c>
      <c r="I524" s="44">
        <v>47280</v>
      </c>
    </row>
    <row r="525" spans="1:34" x14ac:dyDescent="0.25">
      <c r="A525" s="33" t="s">
        <v>577</v>
      </c>
      <c r="B525" s="33" t="s">
        <v>16</v>
      </c>
      <c r="C525" s="39">
        <v>365499498</v>
      </c>
      <c r="D525" s="40">
        <v>9125981242</v>
      </c>
      <c r="E525" s="33" t="s">
        <v>22</v>
      </c>
      <c r="F525" s="41">
        <v>32613</v>
      </c>
      <c r="G525" s="42">
        <f t="shared" ca="1" si="8"/>
        <v>24</v>
      </c>
      <c r="H525" s="43">
        <v>5</v>
      </c>
      <c r="I525" s="44">
        <v>31260</v>
      </c>
    </row>
    <row r="526" spans="1:34" x14ac:dyDescent="0.25">
      <c r="A526" s="33" t="s">
        <v>578</v>
      </c>
      <c r="B526" s="33" t="s">
        <v>16</v>
      </c>
      <c r="C526" s="39">
        <v>881975933</v>
      </c>
      <c r="D526" s="40">
        <v>9116690862</v>
      </c>
      <c r="E526" s="33" t="s">
        <v>22</v>
      </c>
      <c r="F526" s="41">
        <v>35247</v>
      </c>
      <c r="G526" s="42">
        <f t="shared" ca="1" si="8"/>
        <v>17</v>
      </c>
      <c r="H526" s="43">
        <v>3</v>
      </c>
      <c r="I526" s="44">
        <v>82110</v>
      </c>
      <c r="N526" s="53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F526" s="34"/>
      <c r="AG526" s="50">
        <v>55000</v>
      </c>
      <c r="AH526" s="51">
        <v>0.08</v>
      </c>
    </row>
    <row r="527" spans="1:34" x14ac:dyDescent="0.25">
      <c r="A527" s="33" t="s">
        <v>579</v>
      </c>
      <c r="B527" s="33" t="s">
        <v>80</v>
      </c>
      <c r="C527" s="39">
        <v>649292883</v>
      </c>
      <c r="D527" s="40">
        <v>5123182167</v>
      </c>
      <c r="E527" s="33" t="s">
        <v>17</v>
      </c>
      <c r="F527" s="41">
        <v>36063</v>
      </c>
      <c r="G527" s="42">
        <f t="shared" ca="1" si="8"/>
        <v>15</v>
      </c>
      <c r="H527" s="43">
        <v>4</v>
      </c>
      <c r="I527" s="44">
        <v>69410</v>
      </c>
    </row>
    <row r="528" spans="1:34" x14ac:dyDescent="0.25">
      <c r="A528" s="33" t="s">
        <v>580</v>
      </c>
      <c r="B528" s="33" t="s">
        <v>74</v>
      </c>
      <c r="C528" s="39">
        <v>853268713</v>
      </c>
      <c r="D528" s="40">
        <v>2046114005</v>
      </c>
      <c r="E528" s="33" t="s">
        <v>17</v>
      </c>
      <c r="F528" s="41">
        <v>33339</v>
      </c>
      <c r="G528" s="42">
        <f t="shared" ca="1" si="8"/>
        <v>22</v>
      </c>
      <c r="H528" s="43">
        <v>5</v>
      </c>
      <c r="I528" s="44">
        <v>81070</v>
      </c>
    </row>
    <row r="529" spans="1:9" x14ac:dyDescent="0.25">
      <c r="A529" s="33" t="s">
        <v>581</v>
      </c>
      <c r="B529" s="33" t="s">
        <v>32</v>
      </c>
      <c r="C529" s="39">
        <v>972086665</v>
      </c>
      <c r="D529" s="40">
        <v>5018405552</v>
      </c>
      <c r="E529" s="33" t="s">
        <v>22</v>
      </c>
      <c r="F529" s="41">
        <v>35478</v>
      </c>
      <c r="G529" s="42">
        <f t="shared" ca="1" si="8"/>
        <v>16</v>
      </c>
      <c r="H529" s="43">
        <v>4</v>
      </c>
      <c r="I529" s="44">
        <v>54580</v>
      </c>
    </row>
    <row r="530" spans="1:9" x14ac:dyDescent="0.25">
      <c r="A530" s="33" t="s">
        <v>582</v>
      </c>
      <c r="B530" s="33" t="s">
        <v>16</v>
      </c>
      <c r="C530" s="39">
        <v>776823797</v>
      </c>
      <c r="D530" s="40">
        <v>7075220001</v>
      </c>
      <c r="E530" s="33" t="s">
        <v>22</v>
      </c>
      <c r="F530" s="41">
        <v>34672</v>
      </c>
      <c r="G530" s="42">
        <f t="shared" ca="1" si="8"/>
        <v>19</v>
      </c>
      <c r="H530" s="43">
        <v>4</v>
      </c>
      <c r="I530" s="44">
        <v>57560</v>
      </c>
    </row>
    <row r="531" spans="1:9" x14ac:dyDescent="0.25">
      <c r="A531" s="33" t="s">
        <v>583</v>
      </c>
      <c r="B531" s="33" t="s">
        <v>32</v>
      </c>
      <c r="C531" s="39">
        <v>167058119</v>
      </c>
      <c r="D531" s="40">
        <v>8042344526</v>
      </c>
      <c r="E531" s="33" t="s">
        <v>22</v>
      </c>
      <c r="F531" s="41">
        <v>34541</v>
      </c>
      <c r="G531" s="42">
        <f t="shared" ca="1" si="8"/>
        <v>19</v>
      </c>
      <c r="H531" s="43">
        <v>2</v>
      </c>
      <c r="I531" s="44">
        <v>29760</v>
      </c>
    </row>
    <row r="532" spans="1:9" x14ac:dyDescent="0.25">
      <c r="A532" s="33" t="s">
        <v>584</v>
      </c>
      <c r="B532" s="33" t="s">
        <v>52</v>
      </c>
      <c r="C532" s="39">
        <v>570756015</v>
      </c>
      <c r="D532" s="40">
        <v>9141682521</v>
      </c>
      <c r="E532" s="33" t="s">
        <v>17</v>
      </c>
      <c r="F532" s="41">
        <v>37417</v>
      </c>
      <c r="G532" s="42">
        <f t="shared" ca="1" si="8"/>
        <v>11</v>
      </c>
      <c r="H532" s="43">
        <v>1</v>
      </c>
      <c r="I532" s="44">
        <v>64590</v>
      </c>
    </row>
    <row r="533" spans="1:9" x14ac:dyDescent="0.25">
      <c r="A533" s="33" t="s">
        <v>585</v>
      </c>
      <c r="B533" s="33" t="s">
        <v>40</v>
      </c>
      <c r="C533" s="39">
        <v>265993407</v>
      </c>
      <c r="D533" s="40">
        <v>8073909820</v>
      </c>
      <c r="E533" s="33" t="s">
        <v>17</v>
      </c>
      <c r="F533" s="41">
        <v>39625</v>
      </c>
      <c r="G533" s="42">
        <f t="shared" ca="1" si="8"/>
        <v>5</v>
      </c>
      <c r="H533" s="43">
        <v>3</v>
      </c>
      <c r="I533" s="44">
        <v>80729</v>
      </c>
    </row>
    <row r="534" spans="1:9" x14ac:dyDescent="0.25">
      <c r="A534" s="33" t="s">
        <v>586</v>
      </c>
      <c r="B534" s="33" t="s">
        <v>71</v>
      </c>
      <c r="C534" s="39">
        <v>462461365</v>
      </c>
      <c r="D534" s="40">
        <v>4017469217</v>
      </c>
      <c r="E534" s="33" t="s">
        <v>22</v>
      </c>
      <c r="F534" s="41">
        <v>32503</v>
      </c>
      <c r="G534" s="42">
        <f t="shared" ca="1" si="8"/>
        <v>24</v>
      </c>
      <c r="H534" s="43">
        <v>5</v>
      </c>
      <c r="I534" s="44">
        <v>32600</v>
      </c>
    </row>
    <row r="535" spans="1:9" x14ac:dyDescent="0.25">
      <c r="A535" s="33" t="s">
        <v>587</v>
      </c>
      <c r="B535" s="33" t="s">
        <v>52</v>
      </c>
      <c r="C535" s="39">
        <v>351003584</v>
      </c>
      <c r="D535" s="40">
        <v>6165717431</v>
      </c>
      <c r="E535" s="33" t="s">
        <v>22</v>
      </c>
      <c r="F535" s="41">
        <v>35797</v>
      </c>
      <c r="G535" s="42">
        <f t="shared" ca="1" si="8"/>
        <v>15</v>
      </c>
      <c r="H535" s="43">
        <v>5</v>
      </c>
      <c r="I535" s="44">
        <v>45880</v>
      </c>
    </row>
    <row r="536" spans="1:9" x14ac:dyDescent="0.25">
      <c r="A536" s="33" t="s">
        <v>588</v>
      </c>
      <c r="B536" s="33" t="s">
        <v>16</v>
      </c>
      <c r="C536" s="39">
        <v>375875723</v>
      </c>
      <c r="D536" s="40">
        <v>5196053287</v>
      </c>
      <c r="E536" s="33" t="s">
        <v>17</v>
      </c>
      <c r="F536" s="41">
        <v>36093</v>
      </c>
      <c r="G536" s="42">
        <f t="shared" ca="1" si="8"/>
        <v>15</v>
      </c>
      <c r="H536" s="43">
        <v>4</v>
      </c>
      <c r="I536" s="44">
        <v>50200</v>
      </c>
    </row>
    <row r="537" spans="1:9" x14ac:dyDescent="0.25">
      <c r="A537" s="33" t="s">
        <v>589</v>
      </c>
      <c r="B537" s="33" t="s">
        <v>111</v>
      </c>
      <c r="C537" s="39">
        <v>841913875</v>
      </c>
      <c r="D537" s="40">
        <v>5155990200</v>
      </c>
      <c r="E537" s="33" t="s">
        <v>22</v>
      </c>
      <c r="F537" s="41">
        <v>35604</v>
      </c>
      <c r="G537" s="42">
        <f t="shared" ca="1" si="8"/>
        <v>16</v>
      </c>
      <c r="H537" s="43">
        <v>1</v>
      </c>
      <c r="I537" s="44">
        <v>47850</v>
      </c>
    </row>
    <row r="538" spans="1:9" x14ac:dyDescent="0.25">
      <c r="A538" s="33" t="s">
        <v>590</v>
      </c>
      <c r="B538" s="33" t="s">
        <v>52</v>
      </c>
      <c r="C538" s="39">
        <v>106686151</v>
      </c>
      <c r="D538" s="40">
        <v>5041246633</v>
      </c>
      <c r="E538" s="33" t="s">
        <v>81</v>
      </c>
      <c r="F538" s="41">
        <v>35259</v>
      </c>
      <c r="G538" s="42">
        <f t="shared" ca="1" si="8"/>
        <v>17</v>
      </c>
      <c r="H538" s="43">
        <v>5</v>
      </c>
      <c r="I538" s="44">
        <v>17912</v>
      </c>
    </row>
    <row r="539" spans="1:9" x14ac:dyDescent="0.25">
      <c r="A539" s="33" t="s">
        <v>591</v>
      </c>
      <c r="B539" s="33" t="s">
        <v>21</v>
      </c>
      <c r="C539" s="39">
        <v>397835298</v>
      </c>
      <c r="D539" s="40">
        <v>9166458440</v>
      </c>
      <c r="E539" s="33" t="s">
        <v>22</v>
      </c>
      <c r="F539" s="41">
        <v>33541</v>
      </c>
      <c r="G539" s="42">
        <f t="shared" ca="1" si="8"/>
        <v>22</v>
      </c>
      <c r="H539" s="43">
        <v>2</v>
      </c>
      <c r="I539" s="44">
        <v>81980</v>
      </c>
    </row>
    <row r="540" spans="1:9" x14ac:dyDescent="0.25">
      <c r="A540" s="33" t="s">
        <v>592</v>
      </c>
      <c r="B540" s="33" t="s">
        <v>21</v>
      </c>
      <c r="C540" s="39">
        <v>984881714</v>
      </c>
      <c r="D540" s="40">
        <v>4148591986</v>
      </c>
      <c r="E540" s="33" t="s">
        <v>22</v>
      </c>
      <c r="F540" s="41">
        <v>35708</v>
      </c>
      <c r="G540" s="42">
        <f t="shared" ca="1" si="8"/>
        <v>16</v>
      </c>
      <c r="H540" s="43">
        <v>1</v>
      </c>
      <c r="I540" s="44">
        <v>68750</v>
      </c>
    </row>
    <row r="541" spans="1:9" x14ac:dyDescent="0.25">
      <c r="A541" s="33" t="s">
        <v>593</v>
      </c>
      <c r="B541" s="33" t="s">
        <v>152</v>
      </c>
      <c r="C541" s="39">
        <v>491830893</v>
      </c>
      <c r="D541" s="40">
        <v>9028304204</v>
      </c>
      <c r="E541" s="33" t="s">
        <v>22</v>
      </c>
      <c r="F541" s="41">
        <v>37787</v>
      </c>
      <c r="G541" s="42">
        <f t="shared" ca="1" si="8"/>
        <v>10</v>
      </c>
      <c r="H541" s="43">
        <v>4</v>
      </c>
      <c r="I541" s="44">
        <v>36630</v>
      </c>
    </row>
    <row r="542" spans="1:9" x14ac:dyDescent="0.25">
      <c r="A542" s="33" t="s">
        <v>594</v>
      </c>
      <c r="B542" s="33" t="s">
        <v>16</v>
      </c>
      <c r="C542" s="39">
        <v>425634540</v>
      </c>
      <c r="D542" s="40">
        <v>2146739978</v>
      </c>
      <c r="E542" s="33" t="s">
        <v>33</v>
      </c>
      <c r="F542" s="41">
        <v>39261</v>
      </c>
      <c r="G542" s="42">
        <f t="shared" ca="1" si="8"/>
        <v>6</v>
      </c>
      <c r="H542" s="43">
        <v>2</v>
      </c>
      <c r="I542" s="44">
        <v>38575</v>
      </c>
    </row>
    <row r="543" spans="1:9" x14ac:dyDescent="0.25">
      <c r="A543" s="33" t="s">
        <v>595</v>
      </c>
      <c r="B543" s="33" t="s">
        <v>32</v>
      </c>
      <c r="C543" s="39">
        <v>788451186</v>
      </c>
      <c r="D543" s="40">
        <v>4185267252</v>
      </c>
      <c r="E543" s="33" t="s">
        <v>33</v>
      </c>
      <c r="F543" s="41">
        <v>34183</v>
      </c>
      <c r="G543" s="42">
        <f t="shared" ca="1" si="8"/>
        <v>20</v>
      </c>
      <c r="H543" s="43">
        <v>4</v>
      </c>
      <c r="I543" s="44">
        <v>10700</v>
      </c>
    </row>
    <row r="544" spans="1:9" x14ac:dyDescent="0.25">
      <c r="A544" s="33" t="s">
        <v>596</v>
      </c>
      <c r="B544" s="33" t="s">
        <v>64</v>
      </c>
      <c r="C544" s="39">
        <v>647131956</v>
      </c>
      <c r="D544" s="40">
        <v>6182999652</v>
      </c>
      <c r="E544" s="33" t="s">
        <v>17</v>
      </c>
      <c r="F544" s="41">
        <v>35428</v>
      </c>
      <c r="G544" s="42">
        <f t="shared" ca="1" si="8"/>
        <v>16</v>
      </c>
      <c r="H544" s="43">
        <v>3</v>
      </c>
      <c r="I544" s="44">
        <v>30340</v>
      </c>
    </row>
    <row r="545" spans="1:9" x14ac:dyDescent="0.25">
      <c r="A545" s="33" t="s">
        <v>597</v>
      </c>
      <c r="B545" s="33" t="s">
        <v>64</v>
      </c>
      <c r="C545" s="39">
        <v>826450563</v>
      </c>
      <c r="D545" s="40">
        <v>5165790921</v>
      </c>
      <c r="E545" s="33" t="s">
        <v>81</v>
      </c>
      <c r="F545" s="41">
        <v>35992</v>
      </c>
      <c r="G545" s="42">
        <f t="shared" ca="1" si="8"/>
        <v>15</v>
      </c>
      <c r="H545" s="43">
        <v>3</v>
      </c>
      <c r="I545" s="44">
        <v>30080</v>
      </c>
    </row>
    <row r="546" spans="1:9" x14ac:dyDescent="0.25">
      <c r="A546" s="33" t="s">
        <v>598</v>
      </c>
      <c r="B546" s="33" t="s">
        <v>32</v>
      </c>
      <c r="C546" s="39">
        <v>278431222</v>
      </c>
      <c r="D546" s="40">
        <v>8064111882</v>
      </c>
      <c r="E546" s="33" t="s">
        <v>17</v>
      </c>
      <c r="F546" s="41">
        <v>36916</v>
      </c>
      <c r="G546" s="42">
        <f t="shared" ca="1" si="8"/>
        <v>12</v>
      </c>
      <c r="H546" s="43">
        <v>3</v>
      </c>
      <c r="I546" s="44">
        <v>61580</v>
      </c>
    </row>
    <row r="547" spans="1:9" x14ac:dyDescent="0.25">
      <c r="A547" s="33" t="s">
        <v>599</v>
      </c>
      <c r="B547" s="33" t="s">
        <v>21</v>
      </c>
      <c r="C547" s="39">
        <v>916944119</v>
      </c>
      <c r="D547" s="40">
        <v>7097111802</v>
      </c>
      <c r="E547" s="33" t="s">
        <v>22</v>
      </c>
      <c r="F547" s="41">
        <v>35322</v>
      </c>
      <c r="G547" s="42">
        <f t="shared" ca="1" si="8"/>
        <v>17</v>
      </c>
      <c r="H547" s="43">
        <v>5</v>
      </c>
      <c r="I547" s="44">
        <v>89740</v>
      </c>
    </row>
    <row r="548" spans="1:9" x14ac:dyDescent="0.25">
      <c r="A548" s="33" t="s">
        <v>600</v>
      </c>
      <c r="B548" s="33" t="s">
        <v>32</v>
      </c>
      <c r="C548" s="39">
        <v>671823263</v>
      </c>
      <c r="D548" s="40">
        <v>9163578185</v>
      </c>
      <c r="E548" s="33" t="s">
        <v>33</v>
      </c>
      <c r="F548" s="41">
        <v>39683</v>
      </c>
      <c r="G548" s="42">
        <f t="shared" ca="1" si="8"/>
        <v>5</v>
      </c>
      <c r="H548" s="43">
        <v>1</v>
      </c>
      <c r="I548" s="44">
        <v>11810</v>
      </c>
    </row>
    <row r="549" spans="1:9" x14ac:dyDescent="0.25">
      <c r="A549" s="33" t="s">
        <v>601</v>
      </c>
      <c r="B549" s="33" t="s">
        <v>32</v>
      </c>
      <c r="C549" s="39">
        <v>556327593</v>
      </c>
      <c r="D549" s="40">
        <v>4131472895</v>
      </c>
      <c r="E549" s="33" t="s">
        <v>17</v>
      </c>
      <c r="F549" s="41">
        <v>34536</v>
      </c>
      <c r="G549" s="42">
        <f t="shared" ca="1" si="8"/>
        <v>19</v>
      </c>
      <c r="H549" s="43">
        <v>1</v>
      </c>
      <c r="I549" s="44">
        <v>73190</v>
      </c>
    </row>
    <row r="550" spans="1:9" x14ac:dyDescent="0.25">
      <c r="A550" s="33" t="s">
        <v>602</v>
      </c>
      <c r="B550" s="33" t="s">
        <v>74</v>
      </c>
      <c r="C550" s="39">
        <v>826508763</v>
      </c>
      <c r="D550" s="40">
        <v>4135797109</v>
      </c>
      <c r="E550" s="33" t="s">
        <v>81</v>
      </c>
      <c r="F550" s="41">
        <v>35653</v>
      </c>
      <c r="G550" s="42">
        <f t="shared" ca="1" si="8"/>
        <v>16</v>
      </c>
      <c r="H550" s="43">
        <v>4</v>
      </c>
      <c r="I550" s="44">
        <v>38768</v>
      </c>
    </row>
    <row r="551" spans="1:9" x14ac:dyDescent="0.25">
      <c r="A551" s="33" t="s">
        <v>603</v>
      </c>
      <c r="B551" s="33" t="s">
        <v>158</v>
      </c>
      <c r="C551" s="39">
        <v>932553359</v>
      </c>
      <c r="D551" s="40">
        <v>3147600603</v>
      </c>
      <c r="E551" s="33" t="s">
        <v>17</v>
      </c>
      <c r="F551" s="41">
        <v>35127</v>
      </c>
      <c r="G551" s="42">
        <f t="shared" ca="1" si="8"/>
        <v>17</v>
      </c>
      <c r="H551" s="43">
        <v>1</v>
      </c>
      <c r="I551" s="44">
        <v>76020</v>
      </c>
    </row>
    <row r="552" spans="1:9" x14ac:dyDescent="0.25">
      <c r="A552" s="33" t="s">
        <v>604</v>
      </c>
      <c r="B552" s="33" t="s">
        <v>40</v>
      </c>
      <c r="C552" s="39">
        <v>337411408</v>
      </c>
      <c r="D552" s="40">
        <v>5095327906</v>
      </c>
      <c r="E552" s="33" t="s">
        <v>17</v>
      </c>
      <c r="F552" s="41">
        <v>34728</v>
      </c>
      <c r="G552" s="42">
        <f t="shared" ca="1" si="8"/>
        <v>18</v>
      </c>
      <c r="H552" s="43">
        <v>2</v>
      </c>
      <c r="I552" s="44">
        <v>87830</v>
      </c>
    </row>
    <row r="553" spans="1:9" x14ac:dyDescent="0.25">
      <c r="A553" s="33" t="s">
        <v>605</v>
      </c>
      <c r="B553" s="33" t="s">
        <v>158</v>
      </c>
      <c r="C553" s="39">
        <v>865073824</v>
      </c>
      <c r="D553" s="40">
        <v>9166335284</v>
      </c>
      <c r="E553" s="33" t="s">
        <v>81</v>
      </c>
      <c r="F553" s="41">
        <v>32573</v>
      </c>
      <c r="G553" s="42">
        <f t="shared" ca="1" si="8"/>
        <v>24</v>
      </c>
      <c r="H553" s="43">
        <v>5</v>
      </c>
      <c r="I553" s="44">
        <v>14712</v>
      </c>
    </row>
    <row r="554" spans="1:9" x14ac:dyDescent="0.25">
      <c r="A554" s="33" t="s">
        <v>606</v>
      </c>
      <c r="B554" s="33" t="s">
        <v>52</v>
      </c>
      <c r="C554" s="39">
        <v>476243591</v>
      </c>
      <c r="D554" s="40">
        <v>7177919826</v>
      </c>
      <c r="E554" s="33" t="s">
        <v>33</v>
      </c>
      <c r="F554" s="41">
        <v>37205</v>
      </c>
      <c r="G554" s="42">
        <f t="shared" ca="1" si="8"/>
        <v>12</v>
      </c>
      <c r="H554" s="43">
        <v>1</v>
      </c>
      <c r="I554" s="44">
        <v>48740</v>
      </c>
    </row>
    <row r="555" spans="1:9" x14ac:dyDescent="0.25">
      <c r="A555" s="33" t="s">
        <v>607</v>
      </c>
      <c r="B555" s="33" t="s">
        <v>152</v>
      </c>
      <c r="C555" s="39">
        <v>763518183</v>
      </c>
      <c r="D555" s="40">
        <v>3124980674</v>
      </c>
      <c r="E555" s="33" t="s">
        <v>22</v>
      </c>
      <c r="F555" s="41">
        <v>39313</v>
      </c>
      <c r="G555" s="42">
        <f t="shared" ca="1" si="8"/>
        <v>6</v>
      </c>
      <c r="H555" s="43">
        <v>3</v>
      </c>
      <c r="I555" s="44">
        <v>76440</v>
      </c>
    </row>
    <row r="556" spans="1:9" x14ac:dyDescent="0.25">
      <c r="A556" s="33" t="s">
        <v>608</v>
      </c>
      <c r="B556" s="33" t="s">
        <v>40</v>
      </c>
      <c r="C556" s="39">
        <v>685953695</v>
      </c>
      <c r="D556" s="40">
        <v>2063825834</v>
      </c>
      <c r="E556" s="33" t="s">
        <v>17</v>
      </c>
      <c r="F556" s="41">
        <v>40028</v>
      </c>
      <c r="G556" s="42">
        <f t="shared" ca="1" si="8"/>
        <v>4</v>
      </c>
      <c r="H556" s="43">
        <v>4</v>
      </c>
      <c r="I556" s="44">
        <v>42990</v>
      </c>
    </row>
    <row r="557" spans="1:9" x14ac:dyDescent="0.25">
      <c r="A557" s="33" t="s">
        <v>609</v>
      </c>
      <c r="B557" s="33" t="s">
        <v>32</v>
      </c>
      <c r="C557" s="39">
        <v>662247915</v>
      </c>
      <c r="D557" s="40">
        <v>4093451072</v>
      </c>
      <c r="E557" s="33" t="s">
        <v>33</v>
      </c>
      <c r="F557" s="41">
        <v>39644</v>
      </c>
      <c r="G557" s="42">
        <f t="shared" ca="1" si="8"/>
        <v>5</v>
      </c>
      <c r="H557" s="43">
        <v>3</v>
      </c>
      <c r="I557" s="44">
        <v>48700</v>
      </c>
    </row>
    <row r="558" spans="1:9" x14ac:dyDescent="0.25">
      <c r="A558" s="33" t="s">
        <v>610</v>
      </c>
      <c r="B558" s="33" t="s">
        <v>43</v>
      </c>
      <c r="C558" s="39">
        <v>276873359</v>
      </c>
      <c r="D558" s="40">
        <v>4144072342</v>
      </c>
      <c r="E558" s="33" t="s">
        <v>22</v>
      </c>
      <c r="F558" s="41">
        <v>37977</v>
      </c>
      <c r="G558" s="42">
        <f t="shared" ca="1" si="8"/>
        <v>9</v>
      </c>
      <c r="H558" s="43">
        <v>5</v>
      </c>
      <c r="I558" s="44">
        <v>47350</v>
      </c>
    </row>
    <row r="559" spans="1:9" x14ac:dyDescent="0.25">
      <c r="A559" s="33" t="s">
        <v>611</v>
      </c>
      <c r="B559" s="33" t="s">
        <v>61</v>
      </c>
      <c r="C559" s="39">
        <v>695198896</v>
      </c>
      <c r="D559" s="40">
        <v>4113976775</v>
      </c>
      <c r="E559" s="33" t="s">
        <v>81</v>
      </c>
      <c r="F559" s="41">
        <v>37534</v>
      </c>
      <c r="G559" s="42">
        <f t="shared" ca="1" si="8"/>
        <v>11</v>
      </c>
      <c r="H559" s="43">
        <v>4</v>
      </c>
      <c r="I559" s="44">
        <v>33512</v>
      </c>
    </row>
    <row r="560" spans="1:9" x14ac:dyDescent="0.25">
      <c r="A560" s="33" t="s">
        <v>612</v>
      </c>
      <c r="B560" s="33" t="s">
        <v>16</v>
      </c>
      <c r="C560" s="39">
        <v>276980518</v>
      </c>
      <c r="D560" s="40">
        <v>7024077699</v>
      </c>
      <c r="E560" s="33" t="s">
        <v>22</v>
      </c>
      <c r="F560" s="41">
        <v>33085</v>
      </c>
      <c r="G560" s="42">
        <f t="shared" ca="1" si="8"/>
        <v>23</v>
      </c>
      <c r="H560" s="43">
        <v>4</v>
      </c>
      <c r="I560" s="44">
        <v>60560</v>
      </c>
    </row>
    <row r="561" spans="1:10" x14ac:dyDescent="0.25">
      <c r="A561" s="33" t="s">
        <v>613</v>
      </c>
      <c r="B561" s="33" t="s">
        <v>21</v>
      </c>
      <c r="C561" s="39">
        <v>564908088</v>
      </c>
      <c r="D561" s="40">
        <v>8091629556</v>
      </c>
      <c r="E561" s="33" t="s">
        <v>17</v>
      </c>
      <c r="F561" s="41">
        <v>36108</v>
      </c>
      <c r="G561" s="42">
        <f t="shared" ca="1" si="8"/>
        <v>15</v>
      </c>
      <c r="H561" s="43">
        <v>5</v>
      </c>
      <c r="I561" s="44">
        <v>89520</v>
      </c>
    </row>
    <row r="562" spans="1:10" x14ac:dyDescent="0.25">
      <c r="A562" s="33" t="s">
        <v>614</v>
      </c>
      <c r="B562" s="33" t="s">
        <v>32</v>
      </c>
      <c r="C562" s="39">
        <v>412611335</v>
      </c>
      <c r="D562" s="40">
        <v>6056565171</v>
      </c>
      <c r="E562" s="33" t="s">
        <v>22</v>
      </c>
      <c r="F562" s="41">
        <v>39527</v>
      </c>
      <c r="G562" s="42">
        <f t="shared" ca="1" si="8"/>
        <v>5</v>
      </c>
      <c r="H562" s="43">
        <v>4</v>
      </c>
      <c r="I562" s="44">
        <v>54190</v>
      </c>
    </row>
    <row r="563" spans="1:10" x14ac:dyDescent="0.25">
      <c r="A563" s="33" t="s">
        <v>615</v>
      </c>
      <c r="B563" s="33" t="s">
        <v>32</v>
      </c>
      <c r="C563" s="39">
        <v>159117255</v>
      </c>
      <c r="D563" s="40">
        <v>3192140101</v>
      </c>
      <c r="E563" s="33" t="s">
        <v>22</v>
      </c>
      <c r="F563" s="41">
        <v>35006</v>
      </c>
      <c r="G563" s="42">
        <f t="shared" ca="1" si="8"/>
        <v>18</v>
      </c>
      <c r="H563" s="43">
        <v>2</v>
      </c>
      <c r="I563" s="44">
        <v>34060</v>
      </c>
    </row>
    <row r="564" spans="1:10" x14ac:dyDescent="0.25">
      <c r="A564" s="33" t="s">
        <v>616</v>
      </c>
      <c r="B564" s="33" t="s">
        <v>61</v>
      </c>
      <c r="C564" s="39">
        <v>959568761</v>
      </c>
      <c r="D564" s="40">
        <v>2078085402</v>
      </c>
      <c r="E564" s="33" t="s">
        <v>17</v>
      </c>
      <c r="F564" s="41">
        <v>33892</v>
      </c>
      <c r="G564" s="42">
        <f t="shared" ca="1" si="8"/>
        <v>21</v>
      </c>
      <c r="H564" s="43">
        <v>2</v>
      </c>
      <c r="I564" s="44">
        <v>66710</v>
      </c>
    </row>
    <row r="565" spans="1:10" x14ac:dyDescent="0.25">
      <c r="A565" s="33" t="s">
        <v>617</v>
      </c>
      <c r="B565" s="33" t="s">
        <v>64</v>
      </c>
      <c r="C565" s="39">
        <v>555718765</v>
      </c>
      <c r="D565" s="40">
        <v>9171462245</v>
      </c>
      <c r="E565" s="33" t="s">
        <v>33</v>
      </c>
      <c r="F565" s="41">
        <v>34907</v>
      </c>
      <c r="G565" s="42">
        <f t="shared" ca="1" si="8"/>
        <v>18</v>
      </c>
      <c r="H565" s="43">
        <v>4</v>
      </c>
      <c r="I565" s="44">
        <v>48415</v>
      </c>
    </row>
    <row r="566" spans="1:10" x14ac:dyDescent="0.25">
      <c r="A566" s="33" t="s">
        <v>618</v>
      </c>
      <c r="B566" s="33" t="s">
        <v>32</v>
      </c>
      <c r="C566" s="39">
        <v>593584018</v>
      </c>
      <c r="D566" s="40">
        <v>5081999230</v>
      </c>
      <c r="E566" s="33" t="s">
        <v>22</v>
      </c>
      <c r="F566" s="41">
        <v>32963</v>
      </c>
      <c r="G566" s="42">
        <f t="shared" ca="1" si="8"/>
        <v>23</v>
      </c>
      <c r="H566" s="43">
        <v>4</v>
      </c>
      <c r="I566" s="44">
        <v>71680</v>
      </c>
    </row>
    <row r="567" spans="1:10" x14ac:dyDescent="0.25">
      <c r="A567" s="33" t="s">
        <v>619</v>
      </c>
      <c r="B567" s="33" t="s">
        <v>147</v>
      </c>
      <c r="C567" s="39">
        <v>886332647</v>
      </c>
      <c r="D567" s="40">
        <v>7026733291</v>
      </c>
      <c r="E567" s="33" t="s">
        <v>17</v>
      </c>
      <c r="F567" s="41">
        <v>34785</v>
      </c>
      <c r="G567" s="42">
        <f t="shared" ca="1" si="8"/>
        <v>18</v>
      </c>
      <c r="H567" s="43">
        <v>2</v>
      </c>
      <c r="I567" s="44">
        <v>58130</v>
      </c>
    </row>
    <row r="568" spans="1:10" x14ac:dyDescent="0.25">
      <c r="A568" s="33" t="s">
        <v>620</v>
      </c>
      <c r="B568" s="33" t="s">
        <v>61</v>
      </c>
      <c r="C568" s="39">
        <v>280304785</v>
      </c>
      <c r="D568" s="40">
        <v>3114141191</v>
      </c>
      <c r="E568" s="33" t="s">
        <v>81</v>
      </c>
      <c r="F568" s="41">
        <v>39842</v>
      </c>
      <c r="G568" s="42">
        <f t="shared" ca="1" si="8"/>
        <v>4</v>
      </c>
      <c r="H568" s="43">
        <v>3</v>
      </c>
      <c r="I568" s="44">
        <v>9180</v>
      </c>
    </row>
    <row r="569" spans="1:10" x14ac:dyDescent="0.25">
      <c r="A569" s="33" t="s">
        <v>621</v>
      </c>
      <c r="B569" s="33" t="s">
        <v>64</v>
      </c>
      <c r="C569" s="39">
        <v>393393249</v>
      </c>
      <c r="D569" s="40">
        <v>4026396432</v>
      </c>
      <c r="E569" s="33" t="s">
        <v>22</v>
      </c>
      <c r="F569" s="41">
        <v>39682</v>
      </c>
      <c r="G569" s="42">
        <f t="shared" ca="1" si="8"/>
        <v>5</v>
      </c>
      <c r="H569" s="43">
        <v>1</v>
      </c>
      <c r="I569" s="44">
        <v>23280</v>
      </c>
    </row>
    <row r="570" spans="1:10" x14ac:dyDescent="0.25">
      <c r="A570" s="33" t="s">
        <v>622</v>
      </c>
      <c r="B570" s="33" t="s">
        <v>52</v>
      </c>
      <c r="C570" s="39">
        <v>596641549</v>
      </c>
      <c r="D570" s="40">
        <v>7062121334</v>
      </c>
      <c r="E570" s="33" t="s">
        <v>22</v>
      </c>
      <c r="F570" s="41">
        <v>32844</v>
      </c>
      <c r="G570" s="42">
        <f t="shared" ca="1" si="8"/>
        <v>24</v>
      </c>
      <c r="H570" s="43">
        <v>4</v>
      </c>
      <c r="I570" s="44">
        <v>67920</v>
      </c>
    </row>
    <row r="571" spans="1:10" x14ac:dyDescent="0.25">
      <c r="A571" s="33" t="s">
        <v>623</v>
      </c>
      <c r="B571" s="33" t="s">
        <v>32</v>
      </c>
      <c r="C571" s="39">
        <v>437460422</v>
      </c>
      <c r="D571" s="40">
        <v>7177091949</v>
      </c>
      <c r="E571" s="33" t="s">
        <v>22</v>
      </c>
      <c r="F571" s="41">
        <v>34559</v>
      </c>
      <c r="G571" s="42">
        <f t="shared" ca="1" si="8"/>
        <v>19</v>
      </c>
      <c r="H571" s="43">
        <v>3</v>
      </c>
      <c r="I571" s="44">
        <v>72640</v>
      </c>
    </row>
    <row r="572" spans="1:10" x14ac:dyDescent="0.25">
      <c r="A572" s="33" t="s">
        <v>624</v>
      </c>
      <c r="B572" s="33" t="s">
        <v>52</v>
      </c>
      <c r="C572" s="39">
        <v>288741910</v>
      </c>
      <c r="D572" s="40">
        <v>2154269081</v>
      </c>
      <c r="E572" s="33" t="s">
        <v>22</v>
      </c>
      <c r="F572" s="41">
        <v>33242</v>
      </c>
      <c r="G572" s="42">
        <f t="shared" ca="1" si="8"/>
        <v>22</v>
      </c>
      <c r="H572" s="43">
        <v>1</v>
      </c>
      <c r="I572" s="44">
        <v>86240</v>
      </c>
    </row>
    <row r="573" spans="1:10" x14ac:dyDescent="0.25">
      <c r="A573" s="33" t="s">
        <v>625</v>
      </c>
      <c r="B573" s="33" t="s">
        <v>61</v>
      </c>
      <c r="C573" s="39">
        <v>843064707</v>
      </c>
      <c r="D573" s="40">
        <v>9016012031</v>
      </c>
      <c r="E573" s="33" t="s">
        <v>81</v>
      </c>
      <c r="F573" s="41">
        <v>35719</v>
      </c>
      <c r="G573" s="42">
        <f t="shared" ca="1" si="8"/>
        <v>16</v>
      </c>
      <c r="H573" s="43">
        <v>1</v>
      </c>
      <c r="I573" s="44">
        <v>39764</v>
      </c>
    </row>
    <row r="574" spans="1:10" x14ac:dyDescent="0.25">
      <c r="A574" s="33" t="s">
        <v>626</v>
      </c>
      <c r="B574" s="33" t="s">
        <v>32</v>
      </c>
      <c r="C574" s="39">
        <v>495042805</v>
      </c>
      <c r="D574" s="40">
        <v>3168356334</v>
      </c>
      <c r="E574" s="33" t="s">
        <v>22</v>
      </c>
      <c r="F574" s="41">
        <v>36958</v>
      </c>
      <c r="G574" s="42">
        <f t="shared" ca="1" si="8"/>
        <v>12</v>
      </c>
      <c r="H574" s="43">
        <v>2</v>
      </c>
      <c r="I574" s="44">
        <v>45100</v>
      </c>
      <c r="J574" s="52"/>
    </row>
    <row r="575" spans="1:10" x14ac:dyDescent="0.25">
      <c r="A575" s="33" t="s">
        <v>627</v>
      </c>
      <c r="B575" s="33" t="s">
        <v>32</v>
      </c>
      <c r="C575" s="39">
        <v>603301910</v>
      </c>
      <c r="D575" s="40">
        <v>3012224790</v>
      </c>
      <c r="E575" s="33" t="s">
        <v>22</v>
      </c>
      <c r="F575" s="41">
        <v>37813</v>
      </c>
      <c r="G575" s="42">
        <f t="shared" ca="1" si="8"/>
        <v>10</v>
      </c>
      <c r="H575" s="43">
        <v>2</v>
      </c>
      <c r="I575" s="44">
        <v>61330</v>
      </c>
    </row>
    <row r="576" spans="1:10" x14ac:dyDescent="0.25">
      <c r="A576" s="33" t="s">
        <v>628</v>
      </c>
      <c r="B576" s="33" t="s">
        <v>61</v>
      </c>
      <c r="C576" s="39">
        <v>324069262</v>
      </c>
      <c r="D576" s="40">
        <v>6125048978</v>
      </c>
      <c r="E576" s="33" t="s">
        <v>22</v>
      </c>
      <c r="F576" s="41">
        <v>39047</v>
      </c>
      <c r="G576" s="42">
        <f t="shared" ca="1" si="8"/>
        <v>7</v>
      </c>
      <c r="H576" s="43">
        <v>1</v>
      </c>
      <c r="I576" s="44">
        <v>80880</v>
      </c>
    </row>
    <row r="577" spans="1:10" x14ac:dyDescent="0.25">
      <c r="A577" s="33" t="s">
        <v>629</v>
      </c>
      <c r="B577" s="33" t="s">
        <v>43</v>
      </c>
      <c r="C577" s="39">
        <v>750581894</v>
      </c>
      <c r="D577" s="40">
        <v>9174744493</v>
      </c>
      <c r="E577" s="33" t="s">
        <v>22</v>
      </c>
      <c r="F577" s="41">
        <v>35959</v>
      </c>
      <c r="G577" s="42">
        <f t="shared" ca="1" si="8"/>
        <v>15</v>
      </c>
      <c r="H577" s="43">
        <v>5</v>
      </c>
      <c r="I577" s="44">
        <v>75060</v>
      </c>
    </row>
    <row r="578" spans="1:10" x14ac:dyDescent="0.25">
      <c r="A578" s="33" t="s">
        <v>630</v>
      </c>
      <c r="B578" s="33" t="s">
        <v>64</v>
      </c>
      <c r="C578" s="39">
        <v>971128623</v>
      </c>
      <c r="D578" s="40">
        <v>3028400261</v>
      </c>
      <c r="E578" s="33" t="s">
        <v>22</v>
      </c>
      <c r="F578" s="41">
        <v>36408</v>
      </c>
      <c r="G578" s="42">
        <f t="shared" ref="G578:G641" ca="1" si="9">DATEDIF(F578,TODAY(),"Y")</f>
        <v>14</v>
      </c>
      <c r="H578" s="43">
        <v>4</v>
      </c>
      <c r="I578" s="44">
        <v>28650</v>
      </c>
    </row>
    <row r="579" spans="1:10" x14ac:dyDescent="0.25">
      <c r="A579" s="33" t="s">
        <v>631</v>
      </c>
      <c r="B579" s="33" t="s">
        <v>111</v>
      </c>
      <c r="C579" s="39">
        <v>323701315</v>
      </c>
      <c r="D579" s="40">
        <v>6185035104</v>
      </c>
      <c r="E579" s="33" t="s">
        <v>22</v>
      </c>
      <c r="F579" s="41">
        <v>32941</v>
      </c>
      <c r="G579" s="42">
        <f t="shared" ca="1" si="9"/>
        <v>23</v>
      </c>
      <c r="H579" s="43">
        <v>2</v>
      </c>
      <c r="I579" s="44">
        <v>41350</v>
      </c>
    </row>
    <row r="580" spans="1:10" x14ac:dyDescent="0.25">
      <c r="A580" s="33" t="s">
        <v>632</v>
      </c>
      <c r="B580" s="33" t="s">
        <v>68</v>
      </c>
      <c r="C580" s="39">
        <v>877122222</v>
      </c>
      <c r="D580" s="40">
        <v>2126632360</v>
      </c>
      <c r="E580" s="33" t="s">
        <v>22</v>
      </c>
      <c r="F580" s="41">
        <v>33221</v>
      </c>
      <c r="G580" s="42">
        <f t="shared" ca="1" si="9"/>
        <v>22</v>
      </c>
      <c r="H580" s="43">
        <v>5</v>
      </c>
      <c r="I580" s="44">
        <v>79760</v>
      </c>
    </row>
    <row r="581" spans="1:10" x14ac:dyDescent="0.25">
      <c r="A581" s="33" t="s">
        <v>633</v>
      </c>
      <c r="B581" s="33" t="s">
        <v>16</v>
      </c>
      <c r="C581" s="39">
        <v>682791418</v>
      </c>
      <c r="D581" s="40">
        <v>5113709408</v>
      </c>
      <c r="E581" s="33" t="s">
        <v>33</v>
      </c>
      <c r="F581" s="41">
        <v>36531</v>
      </c>
      <c r="G581" s="42">
        <f t="shared" ca="1" si="9"/>
        <v>13</v>
      </c>
      <c r="H581" s="43">
        <v>3</v>
      </c>
      <c r="I581" s="44">
        <v>15910</v>
      </c>
    </row>
    <row r="582" spans="1:10" x14ac:dyDescent="0.25">
      <c r="A582" s="33" t="s">
        <v>634</v>
      </c>
      <c r="B582" s="33" t="s">
        <v>21</v>
      </c>
      <c r="C582" s="39">
        <v>558903229</v>
      </c>
      <c r="D582" s="40">
        <v>9091509619</v>
      </c>
      <c r="E582" s="33" t="s">
        <v>22</v>
      </c>
      <c r="F582" s="41">
        <v>38738</v>
      </c>
      <c r="G582" s="42">
        <f t="shared" ca="1" si="9"/>
        <v>7</v>
      </c>
      <c r="H582" s="43">
        <v>2</v>
      </c>
      <c r="I582" s="44">
        <v>46220</v>
      </c>
    </row>
    <row r="583" spans="1:10" x14ac:dyDescent="0.25">
      <c r="A583" s="33" t="s">
        <v>635</v>
      </c>
      <c r="B583" s="33" t="s">
        <v>222</v>
      </c>
      <c r="C583" s="39">
        <v>550291321</v>
      </c>
      <c r="D583" s="40">
        <v>4041362796</v>
      </c>
      <c r="E583" s="33" t="s">
        <v>17</v>
      </c>
      <c r="F583" s="41">
        <v>32777</v>
      </c>
      <c r="G583" s="42">
        <f t="shared" ca="1" si="9"/>
        <v>24</v>
      </c>
      <c r="H583" s="43">
        <v>4</v>
      </c>
      <c r="I583" s="44">
        <v>85510</v>
      </c>
    </row>
    <row r="584" spans="1:10" x14ac:dyDescent="0.25">
      <c r="A584" s="33" t="s">
        <v>636</v>
      </c>
      <c r="B584" s="33" t="s">
        <v>21</v>
      </c>
      <c r="C584" s="39">
        <v>993383806</v>
      </c>
      <c r="D584" s="40">
        <v>3128857217</v>
      </c>
      <c r="E584" s="33" t="s">
        <v>22</v>
      </c>
      <c r="F584" s="41">
        <v>38222</v>
      </c>
      <c r="G584" s="42">
        <f t="shared" ca="1" si="9"/>
        <v>9</v>
      </c>
      <c r="H584" s="43">
        <v>5</v>
      </c>
      <c r="I584" s="44">
        <v>29420</v>
      </c>
    </row>
    <row r="585" spans="1:10" x14ac:dyDescent="0.25">
      <c r="A585" s="33" t="s">
        <v>637</v>
      </c>
      <c r="B585" s="33" t="s">
        <v>58</v>
      </c>
      <c r="C585" s="39">
        <v>878902154</v>
      </c>
      <c r="D585" s="40">
        <v>8076648050</v>
      </c>
      <c r="E585" s="33" t="s">
        <v>22</v>
      </c>
      <c r="F585" s="41">
        <v>39923</v>
      </c>
      <c r="G585" s="42">
        <f t="shared" ca="1" si="9"/>
        <v>4</v>
      </c>
      <c r="H585" s="43">
        <v>2</v>
      </c>
      <c r="I585" s="44">
        <v>62180</v>
      </c>
    </row>
    <row r="586" spans="1:10" x14ac:dyDescent="0.25">
      <c r="A586" s="33" t="s">
        <v>638</v>
      </c>
      <c r="B586" s="33" t="s">
        <v>32</v>
      </c>
      <c r="C586" s="39">
        <v>212136062</v>
      </c>
      <c r="D586" s="40">
        <v>8162842668</v>
      </c>
      <c r="E586" s="33" t="s">
        <v>17</v>
      </c>
      <c r="F586" s="41">
        <v>32557</v>
      </c>
      <c r="G586" s="42">
        <f t="shared" ca="1" si="9"/>
        <v>24</v>
      </c>
      <c r="H586" s="43">
        <v>4</v>
      </c>
      <c r="I586" s="44">
        <v>23020</v>
      </c>
    </row>
    <row r="587" spans="1:10" x14ac:dyDescent="0.25">
      <c r="A587" s="33" t="s">
        <v>639</v>
      </c>
      <c r="B587" s="33" t="s">
        <v>52</v>
      </c>
      <c r="C587" s="39">
        <v>592519945</v>
      </c>
      <c r="D587" s="40">
        <v>3091952821</v>
      </c>
      <c r="E587" s="33" t="s">
        <v>22</v>
      </c>
      <c r="F587" s="41">
        <v>37627</v>
      </c>
      <c r="G587" s="42">
        <f t="shared" ca="1" si="9"/>
        <v>10</v>
      </c>
      <c r="H587" s="43">
        <v>5</v>
      </c>
      <c r="I587" s="44">
        <v>31910</v>
      </c>
    </row>
    <row r="588" spans="1:10" x14ac:dyDescent="0.25">
      <c r="A588" s="33" t="s">
        <v>640</v>
      </c>
      <c r="B588" s="33" t="s">
        <v>21</v>
      </c>
      <c r="C588" s="39">
        <v>425943144</v>
      </c>
      <c r="D588" s="40">
        <v>2136742736</v>
      </c>
      <c r="E588" s="33" t="s">
        <v>22</v>
      </c>
      <c r="F588" s="41">
        <v>35386</v>
      </c>
      <c r="G588" s="42">
        <f t="shared" ca="1" si="9"/>
        <v>17</v>
      </c>
      <c r="H588" s="43">
        <v>2</v>
      </c>
      <c r="I588" s="44">
        <v>40340</v>
      </c>
      <c r="J588" s="52"/>
    </row>
    <row r="589" spans="1:10" x14ac:dyDescent="0.25">
      <c r="A589" s="33" t="s">
        <v>641</v>
      </c>
      <c r="B589" s="33" t="s">
        <v>61</v>
      </c>
      <c r="C589" s="39">
        <v>614562070</v>
      </c>
      <c r="D589" s="40">
        <v>6072259651</v>
      </c>
      <c r="E589" s="33" t="s">
        <v>22</v>
      </c>
      <c r="F589" s="41">
        <v>34729</v>
      </c>
      <c r="G589" s="42">
        <f t="shared" ca="1" si="9"/>
        <v>18</v>
      </c>
      <c r="H589" s="43">
        <v>1</v>
      </c>
      <c r="I589" s="44">
        <v>43410</v>
      </c>
    </row>
    <row r="590" spans="1:10" x14ac:dyDescent="0.25">
      <c r="A590" s="33" t="s">
        <v>642</v>
      </c>
      <c r="B590" s="33" t="s">
        <v>40</v>
      </c>
      <c r="C590" s="39">
        <v>356110882</v>
      </c>
      <c r="D590" s="40">
        <v>9025789252</v>
      </c>
      <c r="E590" s="33" t="s">
        <v>22</v>
      </c>
      <c r="F590" s="41">
        <v>36009</v>
      </c>
      <c r="G590" s="42">
        <f t="shared" ca="1" si="9"/>
        <v>15</v>
      </c>
      <c r="H590" s="43">
        <v>4</v>
      </c>
      <c r="I590" s="44">
        <v>71970</v>
      </c>
    </row>
    <row r="591" spans="1:10" x14ac:dyDescent="0.25">
      <c r="A591" s="33" t="s">
        <v>643</v>
      </c>
      <c r="B591" s="33" t="s">
        <v>21</v>
      </c>
      <c r="C591" s="39">
        <v>575648597</v>
      </c>
      <c r="D591" s="40">
        <v>4041800673</v>
      </c>
      <c r="E591" s="33" t="s">
        <v>22</v>
      </c>
      <c r="F591" s="41">
        <v>33794</v>
      </c>
      <c r="G591" s="42">
        <f t="shared" ca="1" si="9"/>
        <v>21</v>
      </c>
      <c r="H591" s="43">
        <v>2</v>
      </c>
      <c r="I591" s="44">
        <v>24710</v>
      </c>
    </row>
    <row r="592" spans="1:10" x14ac:dyDescent="0.25">
      <c r="A592" s="33" t="s">
        <v>644</v>
      </c>
      <c r="B592" s="33" t="s">
        <v>74</v>
      </c>
      <c r="C592" s="39">
        <v>302170290</v>
      </c>
      <c r="D592" s="40">
        <v>8194652136</v>
      </c>
      <c r="E592" s="33" t="s">
        <v>33</v>
      </c>
      <c r="F592" s="41">
        <v>34576</v>
      </c>
      <c r="G592" s="42">
        <f t="shared" ca="1" si="9"/>
        <v>19</v>
      </c>
      <c r="H592" s="43">
        <v>2</v>
      </c>
      <c r="I592" s="44">
        <v>32835</v>
      </c>
    </row>
    <row r="593" spans="1:9" x14ac:dyDescent="0.25">
      <c r="A593" s="33" t="s">
        <v>645</v>
      </c>
      <c r="B593" s="33" t="s">
        <v>21</v>
      </c>
      <c r="C593" s="39">
        <v>980960186</v>
      </c>
      <c r="D593" s="40">
        <v>3038451642</v>
      </c>
      <c r="E593" s="33" t="s">
        <v>17</v>
      </c>
      <c r="F593" s="41">
        <v>35990</v>
      </c>
      <c r="G593" s="42">
        <f t="shared" ca="1" si="9"/>
        <v>15</v>
      </c>
      <c r="H593" s="43">
        <v>2</v>
      </c>
      <c r="I593" s="44">
        <v>41840</v>
      </c>
    </row>
    <row r="594" spans="1:9" x14ac:dyDescent="0.25">
      <c r="A594" s="33" t="s">
        <v>646</v>
      </c>
      <c r="B594" s="33" t="s">
        <v>21</v>
      </c>
      <c r="C594" s="39">
        <v>350104448</v>
      </c>
      <c r="D594" s="40">
        <v>3155610944</v>
      </c>
      <c r="E594" s="33" t="s">
        <v>22</v>
      </c>
      <c r="F594" s="41">
        <v>37256</v>
      </c>
      <c r="G594" s="42">
        <f t="shared" ca="1" si="9"/>
        <v>11</v>
      </c>
      <c r="H594" s="43">
        <v>5</v>
      </c>
      <c r="I594" s="44">
        <v>54230</v>
      </c>
    </row>
    <row r="595" spans="1:9" x14ac:dyDescent="0.25">
      <c r="A595" s="33" t="s">
        <v>647</v>
      </c>
      <c r="B595" s="33" t="s">
        <v>21</v>
      </c>
      <c r="C595" s="39">
        <v>136620388</v>
      </c>
      <c r="D595" s="40">
        <v>8091696804</v>
      </c>
      <c r="E595" s="33" t="s">
        <v>22</v>
      </c>
      <c r="F595" s="41">
        <v>35925</v>
      </c>
      <c r="G595" s="42">
        <f t="shared" ca="1" si="9"/>
        <v>15</v>
      </c>
      <c r="H595" s="43">
        <v>4</v>
      </c>
      <c r="I595" s="44">
        <v>76192</v>
      </c>
    </row>
    <row r="596" spans="1:9" x14ac:dyDescent="0.25">
      <c r="A596" s="33" t="s">
        <v>648</v>
      </c>
      <c r="B596" s="33" t="s">
        <v>68</v>
      </c>
      <c r="C596" s="39">
        <v>210491464</v>
      </c>
      <c r="D596" s="40">
        <v>4092814530</v>
      </c>
      <c r="E596" s="33" t="s">
        <v>22</v>
      </c>
      <c r="F596" s="41">
        <v>36154</v>
      </c>
      <c r="G596" s="42">
        <f t="shared" ca="1" si="9"/>
        <v>14</v>
      </c>
      <c r="H596" s="43">
        <v>4</v>
      </c>
      <c r="I596" s="44">
        <v>74840</v>
      </c>
    </row>
    <row r="597" spans="1:9" x14ac:dyDescent="0.25">
      <c r="A597" s="33" t="s">
        <v>649</v>
      </c>
      <c r="B597" s="33" t="s">
        <v>158</v>
      </c>
      <c r="C597" s="39">
        <v>991221095</v>
      </c>
      <c r="D597" s="40">
        <v>8178631557</v>
      </c>
      <c r="E597" s="33" t="s">
        <v>17</v>
      </c>
      <c r="F597" s="41">
        <v>35732</v>
      </c>
      <c r="G597" s="42">
        <f t="shared" ca="1" si="9"/>
        <v>16</v>
      </c>
      <c r="H597" s="43">
        <v>4</v>
      </c>
      <c r="I597" s="44">
        <v>86970</v>
      </c>
    </row>
    <row r="598" spans="1:9" x14ac:dyDescent="0.25">
      <c r="A598" s="33" t="s">
        <v>650</v>
      </c>
      <c r="B598" s="33" t="s">
        <v>74</v>
      </c>
      <c r="C598" s="39">
        <v>443926890</v>
      </c>
      <c r="D598" s="40">
        <v>6057135797</v>
      </c>
      <c r="E598" s="33" t="s">
        <v>17</v>
      </c>
      <c r="F598" s="41">
        <v>32814</v>
      </c>
      <c r="G598" s="42">
        <f t="shared" ca="1" si="9"/>
        <v>24</v>
      </c>
      <c r="H598" s="43">
        <v>2</v>
      </c>
      <c r="I598" s="44">
        <v>22320</v>
      </c>
    </row>
    <row r="599" spans="1:9" x14ac:dyDescent="0.25">
      <c r="A599" s="33" t="s">
        <v>651</v>
      </c>
      <c r="B599" s="33" t="s">
        <v>21</v>
      </c>
      <c r="C599" s="39">
        <v>918436287</v>
      </c>
      <c r="D599" s="40">
        <v>6147179128</v>
      </c>
      <c r="E599" s="33" t="s">
        <v>22</v>
      </c>
      <c r="F599" s="41">
        <v>33038</v>
      </c>
      <c r="G599" s="42">
        <f t="shared" ca="1" si="9"/>
        <v>23</v>
      </c>
      <c r="H599" s="43">
        <v>4</v>
      </c>
      <c r="I599" s="44">
        <v>60380</v>
      </c>
    </row>
    <row r="600" spans="1:9" x14ac:dyDescent="0.25">
      <c r="A600" s="33" t="s">
        <v>652</v>
      </c>
      <c r="B600" s="33" t="s">
        <v>21</v>
      </c>
      <c r="C600" s="39">
        <v>248820119</v>
      </c>
      <c r="D600" s="40">
        <v>2133431009</v>
      </c>
      <c r="E600" s="33" t="s">
        <v>17</v>
      </c>
      <c r="F600" s="41">
        <v>37289</v>
      </c>
      <c r="G600" s="42">
        <f t="shared" ca="1" si="9"/>
        <v>11</v>
      </c>
      <c r="H600" s="43">
        <v>5</v>
      </c>
      <c r="I600" s="44">
        <v>64220</v>
      </c>
    </row>
    <row r="601" spans="1:9" x14ac:dyDescent="0.25">
      <c r="A601" s="33" t="s">
        <v>653</v>
      </c>
      <c r="B601" s="33" t="s">
        <v>74</v>
      </c>
      <c r="C601" s="39">
        <v>687006783</v>
      </c>
      <c r="D601" s="40">
        <v>3093848677</v>
      </c>
      <c r="E601" s="33" t="s">
        <v>17</v>
      </c>
      <c r="F601" s="41">
        <v>33551</v>
      </c>
      <c r="G601" s="42">
        <f t="shared" ca="1" si="9"/>
        <v>22</v>
      </c>
      <c r="H601" s="43">
        <v>2</v>
      </c>
      <c r="I601" s="44">
        <v>64090</v>
      </c>
    </row>
    <row r="602" spans="1:9" x14ac:dyDescent="0.25">
      <c r="A602" s="33" t="s">
        <v>654</v>
      </c>
      <c r="B602" s="33" t="s">
        <v>40</v>
      </c>
      <c r="C602" s="39">
        <v>396727504</v>
      </c>
      <c r="D602" s="40">
        <v>8156443692</v>
      </c>
      <c r="E602" s="33" t="s">
        <v>17</v>
      </c>
      <c r="F602" s="41">
        <v>36455</v>
      </c>
      <c r="G602" s="42">
        <f t="shared" ca="1" si="9"/>
        <v>14</v>
      </c>
      <c r="H602" s="43">
        <v>5</v>
      </c>
      <c r="I602" s="44">
        <v>77136</v>
      </c>
    </row>
    <row r="603" spans="1:9" x14ac:dyDescent="0.25">
      <c r="A603" s="33" t="s">
        <v>655</v>
      </c>
      <c r="B603" s="33" t="s">
        <v>61</v>
      </c>
      <c r="C603" s="39">
        <v>623823805</v>
      </c>
      <c r="D603" s="40">
        <v>3012485673</v>
      </c>
      <c r="E603" s="33" t="s">
        <v>22</v>
      </c>
      <c r="F603" s="41">
        <v>33032</v>
      </c>
      <c r="G603" s="42">
        <f t="shared" ca="1" si="9"/>
        <v>23</v>
      </c>
      <c r="H603" s="43">
        <v>4</v>
      </c>
      <c r="I603" s="44">
        <v>79770</v>
      </c>
    </row>
    <row r="604" spans="1:9" x14ac:dyDescent="0.25">
      <c r="A604" s="33" t="s">
        <v>656</v>
      </c>
      <c r="B604" s="33" t="s">
        <v>32</v>
      </c>
      <c r="C604" s="39">
        <v>690374765</v>
      </c>
      <c r="D604" s="40">
        <v>4033891189</v>
      </c>
      <c r="E604" s="33" t="s">
        <v>81</v>
      </c>
      <c r="F604" s="41">
        <v>35336</v>
      </c>
      <c r="G604" s="42">
        <f t="shared" ca="1" si="9"/>
        <v>17</v>
      </c>
      <c r="H604" s="43">
        <v>5</v>
      </c>
      <c r="I604" s="44">
        <v>14332</v>
      </c>
    </row>
    <row r="605" spans="1:9" x14ac:dyDescent="0.25">
      <c r="A605" s="33" t="s">
        <v>657</v>
      </c>
      <c r="B605" s="33" t="s">
        <v>64</v>
      </c>
      <c r="C605" s="39">
        <v>967035612</v>
      </c>
      <c r="D605" s="40">
        <v>2018310129</v>
      </c>
      <c r="E605" s="33" t="s">
        <v>22</v>
      </c>
      <c r="F605" s="41">
        <v>35057</v>
      </c>
      <c r="G605" s="42">
        <f t="shared" ca="1" si="9"/>
        <v>17</v>
      </c>
      <c r="H605" s="43">
        <v>4</v>
      </c>
      <c r="I605" s="44">
        <v>40920</v>
      </c>
    </row>
    <row r="606" spans="1:9" x14ac:dyDescent="0.25">
      <c r="A606" s="33" t="s">
        <v>658</v>
      </c>
      <c r="B606" s="33" t="s">
        <v>71</v>
      </c>
      <c r="C606" s="39">
        <v>592709648</v>
      </c>
      <c r="D606" s="40">
        <v>7061971988</v>
      </c>
      <c r="E606" s="33" t="s">
        <v>22</v>
      </c>
      <c r="F606" s="41">
        <v>32670</v>
      </c>
      <c r="G606" s="42">
        <f t="shared" ca="1" si="9"/>
        <v>24</v>
      </c>
      <c r="H606" s="43">
        <v>4</v>
      </c>
      <c r="I606" s="44">
        <v>87950</v>
      </c>
    </row>
    <row r="607" spans="1:9" x14ac:dyDescent="0.25">
      <c r="A607" s="33" t="s">
        <v>659</v>
      </c>
      <c r="B607" s="33" t="s">
        <v>64</v>
      </c>
      <c r="C607" s="39">
        <v>345817459</v>
      </c>
      <c r="D607" s="40">
        <v>8045536623</v>
      </c>
      <c r="E607" s="33" t="s">
        <v>17</v>
      </c>
      <c r="F607" s="41">
        <v>34041</v>
      </c>
      <c r="G607" s="42">
        <f t="shared" ca="1" si="9"/>
        <v>20</v>
      </c>
      <c r="H607" s="43">
        <v>3</v>
      </c>
      <c r="I607" s="44">
        <v>46670</v>
      </c>
    </row>
    <row r="608" spans="1:9" x14ac:dyDescent="0.25">
      <c r="A608" s="33" t="s">
        <v>660</v>
      </c>
      <c r="B608" s="33" t="s">
        <v>32</v>
      </c>
      <c r="C608" s="39">
        <v>930314379</v>
      </c>
      <c r="D608" s="40">
        <v>6087494648</v>
      </c>
      <c r="E608" s="33" t="s">
        <v>22</v>
      </c>
      <c r="F608" s="41">
        <v>33451</v>
      </c>
      <c r="G608" s="42">
        <f t="shared" ca="1" si="9"/>
        <v>22</v>
      </c>
      <c r="H608" s="43">
        <v>4</v>
      </c>
      <c r="I608" s="44">
        <v>23320</v>
      </c>
    </row>
    <row r="609" spans="1:34" x14ac:dyDescent="0.25">
      <c r="A609" s="33" t="s">
        <v>661</v>
      </c>
      <c r="B609" s="33" t="s">
        <v>21</v>
      </c>
      <c r="C609" s="39">
        <v>993867417</v>
      </c>
      <c r="D609" s="40">
        <v>3058865267</v>
      </c>
      <c r="E609" s="33" t="s">
        <v>33</v>
      </c>
      <c r="F609" s="41">
        <v>34579</v>
      </c>
      <c r="G609" s="42">
        <f t="shared" ca="1" si="9"/>
        <v>19</v>
      </c>
      <c r="H609" s="43">
        <v>5</v>
      </c>
      <c r="I609" s="44">
        <v>46285</v>
      </c>
    </row>
    <row r="610" spans="1:34" x14ac:dyDescent="0.25">
      <c r="A610" s="33" t="s">
        <v>662</v>
      </c>
      <c r="B610" s="33" t="s">
        <v>21</v>
      </c>
      <c r="C610" s="39">
        <v>357568979</v>
      </c>
      <c r="D610" s="40">
        <v>7095821616</v>
      </c>
      <c r="E610" s="33" t="s">
        <v>22</v>
      </c>
      <c r="F610" s="41">
        <v>34546</v>
      </c>
      <c r="G610" s="42">
        <f t="shared" ca="1" si="9"/>
        <v>19</v>
      </c>
      <c r="H610" s="43">
        <v>3</v>
      </c>
      <c r="I610" s="44">
        <v>86260</v>
      </c>
    </row>
    <row r="611" spans="1:34" x14ac:dyDescent="0.25">
      <c r="A611" s="33" t="s">
        <v>663</v>
      </c>
      <c r="B611" s="33" t="s">
        <v>61</v>
      </c>
      <c r="C611" s="39">
        <v>216607562</v>
      </c>
      <c r="D611" s="40">
        <v>3092889972</v>
      </c>
      <c r="E611" s="33" t="s">
        <v>22</v>
      </c>
      <c r="F611" s="41">
        <v>33271</v>
      </c>
      <c r="G611" s="42">
        <f t="shared" ca="1" si="9"/>
        <v>22</v>
      </c>
      <c r="H611" s="43">
        <v>3</v>
      </c>
      <c r="I611" s="44">
        <v>46910</v>
      </c>
    </row>
    <row r="612" spans="1:34" x14ac:dyDescent="0.25">
      <c r="A612" s="33" t="s">
        <v>664</v>
      </c>
      <c r="B612" s="33" t="s">
        <v>16</v>
      </c>
      <c r="C612" s="39">
        <v>195772503</v>
      </c>
      <c r="D612" s="40">
        <v>2012639452</v>
      </c>
      <c r="E612" s="33" t="s">
        <v>22</v>
      </c>
      <c r="F612" s="41">
        <v>34937</v>
      </c>
      <c r="G612" s="42">
        <f t="shared" ca="1" si="9"/>
        <v>18</v>
      </c>
      <c r="H612" s="43">
        <v>4</v>
      </c>
      <c r="I612" s="44">
        <v>81640</v>
      </c>
    </row>
    <row r="613" spans="1:34" x14ac:dyDescent="0.25">
      <c r="A613" s="33" t="s">
        <v>665</v>
      </c>
      <c r="B613" s="33" t="s">
        <v>52</v>
      </c>
      <c r="C613" s="39">
        <v>482927373</v>
      </c>
      <c r="D613" s="40">
        <v>5188033253</v>
      </c>
      <c r="E613" s="33" t="s">
        <v>22</v>
      </c>
      <c r="F613" s="41">
        <v>33418</v>
      </c>
      <c r="G613" s="42">
        <f t="shared" ca="1" si="9"/>
        <v>22</v>
      </c>
      <c r="H613" s="43">
        <v>2</v>
      </c>
      <c r="I613" s="44">
        <v>66824</v>
      </c>
    </row>
    <row r="614" spans="1:34" x14ac:dyDescent="0.25">
      <c r="A614" s="33" t="s">
        <v>666</v>
      </c>
      <c r="B614" s="33" t="s">
        <v>52</v>
      </c>
      <c r="C614" s="39">
        <v>771953685</v>
      </c>
      <c r="D614" s="40">
        <v>9175157047</v>
      </c>
      <c r="E614" s="33" t="s">
        <v>81</v>
      </c>
      <c r="F614" s="41">
        <v>32646</v>
      </c>
      <c r="G614" s="42">
        <f t="shared" ca="1" si="9"/>
        <v>24</v>
      </c>
      <c r="H614" s="43">
        <v>2</v>
      </c>
      <c r="I614" s="44">
        <v>30468</v>
      </c>
      <c r="AF614" s="34"/>
      <c r="AG614" s="50">
        <v>75000</v>
      </c>
      <c r="AH614" s="51">
        <v>0.11</v>
      </c>
    </row>
    <row r="615" spans="1:34" x14ac:dyDescent="0.25">
      <c r="A615" s="33" t="s">
        <v>667</v>
      </c>
      <c r="B615" s="33" t="s">
        <v>74</v>
      </c>
      <c r="C615" s="39">
        <v>693055639</v>
      </c>
      <c r="D615" s="40">
        <v>9183922813</v>
      </c>
      <c r="E615" s="33" t="s">
        <v>22</v>
      </c>
      <c r="F615" s="41">
        <v>32507</v>
      </c>
      <c r="G615" s="42">
        <f t="shared" ca="1" si="9"/>
        <v>24</v>
      </c>
      <c r="H615" s="43">
        <v>5</v>
      </c>
      <c r="I615" s="44">
        <v>35360</v>
      </c>
    </row>
    <row r="616" spans="1:34" x14ac:dyDescent="0.25">
      <c r="A616" s="33" t="s">
        <v>668</v>
      </c>
      <c r="B616" s="33" t="s">
        <v>64</v>
      </c>
      <c r="C616" s="39">
        <v>608796012</v>
      </c>
      <c r="D616" s="40">
        <v>7162229885</v>
      </c>
      <c r="E616" s="33" t="s">
        <v>22</v>
      </c>
      <c r="F616" s="41">
        <v>34222</v>
      </c>
      <c r="G616" s="42">
        <f t="shared" ca="1" si="9"/>
        <v>20</v>
      </c>
      <c r="H616" s="43">
        <v>5</v>
      </c>
      <c r="I616" s="44">
        <v>31910</v>
      </c>
    </row>
    <row r="617" spans="1:34" x14ac:dyDescent="0.25">
      <c r="A617" s="33" t="s">
        <v>669</v>
      </c>
      <c r="B617" s="33" t="s">
        <v>52</v>
      </c>
      <c r="C617" s="39">
        <v>635240617</v>
      </c>
      <c r="D617" s="40">
        <v>8052693355</v>
      </c>
      <c r="E617" s="33" t="s">
        <v>17</v>
      </c>
      <c r="F617" s="41">
        <v>36032</v>
      </c>
      <c r="G617" s="42">
        <f t="shared" ca="1" si="9"/>
        <v>15</v>
      </c>
      <c r="H617" s="43">
        <v>3</v>
      </c>
      <c r="I617" s="44">
        <v>77760</v>
      </c>
    </row>
    <row r="618" spans="1:34" x14ac:dyDescent="0.25">
      <c r="A618" s="33" t="s">
        <v>670</v>
      </c>
      <c r="B618" s="33" t="s">
        <v>58</v>
      </c>
      <c r="C618" s="39">
        <v>160184934</v>
      </c>
      <c r="D618" s="40">
        <v>8132238535</v>
      </c>
      <c r="E618" s="33" t="s">
        <v>22</v>
      </c>
      <c r="F618" s="41">
        <v>33294</v>
      </c>
      <c r="G618" s="42">
        <f t="shared" ca="1" si="9"/>
        <v>22</v>
      </c>
      <c r="H618" s="43">
        <v>1</v>
      </c>
      <c r="I618" s="44">
        <v>87980</v>
      </c>
    </row>
    <row r="619" spans="1:34" x14ac:dyDescent="0.25">
      <c r="A619" s="33" t="s">
        <v>671</v>
      </c>
      <c r="B619" s="33" t="s">
        <v>158</v>
      </c>
      <c r="C619" s="39">
        <v>183135788</v>
      </c>
      <c r="D619" s="40">
        <v>7092581491</v>
      </c>
      <c r="E619" s="33" t="s">
        <v>33</v>
      </c>
      <c r="F619" s="41">
        <v>33384</v>
      </c>
      <c r="G619" s="42">
        <f t="shared" ca="1" si="9"/>
        <v>22</v>
      </c>
      <c r="H619" s="43">
        <v>4</v>
      </c>
      <c r="I619" s="44">
        <v>18655</v>
      </c>
    </row>
    <row r="620" spans="1:34" x14ac:dyDescent="0.25">
      <c r="A620" s="33" t="s">
        <v>672</v>
      </c>
      <c r="B620" s="33" t="s">
        <v>64</v>
      </c>
      <c r="C620" s="39">
        <v>840313216</v>
      </c>
      <c r="D620" s="40">
        <v>9185990139</v>
      </c>
      <c r="E620" s="33" t="s">
        <v>22</v>
      </c>
      <c r="F620" s="41">
        <v>32965</v>
      </c>
      <c r="G620" s="42">
        <f t="shared" ca="1" si="9"/>
        <v>23</v>
      </c>
      <c r="H620" s="43">
        <v>5</v>
      </c>
      <c r="I620" s="44">
        <v>61400</v>
      </c>
    </row>
    <row r="621" spans="1:34" x14ac:dyDescent="0.25">
      <c r="A621" s="33" t="s">
        <v>673</v>
      </c>
      <c r="B621" s="33" t="s">
        <v>21</v>
      </c>
      <c r="C621" s="39">
        <v>750722934</v>
      </c>
      <c r="D621" s="40">
        <v>5034794769</v>
      </c>
      <c r="E621" s="33" t="s">
        <v>22</v>
      </c>
      <c r="F621" s="41">
        <v>34578</v>
      </c>
      <c r="G621" s="42">
        <f t="shared" ca="1" si="9"/>
        <v>19</v>
      </c>
      <c r="H621" s="43">
        <v>2</v>
      </c>
      <c r="I621" s="44">
        <v>44270</v>
      </c>
    </row>
    <row r="622" spans="1:34" x14ac:dyDescent="0.25">
      <c r="A622" s="33" t="s">
        <v>674</v>
      </c>
      <c r="B622" s="33" t="s">
        <v>16</v>
      </c>
      <c r="C622" s="39">
        <v>914041569</v>
      </c>
      <c r="D622" s="40">
        <v>5157046530</v>
      </c>
      <c r="E622" s="33" t="s">
        <v>22</v>
      </c>
      <c r="F622" s="41">
        <v>39473</v>
      </c>
      <c r="G622" s="42">
        <f t="shared" ca="1" si="9"/>
        <v>5</v>
      </c>
      <c r="H622" s="43">
        <v>4</v>
      </c>
      <c r="I622" s="44">
        <v>44150</v>
      </c>
    </row>
    <row r="623" spans="1:34" x14ac:dyDescent="0.25">
      <c r="A623" s="33" t="s">
        <v>675</v>
      </c>
      <c r="B623" s="33" t="s">
        <v>40</v>
      </c>
      <c r="C623" s="39">
        <v>638271383</v>
      </c>
      <c r="D623" s="40">
        <v>9182727944</v>
      </c>
      <c r="E623" s="33" t="s">
        <v>17</v>
      </c>
      <c r="F623" s="41">
        <v>36843</v>
      </c>
      <c r="G623" s="42">
        <f t="shared" ca="1" si="9"/>
        <v>13</v>
      </c>
      <c r="H623" s="43">
        <v>4</v>
      </c>
      <c r="I623" s="44">
        <v>49090</v>
      </c>
    </row>
    <row r="624" spans="1:34" x14ac:dyDescent="0.25">
      <c r="A624" s="33" t="s">
        <v>676</v>
      </c>
      <c r="B624" s="33" t="s">
        <v>52</v>
      </c>
      <c r="C624" s="39">
        <v>885773638</v>
      </c>
      <c r="D624" s="40">
        <v>3126705508</v>
      </c>
      <c r="E624" s="33" t="s">
        <v>17</v>
      </c>
      <c r="F624" s="41">
        <v>33304</v>
      </c>
      <c r="G624" s="42">
        <f t="shared" ca="1" si="9"/>
        <v>22</v>
      </c>
      <c r="H624" s="43">
        <v>2</v>
      </c>
      <c r="I624" s="44">
        <v>55690</v>
      </c>
      <c r="J624" s="52"/>
    </row>
    <row r="625" spans="1:34" x14ac:dyDescent="0.25">
      <c r="A625" s="33" t="s">
        <v>677</v>
      </c>
      <c r="B625" s="33" t="s">
        <v>58</v>
      </c>
      <c r="C625" s="39">
        <v>232896341</v>
      </c>
      <c r="D625" s="40">
        <v>3143046338</v>
      </c>
      <c r="E625" s="33" t="s">
        <v>22</v>
      </c>
      <c r="F625" s="41">
        <v>36288</v>
      </c>
      <c r="G625" s="42">
        <f t="shared" ca="1" si="9"/>
        <v>14</v>
      </c>
      <c r="H625" s="43">
        <v>2</v>
      </c>
      <c r="I625" s="44">
        <v>71820</v>
      </c>
    </row>
    <row r="626" spans="1:34" x14ac:dyDescent="0.25">
      <c r="A626" s="33" t="s">
        <v>678</v>
      </c>
      <c r="B626" s="33" t="s">
        <v>174</v>
      </c>
      <c r="C626" s="39">
        <v>259330447</v>
      </c>
      <c r="D626" s="40">
        <v>2153646601</v>
      </c>
      <c r="E626" s="33" t="s">
        <v>81</v>
      </c>
      <c r="F626" s="41">
        <v>39933</v>
      </c>
      <c r="G626" s="42">
        <f t="shared" ca="1" si="9"/>
        <v>4</v>
      </c>
      <c r="H626" s="43">
        <v>1</v>
      </c>
      <c r="I626" s="44">
        <v>19044</v>
      </c>
    </row>
    <row r="627" spans="1:34" x14ac:dyDescent="0.25">
      <c r="A627" s="33" t="s">
        <v>679</v>
      </c>
      <c r="B627" s="33" t="s">
        <v>61</v>
      </c>
      <c r="C627" s="39">
        <v>171868795</v>
      </c>
      <c r="D627" s="40">
        <v>9162447501</v>
      </c>
      <c r="E627" s="33" t="s">
        <v>22</v>
      </c>
      <c r="F627" s="41">
        <v>34130</v>
      </c>
      <c r="G627" s="42">
        <f t="shared" ca="1" si="9"/>
        <v>20</v>
      </c>
      <c r="H627" s="43">
        <v>2</v>
      </c>
      <c r="I627" s="44">
        <v>77840</v>
      </c>
    </row>
    <row r="628" spans="1:34" x14ac:dyDescent="0.25">
      <c r="A628" s="33" t="s">
        <v>680</v>
      </c>
      <c r="B628" s="33" t="s">
        <v>74</v>
      </c>
      <c r="C628" s="39">
        <v>132016163</v>
      </c>
      <c r="D628" s="40">
        <v>5021656242</v>
      </c>
      <c r="E628" s="33" t="s">
        <v>33</v>
      </c>
      <c r="F628" s="41">
        <v>34460</v>
      </c>
      <c r="G628" s="42">
        <f t="shared" ca="1" si="9"/>
        <v>19</v>
      </c>
      <c r="H628" s="43">
        <v>3</v>
      </c>
      <c r="I628" s="44">
        <v>21220</v>
      </c>
    </row>
    <row r="629" spans="1:34" x14ac:dyDescent="0.25">
      <c r="A629" s="33" t="s">
        <v>681</v>
      </c>
      <c r="B629" s="33" t="s">
        <v>52</v>
      </c>
      <c r="C629" s="39">
        <v>651995963</v>
      </c>
      <c r="D629" s="40">
        <v>2033199265</v>
      </c>
      <c r="E629" s="33" t="s">
        <v>17</v>
      </c>
      <c r="F629" s="41">
        <v>35796</v>
      </c>
      <c r="G629" s="42">
        <f t="shared" ca="1" si="9"/>
        <v>15</v>
      </c>
      <c r="H629" s="43">
        <v>4</v>
      </c>
      <c r="I629" s="44">
        <v>60800</v>
      </c>
    </row>
    <row r="630" spans="1:34" x14ac:dyDescent="0.25">
      <c r="A630" s="33" t="s">
        <v>682</v>
      </c>
      <c r="B630" s="33" t="s">
        <v>40</v>
      </c>
      <c r="C630" s="39">
        <v>682907379</v>
      </c>
      <c r="D630" s="40">
        <v>5093717553</v>
      </c>
      <c r="E630" s="33" t="s">
        <v>22</v>
      </c>
      <c r="F630" s="41">
        <v>35470</v>
      </c>
      <c r="G630" s="42">
        <f t="shared" ca="1" si="9"/>
        <v>16</v>
      </c>
      <c r="H630" s="43">
        <v>5</v>
      </c>
      <c r="I630" s="44">
        <v>48410</v>
      </c>
    </row>
    <row r="631" spans="1:34" x14ac:dyDescent="0.25">
      <c r="A631" s="33" t="s">
        <v>683</v>
      </c>
      <c r="B631" s="33" t="s">
        <v>21</v>
      </c>
      <c r="C631" s="39">
        <v>468234190</v>
      </c>
      <c r="D631" s="40">
        <v>5087660273</v>
      </c>
      <c r="E631" s="33" t="s">
        <v>17</v>
      </c>
      <c r="F631" s="41">
        <v>39220</v>
      </c>
      <c r="G631" s="42">
        <f t="shared" ca="1" si="9"/>
        <v>6</v>
      </c>
      <c r="H631" s="43">
        <v>4</v>
      </c>
      <c r="I631" s="44">
        <v>78520</v>
      </c>
    </row>
    <row r="632" spans="1:34" x14ac:dyDescent="0.25">
      <c r="A632" s="33" t="s">
        <v>684</v>
      </c>
      <c r="B632" s="33" t="s">
        <v>104</v>
      </c>
      <c r="C632" s="39">
        <v>626767704</v>
      </c>
      <c r="D632" s="40">
        <v>7172572783</v>
      </c>
      <c r="E632" s="33" t="s">
        <v>22</v>
      </c>
      <c r="F632" s="41">
        <v>32461</v>
      </c>
      <c r="G632" s="42">
        <f t="shared" ca="1" si="9"/>
        <v>25</v>
      </c>
      <c r="H632" s="43">
        <v>1</v>
      </c>
      <c r="I632" s="44">
        <v>69060</v>
      </c>
    </row>
    <row r="633" spans="1:34" x14ac:dyDescent="0.25">
      <c r="A633" s="33" t="s">
        <v>685</v>
      </c>
      <c r="B633" s="33" t="s">
        <v>64</v>
      </c>
      <c r="C633" s="39">
        <v>643272576</v>
      </c>
      <c r="D633" s="40">
        <v>6162824485</v>
      </c>
      <c r="E633" s="33" t="s">
        <v>22</v>
      </c>
      <c r="F633" s="41">
        <v>39475</v>
      </c>
      <c r="G633" s="42">
        <f t="shared" ca="1" si="9"/>
        <v>5</v>
      </c>
      <c r="H633" s="43">
        <v>5</v>
      </c>
      <c r="I633" s="44">
        <v>41490</v>
      </c>
    </row>
    <row r="634" spans="1:34" x14ac:dyDescent="0.25">
      <c r="A634" s="33" t="s">
        <v>686</v>
      </c>
      <c r="B634" s="33" t="s">
        <v>61</v>
      </c>
      <c r="C634" s="39">
        <v>265323292</v>
      </c>
      <c r="D634" s="40">
        <v>7193906310</v>
      </c>
      <c r="E634" s="33" t="s">
        <v>33</v>
      </c>
      <c r="F634" s="41">
        <v>38689</v>
      </c>
      <c r="G634" s="42">
        <f t="shared" ca="1" si="9"/>
        <v>8</v>
      </c>
      <c r="H634" s="43">
        <v>3</v>
      </c>
      <c r="I634" s="44">
        <v>47760</v>
      </c>
      <c r="J634" s="52"/>
    </row>
    <row r="635" spans="1:34" x14ac:dyDescent="0.25">
      <c r="A635" s="33" t="s">
        <v>687</v>
      </c>
      <c r="B635" s="33" t="s">
        <v>21</v>
      </c>
      <c r="C635" s="39">
        <v>331251341</v>
      </c>
      <c r="D635" s="40">
        <v>2165202015</v>
      </c>
      <c r="E635" s="33" t="s">
        <v>17</v>
      </c>
      <c r="F635" s="41">
        <v>37711</v>
      </c>
      <c r="G635" s="42">
        <f t="shared" ca="1" si="9"/>
        <v>10</v>
      </c>
      <c r="H635" s="43">
        <v>4</v>
      </c>
      <c r="I635" s="44">
        <v>37980</v>
      </c>
    </row>
    <row r="636" spans="1:34" x14ac:dyDescent="0.25">
      <c r="A636" s="33" t="s">
        <v>688</v>
      </c>
      <c r="B636" s="33" t="s">
        <v>40</v>
      </c>
      <c r="C636" s="39">
        <v>370608224</v>
      </c>
      <c r="D636" s="40">
        <v>7016040465</v>
      </c>
      <c r="E636" s="33" t="s">
        <v>17</v>
      </c>
      <c r="F636" s="41">
        <v>39953</v>
      </c>
      <c r="G636" s="42">
        <f t="shared" ca="1" si="9"/>
        <v>4</v>
      </c>
      <c r="H636" s="43">
        <v>3</v>
      </c>
      <c r="I636" s="44">
        <v>55510</v>
      </c>
      <c r="J636" s="52"/>
    </row>
    <row r="637" spans="1:34" x14ac:dyDescent="0.25">
      <c r="A637" s="33" t="s">
        <v>689</v>
      </c>
      <c r="B637" s="33" t="s">
        <v>104</v>
      </c>
      <c r="C637" s="39">
        <v>721173550</v>
      </c>
      <c r="D637" s="40">
        <v>7114479196</v>
      </c>
      <c r="E637" s="33" t="s">
        <v>33</v>
      </c>
      <c r="F637" s="41">
        <v>39906</v>
      </c>
      <c r="G637" s="42">
        <f t="shared" ca="1" si="9"/>
        <v>4</v>
      </c>
      <c r="H637" s="43">
        <v>1</v>
      </c>
      <c r="I637" s="44">
        <v>28625</v>
      </c>
      <c r="O637" s="35" t="s">
        <v>34</v>
      </c>
      <c r="P637" s="46">
        <v>31</v>
      </c>
      <c r="Q637" s="46">
        <v>49</v>
      </c>
      <c r="R637" s="46">
        <v>43</v>
      </c>
      <c r="S637" s="46">
        <v>42</v>
      </c>
      <c r="T637" s="46">
        <v>34</v>
      </c>
      <c r="U637" s="46"/>
      <c r="V637" s="35" t="s">
        <v>35</v>
      </c>
      <c r="W637" s="46">
        <v>38</v>
      </c>
      <c r="X637" s="46">
        <v>39</v>
      </c>
      <c r="Y637" s="46">
        <v>42</v>
      </c>
      <c r="Z637" s="46">
        <v>40</v>
      </c>
      <c r="AA637" s="46">
        <v>43</v>
      </c>
      <c r="AF637" s="34"/>
      <c r="AG637" s="50">
        <v>35000</v>
      </c>
      <c r="AH637" s="51">
        <v>0.06</v>
      </c>
    </row>
    <row r="638" spans="1:34" x14ac:dyDescent="0.25">
      <c r="A638" s="33" t="s">
        <v>690</v>
      </c>
      <c r="B638" s="33" t="s">
        <v>61</v>
      </c>
      <c r="C638" s="39">
        <v>113699123</v>
      </c>
      <c r="D638" s="40">
        <v>8191391475</v>
      </c>
      <c r="E638" s="33" t="s">
        <v>17</v>
      </c>
      <c r="F638" s="41">
        <v>39858</v>
      </c>
      <c r="G638" s="42">
        <f t="shared" ca="1" si="9"/>
        <v>4</v>
      </c>
      <c r="H638" s="43">
        <v>4</v>
      </c>
      <c r="I638" s="44">
        <v>39440</v>
      </c>
    </row>
    <row r="639" spans="1:34" x14ac:dyDescent="0.25">
      <c r="A639" s="33" t="s">
        <v>691</v>
      </c>
      <c r="B639" s="33" t="s">
        <v>61</v>
      </c>
      <c r="C639" s="39">
        <v>975857784</v>
      </c>
      <c r="D639" s="40">
        <v>6058426889</v>
      </c>
      <c r="E639" s="33" t="s">
        <v>33</v>
      </c>
      <c r="F639" s="41">
        <v>36085</v>
      </c>
      <c r="G639" s="42">
        <f t="shared" ca="1" si="9"/>
        <v>15</v>
      </c>
      <c r="H639" s="43">
        <v>1</v>
      </c>
      <c r="I639" s="44">
        <v>29005</v>
      </c>
    </row>
    <row r="640" spans="1:34" x14ac:dyDescent="0.25">
      <c r="A640" s="33" t="s">
        <v>692</v>
      </c>
      <c r="B640" s="33" t="s">
        <v>61</v>
      </c>
      <c r="C640" s="39">
        <v>992674973</v>
      </c>
      <c r="D640" s="40">
        <v>8128824849</v>
      </c>
      <c r="E640" s="33" t="s">
        <v>22</v>
      </c>
      <c r="F640" s="41">
        <v>39068</v>
      </c>
      <c r="G640" s="42">
        <f t="shared" ca="1" si="9"/>
        <v>6</v>
      </c>
      <c r="H640" s="43">
        <v>2</v>
      </c>
      <c r="I640" s="44">
        <v>80090</v>
      </c>
    </row>
    <row r="641" spans="1:10" x14ac:dyDescent="0.25">
      <c r="A641" s="33" t="s">
        <v>693</v>
      </c>
      <c r="B641" s="33" t="s">
        <v>64</v>
      </c>
      <c r="C641" s="39">
        <v>311526157</v>
      </c>
      <c r="D641" s="40">
        <v>6014785979</v>
      </c>
      <c r="E641" s="33" t="s">
        <v>33</v>
      </c>
      <c r="F641" s="41">
        <v>35232</v>
      </c>
      <c r="G641" s="42">
        <f t="shared" ca="1" si="9"/>
        <v>17</v>
      </c>
      <c r="H641" s="43">
        <v>4</v>
      </c>
      <c r="I641" s="44">
        <v>23380</v>
      </c>
    </row>
    <row r="642" spans="1:10" x14ac:dyDescent="0.25">
      <c r="A642" s="33" t="s">
        <v>694</v>
      </c>
      <c r="B642" s="33" t="s">
        <v>16</v>
      </c>
      <c r="C642" s="39">
        <v>343185481</v>
      </c>
      <c r="D642" s="40">
        <v>3155441252</v>
      </c>
      <c r="E642" s="33" t="s">
        <v>22</v>
      </c>
      <c r="F642" s="41">
        <v>35506</v>
      </c>
      <c r="G642" s="42">
        <f t="shared" ref="G642:G699" ca="1" si="10">DATEDIF(F642,TODAY(),"Y")</f>
        <v>16</v>
      </c>
      <c r="H642" s="43">
        <v>1</v>
      </c>
      <c r="I642" s="44">
        <v>49770</v>
      </c>
    </row>
    <row r="643" spans="1:10" x14ac:dyDescent="0.25">
      <c r="A643" s="33" t="s">
        <v>695</v>
      </c>
      <c r="B643" s="33" t="s">
        <v>16</v>
      </c>
      <c r="C643" s="39">
        <v>456809622</v>
      </c>
      <c r="D643" s="40">
        <v>2197358099</v>
      </c>
      <c r="E643" s="33" t="s">
        <v>17</v>
      </c>
      <c r="F643" s="41">
        <v>35166</v>
      </c>
      <c r="G643" s="42">
        <f t="shared" ca="1" si="10"/>
        <v>17</v>
      </c>
      <c r="H643" s="43">
        <v>5</v>
      </c>
      <c r="I643" s="44">
        <v>77930</v>
      </c>
    </row>
    <row r="644" spans="1:10" x14ac:dyDescent="0.25">
      <c r="A644" s="33" t="s">
        <v>696</v>
      </c>
      <c r="B644" s="33" t="s">
        <v>61</v>
      </c>
      <c r="C644" s="39">
        <v>427811310</v>
      </c>
      <c r="D644" s="40">
        <v>4086860208</v>
      </c>
      <c r="E644" s="33" t="s">
        <v>22</v>
      </c>
      <c r="F644" s="41">
        <v>35359</v>
      </c>
      <c r="G644" s="42">
        <f t="shared" ca="1" si="10"/>
        <v>17</v>
      </c>
      <c r="H644" s="43">
        <v>5</v>
      </c>
      <c r="I644" s="44">
        <v>74530</v>
      </c>
    </row>
    <row r="645" spans="1:10" x14ac:dyDescent="0.25">
      <c r="A645" s="33" t="s">
        <v>697</v>
      </c>
      <c r="B645" s="33" t="s">
        <v>64</v>
      </c>
      <c r="C645" s="39">
        <v>249929042</v>
      </c>
      <c r="D645" s="40">
        <v>2083533906</v>
      </c>
      <c r="E645" s="33" t="s">
        <v>17</v>
      </c>
      <c r="F645" s="41">
        <v>33371</v>
      </c>
      <c r="G645" s="42">
        <f t="shared" ca="1" si="10"/>
        <v>22</v>
      </c>
      <c r="H645" s="43">
        <v>4</v>
      </c>
      <c r="I645" s="44">
        <v>83020</v>
      </c>
    </row>
    <row r="646" spans="1:10" x14ac:dyDescent="0.25">
      <c r="A646" s="33" t="s">
        <v>698</v>
      </c>
      <c r="B646" s="33" t="s">
        <v>68</v>
      </c>
      <c r="C646" s="39">
        <v>272714784</v>
      </c>
      <c r="D646" s="40">
        <v>3053986051</v>
      </c>
      <c r="E646" s="33" t="s">
        <v>17</v>
      </c>
      <c r="F646" s="41">
        <v>33466</v>
      </c>
      <c r="G646" s="42">
        <f t="shared" ca="1" si="10"/>
        <v>22</v>
      </c>
      <c r="H646" s="43">
        <v>5</v>
      </c>
      <c r="I646" s="44">
        <v>66580</v>
      </c>
    </row>
    <row r="647" spans="1:10" x14ac:dyDescent="0.25">
      <c r="A647" s="33" t="s">
        <v>699</v>
      </c>
      <c r="B647" s="33" t="s">
        <v>21</v>
      </c>
      <c r="C647" s="39">
        <v>436693732</v>
      </c>
      <c r="D647" s="40">
        <v>2117051004</v>
      </c>
      <c r="E647" s="33" t="s">
        <v>22</v>
      </c>
      <c r="F647" s="41">
        <v>35085</v>
      </c>
      <c r="G647" s="42">
        <f t="shared" ca="1" si="10"/>
        <v>17</v>
      </c>
      <c r="H647" s="43">
        <v>1</v>
      </c>
      <c r="I647" s="44">
        <v>60100</v>
      </c>
    </row>
    <row r="648" spans="1:10" x14ac:dyDescent="0.25">
      <c r="A648" s="33" t="s">
        <v>700</v>
      </c>
      <c r="B648" s="33" t="s">
        <v>21</v>
      </c>
      <c r="C648" s="39">
        <v>221364716</v>
      </c>
      <c r="D648" s="40">
        <v>4173014821</v>
      </c>
      <c r="E648" s="33" t="s">
        <v>81</v>
      </c>
      <c r="F648" s="41">
        <v>33555</v>
      </c>
      <c r="G648" s="42">
        <f t="shared" ca="1" si="10"/>
        <v>22</v>
      </c>
      <c r="H648" s="43">
        <v>1</v>
      </c>
      <c r="I648" s="44">
        <v>30416</v>
      </c>
    </row>
    <row r="649" spans="1:10" x14ac:dyDescent="0.25">
      <c r="A649" s="33" t="s">
        <v>701</v>
      </c>
      <c r="B649" s="33" t="s">
        <v>40</v>
      </c>
      <c r="C649" s="39">
        <v>496260023</v>
      </c>
      <c r="D649" s="40">
        <v>8018385730</v>
      </c>
      <c r="E649" s="33" t="s">
        <v>22</v>
      </c>
      <c r="F649" s="41">
        <v>37718</v>
      </c>
      <c r="G649" s="42">
        <f t="shared" ca="1" si="10"/>
        <v>10</v>
      </c>
      <c r="H649" s="43">
        <v>4</v>
      </c>
      <c r="I649" s="44">
        <v>48280</v>
      </c>
    </row>
    <row r="650" spans="1:10" x14ac:dyDescent="0.25">
      <c r="A650" s="33" t="s">
        <v>702</v>
      </c>
      <c r="B650" s="33" t="s">
        <v>74</v>
      </c>
      <c r="C650" s="39">
        <v>555025137</v>
      </c>
      <c r="D650" s="40">
        <v>8141449596</v>
      </c>
      <c r="E650" s="33" t="s">
        <v>17</v>
      </c>
      <c r="F650" s="41">
        <v>34161</v>
      </c>
      <c r="G650" s="42">
        <f t="shared" ca="1" si="10"/>
        <v>20</v>
      </c>
      <c r="H650" s="43">
        <v>4</v>
      </c>
      <c r="I650" s="44">
        <v>26360</v>
      </c>
    </row>
    <row r="651" spans="1:10" x14ac:dyDescent="0.25">
      <c r="A651" s="33" t="s">
        <v>703</v>
      </c>
      <c r="B651" s="33" t="s">
        <v>58</v>
      </c>
      <c r="C651" s="39">
        <v>504735443</v>
      </c>
      <c r="D651" s="40">
        <v>9028488350</v>
      </c>
      <c r="E651" s="33" t="s">
        <v>22</v>
      </c>
      <c r="F651" s="41">
        <v>35565</v>
      </c>
      <c r="G651" s="42">
        <f t="shared" ca="1" si="10"/>
        <v>16</v>
      </c>
      <c r="H651" s="43">
        <v>2</v>
      </c>
      <c r="I651" s="44">
        <v>23520</v>
      </c>
    </row>
    <row r="652" spans="1:10" x14ac:dyDescent="0.25">
      <c r="A652" s="33" t="s">
        <v>704</v>
      </c>
      <c r="B652" s="33" t="s">
        <v>21</v>
      </c>
      <c r="C652" s="39">
        <v>694800128</v>
      </c>
      <c r="D652" s="40">
        <v>8153967339</v>
      </c>
      <c r="E652" s="33" t="s">
        <v>22</v>
      </c>
      <c r="F652" s="41">
        <v>33021</v>
      </c>
      <c r="G652" s="42">
        <f t="shared" ca="1" si="10"/>
        <v>23</v>
      </c>
      <c r="H652" s="43">
        <v>4</v>
      </c>
      <c r="I652" s="44">
        <v>52940</v>
      </c>
      <c r="J652" s="52"/>
    </row>
    <row r="653" spans="1:10" x14ac:dyDescent="0.25">
      <c r="A653" s="33" t="s">
        <v>705</v>
      </c>
      <c r="B653" s="33" t="s">
        <v>64</v>
      </c>
      <c r="C653" s="39">
        <v>616417564</v>
      </c>
      <c r="D653" s="40">
        <v>5142354572</v>
      </c>
      <c r="E653" s="33" t="s">
        <v>33</v>
      </c>
      <c r="F653" s="41">
        <v>33556</v>
      </c>
      <c r="G653" s="42">
        <f t="shared" ca="1" si="10"/>
        <v>22</v>
      </c>
      <c r="H653" s="43">
        <v>3</v>
      </c>
      <c r="I653" s="44">
        <v>26890</v>
      </c>
    </row>
    <row r="654" spans="1:10" x14ac:dyDescent="0.25">
      <c r="A654" s="33" t="s">
        <v>706</v>
      </c>
      <c r="B654" s="33" t="s">
        <v>32</v>
      </c>
      <c r="C654" s="39">
        <v>965916299</v>
      </c>
      <c r="D654" s="40">
        <v>5198294156</v>
      </c>
      <c r="E654" s="33" t="s">
        <v>22</v>
      </c>
      <c r="F654" s="41">
        <v>37238</v>
      </c>
      <c r="G654" s="42">
        <f t="shared" ca="1" si="10"/>
        <v>11</v>
      </c>
      <c r="H654" s="43">
        <v>2</v>
      </c>
      <c r="I654" s="44">
        <v>76910</v>
      </c>
    </row>
    <row r="655" spans="1:10" x14ac:dyDescent="0.25">
      <c r="A655" s="33" t="s">
        <v>707</v>
      </c>
      <c r="B655" s="33" t="s">
        <v>74</v>
      </c>
      <c r="C655" s="39">
        <v>667745362</v>
      </c>
      <c r="D655" s="40">
        <v>3113547588</v>
      </c>
      <c r="E655" s="33" t="s">
        <v>17</v>
      </c>
      <c r="F655" s="41">
        <v>39626</v>
      </c>
      <c r="G655" s="42">
        <f t="shared" ca="1" si="10"/>
        <v>5</v>
      </c>
      <c r="H655" s="43">
        <v>4</v>
      </c>
      <c r="I655" s="44">
        <v>45830</v>
      </c>
    </row>
    <row r="656" spans="1:10" x14ac:dyDescent="0.25">
      <c r="A656" s="33" t="s">
        <v>708</v>
      </c>
      <c r="B656" s="33" t="s">
        <v>21</v>
      </c>
      <c r="C656" s="39">
        <v>240272873</v>
      </c>
      <c r="D656" s="40">
        <v>4043162442</v>
      </c>
      <c r="E656" s="33" t="s">
        <v>17</v>
      </c>
      <c r="F656" s="41">
        <v>38935</v>
      </c>
      <c r="G656" s="42">
        <f t="shared" ca="1" si="10"/>
        <v>7</v>
      </c>
      <c r="H656" s="43">
        <v>2</v>
      </c>
      <c r="I656" s="44">
        <v>84170</v>
      </c>
    </row>
    <row r="657" spans="1:9" x14ac:dyDescent="0.25">
      <c r="A657" s="33" t="s">
        <v>709</v>
      </c>
      <c r="B657" s="33" t="s">
        <v>32</v>
      </c>
      <c r="C657" s="39">
        <v>569882669</v>
      </c>
      <c r="D657" s="40">
        <v>7141675237</v>
      </c>
      <c r="E657" s="33" t="s">
        <v>22</v>
      </c>
      <c r="F657" s="41">
        <v>35380</v>
      </c>
      <c r="G657" s="42">
        <f t="shared" ca="1" si="10"/>
        <v>17</v>
      </c>
      <c r="H657" s="43">
        <v>1</v>
      </c>
      <c r="I657" s="44">
        <v>36890</v>
      </c>
    </row>
    <row r="658" spans="1:9" x14ac:dyDescent="0.25">
      <c r="A658" s="33" t="s">
        <v>710</v>
      </c>
      <c r="B658" s="33" t="s">
        <v>158</v>
      </c>
      <c r="C658" s="39">
        <v>529609767</v>
      </c>
      <c r="D658" s="40">
        <v>8088922252</v>
      </c>
      <c r="E658" s="33" t="s">
        <v>22</v>
      </c>
      <c r="F658" s="41">
        <v>37002</v>
      </c>
      <c r="G658" s="42">
        <f t="shared" ca="1" si="10"/>
        <v>12</v>
      </c>
      <c r="H658" s="43">
        <v>1</v>
      </c>
      <c r="I658" s="44">
        <v>39740</v>
      </c>
    </row>
    <row r="659" spans="1:9" x14ac:dyDescent="0.25">
      <c r="A659" s="33" t="s">
        <v>711</v>
      </c>
      <c r="B659" s="33" t="s">
        <v>43</v>
      </c>
      <c r="C659" s="39">
        <v>880747384</v>
      </c>
      <c r="D659" s="40">
        <v>7086681578</v>
      </c>
      <c r="E659" s="33" t="s">
        <v>22</v>
      </c>
      <c r="F659" s="41">
        <v>39790</v>
      </c>
      <c r="G659" s="42">
        <f t="shared" ca="1" si="10"/>
        <v>5</v>
      </c>
      <c r="H659" s="43">
        <v>2</v>
      </c>
      <c r="I659" s="44">
        <v>79150</v>
      </c>
    </row>
    <row r="660" spans="1:9" x14ac:dyDescent="0.25">
      <c r="A660" s="33" t="s">
        <v>712</v>
      </c>
      <c r="B660" s="33" t="s">
        <v>32</v>
      </c>
      <c r="C660" s="39">
        <v>414905182</v>
      </c>
      <c r="D660" s="40">
        <v>6066576057</v>
      </c>
      <c r="E660" s="33" t="s">
        <v>17</v>
      </c>
      <c r="F660" s="41">
        <v>35765</v>
      </c>
      <c r="G660" s="42">
        <f t="shared" ca="1" si="10"/>
        <v>16</v>
      </c>
      <c r="H660" s="43">
        <v>5</v>
      </c>
      <c r="I660" s="44">
        <v>71300</v>
      </c>
    </row>
    <row r="661" spans="1:9" x14ac:dyDescent="0.25">
      <c r="A661" s="33" t="s">
        <v>713</v>
      </c>
      <c r="B661" s="33" t="s">
        <v>64</v>
      </c>
      <c r="C661" s="39">
        <v>105708355</v>
      </c>
      <c r="D661" s="40">
        <v>4181230519</v>
      </c>
      <c r="E661" s="33" t="s">
        <v>22</v>
      </c>
      <c r="F661" s="41">
        <v>33176</v>
      </c>
      <c r="G661" s="42">
        <f t="shared" ca="1" si="10"/>
        <v>23</v>
      </c>
      <c r="H661" s="43">
        <v>2</v>
      </c>
      <c r="I661" s="44">
        <v>71150</v>
      </c>
    </row>
    <row r="662" spans="1:9" x14ac:dyDescent="0.25">
      <c r="A662" s="33" t="s">
        <v>714</v>
      </c>
      <c r="B662" s="33" t="s">
        <v>32</v>
      </c>
      <c r="C662" s="39">
        <v>191359642</v>
      </c>
      <c r="D662" s="40">
        <v>2122636321</v>
      </c>
      <c r="E662" s="33" t="s">
        <v>22</v>
      </c>
      <c r="F662" s="41">
        <v>32518</v>
      </c>
      <c r="G662" s="42">
        <f t="shared" ca="1" si="10"/>
        <v>24</v>
      </c>
      <c r="H662" s="43">
        <v>4</v>
      </c>
      <c r="I662" s="44">
        <v>46110</v>
      </c>
    </row>
    <row r="663" spans="1:9" x14ac:dyDescent="0.25">
      <c r="A663" s="33" t="s">
        <v>715</v>
      </c>
      <c r="B663" s="33" t="s">
        <v>21</v>
      </c>
      <c r="C663" s="39">
        <v>512404764</v>
      </c>
      <c r="D663" s="40">
        <v>5068627048</v>
      </c>
      <c r="E663" s="33" t="s">
        <v>22</v>
      </c>
      <c r="F663" s="41">
        <v>34901</v>
      </c>
      <c r="G663" s="42">
        <f t="shared" ca="1" si="10"/>
        <v>18</v>
      </c>
      <c r="H663" s="43">
        <v>5</v>
      </c>
      <c r="I663" s="44">
        <v>73144</v>
      </c>
    </row>
    <row r="664" spans="1:9" x14ac:dyDescent="0.25">
      <c r="A664" s="33" t="s">
        <v>716</v>
      </c>
      <c r="B664" s="33" t="s">
        <v>52</v>
      </c>
      <c r="C664" s="39">
        <v>352371400</v>
      </c>
      <c r="D664" s="40">
        <v>6085725646</v>
      </c>
      <c r="E664" s="33" t="s">
        <v>33</v>
      </c>
      <c r="F664" s="41">
        <v>35586</v>
      </c>
      <c r="G664" s="42">
        <f t="shared" ca="1" si="10"/>
        <v>16</v>
      </c>
      <c r="H664" s="43">
        <v>2</v>
      </c>
      <c r="I664" s="44">
        <v>34980</v>
      </c>
    </row>
    <row r="665" spans="1:9" x14ac:dyDescent="0.25">
      <c r="A665" s="33" t="s">
        <v>717</v>
      </c>
      <c r="B665" s="33" t="s">
        <v>222</v>
      </c>
      <c r="C665" s="39">
        <v>317193890</v>
      </c>
      <c r="D665" s="40">
        <v>9034936058</v>
      </c>
      <c r="E665" s="33" t="s">
        <v>22</v>
      </c>
      <c r="F665" s="41">
        <v>37074</v>
      </c>
      <c r="G665" s="42">
        <f t="shared" ca="1" si="10"/>
        <v>12</v>
      </c>
      <c r="H665" s="43">
        <v>5</v>
      </c>
      <c r="I665" s="44">
        <v>42800</v>
      </c>
    </row>
    <row r="666" spans="1:9" x14ac:dyDescent="0.25">
      <c r="A666" s="33" t="s">
        <v>718</v>
      </c>
      <c r="B666" s="33" t="s">
        <v>21</v>
      </c>
      <c r="C666" s="39">
        <v>474117484</v>
      </c>
      <c r="D666" s="40">
        <v>3037780776</v>
      </c>
      <c r="E666" s="33" t="s">
        <v>17</v>
      </c>
      <c r="F666" s="41">
        <v>37927</v>
      </c>
      <c r="G666" s="42">
        <f t="shared" ca="1" si="10"/>
        <v>10</v>
      </c>
      <c r="H666" s="43">
        <v>1</v>
      </c>
      <c r="I666" s="44">
        <v>39680</v>
      </c>
    </row>
    <row r="667" spans="1:9" x14ac:dyDescent="0.25">
      <c r="A667" s="33" t="s">
        <v>719</v>
      </c>
      <c r="B667" s="33" t="s">
        <v>32</v>
      </c>
      <c r="C667" s="39">
        <v>956291859</v>
      </c>
      <c r="D667" s="40">
        <v>8088082183</v>
      </c>
      <c r="E667" s="33" t="s">
        <v>81</v>
      </c>
      <c r="F667" s="41">
        <v>35770</v>
      </c>
      <c r="G667" s="42">
        <f t="shared" ca="1" si="10"/>
        <v>16</v>
      </c>
      <c r="H667" s="43">
        <v>5</v>
      </c>
      <c r="I667" s="44">
        <v>36052</v>
      </c>
    </row>
    <row r="668" spans="1:9" x14ac:dyDescent="0.25">
      <c r="A668" s="33" t="s">
        <v>720</v>
      </c>
      <c r="B668" s="33" t="s">
        <v>32</v>
      </c>
      <c r="C668" s="39">
        <v>969216994</v>
      </c>
      <c r="D668" s="40">
        <v>9098367725</v>
      </c>
      <c r="E668" s="33" t="s">
        <v>22</v>
      </c>
      <c r="F668" s="41">
        <v>32488</v>
      </c>
      <c r="G668" s="42">
        <f t="shared" ca="1" si="10"/>
        <v>24</v>
      </c>
      <c r="H668" s="43">
        <v>2</v>
      </c>
      <c r="I668" s="44">
        <v>48080</v>
      </c>
    </row>
    <row r="669" spans="1:9" x14ac:dyDescent="0.25">
      <c r="A669" s="33" t="s">
        <v>721</v>
      </c>
      <c r="B669" s="33" t="s">
        <v>21</v>
      </c>
      <c r="C669" s="39">
        <v>751878224</v>
      </c>
      <c r="D669" s="40">
        <v>7194888110</v>
      </c>
      <c r="E669" s="33" t="s">
        <v>22</v>
      </c>
      <c r="F669" s="41">
        <v>37711</v>
      </c>
      <c r="G669" s="42">
        <f t="shared" ca="1" si="10"/>
        <v>10</v>
      </c>
      <c r="H669" s="43">
        <v>1</v>
      </c>
      <c r="I669" s="44">
        <v>70760</v>
      </c>
    </row>
    <row r="670" spans="1:9" x14ac:dyDescent="0.25">
      <c r="A670" s="33" t="s">
        <v>722</v>
      </c>
      <c r="B670" s="33" t="s">
        <v>32</v>
      </c>
      <c r="C670" s="39">
        <v>297852686</v>
      </c>
      <c r="D670" s="40">
        <v>4164633649</v>
      </c>
      <c r="E670" s="33" t="s">
        <v>22</v>
      </c>
      <c r="F670" s="41">
        <v>36063</v>
      </c>
      <c r="G670" s="42">
        <f t="shared" ca="1" si="10"/>
        <v>15</v>
      </c>
      <c r="H670" s="43">
        <v>1</v>
      </c>
      <c r="I670" s="44">
        <v>48330</v>
      </c>
    </row>
    <row r="671" spans="1:9" x14ac:dyDescent="0.25">
      <c r="A671" s="33" t="s">
        <v>723</v>
      </c>
      <c r="B671" s="33" t="s">
        <v>64</v>
      </c>
      <c r="C671" s="39">
        <v>705186668</v>
      </c>
      <c r="D671" s="40">
        <v>3124137278</v>
      </c>
      <c r="E671" s="33" t="s">
        <v>22</v>
      </c>
      <c r="F671" s="41">
        <v>32738</v>
      </c>
      <c r="G671" s="42">
        <f t="shared" ca="1" si="10"/>
        <v>24</v>
      </c>
      <c r="H671" s="43">
        <v>2</v>
      </c>
      <c r="I671" s="44">
        <v>49810</v>
      </c>
    </row>
    <row r="672" spans="1:9" x14ac:dyDescent="0.25">
      <c r="A672" s="33" t="s">
        <v>724</v>
      </c>
      <c r="B672" s="33" t="s">
        <v>43</v>
      </c>
      <c r="C672" s="39">
        <v>783624212</v>
      </c>
      <c r="D672" s="40">
        <v>2165250630</v>
      </c>
      <c r="E672" s="33" t="s">
        <v>22</v>
      </c>
      <c r="F672" s="41">
        <v>34719</v>
      </c>
      <c r="G672" s="42">
        <f t="shared" ca="1" si="10"/>
        <v>18</v>
      </c>
      <c r="H672" s="43">
        <v>2</v>
      </c>
      <c r="I672" s="44">
        <v>66740</v>
      </c>
    </row>
    <row r="673" spans="1:10" x14ac:dyDescent="0.25">
      <c r="A673" s="33" t="s">
        <v>725</v>
      </c>
      <c r="B673" s="33" t="s">
        <v>64</v>
      </c>
      <c r="C673" s="39">
        <v>355985853</v>
      </c>
      <c r="D673" s="40">
        <v>5165786813</v>
      </c>
      <c r="E673" s="33" t="s">
        <v>17</v>
      </c>
      <c r="F673" s="41">
        <v>35292</v>
      </c>
      <c r="G673" s="42">
        <f t="shared" ca="1" si="10"/>
        <v>17</v>
      </c>
      <c r="H673" s="43">
        <v>3</v>
      </c>
      <c r="I673" s="44">
        <v>63340</v>
      </c>
    </row>
    <row r="674" spans="1:10" x14ac:dyDescent="0.25">
      <c r="A674" s="33" t="s">
        <v>726</v>
      </c>
      <c r="B674" s="33" t="s">
        <v>21</v>
      </c>
      <c r="C674" s="39">
        <v>527185620</v>
      </c>
      <c r="D674" s="40">
        <v>4178873234</v>
      </c>
      <c r="E674" s="33" t="s">
        <v>33</v>
      </c>
      <c r="F674" s="41">
        <v>35812</v>
      </c>
      <c r="G674" s="42">
        <f t="shared" ca="1" si="10"/>
        <v>15</v>
      </c>
      <c r="H674" s="43">
        <v>5</v>
      </c>
      <c r="I674" s="44">
        <v>17270</v>
      </c>
    </row>
    <row r="675" spans="1:10" x14ac:dyDescent="0.25">
      <c r="A675" s="33" t="s">
        <v>727</v>
      </c>
      <c r="B675" s="33" t="s">
        <v>32</v>
      </c>
      <c r="C675" s="39">
        <v>115404531</v>
      </c>
      <c r="D675" s="40">
        <v>9091408985</v>
      </c>
      <c r="E675" s="33" t="s">
        <v>22</v>
      </c>
      <c r="F675" s="41">
        <v>39254</v>
      </c>
      <c r="G675" s="42">
        <f t="shared" ca="1" si="10"/>
        <v>6</v>
      </c>
      <c r="H675" s="43">
        <v>5</v>
      </c>
      <c r="I675" s="44">
        <v>64320</v>
      </c>
    </row>
    <row r="676" spans="1:10" x14ac:dyDescent="0.25">
      <c r="A676" s="33" t="s">
        <v>728</v>
      </c>
      <c r="B676" s="33" t="s">
        <v>52</v>
      </c>
      <c r="C676" s="39">
        <v>707882019</v>
      </c>
      <c r="D676" s="40">
        <v>4074194193</v>
      </c>
      <c r="E676" s="33" t="s">
        <v>33</v>
      </c>
      <c r="F676" s="41">
        <v>35813</v>
      </c>
      <c r="G676" s="42">
        <f t="shared" ca="1" si="10"/>
        <v>15</v>
      </c>
      <c r="H676" s="43">
        <v>1</v>
      </c>
      <c r="I676" s="44">
        <v>47350</v>
      </c>
      <c r="J676" s="52"/>
    </row>
    <row r="677" spans="1:10" x14ac:dyDescent="0.25">
      <c r="A677" s="33" t="s">
        <v>729</v>
      </c>
      <c r="B677" s="33" t="s">
        <v>16</v>
      </c>
      <c r="C677" s="39">
        <v>571821715</v>
      </c>
      <c r="D677" s="40">
        <v>4171765611</v>
      </c>
      <c r="E677" s="33" t="s">
        <v>22</v>
      </c>
      <c r="F677" s="41">
        <v>39837</v>
      </c>
      <c r="G677" s="42">
        <f t="shared" ca="1" si="10"/>
        <v>4</v>
      </c>
      <c r="H677" s="43">
        <v>4</v>
      </c>
      <c r="I677" s="44">
        <v>33970</v>
      </c>
    </row>
    <row r="678" spans="1:10" x14ac:dyDescent="0.25">
      <c r="A678" s="33" t="s">
        <v>730</v>
      </c>
      <c r="B678" s="33" t="s">
        <v>74</v>
      </c>
      <c r="C678" s="39">
        <v>991764142</v>
      </c>
      <c r="D678" s="40">
        <v>8138721709</v>
      </c>
      <c r="E678" s="33" t="s">
        <v>22</v>
      </c>
      <c r="F678" s="41">
        <v>37525</v>
      </c>
      <c r="G678" s="42">
        <f t="shared" ca="1" si="10"/>
        <v>11</v>
      </c>
      <c r="H678" s="43">
        <v>1</v>
      </c>
      <c r="I678" s="44">
        <v>65560</v>
      </c>
    </row>
    <row r="679" spans="1:10" x14ac:dyDescent="0.25">
      <c r="A679" s="33" t="s">
        <v>731</v>
      </c>
      <c r="B679" s="33" t="s">
        <v>104</v>
      </c>
      <c r="C679" s="39">
        <v>964255290</v>
      </c>
      <c r="D679" s="40">
        <v>4148256039</v>
      </c>
      <c r="E679" s="33" t="s">
        <v>22</v>
      </c>
      <c r="F679" s="41">
        <v>34839</v>
      </c>
      <c r="G679" s="42">
        <f t="shared" ca="1" si="10"/>
        <v>18</v>
      </c>
      <c r="H679" s="43">
        <v>3</v>
      </c>
      <c r="I679" s="44">
        <v>22920</v>
      </c>
    </row>
    <row r="680" spans="1:10" x14ac:dyDescent="0.25">
      <c r="A680" s="33" t="s">
        <v>732</v>
      </c>
      <c r="B680" s="33" t="s">
        <v>21</v>
      </c>
      <c r="C680" s="39">
        <v>477110649</v>
      </c>
      <c r="D680" s="40">
        <v>7097925201</v>
      </c>
      <c r="E680" s="33" t="s">
        <v>22</v>
      </c>
      <c r="F680" s="41">
        <v>36097</v>
      </c>
      <c r="G680" s="42">
        <f t="shared" ca="1" si="10"/>
        <v>15</v>
      </c>
      <c r="H680" s="43">
        <v>2</v>
      </c>
      <c r="I680" s="44">
        <v>38870</v>
      </c>
    </row>
    <row r="681" spans="1:10" x14ac:dyDescent="0.25">
      <c r="A681" s="33" t="s">
        <v>733</v>
      </c>
      <c r="B681" s="33" t="s">
        <v>40</v>
      </c>
      <c r="C681" s="39">
        <v>626648632</v>
      </c>
      <c r="D681" s="40">
        <v>4132529195</v>
      </c>
      <c r="E681" s="33" t="s">
        <v>22</v>
      </c>
      <c r="F681" s="41">
        <v>34754</v>
      </c>
      <c r="G681" s="42">
        <f t="shared" ca="1" si="10"/>
        <v>18</v>
      </c>
      <c r="H681" s="43">
        <v>5</v>
      </c>
      <c r="I681" s="44">
        <v>27130</v>
      </c>
    </row>
    <row r="682" spans="1:10" x14ac:dyDescent="0.25">
      <c r="A682" s="33" t="s">
        <v>734</v>
      </c>
      <c r="B682" s="33" t="s">
        <v>32</v>
      </c>
      <c r="C682" s="39">
        <v>906321388</v>
      </c>
      <c r="D682" s="40">
        <v>2176973131</v>
      </c>
      <c r="E682" s="33" t="s">
        <v>22</v>
      </c>
      <c r="F682" s="41">
        <v>34083</v>
      </c>
      <c r="G682" s="42">
        <f t="shared" ca="1" si="10"/>
        <v>20</v>
      </c>
      <c r="H682" s="43">
        <v>2</v>
      </c>
      <c r="I682" s="44">
        <v>88820</v>
      </c>
    </row>
    <row r="683" spans="1:10" x14ac:dyDescent="0.25">
      <c r="A683" s="33" t="s">
        <v>735</v>
      </c>
      <c r="B683" s="33" t="s">
        <v>32</v>
      </c>
      <c r="C683" s="39">
        <v>214291610</v>
      </c>
      <c r="D683" s="40">
        <v>4112889182</v>
      </c>
      <c r="E683" s="33" t="s">
        <v>22</v>
      </c>
      <c r="F683" s="41">
        <v>40014</v>
      </c>
      <c r="G683" s="42">
        <f t="shared" ca="1" si="10"/>
        <v>4</v>
      </c>
      <c r="H683" s="43">
        <v>1</v>
      </c>
      <c r="I683" s="44">
        <v>86500</v>
      </c>
    </row>
    <row r="684" spans="1:10" x14ac:dyDescent="0.25">
      <c r="A684" s="33" t="s">
        <v>736</v>
      </c>
      <c r="B684" s="33" t="s">
        <v>52</v>
      </c>
      <c r="C684" s="39">
        <v>151277827</v>
      </c>
      <c r="D684" s="40">
        <v>7091973267</v>
      </c>
      <c r="E684" s="33" t="s">
        <v>22</v>
      </c>
      <c r="F684" s="41">
        <v>33675</v>
      </c>
      <c r="G684" s="42">
        <f t="shared" ca="1" si="10"/>
        <v>21</v>
      </c>
      <c r="H684" s="43">
        <v>2</v>
      </c>
      <c r="I684" s="44">
        <v>48490</v>
      </c>
    </row>
    <row r="685" spans="1:10" x14ac:dyDescent="0.25">
      <c r="A685" s="33" t="s">
        <v>737</v>
      </c>
      <c r="B685" s="33" t="s">
        <v>21</v>
      </c>
      <c r="C685" s="39">
        <v>597641409</v>
      </c>
      <c r="D685" s="40">
        <v>7052163497</v>
      </c>
      <c r="E685" s="33" t="s">
        <v>33</v>
      </c>
      <c r="F685" s="41">
        <v>33553</v>
      </c>
      <c r="G685" s="42">
        <f t="shared" ca="1" si="10"/>
        <v>22</v>
      </c>
      <c r="H685" s="43">
        <v>4</v>
      </c>
      <c r="I685" s="44">
        <v>18895</v>
      </c>
    </row>
    <row r="686" spans="1:10" x14ac:dyDescent="0.25">
      <c r="A686" s="33" t="s">
        <v>738</v>
      </c>
      <c r="B686" s="33" t="s">
        <v>74</v>
      </c>
      <c r="C686" s="39">
        <v>394876677</v>
      </c>
      <c r="D686" s="40">
        <v>2026427045</v>
      </c>
      <c r="E686" s="33" t="s">
        <v>22</v>
      </c>
      <c r="F686" s="41">
        <v>35804</v>
      </c>
      <c r="G686" s="42">
        <f t="shared" ca="1" si="10"/>
        <v>15</v>
      </c>
      <c r="H686" s="43">
        <v>5</v>
      </c>
      <c r="I686" s="44">
        <v>39680</v>
      </c>
    </row>
    <row r="687" spans="1:10" x14ac:dyDescent="0.25">
      <c r="A687" s="33" t="s">
        <v>739</v>
      </c>
      <c r="B687" s="33" t="s">
        <v>21</v>
      </c>
      <c r="C687" s="39">
        <v>122440839</v>
      </c>
      <c r="D687" s="40">
        <v>9091593705</v>
      </c>
      <c r="E687" s="33" t="s">
        <v>22</v>
      </c>
      <c r="F687" s="41">
        <v>35821</v>
      </c>
      <c r="G687" s="42">
        <f t="shared" ca="1" si="10"/>
        <v>15</v>
      </c>
      <c r="H687" s="43">
        <v>2</v>
      </c>
      <c r="I687" s="44">
        <v>35820</v>
      </c>
    </row>
    <row r="688" spans="1:10" x14ac:dyDescent="0.25">
      <c r="A688" s="33" t="s">
        <v>740</v>
      </c>
      <c r="B688" s="33" t="s">
        <v>158</v>
      </c>
      <c r="C688" s="39">
        <v>742946482</v>
      </c>
      <c r="D688" s="40">
        <v>2024713628</v>
      </c>
      <c r="E688" s="33" t="s">
        <v>81</v>
      </c>
      <c r="F688" s="41">
        <v>35063</v>
      </c>
      <c r="G688" s="42">
        <f t="shared" ca="1" si="10"/>
        <v>17</v>
      </c>
      <c r="H688" s="43">
        <v>2</v>
      </c>
      <c r="I688" s="44">
        <v>12676</v>
      </c>
    </row>
    <row r="689" spans="1:34" x14ac:dyDescent="0.25">
      <c r="A689" s="33" t="s">
        <v>741</v>
      </c>
      <c r="B689" s="33" t="s">
        <v>16</v>
      </c>
      <c r="C689" s="39">
        <v>428024993</v>
      </c>
      <c r="D689" s="40">
        <v>9156920236</v>
      </c>
      <c r="E689" s="33" t="s">
        <v>22</v>
      </c>
      <c r="F689" s="41">
        <v>33155</v>
      </c>
      <c r="G689" s="42">
        <f t="shared" ca="1" si="10"/>
        <v>23</v>
      </c>
      <c r="H689" s="43">
        <v>1</v>
      </c>
      <c r="I689" s="44">
        <v>73930</v>
      </c>
    </row>
    <row r="690" spans="1:34" x14ac:dyDescent="0.25">
      <c r="A690" s="33" t="s">
        <v>742</v>
      </c>
      <c r="B690" s="33" t="s">
        <v>52</v>
      </c>
      <c r="C690" s="39">
        <v>575270646</v>
      </c>
      <c r="D690" s="40">
        <v>3011797370</v>
      </c>
      <c r="E690" s="33" t="s">
        <v>22</v>
      </c>
      <c r="F690" s="41">
        <v>39135</v>
      </c>
      <c r="G690" s="42">
        <f t="shared" ca="1" si="10"/>
        <v>6</v>
      </c>
      <c r="H690" s="43">
        <v>5</v>
      </c>
      <c r="I690" s="44">
        <v>29330</v>
      </c>
    </row>
    <row r="691" spans="1:34" x14ac:dyDescent="0.25">
      <c r="A691" s="33" t="s">
        <v>743</v>
      </c>
      <c r="B691" s="33" t="s">
        <v>32</v>
      </c>
      <c r="C691" s="39">
        <v>542214575</v>
      </c>
      <c r="D691" s="40">
        <v>6121264013</v>
      </c>
      <c r="E691" s="33" t="s">
        <v>33</v>
      </c>
      <c r="F691" s="41">
        <v>37563</v>
      </c>
      <c r="G691" s="42">
        <f t="shared" ca="1" si="10"/>
        <v>11</v>
      </c>
      <c r="H691" s="43">
        <v>2</v>
      </c>
      <c r="I691" s="44">
        <v>32900</v>
      </c>
    </row>
    <row r="692" spans="1:34" x14ac:dyDescent="0.25">
      <c r="A692" s="33" t="s">
        <v>744</v>
      </c>
      <c r="B692" s="33" t="s">
        <v>71</v>
      </c>
      <c r="C692" s="39">
        <v>744830329</v>
      </c>
      <c r="D692" s="40">
        <v>3124727385</v>
      </c>
      <c r="E692" s="33" t="s">
        <v>33</v>
      </c>
      <c r="F692" s="41">
        <v>32739</v>
      </c>
      <c r="G692" s="42">
        <f t="shared" ca="1" si="10"/>
        <v>24</v>
      </c>
      <c r="H692" s="43">
        <v>3</v>
      </c>
      <c r="I692" s="44">
        <v>16015</v>
      </c>
    </row>
    <row r="693" spans="1:34" x14ac:dyDescent="0.25">
      <c r="A693" s="33" t="s">
        <v>745</v>
      </c>
      <c r="B693" s="33" t="s">
        <v>152</v>
      </c>
      <c r="C693" s="39">
        <v>180832423</v>
      </c>
      <c r="D693" s="40">
        <v>5122552565</v>
      </c>
      <c r="E693" s="33" t="s">
        <v>22</v>
      </c>
      <c r="F693" s="41">
        <v>37273</v>
      </c>
      <c r="G693" s="42">
        <f t="shared" ca="1" si="10"/>
        <v>11</v>
      </c>
      <c r="H693" s="43">
        <v>1</v>
      </c>
      <c r="I693" s="44">
        <v>86530</v>
      </c>
    </row>
    <row r="694" spans="1:34" x14ac:dyDescent="0.25">
      <c r="A694" s="33" t="s">
        <v>746</v>
      </c>
      <c r="B694" s="33" t="s">
        <v>61</v>
      </c>
      <c r="C694" s="39">
        <v>721169660</v>
      </c>
      <c r="D694" s="40">
        <v>7014471952</v>
      </c>
      <c r="E694" s="33" t="s">
        <v>22</v>
      </c>
      <c r="F694" s="41">
        <v>38197</v>
      </c>
      <c r="G694" s="42">
        <f t="shared" ca="1" si="10"/>
        <v>9</v>
      </c>
      <c r="H694" s="43">
        <v>4</v>
      </c>
      <c r="I694" s="44">
        <v>47060</v>
      </c>
    </row>
    <row r="695" spans="1:34" x14ac:dyDescent="0.25">
      <c r="A695" s="33" t="s">
        <v>747</v>
      </c>
      <c r="B695" s="33" t="s">
        <v>32</v>
      </c>
      <c r="C695" s="39">
        <v>120224342</v>
      </c>
      <c r="D695" s="40">
        <v>5161544288</v>
      </c>
      <c r="E695" s="33" t="s">
        <v>22</v>
      </c>
      <c r="F695" s="41">
        <v>35211</v>
      </c>
      <c r="G695" s="42">
        <f t="shared" ca="1" si="10"/>
        <v>17</v>
      </c>
      <c r="H695" s="43">
        <v>3</v>
      </c>
      <c r="I695" s="44">
        <v>22870</v>
      </c>
      <c r="O695" s="35" t="s">
        <v>37</v>
      </c>
      <c r="P695" s="46">
        <v>43</v>
      </c>
      <c r="Q695" s="46">
        <v>38</v>
      </c>
      <c r="R695" s="46">
        <v>44</v>
      </c>
      <c r="S695" s="46">
        <v>44</v>
      </c>
      <c r="T695" s="46">
        <v>39</v>
      </c>
      <c r="U695" s="46"/>
      <c r="V695" s="35" t="s">
        <v>38</v>
      </c>
      <c r="W695" s="46">
        <v>30</v>
      </c>
      <c r="X695" s="46">
        <v>47</v>
      </c>
      <c r="Y695" s="46">
        <v>46</v>
      </c>
      <c r="Z695" s="46">
        <v>42</v>
      </c>
      <c r="AA695" s="46">
        <v>34</v>
      </c>
      <c r="AF695" s="34"/>
      <c r="AG695" s="50">
        <v>45000</v>
      </c>
      <c r="AH695" s="51">
        <v>7.0000000000000007E-2</v>
      </c>
    </row>
    <row r="696" spans="1:34" x14ac:dyDescent="0.25">
      <c r="A696" s="33" t="s">
        <v>748</v>
      </c>
      <c r="B696" s="33" t="s">
        <v>64</v>
      </c>
      <c r="C696" s="39">
        <v>100703382</v>
      </c>
      <c r="D696" s="40">
        <v>7051201242</v>
      </c>
      <c r="E696" s="33" t="s">
        <v>22</v>
      </c>
      <c r="F696" s="41">
        <v>39664</v>
      </c>
      <c r="G696" s="42">
        <f t="shared" ca="1" si="10"/>
        <v>5</v>
      </c>
      <c r="H696" s="43">
        <v>1</v>
      </c>
      <c r="I696" s="44">
        <v>38730</v>
      </c>
    </row>
    <row r="697" spans="1:34" x14ac:dyDescent="0.25">
      <c r="A697" s="33" t="s">
        <v>749</v>
      </c>
      <c r="B697" s="33" t="s">
        <v>40</v>
      </c>
      <c r="C697" s="39">
        <v>535539723</v>
      </c>
      <c r="D697" s="40">
        <v>4131162663</v>
      </c>
      <c r="E697" s="33" t="s">
        <v>22</v>
      </c>
      <c r="F697" s="41">
        <v>38561</v>
      </c>
      <c r="G697" s="42">
        <f t="shared" ca="1" si="10"/>
        <v>8</v>
      </c>
      <c r="H697" s="43">
        <v>2</v>
      </c>
      <c r="I697" s="44">
        <v>25690</v>
      </c>
    </row>
    <row r="698" spans="1:34" x14ac:dyDescent="0.25">
      <c r="A698" s="33" t="s">
        <v>750</v>
      </c>
      <c r="B698" s="33" t="s">
        <v>21</v>
      </c>
      <c r="C698" s="39">
        <v>561737107</v>
      </c>
      <c r="D698" s="40">
        <v>7151559081</v>
      </c>
      <c r="E698" s="33" t="s">
        <v>22</v>
      </c>
      <c r="F698" s="41">
        <v>39993</v>
      </c>
      <c r="G698" s="42">
        <f t="shared" ca="1" si="10"/>
        <v>4</v>
      </c>
      <c r="H698" s="43">
        <v>1</v>
      </c>
      <c r="I698" s="44">
        <v>44260</v>
      </c>
    </row>
    <row r="699" spans="1:34" x14ac:dyDescent="0.25">
      <c r="A699" s="33" t="s">
        <v>751</v>
      </c>
      <c r="B699" s="33" t="s">
        <v>64</v>
      </c>
      <c r="C699" s="39">
        <v>484442635</v>
      </c>
      <c r="D699" s="40">
        <v>4188155179</v>
      </c>
      <c r="E699" s="33" t="s">
        <v>17</v>
      </c>
      <c r="F699" s="41">
        <v>33068</v>
      </c>
      <c r="G699" s="42">
        <f t="shared" ca="1" si="10"/>
        <v>23</v>
      </c>
      <c r="H699" s="43">
        <v>1</v>
      </c>
      <c r="I699" s="44">
        <v>64460</v>
      </c>
    </row>
  </sheetData>
  <sortState ref="A2:K699">
    <sortCondition ref="A4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5" x14ac:dyDescent="0.25"/>
  <cols>
    <col min="1" max="1" width="22.140625" style="20" bestFit="1" customWidth="1"/>
    <col min="2" max="2" width="10.5703125" style="20" bestFit="1" customWidth="1"/>
    <col min="3" max="3" width="4" style="20" bestFit="1" customWidth="1"/>
    <col min="4" max="4" width="10.7109375" style="20" bestFit="1" customWidth="1"/>
    <col min="5" max="5" width="10.5703125" style="20" bestFit="1" customWidth="1"/>
    <col min="6" max="6" width="17.5703125" style="20" bestFit="1" customWidth="1"/>
    <col min="7" max="7" width="9" style="20" customWidth="1"/>
    <col min="8" max="8" width="6.140625" style="20" bestFit="1" customWidth="1"/>
    <col min="9" max="9" width="9.5703125" style="80" customWidth="1"/>
    <col min="10" max="10" width="14.85546875" style="20" bestFit="1" customWidth="1"/>
    <col min="11" max="11" width="8" style="57" bestFit="1" customWidth="1"/>
    <col min="12" max="12" width="15.42578125" style="20" bestFit="1" customWidth="1"/>
    <col min="13" max="13" width="6.28515625" style="20" bestFit="1" customWidth="1"/>
    <col min="14" max="14" width="6.42578125" style="20" bestFit="1" customWidth="1"/>
    <col min="15" max="15" width="4.42578125" style="20" customWidth="1"/>
    <col min="16" max="16384" width="9.140625" style="20"/>
  </cols>
  <sheetData>
    <row r="1" spans="1:14" x14ac:dyDescent="0.25">
      <c r="A1" s="20" t="s">
        <v>839</v>
      </c>
      <c r="B1" s="57">
        <v>140</v>
      </c>
      <c r="G1" s="58"/>
      <c r="H1" s="57" t="s">
        <v>840</v>
      </c>
      <c r="I1" s="59" t="s">
        <v>841</v>
      </c>
      <c r="J1" s="57" t="s">
        <v>842</v>
      </c>
      <c r="L1" s="20" t="s">
        <v>843</v>
      </c>
    </row>
    <row r="2" spans="1:14" x14ac:dyDescent="0.25">
      <c r="B2" s="57"/>
      <c r="G2" s="60"/>
      <c r="H2" s="57">
        <v>1</v>
      </c>
      <c r="I2" s="61">
        <f t="shared" ref="I2:I16" si="0">($E$5*H2%)+$E$5</f>
        <v>0.26441800000000004</v>
      </c>
      <c r="J2" s="62">
        <f t="shared" ref="J2:J16" si="1">I2+$E$6</f>
        <v>2.6180000000000092E-3</v>
      </c>
      <c r="L2" s="57" t="s">
        <v>844</v>
      </c>
      <c r="M2" s="57" t="s">
        <v>845</v>
      </c>
    </row>
    <row r="3" spans="1:14" x14ac:dyDescent="0.25">
      <c r="A3" s="20" t="s">
        <v>846</v>
      </c>
      <c r="B3" s="63">
        <v>66</v>
      </c>
      <c r="D3" s="20" t="s">
        <v>847</v>
      </c>
      <c r="E3" s="57" t="s">
        <v>848</v>
      </c>
      <c r="F3" s="57"/>
      <c r="G3" s="57" t="s">
        <v>849</v>
      </c>
      <c r="H3" s="57">
        <v>2</v>
      </c>
      <c r="I3" s="61">
        <f t="shared" si="0"/>
        <v>0.26703600000000005</v>
      </c>
      <c r="J3" s="62">
        <f t="shared" si="1"/>
        <v>5.2360000000000184E-3</v>
      </c>
      <c r="K3" s="57" t="s">
        <v>850</v>
      </c>
      <c r="L3" s="57">
        <v>200</v>
      </c>
      <c r="M3" s="63">
        <f>L3/2.54</f>
        <v>78.740157480314963</v>
      </c>
      <c r="N3" s="57" t="s">
        <v>851</v>
      </c>
    </row>
    <row r="4" spans="1:14" x14ac:dyDescent="0.25">
      <c r="A4" s="20" t="s">
        <v>852</v>
      </c>
      <c r="B4" s="64">
        <v>0.34</v>
      </c>
      <c r="G4" s="12"/>
      <c r="H4" s="57">
        <v>3</v>
      </c>
      <c r="I4" s="61">
        <f t="shared" si="0"/>
        <v>0.26965400000000006</v>
      </c>
      <c r="J4" s="62">
        <f t="shared" si="1"/>
        <v>7.8540000000000276E-3</v>
      </c>
      <c r="L4" s="57"/>
      <c r="M4" s="57"/>
      <c r="N4" s="57"/>
    </row>
    <row r="5" spans="1:14" x14ac:dyDescent="0.25">
      <c r="A5" s="20" t="s">
        <v>853</v>
      </c>
      <c r="B5" s="65"/>
      <c r="E5" s="62">
        <f>(B1*B4/12000)*B3</f>
        <v>0.26180000000000003</v>
      </c>
      <c r="F5" s="20" t="s">
        <v>854</v>
      </c>
      <c r="G5" s="66">
        <f>B7*E5+B3</f>
        <v>14805.000000000002</v>
      </c>
      <c r="H5" s="57">
        <v>4</v>
      </c>
      <c r="I5" s="61">
        <f t="shared" si="0"/>
        <v>0.27227200000000001</v>
      </c>
      <c r="J5" s="62">
        <f t="shared" si="1"/>
        <v>1.0471999999999981E-2</v>
      </c>
      <c r="L5" s="57" t="s">
        <v>845</v>
      </c>
      <c r="M5" s="57" t="s">
        <v>844</v>
      </c>
      <c r="N5" s="57"/>
    </row>
    <row r="6" spans="1:14" x14ac:dyDescent="0.25">
      <c r="B6" s="57"/>
      <c r="D6" s="20" t="s">
        <v>855</v>
      </c>
      <c r="E6" s="67">
        <f>E7-E5</f>
        <v>-0.26180000000000003</v>
      </c>
      <c r="F6" s="68" t="s">
        <v>856</v>
      </c>
      <c r="H6" s="57">
        <v>5</v>
      </c>
      <c r="I6" s="61">
        <f t="shared" si="0"/>
        <v>0.27489000000000002</v>
      </c>
      <c r="J6" s="62">
        <f t="shared" si="1"/>
        <v>1.3089999999999991E-2</v>
      </c>
      <c r="K6" s="57" t="s">
        <v>851</v>
      </c>
      <c r="L6" s="57">
        <v>0.185</v>
      </c>
      <c r="M6" s="63">
        <f>L6*2.54</f>
        <v>0.46989999999999998</v>
      </c>
      <c r="N6" s="57" t="s">
        <v>850</v>
      </c>
    </row>
    <row r="7" spans="1:14" x14ac:dyDescent="0.25">
      <c r="A7" s="20" t="s">
        <v>857</v>
      </c>
      <c r="B7" s="69">
        <f>(43350/B1)*12000/B3</f>
        <v>56298.7012987013</v>
      </c>
      <c r="D7" s="20" t="s">
        <v>858</v>
      </c>
      <c r="E7" s="61"/>
      <c r="F7" s="70" t="s">
        <v>859</v>
      </c>
      <c r="G7" s="66">
        <f>E7*B7</f>
        <v>0</v>
      </c>
      <c r="H7" s="57">
        <v>6</v>
      </c>
      <c r="I7" s="61">
        <f t="shared" si="0"/>
        <v>0.27750800000000003</v>
      </c>
      <c r="J7" s="62">
        <f t="shared" si="1"/>
        <v>1.5708E-2</v>
      </c>
    </row>
    <row r="8" spans="1:14" x14ac:dyDescent="0.25">
      <c r="A8" s="20" t="s">
        <v>860</v>
      </c>
      <c r="B8" s="69">
        <v>17</v>
      </c>
      <c r="D8" s="57" t="s">
        <v>861</v>
      </c>
      <c r="E8" s="20" t="s">
        <v>862</v>
      </c>
      <c r="F8" s="71">
        <v>74426</v>
      </c>
      <c r="H8" s="57">
        <v>7</v>
      </c>
      <c r="I8" s="61">
        <f t="shared" si="0"/>
        <v>0.28012600000000004</v>
      </c>
      <c r="J8" s="62">
        <f t="shared" si="1"/>
        <v>1.8326000000000009E-2</v>
      </c>
      <c r="L8" s="20" t="s">
        <v>863</v>
      </c>
    </row>
    <row r="9" spans="1:14" x14ac:dyDescent="0.25">
      <c r="B9" s="57"/>
      <c r="D9" s="57" t="s">
        <v>864</v>
      </c>
      <c r="E9" s="20" t="s">
        <v>865</v>
      </c>
      <c r="F9" s="72">
        <f>F8/B7</f>
        <v>1.3219843137254901</v>
      </c>
      <c r="H9" s="57">
        <v>8</v>
      </c>
      <c r="I9" s="61">
        <f t="shared" si="0"/>
        <v>0.28274400000000005</v>
      </c>
      <c r="J9" s="62">
        <f t="shared" si="1"/>
        <v>2.0944000000000018E-2</v>
      </c>
      <c r="K9" s="57" t="s">
        <v>866</v>
      </c>
      <c r="L9" s="67">
        <f>E5</f>
        <v>0.26180000000000003</v>
      </c>
      <c r="M9" s="20" t="s">
        <v>867</v>
      </c>
    </row>
    <row r="10" spans="1:14" x14ac:dyDescent="0.25">
      <c r="A10" s="20" t="s">
        <v>868</v>
      </c>
      <c r="B10" s="73">
        <f>B7/B8</f>
        <v>3311.6883116883118</v>
      </c>
      <c r="C10" s="69"/>
      <c r="D10" s="69" t="s">
        <v>869</v>
      </c>
      <c r="E10" s="20" t="s">
        <v>865</v>
      </c>
      <c r="F10" s="74">
        <f>CEILING(F9,1)</f>
        <v>2</v>
      </c>
      <c r="H10" s="57">
        <v>9</v>
      </c>
      <c r="I10" s="61">
        <f t="shared" si="0"/>
        <v>0.28536200000000006</v>
      </c>
      <c r="J10" s="62">
        <f t="shared" si="1"/>
        <v>2.3562000000000027E-2</v>
      </c>
      <c r="K10" s="57" t="s">
        <v>870</v>
      </c>
      <c r="L10" s="75">
        <f>F8</f>
        <v>74426</v>
      </c>
      <c r="M10" s="20" t="s">
        <v>871</v>
      </c>
    </row>
    <row r="11" spans="1:14" x14ac:dyDescent="0.25">
      <c r="A11" s="20" t="s">
        <v>860</v>
      </c>
      <c r="B11" s="69">
        <v>18</v>
      </c>
      <c r="C11" s="12"/>
      <c r="D11" s="76" t="s">
        <v>872</v>
      </c>
      <c r="F11" s="75">
        <f>F10*B7</f>
        <v>112597.4025974026</v>
      </c>
      <c r="G11" s="75"/>
      <c r="H11" s="57">
        <v>10</v>
      </c>
      <c r="I11" s="61">
        <f t="shared" si="0"/>
        <v>0.28798000000000001</v>
      </c>
      <c r="J11" s="62">
        <f t="shared" si="1"/>
        <v>2.6179999999999981E-2</v>
      </c>
      <c r="K11" s="57" t="s">
        <v>873</v>
      </c>
      <c r="L11" s="58">
        <f>L9*L10</f>
        <v>19484.726800000004</v>
      </c>
      <c r="M11" s="20" t="s">
        <v>874</v>
      </c>
    </row>
    <row r="12" spans="1:14" x14ac:dyDescent="0.25">
      <c r="B12" s="57"/>
      <c r="C12" s="71"/>
      <c r="D12" s="76" t="s">
        <v>875</v>
      </c>
      <c r="E12" s="12" t="s">
        <v>876</v>
      </c>
      <c r="H12" s="57">
        <v>11</v>
      </c>
      <c r="I12" s="61">
        <f t="shared" si="0"/>
        <v>0.29059800000000002</v>
      </c>
      <c r="J12" s="62">
        <f t="shared" si="1"/>
        <v>2.879799999999999E-2</v>
      </c>
      <c r="K12" s="57" t="s">
        <v>873</v>
      </c>
      <c r="L12" s="58">
        <f>E7*L10</f>
        <v>0</v>
      </c>
      <c r="M12" s="20" t="s">
        <v>877</v>
      </c>
    </row>
    <row r="13" spans="1:14" x14ac:dyDescent="0.25">
      <c r="A13" s="20" t="s">
        <v>868</v>
      </c>
      <c r="B13" s="73">
        <f>B7/B11</f>
        <v>3127.7056277056276</v>
      </c>
      <c r="D13" s="77">
        <f>($B$7*$B$3)/12000*$B$1</f>
        <v>43350</v>
      </c>
      <c r="E13" s="77">
        <f>D13+(B8*60)</f>
        <v>44370</v>
      </c>
      <c r="H13" s="57">
        <v>12</v>
      </c>
      <c r="I13" s="61">
        <f t="shared" si="0"/>
        <v>0.29321600000000003</v>
      </c>
      <c r="J13" s="62">
        <f t="shared" si="1"/>
        <v>3.1415999999999999E-2</v>
      </c>
    </row>
    <row r="14" spans="1:14" x14ac:dyDescent="0.25">
      <c r="A14" s="20" t="s">
        <v>878</v>
      </c>
      <c r="B14" s="78"/>
      <c r="H14" s="57">
        <v>13</v>
      </c>
      <c r="I14" s="61">
        <f t="shared" si="0"/>
        <v>0.29583400000000004</v>
      </c>
      <c r="J14" s="62">
        <f t="shared" si="1"/>
        <v>3.4034000000000009E-2</v>
      </c>
    </row>
    <row r="15" spans="1:14" x14ac:dyDescent="0.25">
      <c r="A15" s="79" t="s">
        <v>879</v>
      </c>
      <c r="D15" s="79" t="s">
        <v>880</v>
      </c>
      <c r="H15" s="57">
        <v>14</v>
      </c>
      <c r="I15" s="61">
        <f t="shared" si="0"/>
        <v>0.29845200000000005</v>
      </c>
      <c r="J15" s="62">
        <f t="shared" si="1"/>
        <v>3.6652000000000018E-2</v>
      </c>
    </row>
    <row r="16" spans="1:14" x14ac:dyDescent="0.25">
      <c r="A16" s="20" t="s">
        <v>881</v>
      </c>
      <c r="B16" s="57">
        <v>140</v>
      </c>
      <c r="D16" s="20" t="s">
        <v>881</v>
      </c>
      <c r="E16" s="57">
        <v>140</v>
      </c>
      <c r="H16" s="57">
        <v>15</v>
      </c>
      <c r="I16" s="61">
        <f t="shared" si="0"/>
        <v>0.30107000000000006</v>
      </c>
      <c r="J16" s="62">
        <f t="shared" si="1"/>
        <v>3.9270000000000027E-2</v>
      </c>
    </row>
    <row r="17" spans="1:13" ht="15.75" thickBot="1" x14ac:dyDescent="0.3">
      <c r="A17" s="20" t="s">
        <v>882</v>
      </c>
      <c r="B17" s="57">
        <v>72</v>
      </c>
      <c r="D17" s="20" t="s">
        <v>882</v>
      </c>
      <c r="E17" s="57">
        <v>66</v>
      </c>
    </row>
    <row r="18" spans="1:13" x14ac:dyDescent="0.25">
      <c r="A18" s="20" t="s">
        <v>862</v>
      </c>
      <c r="B18" s="69">
        <v>12144</v>
      </c>
      <c r="D18" s="20" t="s">
        <v>862</v>
      </c>
      <c r="E18" s="69">
        <v>43056</v>
      </c>
      <c r="J18" s="81"/>
      <c r="K18" s="82"/>
      <c r="L18" s="83" t="s">
        <v>883</v>
      </c>
      <c r="M18" s="84"/>
    </row>
    <row r="19" spans="1:13" x14ac:dyDescent="0.25">
      <c r="A19" s="20" t="s">
        <v>884</v>
      </c>
      <c r="B19" s="73">
        <f>(B17*B18/12000)*B16</f>
        <v>10200.960000000001</v>
      </c>
      <c r="C19" s="20" t="s">
        <v>885</v>
      </c>
      <c r="D19" s="20" t="s">
        <v>884</v>
      </c>
      <c r="E19" s="73">
        <f>(E17*E18/12000)*E16</f>
        <v>33153.119999999995</v>
      </c>
      <c r="F19" s="20" t="s">
        <v>885</v>
      </c>
      <c r="G19" s="75">
        <f>B19+E19</f>
        <v>43354.079999999994</v>
      </c>
      <c r="H19" s="57" t="s">
        <v>886</v>
      </c>
      <c r="J19" s="85" t="s">
        <v>887</v>
      </c>
      <c r="L19" s="86">
        <f>D13/B7</f>
        <v>0.77</v>
      </c>
      <c r="M19" s="87" t="s">
        <v>885</v>
      </c>
    </row>
    <row r="20" spans="1:13" x14ac:dyDescent="0.25">
      <c r="B20" s="73"/>
      <c r="J20" s="85" t="s">
        <v>888</v>
      </c>
      <c r="L20" s="86">
        <f>L19*1000</f>
        <v>770</v>
      </c>
      <c r="M20" s="87" t="s">
        <v>885</v>
      </c>
    </row>
    <row r="21" spans="1:13" x14ac:dyDescent="0.25">
      <c r="A21" s="79" t="s">
        <v>889</v>
      </c>
      <c r="D21" s="79" t="s">
        <v>890</v>
      </c>
      <c r="J21" s="85"/>
      <c r="L21" s="12"/>
      <c r="M21" s="87"/>
    </row>
    <row r="22" spans="1:13" x14ac:dyDescent="0.25">
      <c r="A22" s="20" t="s">
        <v>881</v>
      </c>
      <c r="B22" s="57">
        <v>190</v>
      </c>
      <c r="D22" s="20" t="s">
        <v>881</v>
      </c>
      <c r="E22" s="57">
        <v>190</v>
      </c>
      <c r="J22" s="85" t="s">
        <v>891</v>
      </c>
      <c r="L22" s="71">
        <v>17</v>
      </c>
      <c r="M22" s="87" t="s">
        <v>892</v>
      </c>
    </row>
    <row r="23" spans="1:13" x14ac:dyDescent="0.25">
      <c r="A23" s="20" t="s">
        <v>882</v>
      </c>
      <c r="B23" s="57">
        <v>26.25</v>
      </c>
      <c r="D23" s="20" t="s">
        <v>882</v>
      </c>
      <c r="E23" s="57">
        <v>24.5</v>
      </c>
      <c r="J23" s="88" t="s">
        <v>893</v>
      </c>
      <c r="L23" s="89">
        <f>B7/L22</f>
        <v>3311.6883116883118</v>
      </c>
      <c r="M23" s="87" t="s">
        <v>871</v>
      </c>
    </row>
    <row r="24" spans="1:13" ht="15.75" thickBot="1" x14ac:dyDescent="0.3">
      <c r="A24" s="20" t="s">
        <v>862</v>
      </c>
      <c r="B24" s="69">
        <v>8000</v>
      </c>
      <c r="D24" s="20" t="s">
        <v>862</v>
      </c>
      <c r="E24" s="69">
        <v>3000</v>
      </c>
      <c r="J24" s="90" t="s">
        <v>894</v>
      </c>
      <c r="K24" s="91"/>
      <c r="L24" s="92">
        <f>L23*L19</f>
        <v>2550</v>
      </c>
      <c r="M24" s="93" t="s">
        <v>885</v>
      </c>
    </row>
    <row r="25" spans="1:13" x14ac:dyDescent="0.25">
      <c r="A25" s="20" t="s">
        <v>884</v>
      </c>
      <c r="B25" s="73">
        <f>(B23*B24/12000)*B22</f>
        <v>3325</v>
      </c>
      <c r="C25" s="20" t="s">
        <v>885</v>
      </c>
      <c r="D25" s="20" t="s">
        <v>884</v>
      </c>
      <c r="E25" s="73">
        <f>(E23*E24/12000)*E22</f>
        <v>1163.75</v>
      </c>
      <c r="F25" s="20" t="s">
        <v>885</v>
      </c>
      <c r="G25" s="75">
        <f>B25+E25</f>
        <v>4488.75</v>
      </c>
      <c r="H25" s="57" t="s">
        <v>895</v>
      </c>
      <c r="J25" s="57"/>
    </row>
    <row r="26" spans="1:13" x14ac:dyDescent="0.25">
      <c r="F26" s="79" t="s">
        <v>896</v>
      </c>
      <c r="G26" s="94">
        <f>SUM(G19:G25)</f>
        <v>47842.829999999994</v>
      </c>
    </row>
    <row r="27" spans="1:13" x14ac:dyDescent="0.25">
      <c r="A27" s="79" t="s">
        <v>897</v>
      </c>
      <c r="D27" s="79" t="s">
        <v>898</v>
      </c>
      <c r="J27" s="13" t="s">
        <v>756</v>
      </c>
      <c r="K27" s="94">
        <f>G26+G37</f>
        <v>57936.16333333333</v>
      </c>
      <c r="L27" s="94">
        <f>MAX(L11,K27)</f>
        <v>57936.16333333333</v>
      </c>
    </row>
    <row r="28" spans="1:13" x14ac:dyDescent="0.25">
      <c r="A28" s="20" t="s">
        <v>881</v>
      </c>
      <c r="B28" s="57">
        <v>160</v>
      </c>
      <c r="D28" s="20" t="s">
        <v>881</v>
      </c>
      <c r="E28" s="57">
        <v>160</v>
      </c>
    </row>
    <row r="29" spans="1:13" x14ac:dyDescent="0.25">
      <c r="A29" s="20" t="s">
        <v>882</v>
      </c>
      <c r="B29" s="57">
        <v>21.25</v>
      </c>
      <c r="D29" s="20" t="s">
        <v>882</v>
      </c>
      <c r="E29" s="57">
        <v>27.75</v>
      </c>
    </row>
    <row r="30" spans="1:13" x14ac:dyDescent="0.25">
      <c r="A30" s="20" t="s">
        <v>862</v>
      </c>
      <c r="B30" s="69">
        <v>4000</v>
      </c>
      <c r="D30" s="20" t="s">
        <v>862</v>
      </c>
      <c r="E30" s="69">
        <v>14000</v>
      </c>
      <c r="J30" s="160">
        <f>F11*E13/B11</f>
        <v>277552597.40259743</v>
      </c>
    </row>
    <row r="31" spans="1:13" x14ac:dyDescent="0.25">
      <c r="A31" s="20" t="s">
        <v>884</v>
      </c>
      <c r="B31" s="73">
        <f>(B29*B30/12000)*B28</f>
        <v>1133.3333333333333</v>
      </c>
      <c r="C31" s="20" t="s">
        <v>885</v>
      </c>
      <c r="D31" s="20" t="s">
        <v>884</v>
      </c>
      <c r="E31" s="73">
        <f>(E29*E30/12000)*E28</f>
        <v>5180</v>
      </c>
      <c r="F31" s="20" t="s">
        <v>885</v>
      </c>
      <c r="G31" s="75">
        <f>B31+E31</f>
        <v>6313.333333333333</v>
      </c>
      <c r="H31" s="57" t="s">
        <v>899</v>
      </c>
      <c r="K31" s="20"/>
    </row>
    <row r="32" spans="1:13" x14ac:dyDescent="0.25">
      <c r="A32" s="79" t="s">
        <v>900</v>
      </c>
      <c r="D32" s="79" t="s">
        <v>901</v>
      </c>
    </row>
    <row r="33" spans="1:8" x14ac:dyDescent="0.25">
      <c r="A33" s="20" t="s">
        <v>881</v>
      </c>
      <c r="B33" s="57">
        <v>160</v>
      </c>
      <c r="D33" s="20" t="s">
        <v>881</v>
      </c>
      <c r="E33" s="57">
        <v>160</v>
      </c>
    </row>
    <row r="34" spans="1:8" x14ac:dyDescent="0.25">
      <c r="A34" s="20" t="s">
        <v>882</v>
      </c>
      <c r="B34" s="57">
        <v>26.25</v>
      </c>
      <c r="D34" s="20" t="s">
        <v>882</v>
      </c>
      <c r="E34" s="57">
        <v>24.5</v>
      </c>
    </row>
    <row r="35" spans="1:8" x14ac:dyDescent="0.25">
      <c r="A35" s="20" t="s">
        <v>862</v>
      </c>
      <c r="B35" s="69">
        <v>8000</v>
      </c>
      <c r="D35" s="20" t="s">
        <v>862</v>
      </c>
      <c r="E35" s="69">
        <v>3000</v>
      </c>
    </row>
    <row r="36" spans="1:8" x14ac:dyDescent="0.25">
      <c r="A36" s="20" t="s">
        <v>884</v>
      </c>
      <c r="B36" s="73">
        <f>(B34*B35/12000)*B33</f>
        <v>2800</v>
      </c>
      <c r="C36" s="20" t="s">
        <v>885</v>
      </c>
      <c r="D36" s="20" t="s">
        <v>884</v>
      </c>
      <c r="E36" s="73">
        <f>(E34*E35/12000)*E33</f>
        <v>980</v>
      </c>
      <c r="F36" s="20" t="s">
        <v>885</v>
      </c>
      <c r="G36" s="75">
        <f>B36+E36</f>
        <v>3780</v>
      </c>
      <c r="H36" s="57" t="s">
        <v>902</v>
      </c>
    </row>
    <row r="37" spans="1:8" x14ac:dyDescent="0.25">
      <c r="F37" s="79" t="s">
        <v>896</v>
      </c>
      <c r="G37" s="94">
        <f>SUM(G31:G36)</f>
        <v>10093.333333333332</v>
      </c>
    </row>
    <row r="40" spans="1:8" x14ac:dyDescent="0.25">
      <c r="D40" s="95" t="s">
        <v>903</v>
      </c>
      <c r="E40" s="96">
        <v>5</v>
      </c>
      <c r="F40" s="97">
        <f>IF($B$61&lt;=120,$B$61*19350,"Too Many!")</f>
        <v>0</v>
      </c>
    </row>
    <row r="41" spans="1:8" x14ac:dyDescent="0.25">
      <c r="D41" s="95"/>
      <c r="E41" s="96">
        <v>834</v>
      </c>
      <c r="F41" s="97">
        <f>IF($B$62&lt;=6150,($B$62*90)+((E41/10)*200), "Too Many!")</f>
        <v>16680</v>
      </c>
    </row>
    <row r="42" spans="1:8" ht="15.75" thickBot="1" x14ac:dyDescent="0.3">
      <c r="D42" s="95"/>
      <c r="E42" s="98">
        <v>1</v>
      </c>
      <c r="F42" s="99">
        <f>65000+6600</f>
        <v>71600</v>
      </c>
    </row>
    <row r="43" spans="1:8" ht="15.75" thickBot="1" x14ac:dyDescent="0.3">
      <c r="D43" s="95"/>
      <c r="E43" s="100">
        <f>IF(AND(E40&lt;=24,E45&gt;615),"Too Big",IF(AND(E40&lt;=24,E45&gt;473),4,IF(AND(E40&lt;=24,E45&gt;343),3,IF(AND(E40&lt;=24,E45&gt;213),2,IF(AND(E40&lt;=24,E45&gt;83),1,0)))))</f>
        <v>1</v>
      </c>
      <c r="F43" s="97">
        <f>SUM(E40*19900)</f>
        <v>99500</v>
      </c>
    </row>
    <row r="44" spans="1:8" x14ac:dyDescent="0.25">
      <c r="D44" s="95"/>
      <c r="E44" s="96">
        <f>IF(AND(E40&gt;120),"Too Big",IF(AND(E40&gt;96),4,IF(AND(E40&gt;72),3,IF(AND(E40&gt;48),2,IF(AND(E40&gt;24),1,0)))))</f>
        <v>0</v>
      </c>
      <c r="F44" s="97">
        <f>SUM((E44)*48400)</f>
        <v>0</v>
      </c>
    </row>
    <row r="45" spans="1:8" x14ac:dyDescent="0.25">
      <c r="D45" s="95" t="s">
        <v>904</v>
      </c>
      <c r="E45" s="96">
        <f>ROUNDUP(E41/10,0)</f>
        <v>84</v>
      </c>
      <c r="F45" s="97">
        <f>(E45-10)*800</f>
        <v>59200</v>
      </c>
    </row>
    <row r="46" spans="1:8" x14ac:dyDescent="0.25">
      <c r="D46" s="95"/>
      <c r="E46" s="96"/>
      <c r="F46" s="101"/>
    </row>
    <row r="47" spans="1:8" x14ac:dyDescent="0.25">
      <c r="D47" s="95"/>
      <c r="E47" s="96"/>
      <c r="F47" s="97"/>
    </row>
    <row r="48" spans="1:8" x14ac:dyDescent="0.25">
      <c r="D48" s="95"/>
      <c r="E48" s="96"/>
      <c r="F48" s="97"/>
    </row>
    <row r="49" spans="4:6" x14ac:dyDescent="0.25">
      <c r="D49" s="95"/>
      <c r="E49" s="96"/>
      <c r="F49" s="102"/>
    </row>
    <row r="50" spans="4:6" x14ac:dyDescent="0.25">
      <c r="D50" s="95"/>
      <c r="E50" s="96"/>
      <c r="F50" s="103"/>
    </row>
    <row r="51" spans="4:6" x14ac:dyDescent="0.25">
      <c r="D51" s="95"/>
      <c r="E51" s="96"/>
      <c r="F51" s="103"/>
    </row>
    <row r="52" spans="4:6" x14ac:dyDescent="0.25">
      <c r="D52" s="95"/>
      <c r="E52" s="96"/>
      <c r="F52" s="103"/>
    </row>
    <row r="53" spans="4:6" x14ac:dyDescent="0.25">
      <c r="D53" s="95"/>
      <c r="E53" s="96"/>
      <c r="F53" s="103"/>
    </row>
    <row r="54" spans="4:6" x14ac:dyDescent="0.25">
      <c r="D54" s="95"/>
      <c r="E54" s="96"/>
      <c r="F54" s="104"/>
    </row>
    <row r="55" spans="4:6" x14ac:dyDescent="0.25">
      <c r="D55" s="95"/>
      <c r="E55" s="96"/>
      <c r="F55" s="97"/>
    </row>
    <row r="56" spans="4:6" x14ac:dyDescent="0.25">
      <c r="D56" s="95"/>
      <c r="E56" s="96"/>
      <c r="F56" s="102"/>
    </row>
    <row r="57" spans="4:6" x14ac:dyDescent="0.25">
      <c r="D57" s="95"/>
      <c r="E57" s="96"/>
      <c r="F57" s="96"/>
    </row>
    <row r="58" spans="4:6" x14ac:dyDescent="0.25">
      <c r="D58" s="95"/>
      <c r="E58" s="96"/>
      <c r="F58" s="105"/>
    </row>
    <row r="59" spans="4:6" x14ac:dyDescent="0.25">
      <c r="D59" s="95"/>
      <c r="E59" s="96"/>
      <c r="F59" s="105"/>
    </row>
    <row r="60" spans="4:6" x14ac:dyDescent="0.25">
      <c r="D60" s="95"/>
      <c r="E60" s="96"/>
      <c r="F60" s="105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30" workbookViewId="0"/>
  </sheetViews>
  <sheetFormatPr defaultColWidth="9.140625" defaultRowHeight="12.75" x14ac:dyDescent="0.2"/>
  <cols>
    <col min="1" max="1" width="18.7109375" style="7" customWidth="1"/>
    <col min="2" max="17" width="14.5703125" style="7" bestFit="1" customWidth="1"/>
    <col min="18" max="18" width="16.140625" style="7" bestFit="1" customWidth="1"/>
    <col min="19" max="16384" width="9.140625" style="7"/>
  </cols>
  <sheetData>
    <row r="1" spans="1:18" ht="21" x14ac:dyDescent="0.35">
      <c r="A1" s="3" t="s">
        <v>918</v>
      </c>
      <c r="B1" s="4"/>
      <c r="C1" s="4"/>
      <c r="D1" s="4"/>
      <c r="E1" s="5"/>
      <c r="F1" s="4"/>
      <c r="G1" s="4"/>
      <c r="H1" s="4"/>
      <c r="I1" s="5"/>
      <c r="J1" s="4"/>
      <c r="K1" s="4"/>
      <c r="L1" s="4"/>
      <c r="M1" s="5"/>
      <c r="N1" s="4"/>
      <c r="O1" s="4"/>
      <c r="P1" s="4"/>
      <c r="Q1" s="5"/>
      <c r="R1" s="6"/>
    </row>
    <row r="2" spans="1:18" ht="15.75" x14ac:dyDescent="0.25">
      <c r="A2" s="8">
        <f>R35</f>
        <v>450299140</v>
      </c>
      <c r="B2" s="4"/>
      <c r="C2" s="4"/>
      <c r="D2" s="4"/>
      <c r="E2" s="5"/>
      <c r="F2" s="4"/>
      <c r="G2" s="4"/>
      <c r="H2" s="4"/>
      <c r="I2" s="5"/>
      <c r="J2" s="4"/>
      <c r="K2" s="4"/>
      <c r="L2" s="4"/>
      <c r="M2" s="5"/>
      <c r="N2" s="4"/>
      <c r="O2" s="4"/>
      <c r="P2" s="4"/>
      <c r="Q2" s="5"/>
      <c r="R2" s="6"/>
    </row>
    <row r="3" spans="1:18" s="11" customFormat="1" ht="15.75" thickBot="1" x14ac:dyDescent="0.3">
      <c r="A3" s="96"/>
      <c r="B3" s="106" t="s">
        <v>18</v>
      </c>
      <c r="C3" s="106" t="s">
        <v>23</v>
      </c>
      <c r="D3" s="106" t="s">
        <v>26</v>
      </c>
      <c r="E3" s="107" t="s">
        <v>752</v>
      </c>
      <c r="F3" s="106" t="s">
        <v>29</v>
      </c>
      <c r="G3" s="106" t="s">
        <v>34</v>
      </c>
      <c r="H3" s="106" t="s">
        <v>37</v>
      </c>
      <c r="I3" s="107" t="s">
        <v>753</v>
      </c>
      <c r="J3" s="106" t="s">
        <v>19</v>
      </c>
      <c r="K3" s="106" t="s">
        <v>24</v>
      </c>
      <c r="L3" s="106" t="s">
        <v>27</v>
      </c>
      <c r="M3" s="107" t="s">
        <v>754</v>
      </c>
      <c r="N3" s="106" t="s">
        <v>30</v>
      </c>
      <c r="O3" s="106" t="s">
        <v>35</v>
      </c>
      <c r="P3" s="106" t="s">
        <v>38</v>
      </c>
      <c r="Q3" s="107" t="s">
        <v>755</v>
      </c>
      <c r="R3" s="108" t="s">
        <v>756</v>
      </c>
    </row>
    <row r="4" spans="1:18" s="11" customFormat="1" ht="15" x14ac:dyDescent="0.25">
      <c r="A4" s="109" t="s">
        <v>757</v>
      </c>
      <c r="B4" s="155">
        <v>0.01</v>
      </c>
      <c r="C4" s="110"/>
      <c r="D4" s="110"/>
      <c r="E4" s="111"/>
      <c r="F4" s="154">
        <v>0.03</v>
      </c>
      <c r="G4" s="110"/>
      <c r="H4" s="110"/>
      <c r="I4" s="111"/>
      <c r="J4" s="154">
        <v>0.02</v>
      </c>
      <c r="K4" s="110"/>
      <c r="L4" s="110"/>
      <c r="M4" s="111"/>
      <c r="N4" s="154">
        <v>0.03</v>
      </c>
      <c r="O4" s="110"/>
      <c r="P4" s="110"/>
      <c r="Q4" s="111"/>
      <c r="R4" s="112"/>
    </row>
    <row r="5" spans="1:18" s="11" customFormat="1" ht="15" x14ac:dyDescent="0.25">
      <c r="A5" s="113" t="s">
        <v>758</v>
      </c>
      <c r="B5" s="156">
        <v>137000000</v>
      </c>
      <c r="C5" s="114">
        <f>ROUND(B5*(1+$B$4),-1)</f>
        <v>138370000</v>
      </c>
      <c r="D5" s="114">
        <f>ROUND(C5*(1+$B$4),-1)</f>
        <v>139753700</v>
      </c>
      <c r="E5" s="115">
        <f>SUM(B5:D5)</f>
        <v>415123700</v>
      </c>
      <c r="F5" s="114">
        <f>ROUND(D5*(1+$F$4),-1)</f>
        <v>143946310</v>
      </c>
      <c r="G5" s="114">
        <f>ROUND(F5*(1+$F$4),-1)</f>
        <v>148264700</v>
      </c>
      <c r="H5" s="114">
        <f>ROUND(G5*(1+$F$4),-1)</f>
        <v>152712640</v>
      </c>
      <c r="I5" s="115">
        <f>SUM(F5:H5)</f>
        <v>444923650</v>
      </c>
      <c r="J5" s="114">
        <f>ROUND(H5*(1+$J$4),-1)</f>
        <v>155766890</v>
      </c>
      <c r="K5" s="114">
        <f>ROUND(J5*(1+$J$4),-1)</f>
        <v>158882230</v>
      </c>
      <c r="L5" s="114">
        <f>ROUND(K5*(1+$J$4),-1)</f>
        <v>162059870</v>
      </c>
      <c r="M5" s="115">
        <f>SUM(J5:L5)</f>
        <v>476708990</v>
      </c>
      <c r="N5" s="114">
        <f>ROUND(L5*(1+$N$4),-1)</f>
        <v>166921670</v>
      </c>
      <c r="O5" s="114">
        <f>ROUND(N5*(1+$N$4),-1)</f>
        <v>171929320</v>
      </c>
      <c r="P5" s="114">
        <f>ROUND(O5*(1+$N$4),-1)</f>
        <v>177087200</v>
      </c>
      <c r="Q5" s="115">
        <f>SUM(N5:P5)</f>
        <v>515938190</v>
      </c>
      <c r="R5" s="116">
        <f>SUBTOTAL(9,E5,I5,M5,Q5)</f>
        <v>1852694530</v>
      </c>
    </row>
    <row r="6" spans="1:18" s="11" customFormat="1" ht="15" x14ac:dyDescent="0.25">
      <c r="A6" s="113" t="s">
        <v>759</v>
      </c>
      <c r="B6" s="157">
        <v>26700000</v>
      </c>
      <c r="C6" s="117">
        <f>ROUND(B6*(1+$B$4),-1)</f>
        <v>26967000</v>
      </c>
      <c r="D6" s="117">
        <f>ROUND(C6*(1+$B$4),-1)</f>
        <v>27236670</v>
      </c>
      <c r="E6" s="118">
        <f>SUM(B6:D6)</f>
        <v>80903670</v>
      </c>
      <c r="F6" s="117">
        <f>ROUND(D6*(1+$F$4),-1)</f>
        <v>28053770</v>
      </c>
      <c r="G6" s="117">
        <f>ROUND(F6*(1+$F$4),-1)</f>
        <v>28895380</v>
      </c>
      <c r="H6" s="117">
        <f>ROUND(G6*(1+$F$4),-1)</f>
        <v>29762240</v>
      </c>
      <c r="I6" s="118">
        <f>SUM(F6:H6)</f>
        <v>86711390</v>
      </c>
      <c r="J6" s="117">
        <f>ROUND(H6*(1+$J$4),-1)</f>
        <v>30357480</v>
      </c>
      <c r="K6" s="117">
        <f>ROUND(J6*(1+$J$4),-1)</f>
        <v>30964630</v>
      </c>
      <c r="L6" s="117">
        <f>ROUND(K6*(1+$J$4),-1)</f>
        <v>31583920</v>
      </c>
      <c r="M6" s="118">
        <f>SUM(J6:L6)</f>
        <v>92906030</v>
      </c>
      <c r="N6" s="117">
        <f>ROUND(L6*(1+$N$4),-1)</f>
        <v>32531440</v>
      </c>
      <c r="O6" s="117">
        <f>ROUND(N6*(1+$N$4),-1)</f>
        <v>33507380</v>
      </c>
      <c r="P6" s="117">
        <f>ROUND(O6*(1+$N$4),-1)</f>
        <v>34512600</v>
      </c>
      <c r="Q6" s="118">
        <f>SUM(N6:P6)</f>
        <v>100551420</v>
      </c>
      <c r="R6" s="119">
        <f>SUBTOTAL(9,E6,I6,M6,Q6)</f>
        <v>361072510</v>
      </c>
    </row>
    <row r="7" spans="1:18" s="11" customFormat="1" ht="15.75" thickBot="1" x14ac:dyDescent="0.3">
      <c r="A7" s="120" t="s">
        <v>757</v>
      </c>
      <c r="B7" s="121">
        <f t="shared" ref="B7:R7" si="0">SUM(B5:B6)</f>
        <v>163700000</v>
      </c>
      <c r="C7" s="121">
        <f t="shared" si="0"/>
        <v>165337000</v>
      </c>
      <c r="D7" s="121">
        <f t="shared" si="0"/>
        <v>166990370</v>
      </c>
      <c r="E7" s="122">
        <f t="shared" si="0"/>
        <v>496027370</v>
      </c>
      <c r="F7" s="121">
        <f t="shared" si="0"/>
        <v>172000080</v>
      </c>
      <c r="G7" s="121">
        <f t="shared" si="0"/>
        <v>177160080</v>
      </c>
      <c r="H7" s="121">
        <f t="shared" si="0"/>
        <v>182474880</v>
      </c>
      <c r="I7" s="122">
        <f t="shared" si="0"/>
        <v>531635040</v>
      </c>
      <c r="J7" s="121">
        <f t="shared" si="0"/>
        <v>186124370</v>
      </c>
      <c r="K7" s="121">
        <f t="shared" si="0"/>
        <v>189846860</v>
      </c>
      <c r="L7" s="121">
        <f t="shared" si="0"/>
        <v>193643790</v>
      </c>
      <c r="M7" s="122">
        <f t="shared" si="0"/>
        <v>569615020</v>
      </c>
      <c r="N7" s="121">
        <f t="shared" si="0"/>
        <v>199453110</v>
      </c>
      <c r="O7" s="121">
        <f t="shared" si="0"/>
        <v>205436700</v>
      </c>
      <c r="P7" s="121">
        <f t="shared" si="0"/>
        <v>211599800</v>
      </c>
      <c r="Q7" s="122">
        <f t="shared" si="0"/>
        <v>616489610</v>
      </c>
      <c r="R7" s="123">
        <f t="shared" si="0"/>
        <v>2213767040</v>
      </c>
    </row>
    <row r="8" spans="1:18" s="11" customFormat="1" ht="15" x14ac:dyDescent="0.25">
      <c r="A8" s="124"/>
      <c r="B8" s="125"/>
      <c r="C8" s="125"/>
      <c r="D8" s="125"/>
      <c r="E8" s="126"/>
      <c r="F8" s="125"/>
      <c r="G8" s="125"/>
      <c r="H8" s="125"/>
      <c r="I8" s="126"/>
      <c r="J8" s="125"/>
      <c r="K8" s="125"/>
      <c r="L8" s="125"/>
      <c r="M8" s="126"/>
      <c r="N8" s="125"/>
      <c r="O8" s="125"/>
      <c r="P8" s="125"/>
      <c r="Q8" s="126"/>
      <c r="R8" s="127"/>
    </row>
    <row r="9" spans="1:18" s="11" customFormat="1" ht="15" x14ac:dyDescent="0.25">
      <c r="A9" s="109" t="s">
        <v>760</v>
      </c>
      <c r="B9" s="114"/>
      <c r="C9" s="114"/>
      <c r="D9" s="114"/>
      <c r="E9" s="128"/>
      <c r="F9" s="114"/>
      <c r="G9" s="114"/>
      <c r="H9" s="114"/>
      <c r="I9" s="128"/>
      <c r="J9" s="114"/>
      <c r="K9" s="114"/>
      <c r="L9" s="114"/>
      <c r="M9" s="128"/>
      <c r="N9" s="114"/>
      <c r="O9" s="114"/>
      <c r="P9" s="114"/>
      <c r="Q9" s="128"/>
      <c r="R9" s="129"/>
    </row>
    <row r="10" spans="1:18" s="11" customFormat="1" ht="15" x14ac:dyDescent="0.25">
      <c r="A10" s="113" t="s">
        <v>761</v>
      </c>
      <c r="B10" s="156">
        <v>76500000</v>
      </c>
      <c r="C10" s="114">
        <f t="shared" ref="C10:D12" si="1">ROUND(B10*(1+$B$4),-1)</f>
        <v>77265000</v>
      </c>
      <c r="D10" s="114">
        <f t="shared" si="1"/>
        <v>78037650</v>
      </c>
      <c r="E10" s="115">
        <f>SUM(B10:D10)</f>
        <v>231802650</v>
      </c>
      <c r="F10" s="114">
        <f>ROUND(D10*(1+$F$4),-1)</f>
        <v>80378780</v>
      </c>
      <c r="G10" s="114">
        <f t="shared" ref="G10:H12" si="2">ROUND(F10*(1+$F$4),-1)</f>
        <v>82790140</v>
      </c>
      <c r="H10" s="114">
        <f t="shared" si="2"/>
        <v>85273840</v>
      </c>
      <c r="I10" s="115">
        <f>SUM(F10:H10)</f>
        <v>248442760</v>
      </c>
      <c r="J10" s="114">
        <f>ROUND(H10*(1+$J$4),-1)</f>
        <v>86979320</v>
      </c>
      <c r="K10" s="114">
        <f t="shared" ref="K10:L12" si="3">ROUND(J10*(1+$J$4),-1)</f>
        <v>88718910</v>
      </c>
      <c r="L10" s="114">
        <f t="shared" si="3"/>
        <v>90493290</v>
      </c>
      <c r="M10" s="115">
        <f>SUM(J10:L10)</f>
        <v>266191520</v>
      </c>
      <c r="N10" s="114">
        <f>ROUND(L10*(1+$N$4),-1)</f>
        <v>93208090</v>
      </c>
      <c r="O10" s="114">
        <f t="shared" ref="O10:P12" si="4">ROUND(N10*(1+$N$4),-1)</f>
        <v>96004330</v>
      </c>
      <c r="P10" s="114">
        <f t="shared" si="4"/>
        <v>98884460</v>
      </c>
      <c r="Q10" s="115">
        <f>SUM(N10:P10)</f>
        <v>288096880</v>
      </c>
      <c r="R10" s="116">
        <f>SUBTOTAL(9,E10,I10,M10,Q10)</f>
        <v>1034533810</v>
      </c>
    </row>
    <row r="11" spans="1:18" s="11" customFormat="1" ht="15" x14ac:dyDescent="0.25">
      <c r="A11" s="113" t="s">
        <v>762</v>
      </c>
      <c r="B11" s="157">
        <v>1300000</v>
      </c>
      <c r="C11" s="117">
        <f t="shared" si="1"/>
        <v>1313000</v>
      </c>
      <c r="D11" s="117">
        <f t="shared" si="1"/>
        <v>1326130</v>
      </c>
      <c r="E11" s="130">
        <f>SUM(B11:D11)</f>
        <v>3939130</v>
      </c>
      <c r="F11" s="117">
        <f>ROUND(D11*(1+$F$4),-1)</f>
        <v>1365910</v>
      </c>
      <c r="G11" s="117">
        <f t="shared" si="2"/>
        <v>1406890</v>
      </c>
      <c r="H11" s="117">
        <f t="shared" si="2"/>
        <v>1449100</v>
      </c>
      <c r="I11" s="130">
        <f>SUM(F11:H11)</f>
        <v>4221900</v>
      </c>
      <c r="J11" s="117">
        <f>ROUND(H11*(1+$J$4),-1)</f>
        <v>1478080</v>
      </c>
      <c r="K11" s="117">
        <f t="shared" si="3"/>
        <v>1507640</v>
      </c>
      <c r="L11" s="117">
        <f t="shared" si="3"/>
        <v>1537790</v>
      </c>
      <c r="M11" s="130">
        <f>SUM(J11:L11)</f>
        <v>4523510</v>
      </c>
      <c r="N11" s="117">
        <f>ROUND(L11*(1+$N$4),-1)</f>
        <v>1583920</v>
      </c>
      <c r="O11" s="117">
        <f t="shared" si="4"/>
        <v>1631440</v>
      </c>
      <c r="P11" s="117">
        <f t="shared" si="4"/>
        <v>1680380</v>
      </c>
      <c r="Q11" s="130">
        <f>SUM(N11:P11)</f>
        <v>4895740</v>
      </c>
      <c r="R11" s="131">
        <f>SUBTOTAL(9,E11,I11,M11,Q11)</f>
        <v>17580280</v>
      </c>
    </row>
    <row r="12" spans="1:18" s="11" customFormat="1" ht="15" x14ac:dyDescent="0.25">
      <c r="A12" s="113" t="s">
        <v>763</v>
      </c>
      <c r="B12" s="158">
        <v>500000</v>
      </c>
      <c r="C12" s="117">
        <f t="shared" si="1"/>
        <v>505000</v>
      </c>
      <c r="D12" s="117">
        <f t="shared" si="1"/>
        <v>510050</v>
      </c>
      <c r="E12" s="118">
        <f>SUM(B12:D12)</f>
        <v>1515050</v>
      </c>
      <c r="F12" s="117">
        <f>ROUND(D12*(1+$F$4),-1)</f>
        <v>525350</v>
      </c>
      <c r="G12" s="117">
        <f t="shared" si="2"/>
        <v>541110</v>
      </c>
      <c r="H12" s="117">
        <f t="shared" si="2"/>
        <v>557340</v>
      </c>
      <c r="I12" s="118">
        <f>SUM(F12:H12)</f>
        <v>1623800</v>
      </c>
      <c r="J12" s="117">
        <f>ROUND(H12*(1+$J$4),-1)</f>
        <v>568490</v>
      </c>
      <c r="K12" s="117">
        <f t="shared" si="3"/>
        <v>579860</v>
      </c>
      <c r="L12" s="117">
        <f t="shared" si="3"/>
        <v>591460</v>
      </c>
      <c r="M12" s="118">
        <f>SUM(J12:L12)</f>
        <v>1739810</v>
      </c>
      <c r="N12" s="117">
        <f>ROUND(L12*(1+$N$4),-1)</f>
        <v>609200</v>
      </c>
      <c r="O12" s="117">
        <f t="shared" si="4"/>
        <v>627480</v>
      </c>
      <c r="P12" s="117">
        <f t="shared" si="4"/>
        <v>646300</v>
      </c>
      <c r="Q12" s="118">
        <f>SUM(N12:P12)</f>
        <v>1882980</v>
      </c>
      <c r="R12" s="119">
        <f>SUBTOTAL(9,E12,I12,M12,Q12)</f>
        <v>6761640</v>
      </c>
    </row>
    <row r="13" spans="1:18" s="11" customFormat="1" ht="15.75" thickBot="1" x14ac:dyDescent="0.3">
      <c r="A13" s="120" t="s">
        <v>764</v>
      </c>
      <c r="B13" s="121">
        <f t="shared" ref="B13:R13" si="5">SUM(B10:B12)</f>
        <v>78300000</v>
      </c>
      <c r="C13" s="121">
        <f t="shared" si="5"/>
        <v>79083000</v>
      </c>
      <c r="D13" s="121">
        <f t="shared" si="5"/>
        <v>79873830</v>
      </c>
      <c r="E13" s="122">
        <f t="shared" si="5"/>
        <v>237256830</v>
      </c>
      <c r="F13" s="121">
        <f t="shared" si="5"/>
        <v>82270040</v>
      </c>
      <c r="G13" s="121">
        <f t="shared" si="5"/>
        <v>84738140</v>
      </c>
      <c r="H13" s="121">
        <f t="shared" si="5"/>
        <v>87280280</v>
      </c>
      <c r="I13" s="122">
        <f t="shared" si="5"/>
        <v>254288460</v>
      </c>
      <c r="J13" s="121">
        <f t="shared" si="5"/>
        <v>89025890</v>
      </c>
      <c r="K13" s="121">
        <f t="shared" si="5"/>
        <v>90806410</v>
      </c>
      <c r="L13" s="121">
        <f t="shared" si="5"/>
        <v>92622540</v>
      </c>
      <c r="M13" s="122">
        <f t="shared" si="5"/>
        <v>272454840</v>
      </c>
      <c r="N13" s="121">
        <f t="shared" si="5"/>
        <v>95401210</v>
      </c>
      <c r="O13" s="121">
        <f t="shared" si="5"/>
        <v>98263250</v>
      </c>
      <c r="P13" s="121">
        <f t="shared" si="5"/>
        <v>101211140</v>
      </c>
      <c r="Q13" s="122">
        <f t="shared" si="5"/>
        <v>294875600</v>
      </c>
      <c r="R13" s="123">
        <f t="shared" si="5"/>
        <v>1058875730</v>
      </c>
    </row>
    <row r="14" spans="1:18" s="11" customFormat="1" ht="15.75" thickBot="1" x14ac:dyDescent="0.3">
      <c r="A14" s="132" t="s">
        <v>765</v>
      </c>
      <c r="B14" s="133">
        <f t="shared" ref="B14:R14" si="6">B7-B13</f>
        <v>85400000</v>
      </c>
      <c r="C14" s="133">
        <f t="shared" si="6"/>
        <v>86254000</v>
      </c>
      <c r="D14" s="133">
        <f t="shared" si="6"/>
        <v>87116540</v>
      </c>
      <c r="E14" s="134">
        <f t="shared" si="6"/>
        <v>258770540</v>
      </c>
      <c r="F14" s="133">
        <f t="shared" si="6"/>
        <v>89730040</v>
      </c>
      <c r="G14" s="133">
        <f t="shared" si="6"/>
        <v>92421940</v>
      </c>
      <c r="H14" s="133">
        <f t="shared" si="6"/>
        <v>95194600</v>
      </c>
      <c r="I14" s="134">
        <f t="shared" si="6"/>
        <v>277346580</v>
      </c>
      <c r="J14" s="133">
        <f t="shared" si="6"/>
        <v>97098480</v>
      </c>
      <c r="K14" s="133">
        <f t="shared" si="6"/>
        <v>99040450</v>
      </c>
      <c r="L14" s="133">
        <f t="shared" si="6"/>
        <v>101021250</v>
      </c>
      <c r="M14" s="134">
        <f t="shared" si="6"/>
        <v>297160180</v>
      </c>
      <c r="N14" s="133">
        <f t="shared" si="6"/>
        <v>104051900</v>
      </c>
      <c r="O14" s="133">
        <f t="shared" si="6"/>
        <v>107173450</v>
      </c>
      <c r="P14" s="133">
        <f t="shared" si="6"/>
        <v>110388660</v>
      </c>
      <c r="Q14" s="134">
        <f t="shared" si="6"/>
        <v>321614010</v>
      </c>
      <c r="R14" s="135">
        <f t="shared" si="6"/>
        <v>1154891310</v>
      </c>
    </row>
    <row r="15" spans="1:18" s="11" customFormat="1" ht="15.75" thickTop="1" x14ac:dyDescent="0.25">
      <c r="A15" s="136"/>
      <c r="B15" s="114"/>
      <c r="C15" s="114"/>
      <c r="D15" s="114"/>
      <c r="E15" s="137"/>
      <c r="F15" s="114"/>
      <c r="G15" s="114"/>
      <c r="H15" s="114"/>
      <c r="I15" s="137"/>
      <c r="J15" s="114"/>
      <c r="K15" s="114"/>
      <c r="L15" s="114"/>
      <c r="M15" s="137"/>
      <c r="N15" s="114"/>
      <c r="O15" s="114"/>
      <c r="P15" s="114"/>
      <c r="Q15" s="137"/>
      <c r="R15" s="138"/>
    </row>
    <row r="16" spans="1:18" s="11" customFormat="1" ht="15" x14ac:dyDescent="0.25">
      <c r="A16" s="109" t="s">
        <v>766</v>
      </c>
      <c r="B16" s="114"/>
      <c r="C16" s="114"/>
      <c r="D16" s="114"/>
      <c r="E16" s="128"/>
      <c r="F16" s="114"/>
      <c r="G16" s="114"/>
      <c r="H16" s="114"/>
      <c r="I16" s="128"/>
      <c r="J16" s="114"/>
      <c r="K16" s="114"/>
      <c r="L16" s="114"/>
      <c r="M16" s="128"/>
      <c r="N16" s="114"/>
      <c r="O16" s="114"/>
      <c r="P16" s="114"/>
      <c r="Q16" s="128"/>
      <c r="R16" s="129"/>
    </row>
    <row r="17" spans="1:18" s="11" customFormat="1" ht="15" x14ac:dyDescent="0.25">
      <c r="A17" s="139" t="s">
        <v>767</v>
      </c>
      <c r="B17" s="159">
        <v>18400000</v>
      </c>
      <c r="C17" s="114">
        <f t="shared" ref="C17:D32" si="7">ROUND(B17*(1+$B$4),-1)</f>
        <v>18584000</v>
      </c>
      <c r="D17" s="114">
        <f t="shared" si="7"/>
        <v>18769840</v>
      </c>
      <c r="E17" s="115">
        <f t="shared" ref="E17:E32" si="8">SUM(B17:D17)</f>
        <v>55753840</v>
      </c>
      <c r="F17" s="114">
        <f t="shared" ref="F17:F32" si="9">ROUND(D17*(1+$F$4),-1)</f>
        <v>19332940</v>
      </c>
      <c r="G17" s="114">
        <f t="shared" ref="G17:H32" si="10">ROUND(F17*(1+$F$4),-1)</f>
        <v>19912930</v>
      </c>
      <c r="H17" s="114">
        <f t="shared" si="10"/>
        <v>20510320</v>
      </c>
      <c r="I17" s="115">
        <f t="shared" ref="I17:I32" si="11">SUM(F17:H17)</f>
        <v>59756190</v>
      </c>
      <c r="J17" s="114">
        <f t="shared" ref="J17:J32" si="12">ROUND(H17*(1+$J$4),-1)</f>
        <v>20920530</v>
      </c>
      <c r="K17" s="114">
        <f t="shared" ref="K17:L32" si="13">ROUND(J17*(1+$J$4),-1)</f>
        <v>21338940</v>
      </c>
      <c r="L17" s="114">
        <f t="shared" si="13"/>
        <v>21765720</v>
      </c>
      <c r="M17" s="115">
        <f t="shared" ref="M17:M32" si="14">SUM(J17:L17)</f>
        <v>64025190</v>
      </c>
      <c r="N17" s="114">
        <f t="shared" ref="N17:N32" si="15">ROUND(L17*(1+$N$4),-1)</f>
        <v>22418690</v>
      </c>
      <c r="O17" s="114">
        <f t="shared" ref="O17:P32" si="16">ROUND(N17*(1+$N$4),-1)</f>
        <v>23091250</v>
      </c>
      <c r="P17" s="114">
        <f t="shared" si="16"/>
        <v>23783990</v>
      </c>
      <c r="Q17" s="115">
        <f t="shared" ref="Q17:Q32" si="17">SUM(N17:P17)</f>
        <v>69293930</v>
      </c>
      <c r="R17" s="116">
        <f t="shared" ref="R17:R32" si="18">SUBTOTAL(9,E17,I17,M17,Q17)</f>
        <v>248829150</v>
      </c>
    </row>
    <row r="18" spans="1:18" s="11" customFormat="1" ht="15" x14ac:dyDescent="0.25">
      <c r="A18" s="139" t="s">
        <v>768</v>
      </c>
      <c r="B18" s="157">
        <v>175000</v>
      </c>
      <c r="C18" s="117">
        <f t="shared" si="7"/>
        <v>176750</v>
      </c>
      <c r="D18" s="117">
        <f t="shared" si="7"/>
        <v>178520</v>
      </c>
      <c r="E18" s="130">
        <f t="shared" si="8"/>
        <v>530270</v>
      </c>
      <c r="F18" s="117">
        <f t="shared" si="9"/>
        <v>183880</v>
      </c>
      <c r="G18" s="117">
        <f t="shared" si="10"/>
        <v>189400</v>
      </c>
      <c r="H18" s="117">
        <f t="shared" si="10"/>
        <v>195080</v>
      </c>
      <c r="I18" s="130">
        <f t="shared" si="11"/>
        <v>568360</v>
      </c>
      <c r="J18" s="117">
        <f t="shared" si="12"/>
        <v>198980</v>
      </c>
      <c r="K18" s="117">
        <f t="shared" si="13"/>
        <v>202960</v>
      </c>
      <c r="L18" s="117">
        <f t="shared" si="13"/>
        <v>207020</v>
      </c>
      <c r="M18" s="130">
        <f t="shared" si="14"/>
        <v>608960</v>
      </c>
      <c r="N18" s="117">
        <f t="shared" si="15"/>
        <v>213230</v>
      </c>
      <c r="O18" s="117">
        <f t="shared" si="16"/>
        <v>219630</v>
      </c>
      <c r="P18" s="117">
        <f t="shared" si="16"/>
        <v>226220</v>
      </c>
      <c r="Q18" s="130">
        <f t="shared" si="17"/>
        <v>659080</v>
      </c>
      <c r="R18" s="131">
        <f t="shared" si="18"/>
        <v>2366670</v>
      </c>
    </row>
    <row r="19" spans="1:18" s="11" customFormat="1" ht="15" x14ac:dyDescent="0.25">
      <c r="A19" s="139" t="s">
        <v>769</v>
      </c>
      <c r="B19" s="157">
        <v>200000</v>
      </c>
      <c r="C19" s="117">
        <f t="shared" si="7"/>
        <v>202000</v>
      </c>
      <c r="D19" s="117">
        <f t="shared" si="7"/>
        <v>204020</v>
      </c>
      <c r="E19" s="130">
        <f t="shared" si="8"/>
        <v>606020</v>
      </c>
      <c r="F19" s="117">
        <f t="shared" si="9"/>
        <v>210140</v>
      </c>
      <c r="G19" s="117">
        <f t="shared" si="10"/>
        <v>216440</v>
      </c>
      <c r="H19" s="117">
        <f t="shared" si="10"/>
        <v>222930</v>
      </c>
      <c r="I19" s="130">
        <f t="shared" si="11"/>
        <v>649510</v>
      </c>
      <c r="J19" s="117">
        <f t="shared" si="12"/>
        <v>227390</v>
      </c>
      <c r="K19" s="117">
        <f t="shared" si="13"/>
        <v>231940</v>
      </c>
      <c r="L19" s="117">
        <f t="shared" si="13"/>
        <v>236580</v>
      </c>
      <c r="M19" s="130">
        <f t="shared" si="14"/>
        <v>695910</v>
      </c>
      <c r="N19" s="117">
        <f t="shared" si="15"/>
        <v>243680</v>
      </c>
      <c r="O19" s="117">
        <f t="shared" si="16"/>
        <v>250990</v>
      </c>
      <c r="P19" s="117">
        <f t="shared" si="16"/>
        <v>258520</v>
      </c>
      <c r="Q19" s="130">
        <f t="shared" si="17"/>
        <v>753190</v>
      </c>
      <c r="R19" s="131">
        <f t="shared" si="18"/>
        <v>2704630</v>
      </c>
    </row>
    <row r="20" spans="1:18" s="11" customFormat="1" ht="15" x14ac:dyDescent="0.25">
      <c r="A20" s="139" t="s">
        <v>770</v>
      </c>
      <c r="B20" s="157">
        <v>162000</v>
      </c>
      <c r="C20" s="117">
        <f t="shared" si="7"/>
        <v>163620</v>
      </c>
      <c r="D20" s="117">
        <f t="shared" si="7"/>
        <v>165260</v>
      </c>
      <c r="E20" s="130">
        <f t="shared" si="8"/>
        <v>490880</v>
      </c>
      <c r="F20" s="117">
        <f t="shared" si="9"/>
        <v>170220</v>
      </c>
      <c r="G20" s="117">
        <f t="shared" si="10"/>
        <v>175330</v>
      </c>
      <c r="H20" s="117">
        <f t="shared" si="10"/>
        <v>180590</v>
      </c>
      <c r="I20" s="130">
        <f t="shared" si="11"/>
        <v>526140</v>
      </c>
      <c r="J20" s="117">
        <f t="shared" si="12"/>
        <v>184200</v>
      </c>
      <c r="K20" s="117">
        <f t="shared" si="13"/>
        <v>187880</v>
      </c>
      <c r="L20" s="117">
        <f t="shared" si="13"/>
        <v>191640</v>
      </c>
      <c r="M20" s="130">
        <f t="shared" si="14"/>
        <v>563720</v>
      </c>
      <c r="N20" s="117">
        <f t="shared" si="15"/>
        <v>197390</v>
      </c>
      <c r="O20" s="117">
        <f t="shared" si="16"/>
        <v>203310</v>
      </c>
      <c r="P20" s="117">
        <f t="shared" si="16"/>
        <v>209410</v>
      </c>
      <c r="Q20" s="130">
        <f t="shared" si="17"/>
        <v>610110</v>
      </c>
      <c r="R20" s="131">
        <f t="shared" si="18"/>
        <v>2190850</v>
      </c>
    </row>
    <row r="21" spans="1:18" s="11" customFormat="1" ht="15" x14ac:dyDescent="0.25">
      <c r="A21" s="139" t="s">
        <v>771</v>
      </c>
      <c r="B21" s="157">
        <v>200000</v>
      </c>
      <c r="C21" s="117">
        <f t="shared" si="7"/>
        <v>202000</v>
      </c>
      <c r="D21" s="117">
        <f t="shared" si="7"/>
        <v>204020</v>
      </c>
      <c r="E21" s="130">
        <f t="shared" si="8"/>
        <v>606020</v>
      </c>
      <c r="F21" s="117">
        <f t="shared" si="9"/>
        <v>210140</v>
      </c>
      <c r="G21" s="117">
        <f t="shared" si="10"/>
        <v>216440</v>
      </c>
      <c r="H21" s="117">
        <f t="shared" si="10"/>
        <v>222930</v>
      </c>
      <c r="I21" s="130">
        <f t="shared" si="11"/>
        <v>649510</v>
      </c>
      <c r="J21" s="117">
        <f t="shared" si="12"/>
        <v>227390</v>
      </c>
      <c r="K21" s="117">
        <f t="shared" si="13"/>
        <v>231940</v>
      </c>
      <c r="L21" s="117">
        <f t="shared" si="13"/>
        <v>236580</v>
      </c>
      <c r="M21" s="130">
        <f t="shared" si="14"/>
        <v>695910</v>
      </c>
      <c r="N21" s="117">
        <f t="shared" si="15"/>
        <v>243680</v>
      </c>
      <c r="O21" s="117">
        <f t="shared" si="16"/>
        <v>250990</v>
      </c>
      <c r="P21" s="117">
        <f t="shared" si="16"/>
        <v>258520</v>
      </c>
      <c r="Q21" s="130">
        <f t="shared" si="17"/>
        <v>753190</v>
      </c>
      <c r="R21" s="131">
        <f t="shared" si="18"/>
        <v>2704630</v>
      </c>
    </row>
    <row r="22" spans="1:18" s="11" customFormat="1" ht="15" x14ac:dyDescent="0.25">
      <c r="A22" s="139" t="s">
        <v>772</v>
      </c>
      <c r="B22" s="157">
        <v>3800000</v>
      </c>
      <c r="C22" s="117">
        <f t="shared" si="7"/>
        <v>3838000</v>
      </c>
      <c r="D22" s="117">
        <f t="shared" si="7"/>
        <v>3876380</v>
      </c>
      <c r="E22" s="130">
        <f t="shared" si="8"/>
        <v>11514380</v>
      </c>
      <c r="F22" s="117">
        <f t="shared" si="9"/>
        <v>3992670</v>
      </c>
      <c r="G22" s="117">
        <f t="shared" si="10"/>
        <v>4112450</v>
      </c>
      <c r="H22" s="117">
        <f t="shared" si="10"/>
        <v>4235820</v>
      </c>
      <c r="I22" s="130">
        <f t="shared" si="11"/>
        <v>12340940</v>
      </c>
      <c r="J22" s="117">
        <f t="shared" si="12"/>
        <v>4320540</v>
      </c>
      <c r="K22" s="117">
        <f t="shared" si="13"/>
        <v>4406950</v>
      </c>
      <c r="L22" s="117">
        <f t="shared" si="13"/>
        <v>4495090</v>
      </c>
      <c r="M22" s="130">
        <f t="shared" si="14"/>
        <v>13222580</v>
      </c>
      <c r="N22" s="117">
        <f t="shared" si="15"/>
        <v>4629940</v>
      </c>
      <c r="O22" s="117">
        <f t="shared" si="16"/>
        <v>4768840</v>
      </c>
      <c r="P22" s="117">
        <f t="shared" si="16"/>
        <v>4911910</v>
      </c>
      <c r="Q22" s="130">
        <f t="shared" si="17"/>
        <v>14310690</v>
      </c>
      <c r="R22" s="131">
        <f t="shared" si="18"/>
        <v>51388590</v>
      </c>
    </row>
    <row r="23" spans="1:18" s="11" customFormat="1" ht="15" x14ac:dyDescent="0.25">
      <c r="A23" s="139" t="s">
        <v>773</v>
      </c>
      <c r="B23" s="157">
        <v>300000</v>
      </c>
      <c r="C23" s="117">
        <f t="shared" si="7"/>
        <v>303000</v>
      </c>
      <c r="D23" s="117">
        <f t="shared" si="7"/>
        <v>306030</v>
      </c>
      <c r="E23" s="130">
        <f t="shared" si="8"/>
        <v>909030</v>
      </c>
      <c r="F23" s="117">
        <f t="shared" si="9"/>
        <v>315210</v>
      </c>
      <c r="G23" s="117">
        <f t="shared" si="10"/>
        <v>324670</v>
      </c>
      <c r="H23" s="117">
        <f t="shared" si="10"/>
        <v>334410</v>
      </c>
      <c r="I23" s="130">
        <f t="shared" si="11"/>
        <v>974290</v>
      </c>
      <c r="J23" s="117">
        <f t="shared" si="12"/>
        <v>341100</v>
      </c>
      <c r="K23" s="117">
        <f t="shared" si="13"/>
        <v>347920</v>
      </c>
      <c r="L23" s="117">
        <f t="shared" si="13"/>
        <v>354880</v>
      </c>
      <c r="M23" s="130">
        <f t="shared" si="14"/>
        <v>1043900</v>
      </c>
      <c r="N23" s="117">
        <f t="shared" si="15"/>
        <v>365530</v>
      </c>
      <c r="O23" s="117">
        <f t="shared" si="16"/>
        <v>376500</v>
      </c>
      <c r="P23" s="117">
        <f t="shared" si="16"/>
        <v>387800</v>
      </c>
      <c r="Q23" s="130">
        <f t="shared" si="17"/>
        <v>1129830</v>
      </c>
      <c r="R23" s="131">
        <f t="shared" si="18"/>
        <v>4057050</v>
      </c>
    </row>
    <row r="24" spans="1:18" s="11" customFormat="1" ht="15" x14ac:dyDescent="0.25">
      <c r="A24" s="139" t="s">
        <v>774</v>
      </c>
      <c r="B24" s="157">
        <v>700000</v>
      </c>
      <c r="C24" s="117">
        <f t="shared" si="7"/>
        <v>707000</v>
      </c>
      <c r="D24" s="117">
        <f t="shared" si="7"/>
        <v>714070</v>
      </c>
      <c r="E24" s="130">
        <f t="shared" si="8"/>
        <v>2121070</v>
      </c>
      <c r="F24" s="117">
        <f t="shared" si="9"/>
        <v>735490</v>
      </c>
      <c r="G24" s="117">
        <f t="shared" si="10"/>
        <v>757550</v>
      </c>
      <c r="H24" s="117">
        <f t="shared" si="10"/>
        <v>780280</v>
      </c>
      <c r="I24" s="130">
        <f t="shared" si="11"/>
        <v>2273320</v>
      </c>
      <c r="J24" s="117">
        <f t="shared" si="12"/>
        <v>795890</v>
      </c>
      <c r="K24" s="117">
        <f t="shared" si="13"/>
        <v>811810</v>
      </c>
      <c r="L24" s="117">
        <f t="shared" si="13"/>
        <v>828050</v>
      </c>
      <c r="M24" s="130">
        <f t="shared" si="14"/>
        <v>2435750</v>
      </c>
      <c r="N24" s="117">
        <f t="shared" si="15"/>
        <v>852890</v>
      </c>
      <c r="O24" s="117">
        <f t="shared" si="16"/>
        <v>878480</v>
      </c>
      <c r="P24" s="117">
        <f t="shared" si="16"/>
        <v>904830</v>
      </c>
      <c r="Q24" s="130">
        <f t="shared" si="17"/>
        <v>2636200</v>
      </c>
      <c r="R24" s="131">
        <f t="shared" si="18"/>
        <v>9466340</v>
      </c>
    </row>
    <row r="25" spans="1:18" s="11" customFormat="1" ht="15" x14ac:dyDescent="0.25">
      <c r="A25" s="139" t="s">
        <v>775</v>
      </c>
      <c r="B25" s="157">
        <v>2300000</v>
      </c>
      <c r="C25" s="117">
        <f t="shared" si="7"/>
        <v>2323000</v>
      </c>
      <c r="D25" s="117">
        <f t="shared" si="7"/>
        <v>2346230</v>
      </c>
      <c r="E25" s="130">
        <f t="shared" si="8"/>
        <v>6969230</v>
      </c>
      <c r="F25" s="117">
        <f t="shared" si="9"/>
        <v>2416620</v>
      </c>
      <c r="G25" s="117">
        <f t="shared" si="10"/>
        <v>2489120</v>
      </c>
      <c r="H25" s="117">
        <f t="shared" si="10"/>
        <v>2563790</v>
      </c>
      <c r="I25" s="130">
        <f t="shared" si="11"/>
        <v>7469530</v>
      </c>
      <c r="J25" s="117">
        <f t="shared" si="12"/>
        <v>2615070</v>
      </c>
      <c r="K25" s="117">
        <f t="shared" si="13"/>
        <v>2667370</v>
      </c>
      <c r="L25" s="117">
        <f t="shared" si="13"/>
        <v>2720720</v>
      </c>
      <c r="M25" s="130">
        <f t="shared" si="14"/>
        <v>8003160</v>
      </c>
      <c r="N25" s="117">
        <f t="shared" si="15"/>
        <v>2802340</v>
      </c>
      <c r="O25" s="117">
        <f t="shared" si="16"/>
        <v>2886410</v>
      </c>
      <c r="P25" s="117">
        <f t="shared" si="16"/>
        <v>2973000</v>
      </c>
      <c r="Q25" s="130">
        <f t="shared" si="17"/>
        <v>8661750</v>
      </c>
      <c r="R25" s="131">
        <f t="shared" si="18"/>
        <v>31103670</v>
      </c>
    </row>
    <row r="26" spans="1:18" s="11" customFormat="1" ht="15" x14ac:dyDescent="0.25">
      <c r="A26" s="139" t="s">
        <v>776</v>
      </c>
      <c r="B26" s="157">
        <v>21600000</v>
      </c>
      <c r="C26" s="117">
        <f t="shared" si="7"/>
        <v>21816000</v>
      </c>
      <c r="D26" s="117">
        <f t="shared" si="7"/>
        <v>22034160</v>
      </c>
      <c r="E26" s="130">
        <f t="shared" si="8"/>
        <v>65450160</v>
      </c>
      <c r="F26" s="117">
        <f t="shared" si="9"/>
        <v>22695180</v>
      </c>
      <c r="G26" s="117">
        <f t="shared" si="10"/>
        <v>23376040</v>
      </c>
      <c r="H26" s="117">
        <f t="shared" si="10"/>
        <v>24077320</v>
      </c>
      <c r="I26" s="130">
        <f t="shared" si="11"/>
        <v>70148540</v>
      </c>
      <c r="J26" s="117">
        <f t="shared" si="12"/>
        <v>24558870</v>
      </c>
      <c r="K26" s="117">
        <f t="shared" si="13"/>
        <v>25050050</v>
      </c>
      <c r="L26" s="117">
        <f t="shared" si="13"/>
        <v>25551050</v>
      </c>
      <c r="M26" s="130">
        <f t="shared" si="14"/>
        <v>75159970</v>
      </c>
      <c r="N26" s="117">
        <f t="shared" si="15"/>
        <v>26317580</v>
      </c>
      <c r="O26" s="117">
        <f t="shared" si="16"/>
        <v>27107110</v>
      </c>
      <c r="P26" s="117">
        <f t="shared" si="16"/>
        <v>27920320</v>
      </c>
      <c r="Q26" s="130">
        <f t="shared" si="17"/>
        <v>81345010</v>
      </c>
      <c r="R26" s="131">
        <f t="shared" si="18"/>
        <v>292103680</v>
      </c>
    </row>
    <row r="27" spans="1:18" s="11" customFormat="1" ht="15" x14ac:dyDescent="0.25">
      <c r="A27" s="139" t="s">
        <v>777</v>
      </c>
      <c r="B27" s="157">
        <v>1100000</v>
      </c>
      <c r="C27" s="117">
        <f t="shared" si="7"/>
        <v>1111000</v>
      </c>
      <c r="D27" s="117">
        <f t="shared" si="7"/>
        <v>1122110</v>
      </c>
      <c r="E27" s="130">
        <f t="shared" si="8"/>
        <v>3333110</v>
      </c>
      <c r="F27" s="117">
        <f t="shared" si="9"/>
        <v>1155770</v>
      </c>
      <c r="G27" s="117">
        <f t="shared" si="10"/>
        <v>1190440</v>
      </c>
      <c r="H27" s="117">
        <f t="shared" si="10"/>
        <v>1226150</v>
      </c>
      <c r="I27" s="130">
        <f t="shared" si="11"/>
        <v>3572360</v>
      </c>
      <c r="J27" s="117">
        <f t="shared" si="12"/>
        <v>1250670</v>
      </c>
      <c r="K27" s="117">
        <f t="shared" si="13"/>
        <v>1275680</v>
      </c>
      <c r="L27" s="117">
        <f t="shared" si="13"/>
        <v>1301190</v>
      </c>
      <c r="M27" s="130">
        <f t="shared" si="14"/>
        <v>3827540</v>
      </c>
      <c r="N27" s="117">
        <f t="shared" si="15"/>
        <v>1340230</v>
      </c>
      <c r="O27" s="117">
        <f t="shared" si="16"/>
        <v>1380440</v>
      </c>
      <c r="P27" s="117">
        <f t="shared" si="16"/>
        <v>1421850</v>
      </c>
      <c r="Q27" s="130">
        <f t="shared" si="17"/>
        <v>4142520</v>
      </c>
      <c r="R27" s="131">
        <f t="shared" si="18"/>
        <v>14875530</v>
      </c>
    </row>
    <row r="28" spans="1:18" s="11" customFormat="1" ht="15" x14ac:dyDescent="0.25">
      <c r="A28" s="139" t="s">
        <v>778</v>
      </c>
      <c r="B28" s="157">
        <v>1300000</v>
      </c>
      <c r="C28" s="117">
        <f t="shared" si="7"/>
        <v>1313000</v>
      </c>
      <c r="D28" s="117">
        <f t="shared" si="7"/>
        <v>1326130</v>
      </c>
      <c r="E28" s="130">
        <f t="shared" si="8"/>
        <v>3939130</v>
      </c>
      <c r="F28" s="117">
        <f t="shared" si="9"/>
        <v>1365910</v>
      </c>
      <c r="G28" s="117">
        <f t="shared" si="10"/>
        <v>1406890</v>
      </c>
      <c r="H28" s="117">
        <f t="shared" si="10"/>
        <v>1449100</v>
      </c>
      <c r="I28" s="130">
        <f t="shared" si="11"/>
        <v>4221900</v>
      </c>
      <c r="J28" s="117">
        <f t="shared" si="12"/>
        <v>1478080</v>
      </c>
      <c r="K28" s="117">
        <f t="shared" si="13"/>
        <v>1507640</v>
      </c>
      <c r="L28" s="117">
        <f t="shared" si="13"/>
        <v>1537790</v>
      </c>
      <c r="M28" s="130">
        <f t="shared" si="14"/>
        <v>4523510</v>
      </c>
      <c r="N28" s="117">
        <f t="shared" si="15"/>
        <v>1583920</v>
      </c>
      <c r="O28" s="117">
        <f t="shared" si="16"/>
        <v>1631440</v>
      </c>
      <c r="P28" s="117">
        <f t="shared" si="16"/>
        <v>1680380</v>
      </c>
      <c r="Q28" s="130">
        <f t="shared" si="17"/>
        <v>4895740</v>
      </c>
      <c r="R28" s="131">
        <f t="shared" si="18"/>
        <v>17580280</v>
      </c>
    </row>
    <row r="29" spans="1:18" s="11" customFormat="1" ht="15" x14ac:dyDescent="0.25">
      <c r="A29" s="139" t="s">
        <v>779</v>
      </c>
      <c r="B29" s="157">
        <v>500000</v>
      </c>
      <c r="C29" s="117">
        <f t="shared" si="7"/>
        <v>505000</v>
      </c>
      <c r="D29" s="117">
        <f t="shared" si="7"/>
        <v>510050</v>
      </c>
      <c r="E29" s="130">
        <f t="shared" si="8"/>
        <v>1515050</v>
      </c>
      <c r="F29" s="117">
        <f t="shared" si="9"/>
        <v>525350</v>
      </c>
      <c r="G29" s="117">
        <f t="shared" si="10"/>
        <v>541110</v>
      </c>
      <c r="H29" s="117">
        <f t="shared" si="10"/>
        <v>557340</v>
      </c>
      <c r="I29" s="130">
        <f t="shared" si="11"/>
        <v>1623800</v>
      </c>
      <c r="J29" s="117">
        <f t="shared" si="12"/>
        <v>568490</v>
      </c>
      <c r="K29" s="117">
        <f t="shared" si="13"/>
        <v>579860</v>
      </c>
      <c r="L29" s="117">
        <f t="shared" si="13"/>
        <v>591460</v>
      </c>
      <c r="M29" s="130">
        <f t="shared" si="14"/>
        <v>1739810</v>
      </c>
      <c r="N29" s="117">
        <f t="shared" si="15"/>
        <v>609200</v>
      </c>
      <c r="O29" s="117">
        <f t="shared" si="16"/>
        <v>627480</v>
      </c>
      <c r="P29" s="117">
        <f t="shared" si="16"/>
        <v>646300</v>
      </c>
      <c r="Q29" s="130">
        <f t="shared" si="17"/>
        <v>1882980</v>
      </c>
      <c r="R29" s="131">
        <f t="shared" si="18"/>
        <v>6761640</v>
      </c>
    </row>
    <row r="30" spans="1:18" s="11" customFormat="1" ht="15" x14ac:dyDescent="0.25">
      <c r="A30" s="139" t="s">
        <v>780</v>
      </c>
      <c r="B30" s="157">
        <v>900000</v>
      </c>
      <c r="C30" s="117">
        <f t="shared" si="7"/>
        <v>909000</v>
      </c>
      <c r="D30" s="117">
        <f t="shared" si="7"/>
        <v>918090</v>
      </c>
      <c r="E30" s="130">
        <f t="shared" si="8"/>
        <v>2727090</v>
      </c>
      <c r="F30" s="117">
        <f t="shared" si="9"/>
        <v>945630</v>
      </c>
      <c r="G30" s="117">
        <f t="shared" si="10"/>
        <v>974000</v>
      </c>
      <c r="H30" s="117">
        <f t="shared" si="10"/>
        <v>1003220</v>
      </c>
      <c r="I30" s="130">
        <f t="shared" si="11"/>
        <v>2922850</v>
      </c>
      <c r="J30" s="117">
        <f t="shared" si="12"/>
        <v>1023280</v>
      </c>
      <c r="K30" s="117">
        <f t="shared" si="13"/>
        <v>1043750</v>
      </c>
      <c r="L30" s="117">
        <f t="shared" si="13"/>
        <v>1064630</v>
      </c>
      <c r="M30" s="130">
        <f t="shared" si="14"/>
        <v>3131660</v>
      </c>
      <c r="N30" s="117">
        <f t="shared" si="15"/>
        <v>1096570</v>
      </c>
      <c r="O30" s="117">
        <f t="shared" si="16"/>
        <v>1129470</v>
      </c>
      <c r="P30" s="117">
        <f t="shared" si="16"/>
        <v>1163350</v>
      </c>
      <c r="Q30" s="130">
        <f t="shared" si="17"/>
        <v>3389390</v>
      </c>
      <c r="R30" s="131">
        <f t="shared" si="18"/>
        <v>12170990</v>
      </c>
    </row>
    <row r="31" spans="1:18" s="11" customFormat="1" ht="15" x14ac:dyDescent="0.25">
      <c r="A31" s="139" t="s">
        <v>781</v>
      </c>
      <c r="B31" s="157">
        <v>300000</v>
      </c>
      <c r="C31" s="117">
        <f t="shared" si="7"/>
        <v>303000</v>
      </c>
      <c r="D31" s="117">
        <f t="shared" si="7"/>
        <v>306030</v>
      </c>
      <c r="E31" s="130">
        <f t="shared" si="8"/>
        <v>909030</v>
      </c>
      <c r="F31" s="117">
        <f t="shared" si="9"/>
        <v>315210</v>
      </c>
      <c r="G31" s="117">
        <f t="shared" si="10"/>
        <v>324670</v>
      </c>
      <c r="H31" s="117">
        <f t="shared" si="10"/>
        <v>334410</v>
      </c>
      <c r="I31" s="130">
        <f t="shared" si="11"/>
        <v>974290</v>
      </c>
      <c r="J31" s="117">
        <f t="shared" si="12"/>
        <v>341100</v>
      </c>
      <c r="K31" s="117">
        <f t="shared" si="13"/>
        <v>347920</v>
      </c>
      <c r="L31" s="117">
        <f t="shared" si="13"/>
        <v>354880</v>
      </c>
      <c r="M31" s="130">
        <f t="shared" si="14"/>
        <v>1043900</v>
      </c>
      <c r="N31" s="117">
        <f t="shared" si="15"/>
        <v>365530</v>
      </c>
      <c r="O31" s="117">
        <f t="shared" si="16"/>
        <v>376500</v>
      </c>
      <c r="P31" s="117">
        <f t="shared" si="16"/>
        <v>387800</v>
      </c>
      <c r="Q31" s="130">
        <f t="shared" si="17"/>
        <v>1129830</v>
      </c>
      <c r="R31" s="131">
        <f t="shared" si="18"/>
        <v>4057050</v>
      </c>
    </row>
    <row r="32" spans="1:18" s="11" customFormat="1" ht="15" x14ac:dyDescent="0.25">
      <c r="A32" s="139" t="s">
        <v>782</v>
      </c>
      <c r="B32" s="157">
        <v>165000</v>
      </c>
      <c r="C32" s="117">
        <f t="shared" si="7"/>
        <v>166650</v>
      </c>
      <c r="D32" s="117">
        <f t="shared" si="7"/>
        <v>168320</v>
      </c>
      <c r="E32" s="118">
        <f t="shared" si="8"/>
        <v>499970</v>
      </c>
      <c r="F32" s="117">
        <f t="shared" si="9"/>
        <v>173370</v>
      </c>
      <c r="G32" s="117">
        <f t="shared" si="10"/>
        <v>178570</v>
      </c>
      <c r="H32" s="117">
        <f t="shared" si="10"/>
        <v>183930</v>
      </c>
      <c r="I32" s="118">
        <f t="shared" si="11"/>
        <v>535870</v>
      </c>
      <c r="J32" s="117">
        <f t="shared" si="12"/>
        <v>187610</v>
      </c>
      <c r="K32" s="117">
        <f t="shared" si="13"/>
        <v>191360</v>
      </c>
      <c r="L32" s="117">
        <f t="shared" si="13"/>
        <v>195190</v>
      </c>
      <c r="M32" s="118">
        <f t="shared" si="14"/>
        <v>574160</v>
      </c>
      <c r="N32" s="117">
        <f t="shared" si="15"/>
        <v>201050</v>
      </c>
      <c r="O32" s="117">
        <f t="shared" si="16"/>
        <v>207080</v>
      </c>
      <c r="P32" s="117">
        <f t="shared" si="16"/>
        <v>213290</v>
      </c>
      <c r="Q32" s="118">
        <f t="shared" si="17"/>
        <v>621420</v>
      </c>
      <c r="R32" s="119">
        <f t="shared" si="18"/>
        <v>2231420</v>
      </c>
    </row>
    <row r="33" spans="1:18" s="11" customFormat="1" ht="15.75" thickBot="1" x14ac:dyDescent="0.3">
      <c r="A33" s="132" t="s">
        <v>783</v>
      </c>
      <c r="B33" s="133">
        <f t="shared" ref="B33:R33" si="19">SUM(B17:B32)</f>
        <v>52102000</v>
      </c>
      <c r="C33" s="133">
        <f t="shared" si="19"/>
        <v>52623020</v>
      </c>
      <c r="D33" s="133">
        <f t="shared" si="19"/>
        <v>53149260</v>
      </c>
      <c r="E33" s="140">
        <f t="shared" si="19"/>
        <v>157874280</v>
      </c>
      <c r="F33" s="133">
        <f t="shared" si="19"/>
        <v>54743730</v>
      </c>
      <c r="G33" s="133">
        <f t="shared" si="19"/>
        <v>56386050</v>
      </c>
      <c r="H33" s="133">
        <f t="shared" si="19"/>
        <v>58077620</v>
      </c>
      <c r="I33" s="140">
        <f t="shared" si="19"/>
        <v>169207400</v>
      </c>
      <c r="J33" s="133">
        <f t="shared" si="19"/>
        <v>59239190</v>
      </c>
      <c r="K33" s="133">
        <f t="shared" si="19"/>
        <v>60423970</v>
      </c>
      <c r="L33" s="133">
        <f t="shared" si="19"/>
        <v>61632470</v>
      </c>
      <c r="M33" s="140">
        <f t="shared" si="19"/>
        <v>181295630</v>
      </c>
      <c r="N33" s="133">
        <f t="shared" si="19"/>
        <v>63481450</v>
      </c>
      <c r="O33" s="133">
        <f t="shared" si="19"/>
        <v>65385920</v>
      </c>
      <c r="P33" s="133">
        <f t="shared" si="19"/>
        <v>67347490</v>
      </c>
      <c r="Q33" s="140">
        <f t="shared" si="19"/>
        <v>196214860</v>
      </c>
      <c r="R33" s="141">
        <f t="shared" si="19"/>
        <v>704592170</v>
      </c>
    </row>
    <row r="34" spans="1:18" s="11" customFormat="1" ht="15.75" thickTop="1" x14ac:dyDescent="0.25">
      <c r="A34" s="142"/>
      <c r="B34" s="114"/>
      <c r="C34" s="114"/>
      <c r="D34" s="114"/>
      <c r="E34" s="143"/>
      <c r="F34" s="114"/>
      <c r="G34" s="114"/>
      <c r="H34" s="114"/>
      <c r="I34" s="143"/>
      <c r="J34" s="114"/>
      <c r="K34" s="114"/>
      <c r="L34" s="114"/>
      <c r="M34" s="143"/>
      <c r="N34" s="114"/>
      <c r="O34" s="114"/>
      <c r="P34" s="114"/>
      <c r="Q34" s="143"/>
      <c r="R34" s="144"/>
    </row>
    <row r="35" spans="1:18" s="11" customFormat="1" ht="15" x14ac:dyDescent="0.25">
      <c r="A35" s="145" t="s">
        <v>784</v>
      </c>
      <c r="B35" s="146">
        <f t="shared" ref="B35:R35" si="20">B14-B33</f>
        <v>33298000</v>
      </c>
      <c r="C35" s="146">
        <f t="shared" si="20"/>
        <v>33630980</v>
      </c>
      <c r="D35" s="146">
        <f t="shared" si="20"/>
        <v>33967280</v>
      </c>
      <c r="E35" s="147">
        <f t="shared" si="20"/>
        <v>100896260</v>
      </c>
      <c r="F35" s="146">
        <f t="shared" si="20"/>
        <v>34986310</v>
      </c>
      <c r="G35" s="146">
        <f t="shared" si="20"/>
        <v>36035890</v>
      </c>
      <c r="H35" s="146">
        <f t="shared" si="20"/>
        <v>37116980</v>
      </c>
      <c r="I35" s="147">
        <f t="shared" si="20"/>
        <v>108139180</v>
      </c>
      <c r="J35" s="146">
        <f t="shared" si="20"/>
        <v>37859290</v>
      </c>
      <c r="K35" s="146">
        <f t="shared" si="20"/>
        <v>38616480</v>
      </c>
      <c r="L35" s="146">
        <f t="shared" si="20"/>
        <v>39388780</v>
      </c>
      <c r="M35" s="147">
        <f t="shared" si="20"/>
        <v>115864550</v>
      </c>
      <c r="N35" s="146">
        <f t="shared" si="20"/>
        <v>40570450</v>
      </c>
      <c r="O35" s="146">
        <f t="shared" si="20"/>
        <v>41787530</v>
      </c>
      <c r="P35" s="146">
        <f t="shared" si="20"/>
        <v>43041170</v>
      </c>
      <c r="Q35" s="147">
        <f t="shared" si="20"/>
        <v>125399150</v>
      </c>
      <c r="R35" s="148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:AE22"/>
  <sheetViews>
    <sheetView zoomScale="160" zoomScaleNormal="175" workbookViewId="0"/>
  </sheetViews>
  <sheetFormatPr defaultColWidth="8.85546875" defaultRowHeight="15" x14ac:dyDescent="0.25"/>
  <cols>
    <col min="1" max="1" width="18.85546875" style="11" bestFit="1" customWidth="1"/>
    <col min="2" max="2" width="16.140625" style="11" bestFit="1" customWidth="1"/>
    <col min="3" max="3" width="11.7109375" style="11" customWidth="1"/>
    <col min="4" max="4" width="8.7109375" style="11" bestFit="1" customWidth="1"/>
    <col min="5" max="5" width="9.140625" style="11" bestFit="1" customWidth="1"/>
    <col min="6" max="6" width="8.85546875" style="11"/>
    <col min="7" max="7" width="4.5703125" style="11" customWidth="1"/>
    <col min="8" max="8" width="8.7109375" style="11" bestFit="1" customWidth="1"/>
    <col min="9" max="9" width="10.5703125" style="11" bestFit="1" customWidth="1"/>
    <col min="10" max="23" width="9.7109375" style="11" customWidth="1"/>
    <col min="24" max="24" width="8.42578125" style="11" customWidth="1"/>
    <col min="25" max="25" width="3.140625" style="11" customWidth="1"/>
    <col min="26" max="26" width="22.28515625" style="11" bestFit="1" customWidth="1"/>
    <col min="27" max="27" width="9.85546875" style="11" customWidth="1"/>
    <col min="28" max="28" width="8.5703125" style="11" customWidth="1"/>
    <col min="29" max="29" width="8.85546875" style="11"/>
    <col min="30" max="31" width="5" style="11" bestFit="1" customWidth="1"/>
    <col min="32" max="16384" width="8.85546875" style="11"/>
  </cols>
  <sheetData>
    <row r="1" spans="1:31" x14ac:dyDescent="0.25">
      <c r="A1" s="149" t="s">
        <v>785</v>
      </c>
      <c r="D1" s="149" t="s">
        <v>786</v>
      </c>
      <c r="H1" s="149" t="s">
        <v>786</v>
      </c>
      <c r="I1" s="149" t="s">
        <v>905</v>
      </c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Z1" s="150" t="s">
        <v>787</v>
      </c>
    </row>
    <row r="2" spans="1:31" x14ac:dyDescent="0.25">
      <c r="A2" s="33" t="s">
        <v>788</v>
      </c>
      <c r="B2" s="11" t="str">
        <f t="shared" ref="B2:B20" si="0">PROPER(TRIM(A2))</f>
        <v>Baxter, Donna</v>
      </c>
      <c r="D2" s="11" t="s">
        <v>789</v>
      </c>
      <c r="E2" s="11" t="str">
        <f t="shared" ref="E2:E22" si="1">UPPER(D2)</f>
        <v>5Y6D919</v>
      </c>
      <c r="H2" s="11" t="s">
        <v>792</v>
      </c>
      <c r="I2" s="11" t="str">
        <f>UPPER(LEFT(REPLACE(H2,3,2,RIGHT(H2,2)),6))</f>
        <v>2W4514</v>
      </c>
      <c r="Z2" s="151" t="s">
        <v>790</v>
      </c>
      <c r="AA2" s="151"/>
      <c r="AB2" s="151"/>
      <c r="AD2" s="11" t="str">
        <f>MID(D8,3,4)</f>
        <v>0y19</v>
      </c>
      <c r="AE2" s="11" t="str">
        <f>LEFT(D8,4)</f>
        <v>8k0y</v>
      </c>
    </row>
    <row r="3" spans="1:31" x14ac:dyDescent="0.25">
      <c r="A3" s="33" t="s">
        <v>791</v>
      </c>
      <c r="B3" s="11" t="str">
        <f t="shared" si="0"/>
        <v>Catalano, Robert</v>
      </c>
      <c r="D3" s="11" t="s">
        <v>792</v>
      </c>
      <c r="E3" s="11" t="str">
        <f t="shared" si="1"/>
        <v>2W7S145</v>
      </c>
      <c r="H3" s="11" t="s">
        <v>804</v>
      </c>
      <c r="I3" s="11" t="str">
        <f t="shared" ref="I3:I22" si="2">UPPER(LEFT(REPLACE(H3,3,2,RIGHT(H3,2)),6))</f>
        <v>3A4444</v>
      </c>
      <c r="Z3" s="151" t="s">
        <v>793</v>
      </c>
      <c r="AA3" s="151"/>
      <c r="AB3" s="151"/>
    </row>
    <row r="4" spans="1:31" x14ac:dyDescent="0.25">
      <c r="A4" s="33" t="s">
        <v>794</v>
      </c>
      <c r="B4" s="11" t="str">
        <f t="shared" si="0"/>
        <v>Baker, Mark</v>
      </c>
      <c r="D4" s="11" t="s">
        <v>795</v>
      </c>
      <c r="E4" s="11" t="str">
        <f t="shared" si="1"/>
        <v>4I2W316</v>
      </c>
      <c r="H4" s="11" t="s">
        <v>828</v>
      </c>
      <c r="I4" s="11" t="str">
        <f t="shared" si="2"/>
        <v>3B4544</v>
      </c>
      <c r="Z4" s="151" t="s">
        <v>796</v>
      </c>
      <c r="AA4" s="151"/>
      <c r="AB4" s="151"/>
    </row>
    <row r="5" spans="1:31" x14ac:dyDescent="0.25">
      <c r="A5" s="33" t="s">
        <v>797</v>
      </c>
      <c r="B5" s="11" t="str">
        <f t="shared" si="0"/>
        <v>O'Brien, Sheila</v>
      </c>
      <c r="D5" s="11" t="s">
        <v>798</v>
      </c>
      <c r="E5" s="11" t="str">
        <f t="shared" si="1"/>
        <v>3W5Y443</v>
      </c>
      <c r="H5" s="11" t="s">
        <v>813</v>
      </c>
      <c r="I5" s="11" t="str">
        <f t="shared" si="2"/>
        <v>3G0270</v>
      </c>
      <c r="Z5" s="151" t="s">
        <v>799</v>
      </c>
      <c r="AA5" s="151"/>
      <c r="AB5" s="151"/>
    </row>
    <row r="6" spans="1:31" x14ac:dyDescent="0.25">
      <c r="A6" s="33" t="s">
        <v>800</v>
      </c>
      <c r="B6" s="11" t="str">
        <f t="shared" si="0"/>
        <v>Fier, Marilyn</v>
      </c>
      <c r="D6" s="11" t="s">
        <v>801</v>
      </c>
      <c r="E6" s="11" t="str">
        <f t="shared" si="1"/>
        <v>5J6R662</v>
      </c>
      <c r="H6" s="11" t="s">
        <v>818</v>
      </c>
      <c r="I6" s="11" t="str">
        <f t="shared" si="2"/>
        <v>3G3023</v>
      </c>
      <c r="Z6" s="151" t="s">
        <v>802</v>
      </c>
      <c r="AA6" s="151"/>
      <c r="AB6" s="151"/>
    </row>
    <row r="7" spans="1:31" x14ac:dyDescent="0.25">
      <c r="A7" s="33" t="s">
        <v>803</v>
      </c>
      <c r="B7" s="11" t="str">
        <f t="shared" si="0"/>
        <v>Morris, Mark</v>
      </c>
      <c r="D7" s="11" t="s">
        <v>804</v>
      </c>
      <c r="E7" s="11" t="str">
        <f t="shared" si="1"/>
        <v>3A5Y444</v>
      </c>
      <c r="H7" s="11" t="s">
        <v>832</v>
      </c>
      <c r="I7" s="11" t="str">
        <f t="shared" si="2"/>
        <v>3J4644</v>
      </c>
      <c r="Z7" s="151" t="s">
        <v>805</v>
      </c>
      <c r="AA7" s="151"/>
      <c r="AB7" s="151"/>
    </row>
    <row r="8" spans="1:31" x14ac:dyDescent="0.25">
      <c r="A8" s="33" t="s">
        <v>806</v>
      </c>
      <c r="B8" s="11" t="str">
        <f t="shared" si="0"/>
        <v>Hendricks, Eric</v>
      </c>
      <c r="D8" s="11" t="s">
        <v>807</v>
      </c>
      <c r="E8" s="11" t="str">
        <f t="shared" si="1"/>
        <v>8K0Y194</v>
      </c>
      <c r="H8" s="11" t="s">
        <v>836</v>
      </c>
      <c r="I8" s="11" t="str">
        <f t="shared" si="2"/>
        <v>3U4744</v>
      </c>
      <c r="Z8" s="151" t="s">
        <v>808</v>
      </c>
      <c r="AA8" s="151"/>
      <c r="AB8" s="151"/>
    </row>
    <row r="9" spans="1:31" x14ac:dyDescent="0.25">
      <c r="A9" s="33" t="s">
        <v>809</v>
      </c>
      <c r="B9" s="11" t="str">
        <f t="shared" si="0"/>
        <v>Long, Ryan</v>
      </c>
      <c r="D9" s="11" t="s">
        <v>810</v>
      </c>
      <c r="E9" s="11" t="str">
        <f t="shared" si="1"/>
        <v>9C0K904</v>
      </c>
      <c r="H9" s="11" t="s">
        <v>816</v>
      </c>
      <c r="I9" s="11" t="str">
        <f t="shared" si="2"/>
        <v>3V4014</v>
      </c>
      <c r="Z9" s="151" t="s">
        <v>811</v>
      </c>
      <c r="AA9" s="151"/>
      <c r="AB9" s="151"/>
    </row>
    <row r="10" spans="1:31" x14ac:dyDescent="0.25">
      <c r="A10" s="33" t="s">
        <v>812</v>
      </c>
      <c r="B10" s="11" t="str">
        <f t="shared" si="0"/>
        <v>Fitzgerald, Jackie</v>
      </c>
      <c r="D10" s="11" t="s">
        <v>813</v>
      </c>
      <c r="E10" s="11" t="str">
        <f t="shared" si="1"/>
        <v>3G6G702</v>
      </c>
      <c r="H10" s="11" t="s">
        <v>798</v>
      </c>
      <c r="I10" s="11" t="str">
        <f t="shared" si="2"/>
        <v>3W4344</v>
      </c>
      <c r="Z10" s="151" t="s">
        <v>814</v>
      </c>
      <c r="AA10" s="151"/>
      <c r="AB10" s="151"/>
    </row>
    <row r="11" spans="1:31" x14ac:dyDescent="0.25">
      <c r="A11" s="33" t="s">
        <v>815</v>
      </c>
      <c r="B11" s="11" t="str">
        <f t="shared" si="0"/>
        <v>Tidwell, Liesl</v>
      </c>
      <c r="D11" s="11" t="s">
        <v>816</v>
      </c>
      <c r="E11" s="11" t="str">
        <f t="shared" si="1"/>
        <v>3V6F140</v>
      </c>
      <c r="H11" s="11" t="s">
        <v>838</v>
      </c>
      <c r="I11" s="11" t="str">
        <f t="shared" si="2"/>
        <v>3X4844</v>
      </c>
      <c r="Z11" s="151" t="s">
        <v>799</v>
      </c>
      <c r="AA11" s="151"/>
      <c r="AB11" s="151"/>
    </row>
    <row r="12" spans="1:31" x14ac:dyDescent="0.25">
      <c r="A12" s="33" t="s">
        <v>817</v>
      </c>
      <c r="B12" s="11" t="str">
        <f t="shared" si="0"/>
        <v>Eaton, Jeffrey</v>
      </c>
      <c r="D12" s="11" t="s">
        <v>818</v>
      </c>
      <c r="E12" s="11" t="str">
        <f t="shared" si="1"/>
        <v>3G7R230</v>
      </c>
      <c r="H12" s="11" t="s">
        <v>795</v>
      </c>
      <c r="I12" s="11" t="str">
        <f t="shared" si="2"/>
        <v>4I1631</v>
      </c>
      <c r="Z12" s="151" t="s">
        <v>819</v>
      </c>
      <c r="AA12" s="151"/>
      <c r="AB12" s="151"/>
    </row>
    <row r="13" spans="1:31" x14ac:dyDescent="0.25">
      <c r="A13" s="33" t="s">
        <v>820</v>
      </c>
      <c r="B13" s="11" t="str">
        <f t="shared" si="0"/>
        <v>Chambers, Karen</v>
      </c>
      <c r="D13" s="11" t="s">
        <v>821</v>
      </c>
      <c r="E13" s="11" t="str">
        <f t="shared" si="1"/>
        <v>6V4M198</v>
      </c>
      <c r="H13" s="11" t="s">
        <v>826</v>
      </c>
      <c r="I13" s="11" t="str">
        <f t="shared" si="2"/>
        <v>5C6366</v>
      </c>
      <c r="Z13" s="151" t="s">
        <v>822</v>
      </c>
      <c r="AA13" s="151"/>
      <c r="AB13" s="151"/>
    </row>
    <row r="14" spans="1:31" x14ac:dyDescent="0.25">
      <c r="A14" s="33" t="s">
        <v>823</v>
      </c>
      <c r="B14" s="11" t="str">
        <f t="shared" si="0"/>
        <v>Perez, Barney</v>
      </c>
      <c r="D14" s="11" t="s">
        <v>824</v>
      </c>
      <c r="E14" s="11" t="str">
        <f t="shared" si="1"/>
        <v>9F9H302</v>
      </c>
      <c r="H14" s="11" t="s">
        <v>830</v>
      </c>
      <c r="I14" s="11" t="str">
        <f t="shared" si="2"/>
        <v>5I6466</v>
      </c>
      <c r="AB14" s="151"/>
    </row>
    <row r="15" spans="1:31" x14ac:dyDescent="0.25">
      <c r="A15" s="33" t="s">
        <v>825</v>
      </c>
      <c r="B15" s="11" t="str">
        <f t="shared" si="0"/>
        <v>Watanuki, Cathy</v>
      </c>
      <c r="D15" s="11" t="s">
        <v>826</v>
      </c>
      <c r="E15" s="11" t="str">
        <f t="shared" si="1"/>
        <v>5C6R663</v>
      </c>
      <c r="H15" s="11" t="s">
        <v>801</v>
      </c>
      <c r="I15" s="11" t="str">
        <f t="shared" si="2"/>
        <v>5J6266</v>
      </c>
      <c r="AB15" s="151"/>
    </row>
    <row r="16" spans="1:31" x14ac:dyDescent="0.25">
      <c r="A16" s="33" t="s">
        <v>827</v>
      </c>
      <c r="B16" s="11" t="str">
        <f t="shared" si="0"/>
        <v>Priem, George</v>
      </c>
      <c r="D16" s="11" t="s">
        <v>828</v>
      </c>
      <c r="E16" s="11" t="str">
        <f t="shared" si="1"/>
        <v>3B5Y445</v>
      </c>
      <c r="H16" s="11" t="s">
        <v>834</v>
      </c>
      <c r="I16" s="11" t="str">
        <f t="shared" si="2"/>
        <v>5T6566</v>
      </c>
      <c r="AB16" s="151"/>
    </row>
    <row r="17" spans="1:28" x14ac:dyDescent="0.25">
      <c r="A17" s="33" t="s">
        <v>829</v>
      </c>
      <c r="B17" s="11" t="str">
        <f t="shared" si="0"/>
        <v>Wagner, Max</v>
      </c>
      <c r="D17" s="11" t="s">
        <v>830</v>
      </c>
      <c r="E17" s="11" t="str">
        <f t="shared" si="1"/>
        <v>5I6R664</v>
      </c>
      <c r="H17" s="11" t="s">
        <v>789</v>
      </c>
      <c r="I17" s="11" t="str">
        <f t="shared" si="2"/>
        <v>5Y1991</v>
      </c>
      <c r="AB17" s="151"/>
    </row>
    <row r="18" spans="1:28" x14ac:dyDescent="0.25">
      <c r="A18" s="33" t="s">
        <v>831</v>
      </c>
      <c r="B18" s="11" t="str">
        <f t="shared" si="0"/>
        <v>Konopka, Robert</v>
      </c>
      <c r="D18" s="11" t="s">
        <v>832</v>
      </c>
      <c r="E18" s="11" t="str">
        <f t="shared" si="1"/>
        <v>3J5Y446</v>
      </c>
      <c r="H18" s="11" t="s">
        <v>837</v>
      </c>
      <c r="I18" s="11" t="str">
        <f t="shared" si="2"/>
        <v>5Y6666</v>
      </c>
      <c r="AB18" s="151"/>
    </row>
    <row r="19" spans="1:28" x14ac:dyDescent="0.25">
      <c r="A19" s="33" t="s">
        <v>833</v>
      </c>
      <c r="B19" s="11" t="str">
        <f t="shared" si="0"/>
        <v>Glass, Philip</v>
      </c>
      <c r="D19" s="11" t="s">
        <v>834</v>
      </c>
      <c r="E19" s="11" t="str">
        <f t="shared" si="1"/>
        <v>5T6R665</v>
      </c>
      <c r="H19" s="11" t="s">
        <v>821</v>
      </c>
      <c r="I19" s="11" t="str">
        <f t="shared" si="2"/>
        <v>6V9819</v>
      </c>
      <c r="AB19" s="151"/>
    </row>
    <row r="20" spans="1:28" x14ac:dyDescent="0.25">
      <c r="A20" s="33" t="s">
        <v>835</v>
      </c>
      <c r="B20" s="11" t="str">
        <f t="shared" si="0"/>
        <v>Harvey, Harlon</v>
      </c>
      <c r="D20" s="11" t="s">
        <v>836</v>
      </c>
      <c r="E20" s="11" t="str">
        <f t="shared" si="1"/>
        <v>3U5Y447</v>
      </c>
      <c r="H20" s="11" t="s">
        <v>807</v>
      </c>
      <c r="I20" s="11" t="str">
        <f t="shared" si="2"/>
        <v>8K9419</v>
      </c>
      <c r="AB20" s="151"/>
    </row>
    <row r="21" spans="1:28" x14ac:dyDescent="0.25">
      <c r="D21" s="11" t="s">
        <v>837</v>
      </c>
      <c r="E21" s="11" t="str">
        <f t="shared" si="1"/>
        <v>5Y6R666</v>
      </c>
      <c r="H21" s="11" t="s">
        <v>810</v>
      </c>
      <c r="I21" s="11" t="str">
        <f t="shared" si="2"/>
        <v>9C0490</v>
      </c>
      <c r="AB21" s="151"/>
    </row>
    <row r="22" spans="1:28" x14ac:dyDescent="0.25">
      <c r="D22" s="11" t="s">
        <v>838</v>
      </c>
      <c r="E22" s="11" t="str">
        <f t="shared" si="1"/>
        <v>3X5Y448</v>
      </c>
      <c r="H22" s="11" t="s">
        <v>824</v>
      </c>
      <c r="I22" s="11" t="str">
        <f t="shared" si="2"/>
        <v>9F0230</v>
      </c>
      <c r="AB22" s="151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1"/>
  </sheetPr>
  <dimension ref="A1:L34"/>
  <sheetViews>
    <sheetView zoomScale="130" zoomScaleNormal="130" workbookViewId="0">
      <selection activeCell="A4" sqref="A4"/>
    </sheetView>
  </sheetViews>
  <sheetFormatPr defaultColWidth="9.140625" defaultRowHeight="15" x14ac:dyDescent="0.25"/>
  <cols>
    <col min="1" max="1" width="18.5703125" style="11" bestFit="1" customWidth="1"/>
    <col min="2" max="7" width="9.42578125" style="11" bestFit="1" customWidth="1"/>
    <col min="8" max="8" width="11.140625" style="11" bestFit="1" customWidth="1"/>
    <col min="9" max="9" width="9.42578125" style="11" bestFit="1" customWidth="1"/>
    <col min="10" max="10" width="9.140625" style="11"/>
    <col min="11" max="11" width="12.7109375" style="11" bestFit="1" customWidth="1"/>
    <col min="12" max="16384" width="9.140625" style="11"/>
  </cols>
  <sheetData>
    <row r="1" spans="1:12" ht="31.5" x14ac:dyDescent="0.5">
      <c r="A1" s="1" t="s">
        <v>917</v>
      </c>
      <c r="B1" s="1"/>
      <c r="C1" s="1"/>
      <c r="D1" s="1"/>
      <c r="E1" s="1"/>
      <c r="F1" s="1"/>
      <c r="G1" s="1"/>
      <c r="H1" s="1"/>
      <c r="I1" s="1"/>
      <c r="J1" s="9"/>
      <c r="K1" s="10"/>
      <c r="L1" s="9"/>
    </row>
    <row r="2" spans="1:12" x14ac:dyDescent="0.25">
      <c r="A2" s="2" t="s">
        <v>919</v>
      </c>
      <c r="B2" s="2"/>
      <c r="C2" s="2"/>
      <c r="D2" s="2"/>
      <c r="E2" s="2"/>
      <c r="F2" s="2"/>
      <c r="G2" s="2"/>
      <c r="H2" s="2"/>
      <c r="I2" s="2"/>
      <c r="J2" s="9"/>
      <c r="K2" s="12"/>
      <c r="L2" s="9"/>
    </row>
    <row r="3" spans="1:12" x14ac:dyDescent="0.25">
      <c r="A3" s="20"/>
      <c r="B3" s="13" t="s">
        <v>18</v>
      </c>
      <c r="C3" s="13" t="s">
        <v>23</v>
      </c>
      <c r="D3" s="13" t="s">
        <v>26</v>
      </c>
      <c r="E3" s="13" t="s">
        <v>29</v>
      </c>
      <c r="F3" s="13" t="s">
        <v>34</v>
      </c>
      <c r="G3" s="13" t="s">
        <v>37</v>
      </c>
      <c r="H3" s="13" t="s">
        <v>916</v>
      </c>
      <c r="I3" s="13" t="s">
        <v>915</v>
      </c>
      <c r="J3" s="9"/>
      <c r="K3" s="10"/>
      <c r="L3" s="9"/>
    </row>
    <row r="4" spans="1:12" x14ac:dyDescent="0.25">
      <c r="A4" s="79" t="s">
        <v>758</v>
      </c>
      <c r="B4" s="152">
        <v>120</v>
      </c>
      <c r="C4" s="152">
        <v>180</v>
      </c>
      <c r="D4" s="152">
        <v>250</v>
      </c>
      <c r="E4" s="152">
        <v>240</v>
      </c>
      <c r="F4" s="152">
        <v>300</v>
      </c>
      <c r="G4" s="152">
        <v>450</v>
      </c>
      <c r="H4" s="15">
        <f>SUM(B4:G4)</f>
        <v>1540</v>
      </c>
      <c r="I4" s="15">
        <f>AVERAGE(B4:G4)</f>
        <v>256.66666666666669</v>
      </c>
      <c r="J4" s="9"/>
      <c r="K4" s="9"/>
      <c r="L4" s="9"/>
    </row>
    <row r="5" spans="1:12" x14ac:dyDescent="0.25">
      <c r="A5" s="79" t="s">
        <v>766</v>
      </c>
      <c r="B5" s="153">
        <v>100</v>
      </c>
      <c r="C5" s="153">
        <v>130</v>
      </c>
      <c r="D5" s="153">
        <v>120</v>
      </c>
      <c r="E5" s="153">
        <v>220</v>
      </c>
      <c r="F5" s="153">
        <v>260</v>
      </c>
      <c r="G5" s="153">
        <v>350</v>
      </c>
      <c r="H5" s="16">
        <f>SUM(B5:G5)</f>
        <v>1180</v>
      </c>
      <c r="I5" s="16">
        <f>AVERAGE(B5:G5)</f>
        <v>196.66666666666666</v>
      </c>
      <c r="J5" s="9"/>
      <c r="K5" s="17"/>
      <c r="L5" s="9"/>
    </row>
    <row r="6" spans="1:12" x14ac:dyDescent="0.25">
      <c r="A6" s="79" t="s">
        <v>914</v>
      </c>
      <c r="B6" s="16">
        <f t="shared" ref="B6:G6" si="0">B4-B5</f>
        <v>20</v>
      </c>
      <c r="C6" s="16">
        <f t="shared" si="0"/>
        <v>50</v>
      </c>
      <c r="D6" s="16">
        <f t="shared" si="0"/>
        <v>130</v>
      </c>
      <c r="E6" s="16">
        <f t="shared" si="0"/>
        <v>20</v>
      </c>
      <c r="F6" s="16">
        <f t="shared" si="0"/>
        <v>40</v>
      </c>
      <c r="G6" s="16">
        <f t="shared" si="0"/>
        <v>100</v>
      </c>
      <c r="H6" s="16">
        <f>SUM(B6:G6)</f>
        <v>360</v>
      </c>
      <c r="I6" s="16">
        <f>AVERAGE(B6:G6)</f>
        <v>60</v>
      </c>
      <c r="J6" s="9"/>
      <c r="K6" s="18"/>
      <c r="L6" s="9"/>
    </row>
    <row r="7" spans="1:12" x14ac:dyDescent="0.25">
      <c r="A7" s="79" t="s">
        <v>913</v>
      </c>
      <c r="B7" s="16">
        <f>B6</f>
        <v>20</v>
      </c>
      <c r="C7" s="16">
        <f>C6+B7</f>
        <v>70</v>
      </c>
      <c r="D7" s="16">
        <f>D6+C7</f>
        <v>200</v>
      </c>
      <c r="E7" s="16">
        <f>E6+D7</f>
        <v>220</v>
      </c>
      <c r="F7" s="16">
        <f>F6+E7</f>
        <v>260</v>
      </c>
      <c r="G7" s="16">
        <f>G6+F7</f>
        <v>360</v>
      </c>
      <c r="H7" s="16"/>
      <c r="I7" s="16"/>
      <c r="J7" s="9"/>
      <c r="K7" s="9"/>
      <c r="L7" s="9"/>
    </row>
    <row r="8" spans="1:12" ht="20.25" customHeight="1" x14ac:dyDescent="0.25">
      <c r="A8" s="14" t="s">
        <v>912</v>
      </c>
      <c r="B8" s="19"/>
      <c r="C8" s="19"/>
      <c r="D8" s="19"/>
      <c r="E8" s="19"/>
      <c r="F8" s="19"/>
      <c r="G8" s="19"/>
      <c r="H8" s="20"/>
      <c r="I8" s="20"/>
      <c r="J8" s="9"/>
      <c r="K8" s="9"/>
      <c r="L8" s="9"/>
    </row>
    <row r="9" spans="1:12" x14ac:dyDescent="0.25">
      <c r="A9" s="21" t="s">
        <v>911</v>
      </c>
      <c r="B9" s="9"/>
      <c r="C9" s="22">
        <f t="shared" ref="C9:G11" si="1">(C4-B4)/B4</f>
        <v>0.5</v>
      </c>
      <c r="D9" s="22">
        <f t="shared" si="1"/>
        <v>0.3888888888888889</v>
      </c>
      <c r="E9" s="22">
        <f t="shared" si="1"/>
        <v>-0.04</v>
      </c>
      <c r="F9" s="22">
        <f t="shared" si="1"/>
        <v>0.25</v>
      </c>
      <c r="G9" s="22">
        <f t="shared" si="1"/>
        <v>0.5</v>
      </c>
      <c r="H9" s="22">
        <f>(G4-B4)/B4</f>
        <v>2.75</v>
      </c>
      <c r="I9" s="23">
        <f>(G4/B4)^(1/5)-1</f>
        <v>0.30258554234867607</v>
      </c>
      <c r="J9" s="9"/>
      <c r="K9" s="9"/>
      <c r="L9" s="9"/>
    </row>
    <row r="10" spans="1:12" x14ac:dyDescent="0.25">
      <c r="A10" s="21" t="s">
        <v>910</v>
      </c>
      <c r="B10" s="9"/>
      <c r="C10" s="22">
        <f t="shared" si="1"/>
        <v>0.3</v>
      </c>
      <c r="D10" s="22">
        <f t="shared" si="1"/>
        <v>-7.6923076923076927E-2</v>
      </c>
      <c r="E10" s="22">
        <f t="shared" si="1"/>
        <v>0.83333333333333337</v>
      </c>
      <c r="F10" s="22">
        <f t="shared" si="1"/>
        <v>0.18181818181818182</v>
      </c>
      <c r="G10" s="22">
        <f t="shared" si="1"/>
        <v>0.34615384615384615</v>
      </c>
      <c r="H10" s="22">
        <f>(G5-B5)/B5</f>
        <v>2.5</v>
      </c>
      <c r="I10" s="23">
        <f>(G5/B5)^(1/5)-1</f>
        <v>0.28473515712343933</v>
      </c>
      <c r="J10" s="9"/>
      <c r="K10" s="9"/>
      <c r="L10" s="9"/>
    </row>
    <row r="11" spans="1:12" x14ac:dyDescent="0.25">
      <c r="A11" s="21" t="s">
        <v>909</v>
      </c>
      <c r="B11" s="9"/>
      <c r="C11" s="22">
        <f t="shared" si="1"/>
        <v>1.5</v>
      </c>
      <c r="D11" s="22">
        <f t="shared" si="1"/>
        <v>1.6</v>
      </c>
      <c r="E11" s="22">
        <f t="shared" si="1"/>
        <v>-0.84615384615384615</v>
      </c>
      <c r="F11" s="22">
        <f t="shared" si="1"/>
        <v>1</v>
      </c>
      <c r="G11" s="22">
        <f t="shared" si="1"/>
        <v>1.5</v>
      </c>
      <c r="H11" s="22">
        <f>(G6-B6)/B6</f>
        <v>4</v>
      </c>
      <c r="I11" s="23">
        <f>(G6/B6)^(1/5)-1</f>
        <v>0.3797296614612149</v>
      </c>
      <c r="J11" s="9"/>
      <c r="K11" s="9"/>
      <c r="L11" s="9"/>
    </row>
    <row r="12" spans="1:12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25">
      <c r="A13" s="21" t="s">
        <v>908</v>
      </c>
      <c r="B13" s="24">
        <f t="shared" ref="B13:H13" si="2">B4/B5</f>
        <v>1.2</v>
      </c>
      <c r="C13" s="24">
        <f t="shared" si="2"/>
        <v>1.3846153846153846</v>
      </c>
      <c r="D13" s="24">
        <f t="shared" si="2"/>
        <v>2.0833333333333335</v>
      </c>
      <c r="E13" s="24">
        <f t="shared" si="2"/>
        <v>1.0909090909090908</v>
      </c>
      <c r="F13" s="24">
        <f t="shared" si="2"/>
        <v>1.1538461538461537</v>
      </c>
      <c r="G13" s="24">
        <f t="shared" si="2"/>
        <v>1.2857142857142858</v>
      </c>
      <c r="H13" s="24">
        <f t="shared" si="2"/>
        <v>1.3050847457627119</v>
      </c>
      <c r="I13" s="9"/>
      <c r="J13" s="9"/>
      <c r="K13" s="9"/>
      <c r="L13" s="9"/>
    </row>
    <row r="14" spans="1:12" x14ac:dyDescent="0.25">
      <c r="A14" s="21" t="s">
        <v>907</v>
      </c>
      <c r="B14" s="24">
        <f t="shared" ref="B14:H14" si="3">B4/B6</f>
        <v>6</v>
      </c>
      <c r="C14" s="24">
        <f t="shared" si="3"/>
        <v>3.6</v>
      </c>
      <c r="D14" s="24">
        <f t="shared" si="3"/>
        <v>1.9230769230769231</v>
      </c>
      <c r="E14" s="24">
        <f t="shared" si="3"/>
        <v>12</v>
      </c>
      <c r="F14" s="24">
        <f t="shared" si="3"/>
        <v>7.5</v>
      </c>
      <c r="G14" s="24">
        <f t="shared" si="3"/>
        <v>4.5</v>
      </c>
      <c r="H14" s="24">
        <f t="shared" si="3"/>
        <v>4.2777777777777777</v>
      </c>
      <c r="I14" s="9"/>
      <c r="J14" s="9"/>
      <c r="K14" s="9"/>
      <c r="L14" s="9"/>
    </row>
    <row r="15" spans="1:12" x14ac:dyDescent="0.25">
      <c r="A15" s="21" t="s">
        <v>906</v>
      </c>
      <c r="B15" s="24">
        <f t="shared" ref="B15:H15" si="4">B5/B6</f>
        <v>5</v>
      </c>
      <c r="C15" s="24">
        <f t="shared" si="4"/>
        <v>2.6</v>
      </c>
      <c r="D15" s="24">
        <f t="shared" si="4"/>
        <v>0.92307692307692313</v>
      </c>
      <c r="E15" s="24">
        <f t="shared" si="4"/>
        <v>11</v>
      </c>
      <c r="F15" s="24">
        <f t="shared" si="4"/>
        <v>6.5</v>
      </c>
      <c r="G15" s="24">
        <f t="shared" si="4"/>
        <v>3.5</v>
      </c>
      <c r="H15" s="24">
        <f t="shared" si="4"/>
        <v>3.2777777777777777</v>
      </c>
      <c r="I15" s="9"/>
      <c r="J15" s="9"/>
      <c r="K15" s="9"/>
      <c r="L15" s="9"/>
    </row>
    <row r="16" spans="1:12" x14ac:dyDescent="0.25">
      <c r="A16" s="21"/>
      <c r="B16" s="24"/>
      <c r="C16" s="24"/>
      <c r="D16" s="24"/>
      <c r="E16" s="24"/>
      <c r="F16" s="24"/>
      <c r="G16" s="24"/>
      <c r="H16" s="24"/>
      <c r="I16" s="9"/>
      <c r="J16" s="9"/>
      <c r="K16" s="9"/>
      <c r="L16" s="9"/>
    </row>
    <row r="17" spans="1:12" x14ac:dyDescent="0.25">
      <c r="A17" s="21"/>
      <c r="B17" s="24"/>
      <c r="C17" s="24"/>
      <c r="D17" s="24"/>
      <c r="E17" s="24"/>
      <c r="F17" s="24"/>
      <c r="G17" s="24"/>
      <c r="H17" s="24"/>
      <c r="I17" s="9"/>
      <c r="J17" s="9"/>
      <c r="K17" s="9"/>
      <c r="L17" s="9"/>
    </row>
    <row r="18" spans="1:12" x14ac:dyDescent="0.25">
      <c r="B18" s="24"/>
      <c r="C18" s="24"/>
      <c r="D18" s="24"/>
      <c r="E18" s="24"/>
      <c r="F18" s="24"/>
      <c r="G18" s="24"/>
      <c r="H18" s="24"/>
      <c r="I18" s="9"/>
      <c r="J18" s="9"/>
      <c r="K18" s="9"/>
      <c r="L18" s="9"/>
    </row>
    <row r="19" spans="1:12" x14ac:dyDescent="0.25">
      <c r="B19" s="24"/>
      <c r="C19" s="24"/>
      <c r="D19" s="24"/>
      <c r="E19" s="24"/>
      <c r="F19" s="24"/>
      <c r="G19" s="24"/>
      <c r="H19" s="24"/>
      <c r="I19" s="9"/>
      <c r="J19" s="9"/>
      <c r="K19" s="9"/>
      <c r="L19" s="9"/>
    </row>
    <row r="20" spans="1:12" x14ac:dyDescent="0.25">
      <c r="A20" s="21"/>
      <c r="B20" s="24"/>
      <c r="C20" s="24"/>
      <c r="D20" s="24"/>
      <c r="E20" s="24"/>
      <c r="F20" s="24"/>
      <c r="G20" s="24"/>
      <c r="H20" s="24"/>
      <c r="I20" s="9"/>
      <c r="J20" s="9"/>
      <c r="K20" s="9"/>
      <c r="L20" s="9"/>
    </row>
    <row r="21" spans="1:12" x14ac:dyDescent="0.25">
      <c r="A21" s="21"/>
      <c r="B21" s="24"/>
      <c r="C21" s="24"/>
      <c r="D21" s="24"/>
      <c r="E21" s="24"/>
      <c r="F21" s="24"/>
      <c r="G21" s="24"/>
      <c r="H21" s="24"/>
      <c r="I21" s="9"/>
      <c r="J21" s="9"/>
      <c r="K21" s="9"/>
      <c r="L21" s="9"/>
    </row>
    <row r="22" spans="1:12" x14ac:dyDescent="0.25">
      <c r="A22" s="25"/>
      <c r="B22" s="24"/>
      <c r="C22" s="24"/>
      <c r="D22" s="24"/>
      <c r="E22" s="24"/>
      <c r="F22" s="24"/>
      <c r="G22" s="24"/>
      <c r="H22" s="24"/>
      <c r="I22" s="9"/>
      <c r="J22" s="9"/>
      <c r="K22" s="9"/>
      <c r="L22" s="9"/>
    </row>
    <row r="23" spans="1:12" x14ac:dyDescent="0.25">
      <c r="A23" s="21"/>
      <c r="B23" s="24"/>
      <c r="C23" s="24"/>
      <c r="D23" s="24"/>
      <c r="E23" s="24"/>
      <c r="F23" s="24"/>
      <c r="G23" s="24"/>
      <c r="H23" s="24"/>
      <c r="I23" s="9"/>
      <c r="J23" s="9"/>
      <c r="K23" s="9"/>
      <c r="L23" s="9"/>
    </row>
    <row r="24" spans="1:12" x14ac:dyDescent="0.25">
      <c r="A24" s="21"/>
      <c r="B24" s="24"/>
      <c r="C24" s="24"/>
      <c r="D24" s="24"/>
      <c r="E24" s="24"/>
      <c r="F24" s="24"/>
      <c r="G24" s="24"/>
      <c r="H24" s="24"/>
      <c r="I24" s="9"/>
      <c r="J24" s="9"/>
      <c r="K24" s="9"/>
      <c r="L24" s="9"/>
    </row>
    <row r="25" spans="1:12" x14ac:dyDescent="0.25">
      <c r="A25" s="21"/>
      <c r="B25" s="24"/>
      <c r="C25" s="24"/>
      <c r="D25" s="24"/>
      <c r="E25" s="24"/>
      <c r="F25" s="24"/>
      <c r="G25" s="24"/>
      <c r="H25" s="24"/>
      <c r="I25" s="9"/>
      <c r="J25" s="9"/>
      <c r="K25" s="9"/>
      <c r="L25" s="9"/>
    </row>
    <row r="26" spans="1:12" x14ac:dyDescent="0.25">
      <c r="A26" s="21"/>
      <c r="B26" s="24"/>
      <c r="C26" s="24"/>
      <c r="D26" s="24"/>
      <c r="E26" s="24"/>
      <c r="F26" s="24"/>
      <c r="G26" s="24"/>
      <c r="H26" s="24"/>
      <c r="I26" s="9"/>
      <c r="J26" s="9"/>
      <c r="K26" s="9"/>
      <c r="L26" s="9"/>
    </row>
    <row r="27" spans="1:12" x14ac:dyDescent="0.25">
      <c r="A27" s="21"/>
      <c r="B27" s="24"/>
      <c r="C27" s="24"/>
      <c r="D27" s="24"/>
      <c r="E27" s="24"/>
      <c r="F27" s="24"/>
      <c r="G27" s="24"/>
      <c r="H27" s="24"/>
      <c r="I27" s="9"/>
      <c r="J27" s="9"/>
      <c r="K27" s="9"/>
      <c r="L27" s="9"/>
    </row>
    <row r="28" spans="1:12" x14ac:dyDescent="0.25">
      <c r="A28" s="21"/>
      <c r="B28" s="24"/>
      <c r="C28" s="24"/>
      <c r="D28" s="24"/>
      <c r="E28" s="24"/>
      <c r="F28" s="24"/>
      <c r="G28" s="24"/>
      <c r="H28" s="24"/>
      <c r="I28" s="9"/>
      <c r="J28" s="9"/>
      <c r="K28" s="9"/>
      <c r="L28" s="9"/>
    </row>
    <row r="29" spans="1:12" x14ac:dyDescent="0.25">
      <c r="A29" s="21"/>
      <c r="B29" s="24"/>
      <c r="C29" s="24"/>
      <c r="D29" s="24"/>
      <c r="E29" s="24"/>
      <c r="F29" s="24"/>
      <c r="G29" s="24"/>
      <c r="H29" s="24"/>
      <c r="I29" s="9"/>
      <c r="J29" s="9"/>
      <c r="K29" s="9"/>
      <c r="L29" s="9"/>
    </row>
    <row r="30" spans="1:12" x14ac:dyDescent="0.25">
      <c r="A30" s="21"/>
      <c r="B30" s="24"/>
      <c r="C30" s="24"/>
      <c r="D30" s="24"/>
      <c r="E30" s="24"/>
      <c r="F30" s="24"/>
      <c r="G30" s="24"/>
      <c r="H30" s="24"/>
      <c r="I30" s="9"/>
      <c r="J30" s="9"/>
      <c r="K30" s="9"/>
      <c r="L30" s="9"/>
    </row>
    <row r="31" spans="1:12" x14ac:dyDescent="0.25">
      <c r="A31" s="21"/>
      <c r="B31" s="24"/>
      <c r="C31" s="24"/>
      <c r="D31" s="24"/>
      <c r="E31" s="24"/>
      <c r="F31" s="24"/>
      <c r="G31" s="24"/>
      <c r="H31" s="24"/>
      <c r="I31" s="9"/>
      <c r="J31" s="9"/>
      <c r="K31" s="9"/>
      <c r="L31" s="9"/>
    </row>
    <row r="32" spans="1:12" x14ac:dyDescent="0.25">
      <c r="A32" s="21"/>
      <c r="B32" s="24"/>
      <c r="C32" s="24"/>
      <c r="D32" s="24"/>
      <c r="E32" s="24"/>
      <c r="F32" s="24"/>
      <c r="G32" s="24"/>
      <c r="H32" s="24"/>
      <c r="I32" s="9"/>
      <c r="J32" s="9"/>
      <c r="K32" s="9"/>
      <c r="L32" s="9"/>
    </row>
    <row r="33" spans="1:12" x14ac:dyDescent="0.25">
      <c r="A33" s="21"/>
      <c r="B33" s="24"/>
      <c r="C33" s="24"/>
      <c r="D33" s="24"/>
      <c r="E33" s="24"/>
      <c r="F33" s="24"/>
      <c r="G33" s="24"/>
      <c r="H33" s="24"/>
      <c r="I33" s="9"/>
      <c r="J33" s="9"/>
      <c r="K33" s="9"/>
      <c r="L33" s="9"/>
    </row>
    <row r="34" spans="1:12" x14ac:dyDescent="0.25">
      <c r="A34" s="21"/>
      <c r="B34" s="24"/>
      <c r="C34" s="24"/>
      <c r="D34" s="24"/>
      <c r="E34" s="24"/>
      <c r="F34" s="24"/>
      <c r="G34" s="24"/>
      <c r="H34" s="24"/>
      <c r="I34" s="9"/>
      <c r="J34" s="9"/>
      <c r="K34" s="9"/>
      <c r="L34" s="9"/>
    </row>
  </sheetData>
  <mergeCells count="2">
    <mergeCell ref="A2:I2"/>
    <mergeCell ref="A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Formulas</vt:lpstr>
      <vt:lpstr>Budget2015</vt:lpstr>
      <vt:lpstr>MixedNames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2013-12-09T23:02:29Z</dcterms:modified>
</cp:coreProperties>
</file>